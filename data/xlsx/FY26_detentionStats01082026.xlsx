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icegov-my.sharepoint.com/personal/0683385416_ice_dhs_gov/Documents/DIL H Drive/HHW Sub-Office/TDY/EIU - 2025 HQ/Documents Download ICATT  SP Tasker/"/>
    </mc:Choice>
  </mc:AlternateContent>
  <xr:revisionPtr revIDLastSave="0" documentId="8_{CCD497AC-25D1-4361-BC25-E10ED3F4C751}" xr6:coauthVersionLast="47" xr6:coauthVersionMax="47" xr10:uidLastSave="{00000000-0000-0000-0000-000000000000}"/>
  <bookViews>
    <workbookView xWindow="57600" yWindow="2250" windowWidth="16380" windowHeight="9855" tabRatio="717" firstSheet="3" activeTab="10" xr2:uid="{00000000-000D-0000-FFFF-FFFF00000000}"/>
  </bookViews>
  <sheets>
    <sheet name="Header" sheetId="9" r:id="rId1"/>
    <sheet name="Detention EOFY2020" sheetId="3" state="hidden" r:id="rId2"/>
    <sheet name="ATD FY26 YTD" sheetId="32" r:id="rId3"/>
    <sheet name="Detention FY26" sheetId="30" r:id="rId4"/>
    <sheet name=" ICLOS and Detainees" sheetId="31" r:id="rId5"/>
    <sheet name="Semiannual" sheetId="28" r:id="rId6"/>
    <sheet name="Monthly Bond Statistics" sheetId="19" r:id="rId7"/>
    <sheet name="Facilities FY26" sheetId="33" r:id="rId8"/>
    <sheet name="FY26 Monthly Segregation" sheetId="34" r:id="rId9"/>
    <sheet name="Vulnerable &amp; Special Population" sheetId="35" r:id="rId10"/>
    <sheet name="Footnotes" sheetId="29" r:id="rId11"/>
    <sheet name="Footnotes_DEL" sheetId="4" state="hidden" r:id="rId12"/>
  </sheets>
  <definedNames>
    <definedName name="_xlnm._FilterDatabase" localSheetId="7" hidden="1">'Facilities FY26'!$A$10:$AA$10</definedName>
    <definedName name="_xlnm._FilterDatabase" localSheetId="5" hidden="1">Semiannual!$A$103:$F$120</definedName>
    <definedName name="_xlnm.Print_Area" localSheetId="1">'Detention EOFY2020'!$A$1:$V$94</definedName>
    <definedName name="_xlnm.Print_Area" localSheetId="3">'Detention FY26'!$A$1:$V$133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3" i="32" l="1"/>
  <c r="C161" i="30"/>
  <c r="O6" i="19" l="1"/>
  <c r="P6" i="19" l="1"/>
  <c r="N6" i="19" l="1"/>
  <c r="M6" i="19"/>
  <c r="BN44" i="31"/>
  <c r="BO44" i="31"/>
  <c r="BN45" i="31"/>
  <c r="BO45" i="31"/>
  <c r="BN46" i="31"/>
  <c r="BO46" i="31"/>
  <c r="BN47" i="31"/>
  <c r="BO47" i="31"/>
  <c r="BN48" i="31" l="1"/>
  <c r="BO48" i="31"/>
  <c r="BL44" i="31" l="1"/>
  <c r="BM44" i="31"/>
  <c r="BL45" i="31"/>
  <c r="BM45" i="31"/>
  <c r="BL46" i="31"/>
  <c r="BM46" i="31"/>
  <c r="BL47" i="31"/>
  <c r="BM47" i="31"/>
  <c r="BJ44" i="31"/>
  <c r="BK44" i="31"/>
  <c r="BJ45" i="31"/>
  <c r="BK45" i="31"/>
  <c r="BJ46" i="31"/>
  <c r="BK46" i="31"/>
  <c r="BJ47" i="31"/>
  <c r="BK47" i="31"/>
  <c r="BH44" i="31"/>
  <c r="BI44" i="31"/>
  <c r="BH45" i="31"/>
  <c r="BI45" i="31"/>
  <c r="BH46" i="31"/>
  <c r="BI46" i="31"/>
  <c r="BH47" i="31"/>
  <c r="BI47" i="31"/>
  <c r="BF44" i="31"/>
  <c r="BG44" i="31"/>
  <c r="BF45" i="31"/>
  <c r="BG45" i="31"/>
  <c r="BF46" i="31"/>
  <c r="BG46" i="31"/>
  <c r="BF47" i="31"/>
  <c r="BG47" i="31"/>
  <c r="BL48" i="31" l="1"/>
  <c r="BM48" i="31"/>
  <c r="BJ48" i="31"/>
  <c r="BK48" i="31"/>
  <c r="BH48" i="31"/>
  <c r="BI48" i="31"/>
  <c r="BF48" i="31"/>
  <c r="BG48" i="31"/>
  <c r="BD44" i="31"/>
  <c r="BE44" i="31"/>
  <c r="BD45" i="31"/>
  <c r="BE45" i="31"/>
  <c r="BD46" i="31"/>
  <c r="BE46" i="31"/>
  <c r="BD47" i="31"/>
  <c r="BE47" i="31"/>
  <c r="BC47" i="31"/>
  <c r="BB47" i="31"/>
  <c r="BA47" i="31"/>
  <c r="AZ47" i="31"/>
  <c r="AY47" i="31"/>
  <c r="AX47" i="31"/>
  <c r="AW47" i="31"/>
  <c r="AV47" i="31"/>
  <c r="AU47" i="31"/>
  <c r="AT47" i="31"/>
  <c r="AS47" i="31"/>
  <c r="AR47" i="31"/>
  <c r="AQ47" i="31"/>
  <c r="AP47" i="31"/>
  <c r="AO47" i="31"/>
  <c r="AN47" i="31"/>
  <c r="AM47" i="31"/>
  <c r="AL47" i="31"/>
  <c r="AK47" i="31"/>
  <c r="AJ47" i="31"/>
  <c r="AI47" i="31"/>
  <c r="AH47" i="31"/>
  <c r="AG47" i="31"/>
  <c r="AF47" i="31"/>
  <c r="AE47" i="31"/>
  <c r="AD47" i="31"/>
  <c r="AC47" i="31"/>
  <c r="AB47" i="31"/>
  <c r="AA47" i="31"/>
  <c r="Z47" i="31"/>
  <c r="Y47" i="31"/>
  <c r="X47" i="31"/>
  <c r="W47" i="31"/>
  <c r="V47" i="31"/>
  <c r="U47" i="31"/>
  <c r="T47" i="31"/>
  <c r="S47" i="31"/>
  <c r="R47" i="31"/>
  <c r="Q47" i="31"/>
  <c r="P47" i="31"/>
  <c r="O47" i="31"/>
  <c r="N47" i="31"/>
  <c r="M47" i="31"/>
  <c r="L47" i="31"/>
  <c r="K47" i="31"/>
  <c r="J47" i="31"/>
  <c r="I47" i="31"/>
  <c r="H47" i="31"/>
  <c r="G47" i="31"/>
  <c r="F47" i="31"/>
  <c r="E47" i="31"/>
  <c r="D47" i="31"/>
  <c r="C47" i="31"/>
  <c r="B47" i="31"/>
  <c r="BC46" i="31"/>
  <c r="BB46" i="31"/>
  <c r="BA46" i="31"/>
  <c r="AZ46" i="31"/>
  <c r="AY46" i="31"/>
  <c r="AX46" i="31"/>
  <c r="AW46" i="31"/>
  <c r="AV46" i="31"/>
  <c r="AU46" i="31"/>
  <c r="AT46" i="31"/>
  <c r="AS46" i="31"/>
  <c r="AR46" i="31"/>
  <c r="AQ46" i="31"/>
  <c r="AP46" i="31"/>
  <c r="AO46" i="31"/>
  <c r="AN46" i="31"/>
  <c r="AM46" i="31"/>
  <c r="AL46" i="31"/>
  <c r="AK46" i="31"/>
  <c r="AJ46" i="31"/>
  <c r="AI46" i="31"/>
  <c r="AH46" i="31"/>
  <c r="AG46" i="31"/>
  <c r="AF46" i="31"/>
  <c r="AE46" i="31"/>
  <c r="AD46" i="31"/>
  <c r="AC46" i="31"/>
  <c r="AB46" i="31"/>
  <c r="AA46" i="31"/>
  <c r="Z46" i="31"/>
  <c r="Y46" i="31"/>
  <c r="X46" i="31"/>
  <c r="W46" i="31"/>
  <c r="V46" i="31"/>
  <c r="U46" i="31"/>
  <c r="T46" i="31"/>
  <c r="S46" i="31"/>
  <c r="R46" i="31"/>
  <c r="Q46" i="31"/>
  <c r="P46" i="31"/>
  <c r="O46" i="31"/>
  <c r="N46" i="31"/>
  <c r="M46" i="31"/>
  <c r="L46" i="31"/>
  <c r="K46" i="31"/>
  <c r="J46" i="31"/>
  <c r="I46" i="31"/>
  <c r="H46" i="31"/>
  <c r="G46" i="31"/>
  <c r="F46" i="31"/>
  <c r="E46" i="31"/>
  <c r="D46" i="31"/>
  <c r="C46" i="31"/>
  <c r="B46" i="31"/>
  <c r="BC45" i="31"/>
  <c r="BB45" i="31"/>
  <c r="BA45" i="31"/>
  <c r="AZ45" i="31"/>
  <c r="AY45" i="31"/>
  <c r="AX45" i="31"/>
  <c r="AW45" i="31"/>
  <c r="AV45" i="31"/>
  <c r="AU45" i="31"/>
  <c r="AT45" i="31"/>
  <c r="AS45" i="31"/>
  <c r="AR45" i="31"/>
  <c r="AQ45" i="31"/>
  <c r="AP45" i="31"/>
  <c r="AO45" i="31"/>
  <c r="AN45" i="31"/>
  <c r="AM45" i="31"/>
  <c r="AL45" i="31"/>
  <c r="AK45" i="31"/>
  <c r="AJ45" i="31"/>
  <c r="AI45" i="31"/>
  <c r="AH45" i="31"/>
  <c r="AG45" i="31"/>
  <c r="AF45" i="31"/>
  <c r="AE45" i="31"/>
  <c r="AD45" i="31"/>
  <c r="AC45" i="31"/>
  <c r="AB45" i="31"/>
  <c r="AA45" i="31"/>
  <c r="Z45" i="31"/>
  <c r="Y45" i="31"/>
  <c r="X45" i="31"/>
  <c r="W45" i="31"/>
  <c r="V45" i="31"/>
  <c r="U45" i="31"/>
  <c r="T45" i="31"/>
  <c r="S45" i="31"/>
  <c r="R45" i="31"/>
  <c r="Q45" i="31"/>
  <c r="P45" i="31"/>
  <c r="O45" i="31"/>
  <c r="N45" i="31"/>
  <c r="M45" i="31"/>
  <c r="L45" i="31"/>
  <c r="K45" i="31"/>
  <c r="J45" i="31"/>
  <c r="I45" i="31"/>
  <c r="H45" i="31"/>
  <c r="G45" i="31"/>
  <c r="F45" i="31"/>
  <c r="E45" i="31"/>
  <c r="D45" i="31"/>
  <c r="C45" i="31"/>
  <c r="B45" i="31"/>
  <c r="BC44" i="31"/>
  <c r="BB44" i="31"/>
  <c r="BA44" i="31"/>
  <c r="AZ44" i="31"/>
  <c r="AY44" i="31"/>
  <c r="AX44" i="31"/>
  <c r="AW44" i="31"/>
  <c r="AV44" i="31"/>
  <c r="AU44" i="31"/>
  <c r="AT44" i="31"/>
  <c r="AS44" i="31"/>
  <c r="AR44" i="31"/>
  <c r="AQ44" i="31"/>
  <c r="AP44" i="31"/>
  <c r="AP48" i="31" s="1"/>
  <c r="AO44" i="31"/>
  <c r="AN44" i="31"/>
  <c r="AM44" i="31"/>
  <c r="AL44" i="31"/>
  <c r="AK44" i="31"/>
  <c r="AJ44" i="31"/>
  <c r="AI44" i="31"/>
  <c r="AH44" i="31"/>
  <c r="AH48" i="31" s="1"/>
  <c r="AG44" i="31"/>
  <c r="AF44" i="31"/>
  <c r="AE44" i="31"/>
  <c r="AD44" i="31"/>
  <c r="AC44" i="31"/>
  <c r="AB44" i="31"/>
  <c r="AA44" i="31"/>
  <c r="Z44" i="31"/>
  <c r="Z48" i="31" s="1"/>
  <c r="Y44" i="31"/>
  <c r="X44" i="31"/>
  <c r="W44" i="31"/>
  <c r="V44" i="31"/>
  <c r="U44" i="31"/>
  <c r="T44" i="31"/>
  <c r="S44" i="31"/>
  <c r="R44" i="31"/>
  <c r="R48" i="31" s="1"/>
  <c r="Q44" i="31"/>
  <c r="P44" i="31"/>
  <c r="O44" i="31"/>
  <c r="N44" i="31"/>
  <c r="M44" i="31"/>
  <c r="L44" i="31"/>
  <c r="K44" i="31"/>
  <c r="J44" i="31"/>
  <c r="J48" i="31" s="1"/>
  <c r="I44" i="31"/>
  <c r="H44" i="31"/>
  <c r="G44" i="31"/>
  <c r="F44" i="31"/>
  <c r="E44" i="31"/>
  <c r="D44" i="31"/>
  <c r="C44" i="31"/>
  <c r="B44" i="31"/>
  <c r="B48" i="31" s="1"/>
  <c r="F48" i="31" l="1"/>
  <c r="N48" i="31"/>
  <c r="V48" i="31"/>
  <c r="AD48" i="31"/>
  <c r="AL48" i="31"/>
  <c r="G48" i="31"/>
  <c r="O48" i="31"/>
  <c r="W48" i="31"/>
  <c r="AE48" i="31"/>
  <c r="AM48" i="31"/>
  <c r="H48" i="31"/>
  <c r="P48" i="31"/>
  <c r="AO48" i="31"/>
  <c r="I48" i="31"/>
  <c r="AG48" i="31"/>
  <c r="C48" i="31"/>
  <c r="K48" i="31"/>
  <c r="S48" i="31"/>
  <c r="AA48" i="31"/>
  <c r="AI48" i="31"/>
  <c r="AQ48" i="31"/>
  <c r="AY48" i="31"/>
  <c r="Q48" i="31"/>
  <c r="D48" i="31"/>
  <c r="L48" i="31"/>
  <c r="T48" i="31"/>
  <c r="AB48" i="31"/>
  <c r="AJ48" i="31"/>
  <c r="AR48" i="31"/>
  <c r="AZ48" i="31"/>
  <c r="Y48" i="31"/>
  <c r="E48" i="31"/>
  <c r="M48" i="31"/>
  <c r="U48" i="31"/>
  <c r="AC48" i="31"/>
  <c r="AK48" i="31"/>
  <c r="X48" i="31"/>
  <c r="AF48" i="31"/>
  <c r="AN48" i="31"/>
  <c r="BD48" i="31"/>
  <c r="AX48" i="31"/>
  <c r="AS48" i="31"/>
  <c r="AT48" i="31"/>
  <c r="BB48" i="31"/>
  <c r="BA48" i="31"/>
  <c r="AU48" i="31"/>
  <c r="BC48" i="31"/>
  <c r="AV48" i="31"/>
  <c r="AW48" i="31"/>
  <c r="BE48" i="31"/>
  <c r="I63" i="30" l="1"/>
  <c r="B10" i="30"/>
  <c r="O155" i="30"/>
  <c r="O154" i="30"/>
  <c r="O153" i="30"/>
  <c r="O152" i="30"/>
  <c r="O151" i="30"/>
  <c r="O150" i="30"/>
  <c r="N146" i="30"/>
  <c r="N145" i="30"/>
  <c r="N144" i="30"/>
  <c r="O86" i="30"/>
  <c r="O85" i="30"/>
  <c r="O84" i="30"/>
  <c r="N83" i="30"/>
  <c r="M83" i="30"/>
  <c r="L83" i="30"/>
  <c r="K83" i="30"/>
  <c r="J83" i="30"/>
  <c r="I83" i="30"/>
  <c r="H83" i="30"/>
  <c r="G83" i="30"/>
  <c r="O82" i="30"/>
  <c r="O81" i="30"/>
  <c r="O80" i="30"/>
  <c r="N79" i="30"/>
  <c r="M79" i="30"/>
  <c r="L79" i="30"/>
  <c r="K79" i="30"/>
  <c r="J79" i="30"/>
  <c r="I79" i="30"/>
  <c r="H79" i="30"/>
  <c r="G79" i="30"/>
  <c r="O78" i="30"/>
  <c r="O77" i="30"/>
  <c r="O76" i="30"/>
  <c r="N75" i="30"/>
  <c r="M75" i="30"/>
  <c r="L75" i="30"/>
  <c r="K75" i="30"/>
  <c r="J75" i="30"/>
  <c r="I75" i="30"/>
  <c r="H75" i="30"/>
  <c r="G75" i="30"/>
  <c r="O74" i="30"/>
  <c r="O73" i="30"/>
  <c r="O72" i="30"/>
  <c r="N71" i="30"/>
  <c r="M71" i="30"/>
  <c r="L71" i="30"/>
  <c r="K71" i="30"/>
  <c r="J71" i="30"/>
  <c r="I71" i="30"/>
  <c r="H71" i="30"/>
  <c r="G71" i="30"/>
  <c r="O70" i="30"/>
  <c r="O69" i="30"/>
  <c r="O68" i="30"/>
  <c r="N67" i="30"/>
  <c r="M67" i="30"/>
  <c r="L67" i="30"/>
  <c r="K67" i="30"/>
  <c r="J67" i="30"/>
  <c r="I67" i="30"/>
  <c r="H67" i="30"/>
  <c r="G67" i="30"/>
  <c r="O66" i="30"/>
  <c r="O65" i="30"/>
  <c r="O64" i="30"/>
  <c r="N63" i="30"/>
  <c r="M63" i="30"/>
  <c r="L63" i="30"/>
  <c r="K63" i="30"/>
  <c r="J63" i="30"/>
  <c r="H63" i="30"/>
  <c r="G63" i="30"/>
  <c r="O62" i="30"/>
  <c r="O61" i="30"/>
  <c r="O60" i="30"/>
  <c r="N59" i="30"/>
  <c r="M59" i="30"/>
  <c r="L59" i="30"/>
  <c r="K59" i="30"/>
  <c r="J59" i="30"/>
  <c r="I59" i="30"/>
  <c r="H59" i="30"/>
  <c r="G59" i="30"/>
  <c r="O58" i="30"/>
  <c r="O57" i="30"/>
  <c r="O56" i="30"/>
  <c r="N55" i="30"/>
  <c r="M55" i="30"/>
  <c r="L55" i="30"/>
  <c r="K55" i="30"/>
  <c r="J55" i="30"/>
  <c r="I55" i="30"/>
  <c r="H55" i="30"/>
  <c r="G55" i="30"/>
  <c r="O54" i="30"/>
  <c r="O53" i="30"/>
  <c r="O52" i="30"/>
  <c r="N51" i="30"/>
  <c r="M51" i="30"/>
  <c r="L51" i="30"/>
  <c r="K51" i="30"/>
  <c r="J51" i="30"/>
  <c r="I51" i="30"/>
  <c r="H51" i="30"/>
  <c r="G51" i="30"/>
  <c r="O50" i="30"/>
  <c r="O49" i="30"/>
  <c r="O48" i="30"/>
  <c r="N47" i="30"/>
  <c r="M47" i="30"/>
  <c r="L47" i="30"/>
  <c r="K47" i="30"/>
  <c r="J47" i="30"/>
  <c r="I47" i="30"/>
  <c r="H47" i="30"/>
  <c r="G47" i="30"/>
  <c r="O46" i="30"/>
  <c r="O45" i="30"/>
  <c r="O44" i="30"/>
  <c r="N43" i="30"/>
  <c r="M43" i="30"/>
  <c r="L43" i="30"/>
  <c r="K43" i="30"/>
  <c r="J43" i="30"/>
  <c r="I43" i="30"/>
  <c r="H43" i="30"/>
  <c r="G43" i="30"/>
  <c r="N39" i="30"/>
  <c r="M39" i="30"/>
  <c r="L39" i="30"/>
  <c r="K39" i="30"/>
  <c r="J39" i="30"/>
  <c r="I39" i="30"/>
  <c r="H39" i="30"/>
  <c r="G39" i="30"/>
  <c r="E31" i="30"/>
  <c r="E30" i="30"/>
  <c r="J29" i="30"/>
  <c r="D29" i="30"/>
  <c r="C29" i="30"/>
  <c r="B29" i="30"/>
  <c r="F23" i="30"/>
  <c r="V22" i="30"/>
  <c r="F22" i="30"/>
  <c r="V21" i="30"/>
  <c r="F21" i="30"/>
  <c r="U20" i="30"/>
  <c r="T20" i="30"/>
  <c r="S20" i="30"/>
  <c r="R20" i="30"/>
  <c r="Q20" i="30"/>
  <c r="P20" i="30"/>
  <c r="O20" i="30"/>
  <c r="N20" i="30"/>
  <c r="M20" i="30"/>
  <c r="L20" i="30"/>
  <c r="K20" i="30"/>
  <c r="J20" i="30"/>
  <c r="D20" i="30"/>
  <c r="B20" i="30"/>
  <c r="D14" i="30"/>
  <c r="D13" i="30"/>
  <c r="D12" i="30"/>
  <c r="D11" i="30"/>
  <c r="P10" i="30"/>
  <c r="C10" i="30"/>
  <c r="J38" i="30" l="1"/>
  <c r="I38" i="30"/>
  <c r="O40" i="30"/>
  <c r="O42" i="30"/>
  <c r="F20" i="30"/>
  <c r="C20" i="30" s="1"/>
  <c r="H38" i="30"/>
  <c r="O41" i="30"/>
  <c r="O43" i="30"/>
  <c r="M38" i="30"/>
  <c r="O59" i="30"/>
  <c r="L38" i="30"/>
  <c r="E29" i="30"/>
  <c r="N38" i="30"/>
  <c r="K38" i="30"/>
  <c r="G38" i="30"/>
  <c r="O51" i="30"/>
  <c r="D10" i="30"/>
  <c r="O79" i="30"/>
  <c r="O63" i="30"/>
  <c r="O83" i="30"/>
  <c r="O75" i="30"/>
  <c r="O71" i="30"/>
  <c r="O67" i="30"/>
  <c r="C38" i="30"/>
  <c r="F38" i="30"/>
  <c r="E38" i="30"/>
  <c r="O55" i="30"/>
  <c r="D38" i="30"/>
  <c r="O47" i="30"/>
  <c r="V20" i="30"/>
  <c r="O39" i="30"/>
  <c r="E20" i="30" l="1"/>
  <c r="O38" i="30"/>
  <c r="E39" i="3" l="1"/>
  <c r="D39" i="3"/>
  <c r="C39" i="3"/>
  <c r="B39" i="3"/>
  <c r="E23" i="3"/>
  <c r="E22" i="3"/>
  <c r="E21" i="3"/>
  <c r="E20" i="3"/>
  <c r="C23" i="3" l="1"/>
  <c r="C22" i="3"/>
  <c r="C21" i="3"/>
  <c r="C20" i="3"/>
</calcChain>
</file>

<file path=xl/sharedStrings.xml><?xml version="1.0" encoding="utf-8"?>
<sst xmlns="http://schemas.openxmlformats.org/spreadsheetml/2006/main" count="4027" uniqueCount="1502">
  <si>
    <t>Other</t>
  </si>
  <si>
    <t>Total</t>
  </si>
  <si>
    <t>Order of Recognizance</t>
  </si>
  <si>
    <t>Order of Supervision</t>
  </si>
  <si>
    <t>ATD</t>
  </si>
  <si>
    <t>Male</t>
  </si>
  <si>
    <t>ALLEN PARISH PUBLIC SAFETY COMPLEX</t>
  </si>
  <si>
    <t>BROWARD TRANSITIONAL CENTER</t>
  </si>
  <si>
    <t>EL VALLE DETENTION FACILITY</t>
  </si>
  <si>
    <t>BRAZIL</t>
  </si>
  <si>
    <t>FLORENCE STAGING FACILITY</t>
  </si>
  <si>
    <t>SENECA COUNTY JAIL</t>
  </si>
  <si>
    <t>RIO GRANDE DETENTION CENTER</t>
  </si>
  <si>
    <t>LAREDO PROCESSING CENTER</t>
  </si>
  <si>
    <t>GLADES COUNTY DETENTION CENTER</t>
  </si>
  <si>
    <t>SOUTH TEXAS ICE PROCESSING CENTER</t>
  </si>
  <si>
    <t>SHERBURNE COUNTY JAIL</t>
  </si>
  <si>
    <t>JACKSON PARISH CORRECTIONAL CENTER</t>
  </si>
  <si>
    <t>MONROE COUNTY DETENTION-DORM</t>
  </si>
  <si>
    <t>ELIZABETH</t>
  </si>
  <si>
    <t>TR</t>
  </si>
  <si>
    <t>CIBOLA COUNTY CORRECTIONAL CENTER</t>
  </si>
  <si>
    <t>WEBB COUNTY DETENTION CENTER (CCA)</t>
  </si>
  <si>
    <t>MA</t>
  </si>
  <si>
    <t>MIA</t>
  </si>
  <si>
    <t>ALEXANDRIA</t>
  </si>
  <si>
    <t>NEVADA SOUTHERN DETENTION CENTER</t>
  </si>
  <si>
    <t>ELOY</t>
  </si>
  <si>
    <t>TAYLOR</t>
  </si>
  <si>
    <t>CHI</t>
  </si>
  <si>
    <t>MILAN</t>
  </si>
  <si>
    <t>EDEN</t>
  </si>
  <si>
    <t>PINE PRAIRIE ICE PROCESSING CENTER</t>
  </si>
  <si>
    <t>ALVARADO</t>
  </si>
  <si>
    <t>AURORA</t>
  </si>
  <si>
    <t>PINELLAS COUNTY JAIL</t>
  </si>
  <si>
    <t>GEAUGA COUNTY JAIL</t>
  </si>
  <si>
    <t>AL</t>
  </si>
  <si>
    <t>HENDERSON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</si>
  <si>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</si>
  <si>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</si>
  <si>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</si>
  <si>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</si>
  <si>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</si>
  <si>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</si>
  <si>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</si>
  <si>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</si>
  <si>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</si>
  <si>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</si>
  <si>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</si>
  <si>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</si>
  <si>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</si>
  <si>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</si>
  <si>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</si>
  <si>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</si>
  <si>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</si>
  <si>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</si>
  <si>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</si>
  <si>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</si>
  <si>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</si>
  <si>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</si>
  <si>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</si>
  <si>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</si>
  <si>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</si>
  <si>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</si>
  <si>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</si>
  <si>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</si>
  <si>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</si>
  <si>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</si>
  <si>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</si>
  <si>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</si>
  <si>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</si>
  <si>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</si>
  <si>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</si>
  <si>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</si>
  <si>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</si>
  <si>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</si>
  <si>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</si>
  <si>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</si>
  <si>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</si>
  <si>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</si>
  <si>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</si>
  <si>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</si>
  <si>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</si>
  <si>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</si>
  <si>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</si>
  <si>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</si>
  <si>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</si>
  <si>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</si>
  <si>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</si>
  <si>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</si>
  <si>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</si>
  <si>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</si>
  <si>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</si>
  <si>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</si>
  <si>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</si>
  <si>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</si>
  <si>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</si>
  <si>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</si>
  <si>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</si>
  <si>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</si>
  <si>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</si>
  <si>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</si>
  <si>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</si>
  <si>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</si>
  <si>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</si>
  <si>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</si>
  <si>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</si>
  <si>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</si>
  <si>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</si>
  <si>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</si>
  <si>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</si>
  <si>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</si>
  <si>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</si>
  <si>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</si>
  <si>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</si>
  <si>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</si>
  <si>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</si>
  <si>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</si>
  <si>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FY2020</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</si>
  <si>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</si>
  <si>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</si>
  <si>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</si>
  <si>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</si>
  <si>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</si>
  <si>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</si>
  <si>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</si>
  <si>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</si>
  <si>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</si>
  <si>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</si>
  <si>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</si>
  <si>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</si>
  <si>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</si>
  <si>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</si>
  <si>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</si>
  <si>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</si>
  <si>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</si>
  <si>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</si>
  <si>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</si>
  <si>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</si>
  <si>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</si>
  <si>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</si>
  <si>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</si>
  <si>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</si>
  <si>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</si>
  <si>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</si>
  <si>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</si>
  <si>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</si>
  <si>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</si>
  <si>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</si>
  <si>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</si>
  <si>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</si>
  <si>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</si>
  <si>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</si>
  <si>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</si>
  <si>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</si>
  <si>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</si>
  <si>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</si>
  <si>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</si>
  <si>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</si>
  <si>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</si>
  <si>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</si>
  <si>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</si>
  <si>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</si>
  <si>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</si>
  <si>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</si>
  <si>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</si>
  <si>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</si>
  <si>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</si>
  <si>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</si>
  <si>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</si>
  <si>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</si>
  <si>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</si>
  <si>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</si>
  <si>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</si>
  <si>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</si>
  <si>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</si>
  <si>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STEWART DETENTION CENTER</t>
  </si>
  <si>
    <t>146 CCA ROAD</t>
  </si>
  <si>
    <t>LUMPKIN</t>
  </si>
  <si>
    <t>GA</t>
  </si>
  <si>
    <t>ATL</t>
  </si>
  <si>
    <t>566 VETERANS DRIVE</t>
  </si>
  <si>
    <t>PEARSALL</t>
  </si>
  <si>
    <t>TX</t>
  </si>
  <si>
    <t>SNA</t>
  </si>
  <si>
    <t>CDF</t>
  </si>
  <si>
    <t>DILLEY</t>
  </si>
  <si>
    <t>FAMILY</t>
  </si>
  <si>
    <t>WINN CORRECTIONAL CENTER</t>
  </si>
  <si>
    <t>560 GUM SPRING ROAD</t>
  </si>
  <si>
    <t>WINNFIELD</t>
  </si>
  <si>
    <t>LA</t>
  </si>
  <si>
    <t>NOL</t>
  </si>
  <si>
    <t>IGSA</t>
  </si>
  <si>
    <t>AZ</t>
  </si>
  <si>
    <t>PHO</t>
  </si>
  <si>
    <t>830 PINEHILL ROAD</t>
  </si>
  <si>
    <t>JENA</t>
  </si>
  <si>
    <t>ELOY FEDERAL CONTRACT FACILITY</t>
  </si>
  <si>
    <t>1705 EAST HANNA RD.</t>
  </si>
  <si>
    <t>20 HOBO FORK RD.</t>
  </si>
  <si>
    <t>NATCHEZ</t>
  </si>
  <si>
    <t>MS</t>
  </si>
  <si>
    <t>7488 CALZADA DE LA FUENTE</t>
  </si>
  <si>
    <t>SAN DIEGO</t>
  </si>
  <si>
    <t>SND</t>
  </si>
  <si>
    <t>USMS CDF</t>
  </si>
  <si>
    <t>1623 E. J STREET</t>
  </si>
  <si>
    <t>TACOMA</t>
  </si>
  <si>
    <t>WA</t>
  </si>
  <si>
    <t>SEA</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</si>
  <si>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</si>
  <si>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</si>
  <si>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</si>
  <si>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</si>
  <si>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</si>
  <si>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</si>
  <si>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</si>
  <si>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</si>
  <si>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</si>
  <si>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</si>
  <si>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</si>
  <si>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</si>
  <si>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</si>
  <si>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</si>
  <si>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327 INDUSTRIAL DRIVE</t>
  </si>
  <si>
    <t>JONESBORO</t>
  </si>
  <si>
    <t>1800 INDUSTRIAL DRIVE</t>
  </si>
  <si>
    <t>RAYMONDVILLE</t>
  </si>
  <si>
    <t>USMS IGA</t>
  </si>
  <si>
    <t>EL PASO SERVICE PROCESSING CENTER</t>
  </si>
  <si>
    <t>8915 MONTANA AVE.</t>
  </si>
  <si>
    <t>EL PASO</t>
  </si>
  <si>
    <t>HOUSTON CONTRACT DETENTION FACILITY</t>
  </si>
  <si>
    <t>15850 EXPORT PLAZA DRIVE</t>
  </si>
  <si>
    <t>HOUSTON</t>
  </si>
  <si>
    <t>1133 HAMPTON DUPRE ROAD</t>
  </si>
  <si>
    <t>PINE PRAIRIE</t>
  </si>
  <si>
    <t>3843 STAGG AVENUE</t>
  </si>
  <si>
    <t>BASILE</t>
  </si>
  <si>
    <t>IMPERIAL REGIONAL DETENTION FACILITY</t>
  </si>
  <si>
    <t>1572 GATEWAY</t>
  </si>
  <si>
    <t>CALEXICO</t>
  </si>
  <si>
    <t>1209 SUNFLOWER LN</t>
  </si>
  <si>
    <t>DAL</t>
  </si>
  <si>
    <t>NJ</t>
  </si>
  <si>
    <t>NEW</t>
  </si>
  <si>
    <t>508 WATERWORKS ROAD</t>
  </si>
  <si>
    <t>FARMVILLE</t>
  </si>
  <si>
    <t>VA</t>
  </si>
  <si>
    <t>WAS</t>
  </si>
  <si>
    <t>KROME NORTH SERVICE PROCESSING CENTER</t>
  </si>
  <si>
    <t>MIAMI</t>
  </si>
  <si>
    <t>FL</t>
  </si>
  <si>
    <t>DENVER CONTRACT DETENTION FACILITY</t>
  </si>
  <si>
    <t>CO</t>
  </si>
  <si>
    <t>DEN</t>
  </si>
  <si>
    <t>FOLKSTON</t>
  </si>
  <si>
    <t>3900 NORTH POWERLINE ROAD</t>
  </si>
  <si>
    <t>POMPANO BEACH</t>
  </si>
  <si>
    <t>NDS</t>
  </si>
  <si>
    <t>PA</t>
  </si>
  <si>
    <t>PHI</t>
  </si>
  <si>
    <t>1001 WELCH STREET</t>
  </si>
  <si>
    <t>4250 FEDERAL DRIVE</t>
  </si>
  <si>
    <t>BATAVIA</t>
  </si>
  <si>
    <t>NY</t>
  </si>
  <si>
    <t>BUF</t>
  </si>
  <si>
    <t>1297 EAST SR 78</t>
  </si>
  <si>
    <t>MOORE HAVEN</t>
  </si>
  <si>
    <t>1001 SAN RIO BOULEVARD</t>
  </si>
  <si>
    <t>LAREDO</t>
  </si>
  <si>
    <t>RIVER CORRECTIONAL CENTER</t>
  </si>
  <si>
    <t>26362 HIGHWAY 15</t>
  </si>
  <si>
    <t>FERRIDAY</t>
  </si>
  <si>
    <t>IAH SECURE ADULT DETENTION FACILITY (POLK)</t>
  </si>
  <si>
    <t>3400 FM 350 SOUTH</t>
  </si>
  <si>
    <t>LIVINGSTON</t>
  </si>
  <si>
    <t>702 E BROADWAY ST</t>
  </si>
  <si>
    <t>FLORENCE SERVICE PROCESSING CENTER</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</si>
  <si>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</si>
  <si>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</si>
  <si>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</si>
  <si>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</si>
  <si>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</si>
  <si>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</si>
  <si>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</si>
  <si>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</si>
  <si>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</si>
  <si>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</si>
  <si>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</si>
  <si>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</si>
  <si>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</si>
  <si>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</si>
  <si>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</si>
  <si>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</si>
  <si>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</si>
  <si>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209 COUNTY ROAD 49</t>
  </si>
  <si>
    <t>ESTANCIA</t>
  </si>
  <si>
    <t>STAGING</t>
  </si>
  <si>
    <t>CAROLINE DETENTION FACILITY</t>
  </si>
  <si>
    <t>11093 S.W. LEWIS MEMORIAL DRIVE</t>
  </si>
  <si>
    <t>BOWLING GREEN</t>
  </si>
  <si>
    <t>1 SHERIFF OFFICE DRIVE</t>
  </si>
  <si>
    <t>MACCLENNY</t>
  </si>
  <si>
    <t>4702 EAST SAUNDERS STREET</t>
  </si>
  <si>
    <t>827 FORREST AVENUE</t>
  </si>
  <si>
    <t>GADSDEN</t>
  </si>
  <si>
    <t>ELIZABETH CONTRACT DETENTION FACILITY</t>
  </si>
  <si>
    <t>625 EVANS STREET</t>
  </si>
  <si>
    <t>OK</t>
  </si>
  <si>
    <t>18 E BASIC ROAD</t>
  </si>
  <si>
    <t>NV</t>
  </si>
  <si>
    <t>SLC</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</si>
  <si>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</si>
  <si>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</si>
  <si>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</si>
  <si>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</si>
  <si>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</si>
  <si>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</si>
  <si>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</si>
  <si>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</si>
  <si>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</si>
  <si>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</si>
  <si>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</si>
  <si>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</si>
  <si>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</si>
  <si>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</si>
  <si>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</si>
  <si>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</si>
  <si>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</si>
  <si>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</si>
  <si>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</si>
  <si>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</si>
  <si>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</si>
  <si>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</si>
  <si>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</si>
  <si>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</si>
  <si>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</si>
  <si>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</si>
  <si>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</si>
  <si>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</si>
  <si>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</si>
  <si>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</si>
  <si>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</si>
  <si>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</si>
  <si>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1101 WEST DRY ROAD</t>
  </si>
  <si>
    <t>NEWKIRK</t>
  </si>
  <si>
    <t>STRAFFORD COUNTY CORRECTIONS</t>
  </si>
  <si>
    <t>266 COUNTY FARM ROAD</t>
  </si>
  <si>
    <t>DOVER</t>
  </si>
  <si>
    <t>NH</t>
  </si>
  <si>
    <t>HALL COUNTY DEPARTMENT OF CORRECTIONS</t>
  </si>
  <si>
    <t>110 PUBLIC SAFETY DRIVE</t>
  </si>
  <si>
    <t>GRAND ISLAND</t>
  </si>
  <si>
    <t>NE</t>
  </si>
  <si>
    <t>7000 EAST DUNBAR ROAD</t>
  </si>
  <si>
    <t>MONROE</t>
  </si>
  <si>
    <t>301 SOUTH WALNUT STREET</t>
  </si>
  <si>
    <t>KS</t>
  </si>
  <si>
    <t>CLINTON COUNTY CORRECTIONAL FACILITY</t>
  </si>
  <si>
    <t>IA</t>
  </si>
  <si>
    <t>1170 MICHIGAN ROAD</t>
  </si>
  <si>
    <t>PORT HURON</t>
  </si>
  <si>
    <t>3040 SOUTH STATE HIGHWAY 100</t>
  </si>
  <si>
    <t>TIFFIN</t>
  </si>
  <si>
    <t>SAN LUIS REGIONAL DETENTION CENTER</t>
  </si>
  <si>
    <t>406 NORTH AVENUE D</t>
  </si>
  <si>
    <t>SAN LUIS</t>
  </si>
  <si>
    <t>KANDIYOHI COUNTY JAIL</t>
  </si>
  <si>
    <t>2201 23RD ST NE</t>
  </si>
  <si>
    <t>WILLMAR</t>
  </si>
  <si>
    <t>MO</t>
  </si>
  <si>
    <t>FREEBORN COUNTY ADULT DETENTION CENTER</t>
  </si>
  <si>
    <t>411 SOUTH BROADWAY AVENUE</t>
  </si>
  <si>
    <t>ALBERT LEA</t>
  </si>
  <si>
    <t>611 EAST JACKSON STREET</t>
  </si>
  <si>
    <t>IN</t>
  </si>
  <si>
    <t>12450 MERRITT DR</t>
  </si>
  <si>
    <t>CHARDON</t>
  </si>
  <si>
    <t>NC</t>
  </si>
  <si>
    <t>HONOLULU FEDERAL DETENTION CENTER</t>
  </si>
  <si>
    <t>351 ELLIOTT ST.</t>
  </si>
  <si>
    <t>HONOLULU</t>
  </si>
  <si>
    <t>HI</t>
  </si>
  <si>
    <t>BOP</t>
  </si>
  <si>
    <t>POLK COUNTY JAIL</t>
  </si>
  <si>
    <t>1985 NE 51ST PLACE</t>
  </si>
  <si>
    <t>DES MOINES</t>
  </si>
  <si>
    <t>CHIPPEWA COUNTY SSM</t>
  </si>
  <si>
    <t>325 COURT STREET</t>
  </si>
  <si>
    <t>COASTAL BEND DETENTION FACILITY</t>
  </si>
  <si>
    <t>ROBSTOWN</t>
  </si>
  <si>
    <t>LOVEJOY</t>
  </si>
  <si>
    <t>ORSA</t>
  </si>
  <si>
    <t>UT</t>
  </si>
  <si>
    <t>WASHOE COUNTY JAIL</t>
  </si>
  <si>
    <t>RENO</t>
  </si>
  <si>
    <t>SC</t>
  </si>
  <si>
    <t>COLLIER COUNTY NAPLES JAIL CENTER</t>
  </si>
  <si>
    <t>NAPLES</t>
  </si>
  <si>
    <t>DALLAS COUNTY JAIL - LEW STERRETT JUSTICE CENTER</t>
  </si>
  <si>
    <t>111 WEST COMMERCE STREET</t>
  </si>
  <si>
    <t>DALLAS</t>
  </si>
  <si>
    <t>14400 49TH STREET NORTH</t>
  </si>
  <si>
    <t>CLEARWATER</t>
  </si>
  <si>
    <t>PR</t>
  </si>
  <si>
    <t>SAIPAN DEPARTMENT OF CORRECTIONS (SUSUPE)</t>
  </si>
  <si>
    <t>SAIPAN</t>
  </si>
  <si>
    <t>MP</t>
  </si>
  <si>
    <t>GRAND FORKS COUNTY CORRECTIONAL FACILITY</t>
  </si>
  <si>
    <t>1701 NORTH WASHINGTON ST</t>
  </si>
  <si>
    <t>GRAND FORKS</t>
  </si>
  <si>
    <t>ND</t>
  </si>
  <si>
    <t>HAGATNA</t>
  </si>
  <si>
    <t>GU</t>
  </si>
  <si>
    <t>LINN COUNTY JAIL</t>
  </si>
  <si>
    <t>53 3RD AVENUE BRIDGE</t>
  </si>
  <si>
    <t>CEDAR RAPIDS</t>
  </si>
  <si>
    <t>SOUTH CENTRAL REGIONAL JAIL</t>
  </si>
  <si>
    <t>CHARLESTON</t>
  </si>
  <si>
    <t>WV</t>
  </si>
  <si>
    <t>MINICASSIA DETENTION CENTER</t>
  </si>
  <si>
    <t>1415 ALBION AVENUE</t>
  </si>
  <si>
    <t>BURLEY</t>
  </si>
  <si>
    <t>ID</t>
  </si>
  <si>
    <t>MADISON COUNTY JAIL</t>
  </si>
  <si>
    <t>2935 HIGHWAY 51</t>
  </si>
  <si>
    <t>CANTON</t>
  </si>
  <si>
    <t>POTTAWATTAMIE COUNTY JAIL</t>
  </si>
  <si>
    <t>1400 BIG LAKE ROAD</t>
  </si>
  <si>
    <t>COUNCIL BLUFFS</t>
  </si>
  <si>
    <t>TN</t>
  </si>
  <si>
    <t>WASHINGTON COUNTY DETENTION CENTER</t>
  </si>
  <si>
    <t>1155 WEST CLYDESDALE DRIVE</t>
  </si>
  <si>
    <t>FAYETTEVILLE</t>
  </si>
  <si>
    <t>AR</t>
  </si>
  <si>
    <t>LEXINGTON</t>
  </si>
  <si>
    <t>LEXINGTON COUNTY JAIL</t>
  </si>
  <si>
    <t>521 GIBSON ROAD</t>
  </si>
  <si>
    <t>NEW HANOVER COUNTY JAIL</t>
  </si>
  <si>
    <t>3950 JUVENILE RD</t>
  </si>
  <si>
    <t>CASTLE HAYNE</t>
  </si>
  <si>
    <t>ERIE COUNTY JAIL</t>
  </si>
  <si>
    <t>ERIE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</si>
  <si>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</si>
  <si>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</si>
  <si>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</si>
  <si>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</si>
  <si>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</si>
  <si>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</si>
  <si>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</si>
  <si>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</si>
  <si>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</si>
  <si>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</si>
  <si>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</si>
  <si>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</si>
  <si>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</si>
  <si>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</si>
  <si>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</si>
  <si>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</si>
  <si>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</si>
  <si>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</si>
  <si>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</si>
  <si>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</si>
  <si>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</si>
  <si>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</si>
  <si>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</si>
  <si>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</si>
  <si>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</si>
  <si>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</si>
  <si>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</si>
  <si>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</si>
  <si>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</si>
  <si>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</si>
  <si>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</si>
  <si>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ICE FOOTNOTES</t>
  </si>
  <si>
    <t>Bonded Out</t>
  </si>
  <si>
    <t>Bond Set by ICE</t>
  </si>
  <si>
    <t>Bond Set by IJ</t>
  </si>
  <si>
    <t>Order of supervision</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</si>
  <si>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</si>
  <si>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</si>
  <si>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</si>
  <si>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</si>
  <si>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</si>
  <si>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</si>
  <si>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</si>
  <si>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</si>
  <si>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</si>
  <si>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</si>
  <si>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</si>
  <si>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</si>
  <si>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</si>
  <si>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</si>
  <si>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</si>
  <si>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</si>
  <si>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</si>
  <si>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</si>
  <si>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</si>
  <si>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</si>
  <si>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</si>
  <si>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</si>
  <si>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</si>
  <si>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</si>
  <si>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</si>
  <si>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</si>
  <si>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</si>
  <si>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</si>
  <si>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</si>
  <si>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</si>
  <si>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</si>
  <si>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</si>
  <si>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</si>
  <si>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</si>
  <si>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</si>
  <si>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FY2020 ICE Average Daily Population and ICE Average Length of Stay</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</si>
  <si>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</si>
  <si>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</si>
  <si>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FY2020 ICE Final Releases</t>
  </si>
  <si>
    <t>FY2020 ICE Removals</t>
  </si>
  <si>
    <t>ICE Currently Detained Population Breakdown</t>
  </si>
  <si>
    <t>FY2020 ICE Initial Book-Ins</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</si>
  <si>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</si>
  <si>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</si>
  <si>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</si>
  <si>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</si>
  <si>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</si>
  <si>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</si>
  <si>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</si>
  <si>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</si>
  <si>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</si>
  <si>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</si>
  <si>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</si>
  <si>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EOFY2020</t>
  </si>
  <si>
    <t>ICE Initial Book-Ins by Arresting Agency and Month: EOFY2020</t>
  </si>
  <si>
    <t>ICE Initial Book-Ins by Facility Type and Criminality: EOFY2020</t>
  </si>
  <si>
    <t>ICE Final Releases by Facility Type: EOFY2020</t>
  </si>
  <si>
    <t>ICE Removals: EOFY2020</t>
  </si>
  <si>
    <t>ICE Final Releases by Release Reason and Criminality: EOFY2020</t>
  </si>
  <si>
    <t>ICE Average Daily Population by Arresting Agency, Month and Criminality: EOFY2020</t>
  </si>
  <si>
    <t>ICE Average Length of Stay by Arresting Agency, Month and Criminality: EOFY2020</t>
  </si>
  <si>
    <t>ICE Average Daily Population by Facility Type and Month: EOFY2020</t>
  </si>
  <si>
    <t>ICE Average Length of Stay by Facility Type and Month: EOFY2020</t>
  </si>
  <si>
    <t>Aliens Currently in ICE Detention Facilities data are a snapshot as of 10/02/2020 (IIDS v1.34 run date 10/04/2020; EID as of 10/02/2020).</t>
  </si>
  <si>
    <t xml:space="preserve">Of the 267,600 records in the USCIS provided data the breakdown of the fear screening determinations is as follows; 168,968 positive fear screening determinations, 53,144 negative fear screening determinations and 45,488 without an identified determination. Of the 168,968 with positive fear screening determinations; 116,682 have Persecution Claim Established and 52,286 have Torture Claim Established. 	</t>
  </si>
  <si>
    <t>The data provided by USCIS contains multiple records for some Alien File Numbers.  There are 266,515 unique fear determinations and 2,459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</si>
  <si>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ICE provides the following Detention and Alternatives to Detention (ATD) statistics, which may be downloaded by clicking below. The data tables are searchable and sortable, and worksheets are protected to ensure their accuracy and reliability. </t>
  </si>
  <si>
    <t>EOFY2020 ICE Detention data are historic and static. Data are filtered through 9/30/2020 (IIDS v.1.34 run date 10/04/2020; EID as of 10/02/2020).</t>
  </si>
  <si>
    <t>ADP by Arresting Agency, Month and Criminality: EOFY2020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</si>
  <si>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EOFY2020 ICE Final Releases data are historic and static. Data are filtered through 9/30/2020 (IIDS v.1.34 run date 10/04/2020; EID as of 10/02/2020).</t>
  </si>
  <si>
    <t>EOFY2020 ICE Removals data are historic and static. Data are filtered through 9/30/2020  (IIDS v.1.34 run date 10/06/2020; EID as of 10/02/2020).</t>
  </si>
  <si>
    <t>EOFY2020 ICE National Docket data are a snapshot as of 10/02/2020 (IIDS v 1.34 run as of 10/04/2020;  EID as of 10/02/2020).</t>
  </si>
  <si>
    <t>EOFY2020 ICE Releases data are historic and static. Data are filtered through 9/30/2020 (IIDS v1.34 run date 10/04/2020; EID as of 10/02/2020)</t>
  </si>
  <si>
    <t>USCIS provided data containing APSO (Asylum Pre Screening Officer) cases clocked during FY2018 - FY2020.  Data were received on 09/28/2020.</t>
  </si>
  <si>
    <t>Harlingen</t>
  </si>
  <si>
    <t>MT</t>
  </si>
  <si>
    <t>GREAT FALLS</t>
  </si>
  <si>
    <t>NDS 2019</t>
  </si>
  <si>
    <t>ME</t>
  </si>
  <si>
    <t>PORTLAND</t>
  </si>
  <si>
    <t>CUMBERLAND COUNTY JAIL</t>
  </si>
  <si>
    <t>SIOUX CITY</t>
  </si>
  <si>
    <t>WOODBURY COUNTY JAIL</t>
  </si>
  <si>
    <t>HLG</t>
  </si>
  <si>
    <t>MOUNTAIN HOME</t>
  </si>
  <si>
    <t>ELMORE COUNTY JAIL</t>
  </si>
  <si>
    <t>PLATTSBURGH</t>
  </si>
  <si>
    <t>CLINTON COUNTY JAIL</t>
  </si>
  <si>
    <t>BAY ST. LOUIS</t>
  </si>
  <si>
    <t>CARROLLTON</t>
  </si>
  <si>
    <t>GUAYNABO</t>
  </si>
  <si>
    <t>SAN JUAN STAGING</t>
  </si>
  <si>
    <t>PBNDS 2011 - 2016 Revisions</t>
  </si>
  <si>
    <t>JOE CORLEY PROCESSING CTR</t>
  </si>
  <si>
    <t>MCFARLAND</t>
  </si>
  <si>
    <t>GOLDEN STATE ANNEX</t>
  </si>
  <si>
    <t>PHILIPSBURG</t>
  </si>
  <si>
    <t>CCA, FLORENCE CORRECTIONAL CENTER</t>
  </si>
  <si>
    <t>FOLKSTON MAIN IPC</t>
  </si>
  <si>
    <t>3800 ULM NORTH FRONTAGE ROAD</t>
  </si>
  <si>
    <t>50 COUNTY WAY</t>
  </si>
  <si>
    <t>407 7TH STREET</t>
  </si>
  <si>
    <t>2255 E. 8TH NORTH</t>
  </si>
  <si>
    <t>25 MCCARTHY DRIVE</t>
  </si>
  <si>
    <t>8450 HIGHWAY 90</t>
  </si>
  <si>
    <t>188 CEMETERY ST</t>
  </si>
  <si>
    <t>651 FEDERAL DRIVE, SUITE 104</t>
  </si>
  <si>
    <t>500 HILBIG RD</t>
  </si>
  <si>
    <t>10450 RANCHO ROAD</t>
  </si>
  <si>
    <t>611 FRONTAGE RD</t>
  </si>
  <si>
    <t>1100 BOWLING ROAD</t>
  </si>
  <si>
    <t>409 FM 1144</t>
  </si>
  <si>
    <t>3026 HWY 252 EAST</t>
  </si>
  <si>
    <t>300 EL RANCHO WAY</t>
  </si>
  <si>
    <t>FY2022</t>
  </si>
  <si>
    <t>Arresting Agency</t>
  </si>
  <si>
    <t>Average In Custody Length of Stay (ICLOS)</t>
  </si>
  <si>
    <t xml:space="preserve">Population </t>
  </si>
  <si>
    <t>July</t>
  </si>
  <si>
    <t>August</t>
  </si>
  <si>
    <t>September</t>
  </si>
  <si>
    <t>October</t>
  </si>
  <si>
    <t>November</t>
  </si>
  <si>
    <t>January</t>
  </si>
  <si>
    <t>February</t>
  </si>
  <si>
    <t>March</t>
  </si>
  <si>
    <t>April</t>
  </si>
  <si>
    <t>June</t>
  </si>
  <si>
    <t xml:space="preserve">mid </t>
  </si>
  <si>
    <t>end</t>
  </si>
  <si>
    <t>Detainees</t>
  </si>
  <si>
    <t>0-180 Days</t>
  </si>
  <si>
    <t>181-365 Days</t>
  </si>
  <si>
    <t>366-730 Days</t>
  </si>
  <si>
    <t>More than 730 Days</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</si>
  <si>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</si>
  <si>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</si>
  <si>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</si>
  <si>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</si>
  <si>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</si>
  <si>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Monthly Bond Statistics</t>
  </si>
  <si>
    <t>STU determines Bonded Out releases by Release Reason entered and Detention Book Out Date. BMU data uses the Bond Post Date which is not necessarily the same as the Detention Book Out Date.</t>
  </si>
  <si>
    <t>Average Bond Amount ($)</t>
  </si>
  <si>
    <t>ALOS (Days)</t>
  </si>
  <si>
    <t>Parole Status</t>
  </si>
  <si>
    <t>Parole Granted</t>
  </si>
  <si>
    <t>Fiscal Year</t>
  </si>
  <si>
    <t>FY2021</t>
  </si>
  <si>
    <t>Parole granted is defined as Agency-based case action jurisdiction and case decision is "Granted".</t>
  </si>
  <si>
    <t>Individuals with Credible Fear Parole</t>
  </si>
  <si>
    <t>Parole requested and parole granted dates are based on the Case Action Decision Date contained in the system of record.</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</si>
  <si>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</si>
  <si>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Parole Denied</t>
  </si>
  <si>
    <t>Parole denied is defined as Agency-based case action jurisdiction and case decision is "Denied".</t>
  </si>
  <si>
    <t>Parole decisions may not be in the same month as parole requested.</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</si>
  <si>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</si>
  <si>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</si>
  <si>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Semiannual Arrests, Bookins and Removals</t>
  </si>
  <si>
    <t>TPS Countries</t>
  </si>
  <si>
    <t>Burma (Myanmar) designated TPS as of 05/25/2021. Arrests, Bookins, and Removals reported are since the designation date.</t>
  </si>
  <si>
    <t>Haiti designated TPS as of 08/03/2021. Arrests, Bookins, and Removals reported are since the designation date.</t>
  </si>
  <si>
    <t xml:space="preserve">Veteran Status flag implemented during FY2021. Prior years required manual input by the officers in the database. </t>
  </si>
  <si>
    <t>Arrests</t>
  </si>
  <si>
    <t>FY2018</t>
  </si>
  <si>
    <t>FY2019</t>
  </si>
  <si>
    <t>Bookins</t>
  </si>
  <si>
    <t>Citizenship Country</t>
  </si>
  <si>
    <t>Burma (Myanmar)</t>
  </si>
  <si>
    <t>El Salvador</t>
  </si>
  <si>
    <t>Haiti</t>
  </si>
  <si>
    <t>Honduras</t>
  </si>
  <si>
    <t>Nepal</t>
  </si>
  <si>
    <t>Nicaragua</t>
  </si>
  <si>
    <t>Somalia</t>
  </si>
  <si>
    <t>South Sudan</t>
  </si>
  <si>
    <t>Sudan</t>
  </si>
  <si>
    <t>Syria</t>
  </si>
  <si>
    <t>Venezuela</t>
  </si>
  <si>
    <t>Yemen</t>
  </si>
  <si>
    <t>FY2023</t>
  </si>
  <si>
    <t xml:space="preserve">FY2022 </t>
  </si>
  <si>
    <t>Afghanistan</t>
  </si>
  <si>
    <t>Cameroon</t>
  </si>
  <si>
    <t>Ukraine</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</si>
  <si>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</si>
  <si>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</si>
  <si>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</si>
  <si>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</si>
  <si>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</si>
  <si>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Cameroon designated TPS as of 06/07/2022. Arrests, Bookins, and Removals reported are since the designation date.</t>
  </si>
  <si>
    <t>Single Adults with a Positive Fear Determination Still in Custody</t>
  </si>
  <si>
    <t>Ethiopia</t>
  </si>
  <si>
    <t>Ethiopia designated TPS as of 12/12/2022. Arrests, Bookins, and Removals reported are since the designation date.</t>
  </si>
  <si>
    <t>FY2024</t>
  </si>
  <si>
    <t>Removals with a FAMU Identifier</t>
  </si>
  <si>
    <t>December</t>
  </si>
  <si>
    <t>Proceedings Terminated</t>
  </si>
  <si>
    <t>Release to Remove</t>
  </si>
  <si>
    <t>Bond Posted Book Outs/Releases (%)</t>
  </si>
  <si>
    <t>Detention Facility</t>
  </si>
  <si>
    <t>Detention Facility Code</t>
  </si>
  <si>
    <t>LAWINCI</t>
  </si>
  <si>
    <t>A stateless person is someone who, under national laws, does not enjoy citizenship – the legal bond between a government and an individual – in any country.</t>
  </si>
  <si>
    <t>Venezuela designated TPS as of 03/09/2021. Arrests, Bookins, and Removals for reported are since the designation date.</t>
  </si>
  <si>
    <t>Afghanistan designated TPS as of 05/20/2022. Arrests, Bookins, and Removals for reported are since the designation date.</t>
  </si>
  <si>
    <t>Ukraine designated TPS as of 04/19/2022. Arrests, Bookins, and Removals for  reported are since the designation date.</t>
  </si>
  <si>
    <t>Transferred</t>
  </si>
  <si>
    <t>Transfer to U.S. Marshals or other agency</t>
  </si>
  <si>
    <t>Relief Granted by IJ</t>
  </si>
  <si>
    <t>River Correctional Center</t>
  </si>
  <si>
    <t>RVRCCLA</t>
  </si>
  <si>
    <t>DENICDF</t>
  </si>
  <si>
    <t>CARDFVA</t>
  </si>
  <si>
    <t>ADAMSMS</t>
  </si>
  <si>
    <t>HOUSTON CONTRACT DET.FAC.</t>
  </si>
  <si>
    <t>HOUICDF</t>
  </si>
  <si>
    <t>ELOY FED CTR FACILITY (CORE CIVIC)</t>
  </si>
  <si>
    <t>EAZ</t>
  </si>
  <si>
    <t>KROME NORTH SPC</t>
  </si>
  <si>
    <t>KRO</t>
  </si>
  <si>
    <t>FY2025</t>
  </si>
  <si>
    <t>Total ICE Final Book Outs</t>
  </si>
  <si>
    <t>All bookouts occurring during ICE detention are reported here.  A bookout may be classified as a final release from ICE custody or an interim bookout which occurs during the detention stay.</t>
  </si>
  <si>
    <t>ICE Final Book Outs with Bond Posted</t>
  </si>
  <si>
    <t>FY2024 ICE Final Book Out Data is historic and remains static.</t>
  </si>
  <si>
    <t>In FY2024 ICE began tracking Final Bookouts in lieu of Final Releases due to a change in methodology.</t>
  </si>
  <si>
    <t>ICE Currently Detained of Stateless Aliens by Detention Facility</t>
  </si>
  <si>
    <t>Adult Facility Aliens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</si>
  <si>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</si>
  <si>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</si>
  <si>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Processing dispositions of Other may include, but are not limited to, Aliens processed under Administrative Removal, Visa Waiver Program Removal, Stowaway or Crewmember.</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</si>
  <si>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</si>
  <si>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</si>
  <si>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</si>
  <si>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An Aliens Fear Screening Determination cannot be confirmed as directly related to an ICE Detention Stay, even if the USCIS Decision Service Date falls within the ICE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</si>
  <si>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</si>
  <si>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</si>
  <si>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Country of Citizenship is derived from the ICE system of record as it is input by the officer at the time of processing. An "Unknown" Country indicates the alien failed or refused to identify a country of citizenship or the officer lacked documentation to do so.</t>
  </si>
  <si>
    <t>CALHOMI CALHOUN CO., BATTLE CR,MI</t>
  </si>
  <si>
    <t>CALHOMI</t>
  </si>
  <si>
    <t>EL PASO SPC</t>
  </si>
  <si>
    <t>EPC</t>
  </si>
  <si>
    <t>BLUEBONNET DET FCLTY</t>
  </si>
  <si>
    <t>BLBNATX</t>
  </si>
  <si>
    <t>CCA NORTHEAST OH CORRECTS</t>
  </si>
  <si>
    <t>CCANOOH</t>
  </si>
  <si>
    <t>PRAIRIELAND DETENTION CENTER</t>
  </si>
  <si>
    <t>PRLDCTX</t>
  </si>
  <si>
    <t>ICE Removal Data Include Returns and Expulsions.  Returns include Voluntary Returns, Voluntary Departures and Withdrawals Under Docket Control.</t>
  </si>
  <si>
    <t>FSC</t>
  </si>
  <si>
    <t>CENTRAL LOUISIANA ICE PROC CTR</t>
  </si>
  <si>
    <t>JENADLA</t>
  </si>
  <si>
    <t>OTAY MESA DETENTION CENTER</t>
  </si>
  <si>
    <t>CCASDCA</t>
  </si>
  <si>
    <t>FSC Facility Individuals</t>
  </si>
  <si>
    <t>Family Units with a Positive Fear Determination Still in Custody</t>
  </si>
  <si>
    <t>Lebanon</t>
  </si>
  <si>
    <t>ICE resumed the use of Family Residential Centers on April 7, 2025. Previously ICE discontinued the use of Family Residential Centers on March 31, 2022.</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</si>
  <si>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</si>
  <si>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FY2018-FY2024 data are historical and remain static.</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</si>
  <si>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</si>
  <si>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</si>
  <si>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PINEPLA</t>
  </si>
  <si>
    <t>NORTH LAKE CORRECTIONAL FACILITY</t>
  </si>
  <si>
    <t>NRLKCMI</t>
  </si>
  <si>
    <t>STCDFTX</t>
  </si>
  <si>
    <t>ADELANTO ICE PROCESSING CENTER</t>
  </si>
  <si>
    <t>ADLNTCA</t>
  </si>
  <si>
    <t>CCAFLAZ</t>
  </si>
  <si>
    <t>NW ICE PROCESSING CTR</t>
  </si>
  <si>
    <t>CSCNWWA</t>
  </si>
  <si>
    <t>STWRTGA</t>
  </si>
  <si>
    <t>T DON HUTTO DETENTION CENTER</t>
  </si>
  <si>
    <t>CCAHUTX</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</si>
  <si>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</si>
  <si>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FOLKSTON D RAY ICE PROCESSING CTR</t>
  </si>
  <si>
    <t>FIPCDGA</t>
  </si>
  <si>
    <t>ERO EL PASO CAMP EAST MONTANA</t>
  </si>
  <si>
    <t>EROFCB</t>
  </si>
  <si>
    <t>SAN LUIS REGIONAL DET CENTER</t>
  </si>
  <si>
    <t>SLRDCAZ</t>
  </si>
  <si>
    <t>BUTLER COUNTY JAIL</t>
  </si>
  <si>
    <t>BUTLEOH</t>
  </si>
  <si>
    <t>GLADEFL</t>
  </si>
  <si>
    <t>IAH SECURE ADULT DET. FACILITY</t>
  </si>
  <si>
    <t>POLKCTX</t>
  </si>
  <si>
    <t>LOUISIANA ICE PROCESSING CENTER</t>
  </si>
  <si>
    <t>LICEPLA</t>
  </si>
  <si>
    <t>MOSHANNON VALLEY PROCESSING CENTER</t>
  </si>
  <si>
    <t>MSVPCPA</t>
  </si>
  <si>
    <t>EDEN DETENTION CTR</t>
  </si>
  <si>
    <t>EDNDCTX</t>
  </si>
  <si>
    <t>OTERO CO PROCESSING CENTER</t>
  </si>
  <si>
    <t>OTRPCNM</t>
  </si>
  <si>
    <t>ICE DETENTION DATA, FY2026</t>
  </si>
  <si>
    <t>ICE Currently Detained by Processing Disposition and Detention Facility Type: FY2026</t>
  </si>
  <si>
    <t>FY2026</t>
  </si>
  <si>
    <t>ICE Currently Detained by Criminality and Arresting Agency: FY2026</t>
  </si>
  <si>
    <t>ICE Initial Book-Ins by Arresting Agency and Month: FY2026</t>
  </si>
  <si>
    <t>ICE Initial Book-Ins by Facility Type and Criminality: FY2026</t>
  </si>
  <si>
    <t>ICE Final Book Outs by Facility Type: FY2026</t>
  </si>
  <si>
    <t>ICE Removals: FY2026</t>
  </si>
  <si>
    <t>ICE Final Book Outs by Release Reason, Month and Criminality: FY2026</t>
  </si>
  <si>
    <t>ICE Average Daily Population by Arresting Agency, Month and Criminality: FY2026</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</si>
  <si>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</si>
  <si>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</si>
  <si>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</si>
  <si>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</si>
  <si>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Aliens with Positive Credible Fear Determination Parole Requested: FY2024 - FY2026</t>
  </si>
  <si>
    <t>Aliens with Positive Credible Fear Determination Parole Status: FY2024 - FY2026</t>
  </si>
  <si>
    <t>United States Armed Forces Alien Arrests FY2018 - FY2025</t>
  </si>
  <si>
    <t>United States Armed Forces Alien Bookins FY2018 - FY2025</t>
  </si>
  <si>
    <t>United States Armed Forces Alien Removals FY2018 - FY2025</t>
  </si>
  <si>
    <t>United States Citizen Arrests FY2018 - FY2025</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</si>
  <si>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</si>
  <si>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</si>
  <si>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</si>
  <si>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</si>
  <si>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</si>
  <si>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</si>
  <si>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Temporary Protected Status Countries Bookins FY2018 - FY2025</t>
  </si>
  <si>
    <t>Temporary Protected Status Countries Removals FY2018 - FY2025</t>
  </si>
  <si>
    <t>FY2026 Bonded Out Book Outs Count and ALOS - Prior 12 months plus Current Month</t>
  </si>
  <si>
    <t>ADAMS COUNTY CORRECTIONAL CENTER</t>
  </si>
  <si>
    <t>BAKER COUNTY SHERIFF DEPT.</t>
  </si>
  <si>
    <t>BAKERFL</t>
  </si>
  <si>
    <t>BUFFALO SPC</t>
  </si>
  <si>
    <t>BTV</t>
  </si>
  <si>
    <t>CACTYCA</t>
  </si>
  <si>
    <t>FLORENCE SPC</t>
  </si>
  <si>
    <t>FLO</t>
  </si>
  <si>
    <t>JKPCCLA</t>
  </si>
  <si>
    <t>KARNES CO IMMIGRATION PROCESS CTR</t>
  </si>
  <si>
    <t>KRNRCTX</t>
  </si>
  <si>
    <t>KENTON CO DETENTION CTR</t>
  </si>
  <si>
    <t>KENTOKY</t>
  </si>
  <si>
    <t>MAHONING COUNTY JAIL</t>
  </si>
  <si>
    <t>MAHONOH</t>
  </si>
  <si>
    <t>MIAMI FED.DET.CENTER</t>
  </si>
  <si>
    <t>BOPMIM</t>
  </si>
  <si>
    <t>FY2026 ICE Average Daily Population and ICE Average Length of Stay</t>
  </si>
  <si>
    <t>FY2026 and FY2025 ICE Final Book Outs</t>
  </si>
  <si>
    <t>FY2026 ICE Removals</t>
  </si>
  <si>
    <t>FY2026 ICE Initial Book-Ins</t>
  </si>
  <si>
    <t>FY2025 ICE Final Bookouts data is historic and remains static.</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</si>
  <si>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</si>
  <si>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Lebanon designated TPS as of 11/27/2024. Arrests, Bookins, and Removals for  reported are since the designation date.</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</si>
  <si>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</si>
  <si>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GREENE COUNTY JAIL</t>
  </si>
  <si>
    <t>GREENMO</t>
  </si>
  <si>
    <t>MIAMI CORRECTIONAL CENTER</t>
  </si>
  <si>
    <t>INMIAMI</t>
  </si>
  <si>
    <t>CHRISTIAN COUNTY JAIL</t>
  </si>
  <si>
    <t>CHRISKY</t>
  </si>
  <si>
    <t>ST. CLAIR COUNTY JAIL</t>
  </si>
  <si>
    <t>STCLAMI</t>
  </si>
  <si>
    <t>In FY2024 ICE began tracking Final Bookouts in lieu of Final Releases due to a change in methodology.  Prior year data reflects ICE Final Releases.</t>
  </si>
  <si>
    <t>Reinstatment of Deport Order (I-871)</t>
  </si>
  <si>
    <t>Bonded out</t>
  </si>
  <si>
    <t>null</t>
  </si>
  <si>
    <t>CALIFORNIA CITY CORECTIONS CENTER</t>
  </si>
  <si>
    <t>DIAMONDBACK CORR FACILITY</t>
  </si>
  <si>
    <t>OKDBACK</t>
  </si>
  <si>
    <t>ELVDFTX</t>
  </si>
  <si>
    <t>OZARK COUNTY SHERIFF'S OFFICE</t>
  </si>
  <si>
    <t>OZARKMO</t>
  </si>
  <si>
    <t>SOUTH TEXAS FAM RESIDENTIAL CENTER</t>
  </si>
  <si>
    <t>STFRCTX</t>
  </si>
  <si>
    <t>FY2026 YTD ICE Detention data are updated through 01/07/2026 (IIDS Run Date 01/08/2026; EID as of 01/07/2026).</t>
  </si>
  <si>
    <t>FY2026 YTD ICE Final Book Out data are updated through 01/07/2026 (IIDS Run Date 01/08/2026; EID as of 01/07/2026).</t>
  </si>
  <si>
    <t>FY2026 YTD ICE Removals data are updated through 01/07/2026 (IIDS Run Date 01/08/2026; EID as of 01/07/2026).</t>
  </si>
  <si>
    <t>ICE National Docket data are a snapshot as of 01/07/2026 (IIDS Run Date 01/08/2026; EID as of 01/07/2026).</t>
  </si>
  <si>
    <t>FY2026 YTD ICE Book-ins data is updated through 01/07/2026 (IIDS Run Date 01/08/2026; EID as of 01/07/2026).</t>
  </si>
  <si>
    <t>Aliens Currently in ICE Detention Facilities data are a snapshot as 01/07/2026 (IIDS Run Date 01/08/2026; EID as of 01/07/2026).</t>
  </si>
  <si>
    <t>Of the 196,793 records in the USCIS provided data, the breakdown of the fear screening determinations is as follows; 77,601 positive fear screening determinations, 80,958 negative fear screening determinations and 38,234 without an identified determination. Of the 77,601 with positive fear screening determinations; 44,765 have Persecution Claim Established and 32,836 have Torture Claim Established.</t>
  </si>
  <si>
    <t>USCIS provided data containing APSO (Asylum Pre Screening Officer) cases clocked during FY2024 - FY2026.  Data were received on 01/08/2026.</t>
  </si>
  <si>
    <t>BMU provided data containing Bonds Posted cases recorded from 11/01/2024 - 12/31/2025. Data were received on 01/06/2026.</t>
  </si>
  <si>
    <t>The data provided by USCIS contains multiple records for some Alien File Numbers. There are 196,793 unique fear determinations and 17,658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</si>
  <si>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ICE ALTERNATIVES TO DETENTION DATA, FY26</t>
  </si>
  <si>
    <t>ATD Active Population Counts and Daily Cost by Technology</t>
  </si>
  <si>
    <t>FY26 thru November Court Appearance: Total Hearings*</t>
  </si>
  <si>
    <t>Technology</t>
  </si>
  <si>
    <t>Daily Tech Cost</t>
  </si>
  <si>
    <t>Metric</t>
  </si>
  <si>
    <t>%</t>
  </si>
  <si>
    <t>Attended</t>
  </si>
  <si>
    <t>Ankle Monitor</t>
  </si>
  <si>
    <t>Failed to Attend</t>
  </si>
  <si>
    <t>Wristworn</t>
  </si>
  <si>
    <t>VoiceID</t>
  </si>
  <si>
    <t xml:space="preserve">Court Data from BI Inc. </t>
  </si>
  <si>
    <t>Dual Tech</t>
  </si>
  <si>
    <t>*Only Participants with court tracking assigned</t>
  </si>
  <si>
    <t>Data from BI Inc. Participants Report, 12.27.2025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</si>
  <si>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</si>
  <si>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</si>
  <si>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November Court Appearance: Final Hearings*</t>
  </si>
  <si>
    <t>Data from OBP Report, 12.29.2025</t>
  </si>
  <si>
    <t>Court Data from BI Inc.</t>
  </si>
  <si>
    <t xml:space="preserve">From '12/15/2025' and '12/28/2025', 18 FAMU individuals were released from ICE custody. </t>
  </si>
  <si>
    <t>Active ATD Participants and Average Length in Program, FY26,  as of 12/27/2025, by AOR and Technology</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</si>
  <si>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</si>
  <si>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</si>
  <si>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</si>
  <si>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12/26/2025</t>
  </si>
  <si>
    <t>This list is limited to facilities that have a population count of greater than or equal to 1 as the time of the data pull. This list does not include HOLD, HOSPITAL, JUVENILE, MIRP, or ORR facilities.</t>
  </si>
  <si>
    <t>FY26 ADP: Detainee Classification Level</t>
  </si>
  <si>
    <t>FY26 ADP: Criminality</t>
  </si>
  <si>
    <t>FY26 ADP: ICE Threat Level</t>
  </si>
  <si>
    <t>FY26 ADP: Mandatory</t>
  </si>
  <si>
    <t>FY26 ALOS</t>
  </si>
  <si>
    <t>Last Inspection End Date</t>
  </si>
  <si>
    <t>Last Final Rating</t>
  </si>
  <si>
    <t>39120</t>
  </si>
  <si>
    <t>ODO</t>
  </si>
  <si>
    <t>Pass</t>
  </si>
  <si>
    <t>92301</t>
  </si>
  <si>
    <t>ALEXANDRIA STAGING FACILI</t>
  </si>
  <si>
    <t>96 GEORGE THOMPSON DR.</t>
  </si>
  <si>
    <t>71303</t>
  </si>
  <si>
    <t>ALLEGANY COUNTY JAIL</t>
  </si>
  <si>
    <t>4884 STATE ROUTE 19</t>
  </si>
  <si>
    <t>BELMONT</t>
  </si>
  <si>
    <t>14813</t>
  </si>
  <si>
    <t>70655</t>
  </si>
  <si>
    <t>BAKER CORRECTIONAL INSTITUTION</t>
  </si>
  <si>
    <t>20706 US 90 W</t>
  </si>
  <si>
    <t>SANDERSON</t>
  </si>
  <si>
    <t>32087</t>
  </si>
  <si>
    <t>STATE</t>
  </si>
  <si>
    <t>32063</t>
  </si>
  <si>
    <t>BALDWIN COUNTY CORRECTIONAL CENTER</t>
  </si>
  <si>
    <t>200 HAND AVE.</t>
  </si>
  <si>
    <t>BAY MINETTE</t>
  </si>
  <si>
    <t>36507</t>
  </si>
  <si>
    <t>Fail</t>
  </si>
  <si>
    <t>BERLIN FED. CORR. INST.</t>
  </si>
  <si>
    <t>1 SUCCESS LOOP DR.</t>
  </si>
  <si>
    <t>BERLIN</t>
  </si>
  <si>
    <t>03570</t>
  </si>
  <si>
    <t>79501</t>
  </si>
  <si>
    <t>41005</t>
  </si>
  <si>
    <t>BOURBON CO DET CENTER</t>
  </si>
  <si>
    <t>BOURBON CO COURTHOUSE, MAIN STREET</t>
  </si>
  <si>
    <t>PARIS</t>
  </si>
  <si>
    <t>40361</t>
  </si>
  <si>
    <t>BROOKLYN MDC</t>
  </si>
  <si>
    <t>100 29TH STREET</t>
  </si>
  <si>
    <t>BROOKLYN</t>
  </si>
  <si>
    <t>11232</t>
  </si>
  <si>
    <t>BROOKS COUNTY DETENTION CENTER</t>
  </si>
  <si>
    <t>901 COUNTY ROAD 201</t>
  </si>
  <si>
    <t>FALFURRIAS</t>
  </si>
  <si>
    <t>78355</t>
  </si>
  <si>
    <t>Scheduled 2027</t>
  </si>
  <si>
    <t>BROOME COUNTY JAIL</t>
  </si>
  <si>
    <t>897 FRONT STREET</t>
  </si>
  <si>
    <t>BINGHAMTON</t>
  </si>
  <si>
    <t>13905</t>
  </si>
  <si>
    <t>BROWARD COUNTY JAIL</t>
  </si>
  <si>
    <t>555 SE 1ST AVENUE</t>
  </si>
  <si>
    <t>FT.LAUDERDALE</t>
  </si>
  <si>
    <t>33301</t>
  </si>
  <si>
    <t>33073</t>
  </si>
  <si>
    <t>BUFFALO SERVICE PROCESSING CENTER</t>
  </si>
  <si>
    <t>14020</t>
  </si>
  <si>
    <t>BURLEIGH COUNTY</t>
  </si>
  <si>
    <t>P.O. BOX 1416</t>
  </si>
  <si>
    <t>BISMARCK</t>
  </si>
  <si>
    <t>58502</t>
  </si>
  <si>
    <t>Pre-Occupancy</t>
  </si>
  <si>
    <t>Scheduled 2026</t>
  </si>
  <si>
    <t>705 HANOVER STREET</t>
  </si>
  <si>
    <t>HAMILTON</t>
  </si>
  <si>
    <t>45011</t>
  </si>
  <si>
    <t>49014</t>
  </si>
  <si>
    <t>CALIFORNIA CITY IMMIGRATION PROCESSING CENTER</t>
  </si>
  <si>
    <t>22844 VIRGINIA BOULEVARD</t>
  </si>
  <si>
    <t>CALIFORNIA CITY</t>
  </si>
  <si>
    <t>93505</t>
  </si>
  <si>
    <t>CAMBRIA COUNTY JAIL, PA</t>
  </si>
  <si>
    <t>425 MANOR DRIVE</t>
  </si>
  <si>
    <t>EBENSBURG</t>
  </si>
  <si>
    <t>15931</t>
  </si>
  <si>
    <t>CAMPBELL CO DET CTR</t>
  </si>
  <si>
    <t>601 CENTRAL AVE</t>
  </si>
  <si>
    <t>NEWPORT</t>
  </si>
  <si>
    <t>41071</t>
  </si>
  <si>
    <t>22427</t>
  </si>
  <si>
    <t>CASCADE COUNTY JAIL, MT</t>
  </si>
  <si>
    <t>59404</t>
  </si>
  <si>
    <t>CASS COUNTY JAIL</t>
  </si>
  <si>
    <t>336 MAIN STREET</t>
  </si>
  <si>
    <t>PLATTSMOUTH</t>
  </si>
  <si>
    <t>68048</t>
  </si>
  <si>
    <t>85232</t>
  </si>
  <si>
    <t>CENTRAL LOUISIANA ICE PROCESSING CENTER (CLIPC)</t>
  </si>
  <si>
    <t>71342</t>
  </si>
  <si>
    <t>CHASE COUNTY JAIL</t>
  </si>
  <si>
    <t>COTTONWOOD FALL</t>
  </si>
  <si>
    <t>66845</t>
  </si>
  <si>
    <t>CHAVEZ DETENTION CENTER</t>
  </si>
  <si>
    <t>3701 S. ATKINSON</t>
  </si>
  <si>
    <t>ROSWELL</t>
  </si>
  <si>
    <t>88201</t>
  </si>
  <si>
    <t>ORSA NDS 2019</t>
  </si>
  <si>
    <t>SAULT STE MARIE</t>
  </si>
  <si>
    <t>49783</t>
  </si>
  <si>
    <t>CHITTENDEN REGIONAL CORRECTIONAL FACILITY</t>
  </si>
  <si>
    <t>7 FARRELL STREET</t>
  </si>
  <si>
    <t>SOUTH BURLINGTON</t>
  </si>
  <si>
    <t>VT</t>
  </si>
  <si>
    <t>05403</t>
  </si>
  <si>
    <t>410 WEST 7TH STREET,</t>
  </si>
  <si>
    <t>HOPKINSVILLE</t>
  </si>
  <si>
    <t>42240</t>
  </si>
  <si>
    <t>87021</t>
  </si>
  <si>
    <t>CIMMARRON CORR FACILITY</t>
  </si>
  <si>
    <t>3700 S. KINGS HWY</t>
  </si>
  <si>
    <t>CUSHING</t>
  </si>
  <si>
    <t>74023</t>
  </si>
  <si>
    <t>CLARK COUNTY JAIL (IN)</t>
  </si>
  <si>
    <t>501 EAST COURT AVE.</t>
  </si>
  <si>
    <t>JEFFERSONVILLE</t>
  </si>
  <si>
    <t>47130</t>
  </si>
  <si>
    <t>CLAY COUNTY JUSTICE CENTER</t>
  </si>
  <si>
    <t>47834</t>
  </si>
  <si>
    <t>58 PINE MOUNTAIN RD.</t>
  </si>
  <si>
    <t>MCELHATTAN</t>
  </si>
  <si>
    <t>17748</t>
  </si>
  <si>
    <t>301 E WALNUT STREET</t>
  </si>
  <si>
    <t>FRANKFORT</t>
  </si>
  <si>
    <t>46041</t>
  </si>
  <si>
    <t>12901</t>
  </si>
  <si>
    <t>4909 FM 2826</t>
  </si>
  <si>
    <t>78380</t>
  </si>
  <si>
    <t>ODO OASIP</t>
  </si>
  <si>
    <t>3347 TAMIAMI TRAIL E</t>
  </si>
  <si>
    <t>34112</t>
  </si>
  <si>
    <t>CORR. CTR OF NORTHWEST OHIO</t>
  </si>
  <si>
    <t>3151 COUNTY ROAD 2425</t>
  </si>
  <si>
    <t>STRYKER</t>
  </si>
  <si>
    <t>43557</t>
  </si>
  <si>
    <t>CROW WING COUNTY JAIL</t>
  </si>
  <si>
    <t>313 LAUREL ST</t>
  </si>
  <si>
    <t>BRAINERD</t>
  </si>
  <si>
    <t>56401</t>
  </si>
  <si>
    <t>04102</t>
  </si>
  <si>
    <t>DAKOTA COUNTY JAIL</t>
  </si>
  <si>
    <t>1601 BROADWAY</t>
  </si>
  <si>
    <t>DAKOTA CITY</t>
  </si>
  <si>
    <t>68731</t>
  </si>
  <si>
    <t>75202</t>
  </si>
  <si>
    <t>DAVIESS COUNTY DETENTION</t>
  </si>
  <si>
    <t>3337 HIGHWAY 144</t>
  </si>
  <si>
    <t>OWENSBORO</t>
  </si>
  <si>
    <t>42303</t>
  </si>
  <si>
    <t>DAVIS COUNTY</t>
  </si>
  <si>
    <t>800 WEST STATE STREET</t>
  </si>
  <si>
    <t>FARMINGTON</t>
  </si>
  <si>
    <t>84025</t>
  </si>
  <si>
    <t>DELANEY HALL DETENTION FACILITY</t>
  </si>
  <si>
    <t>451 DOREMUS AVENUE</t>
  </si>
  <si>
    <t>NEWARK</t>
  </si>
  <si>
    <t>07105</t>
  </si>
  <si>
    <t>3130 OAKLAND ST</t>
  </si>
  <si>
    <t>80010</t>
  </si>
  <si>
    <t>DEPARTMENT OF CORRECTIONS HAGATNA</t>
  </si>
  <si>
    <t>203 ASPINAL AVE. PO BOX 3236</t>
  </si>
  <si>
    <t>96910</t>
  </si>
  <si>
    <t>DESERT VIEW ANNEX</t>
  </si>
  <si>
    <t>DILLEY IMMIGRATION PROCESSING CENTER</t>
  </si>
  <si>
    <t>78017</t>
  </si>
  <si>
    <t>FRS</t>
  </si>
  <si>
    <t>53039</t>
  </si>
  <si>
    <t>DONA ANA COUNTY DETENTION CENTER</t>
  </si>
  <si>
    <t>1850 COPPER LOOP</t>
  </si>
  <si>
    <t>LAS CRUCES</t>
  </si>
  <si>
    <t>88004</t>
  </si>
  <si>
    <t>DOUGLAS COUNTY</t>
  </si>
  <si>
    <t>1409 HAMMOND AVENUE</t>
  </si>
  <si>
    <t>SUPERIOR</t>
  </si>
  <si>
    <t>54880</t>
  </si>
  <si>
    <t>EASTERN REGIONAL JAIL</t>
  </si>
  <si>
    <t>94 GRAPEVINE RD</t>
  </si>
  <si>
    <t>MARTINSBURG</t>
  </si>
  <si>
    <t>25401</t>
  </si>
  <si>
    <t>76837</t>
  </si>
  <si>
    <t>EL PASO COUNTY DETENTION FACILITY</t>
  </si>
  <si>
    <t>601 E. OVERLAND</t>
  </si>
  <si>
    <t>79901</t>
  </si>
  <si>
    <t>79925</t>
  </si>
  <si>
    <t>78580</t>
  </si>
  <si>
    <t>07201</t>
  </si>
  <si>
    <t>83647</t>
  </si>
  <si>
    <t>85131</t>
  </si>
  <si>
    <t>DEPARTMENT OF CORRECTIONS 1618 ASH STREET</t>
  </si>
  <si>
    <t>16503</t>
  </si>
  <si>
    <t>6920 DIGITAL RD</t>
  </si>
  <si>
    <t>79936</t>
  </si>
  <si>
    <t>ETOWAH COUNTY JAIL</t>
  </si>
  <si>
    <t>35901</t>
  </si>
  <si>
    <t>FARMVILLE DETENTION CENTER</t>
  </si>
  <si>
    <t>23901</t>
  </si>
  <si>
    <t>FAYETTE COUNTY DETENTION CENTER</t>
  </si>
  <si>
    <t>600 OLD FRANKFORD CR</t>
  </si>
  <si>
    <t>40510</t>
  </si>
  <si>
    <t>FCI ATLANTA</t>
  </si>
  <si>
    <t>601 MCDONOUGH BOULEVARD, SE</t>
  </si>
  <si>
    <t>ATLANTA</t>
  </si>
  <si>
    <t>30315</t>
  </si>
  <si>
    <t>FDC PHILADELPHIA</t>
  </si>
  <si>
    <t>700 ARCH ST.</t>
  </si>
  <si>
    <t>PHILADELPHIA</t>
  </si>
  <si>
    <t>19106</t>
  </si>
  <si>
    <t>85132</t>
  </si>
  <si>
    <t>FLORIDA SOFT-SIDED FACILITY</t>
  </si>
  <si>
    <t>54575 TAMIAMI TRL E</t>
  </si>
  <si>
    <t>OCHOPEE</t>
  </si>
  <si>
    <t>34141</t>
  </si>
  <si>
    <t>FLOYD COUNTY JAIL</t>
  </si>
  <si>
    <t>2526 NEW CALHOUN HWY</t>
  </si>
  <si>
    <t>ROME</t>
  </si>
  <si>
    <t>30161</t>
  </si>
  <si>
    <t>FOLKSTON ANNEX IPC</t>
  </si>
  <si>
    <t>3424 HWY 252 EAST</t>
  </si>
  <si>
    <t>31537</t>
  </si>
  <si>
    <t>3262 HIGHWAY 252</t>
  </si>
  <si>
    <t>FRANKLIN COUNTY JAIL</t>
  </si>
  <si>
    <t>625 FRANKLIN FARM LN</t>
  </si>
  <si>
    <t>CHAMBERSBURG</t>
  </si>
  <si>
    <t>17201</t>
  </si>
  <si>
    <t>56007</t>
  </si>
  <si>
    <t>FULTON CO JAIL INDIANA</t>
  </si>
  <si>
    <t>2006 SWEETGUM RD</t>
  </si>
  <si>
    <t>ROCHESTER</t>
  </si>
  <si>
    <t>46975</t>
  </si>
  <si>
    <t>44024</t>
  </si>
  <si>
    <t>33471</t>
  </si>
  <si>
    <t>93250</t>
  </si>
  <si>
    <t>58203</t>
  </si>
  <si>
    <t>GRAYSON COUNTY JAIL</t>
  </si>
  <si>
    <t>320 SHAW STATION ROAD</t>
  </si>
  <si>
    <t>LEITCHFIELD</t>
  </si>
  <si>
    <t>42754</t>
  </si>
  <si>
    <t>1199 N HASELTINE RD</t>
  </si>
  <si>
    <t>SPRINGFIELD</t>
  </si>
  <si>
    <t>65802</t>
  </si>
  <si>
    <t>68801</t>
  </si>
  <si>
    <t>HANCOCK COUNTY PUBLIC SAFETY COMPLEX</t>
  </si>
  <si>
    <t>39520</t>
  </si>
  <si>
    <t>HARDIN COUNTY JAIL</t>
  </si>
  <si>
    <t>1116 14TH AVENUE</t>
  </si>
  <si>
    <t>ELDORA</t>
  </si>
  <si>
    <t>50627</t>
  </si>
  <si>
    <t>HENDERSON DETENTION</t>
  </si>
  <si>
    <t>89015</t>
  </si>
  <si>
    <t>96819</t>
  </si>
  <si>
    <t>HOPKINS COUNTY JAIL</t>
  </si>
  <si>
    <t>2250 LAFOON TRAIL</t>
  </si>
  <si>
    <t>MADISONVILLE</t>
  </si>
  <si>
    <t>42431</t>
  </si>
  <si>
    <t>77032</t>
  </si>
  <si>
    <t>77351</t>
  </si>
  <si>
    <t>92231</t>
  </si>
  <si>
    <t>IRWIN COUNTY DETENTION CENTER</t>
  </si>
  <si>
    <t>132 COTTON DRIVE</t>
  </si>
  <si>
    <t>OCILLA</t>
  </si>
  <si>
    <t>31772</t>
  </si>
  <si>
    <t>NDS 2025</t>
  </si>
  <si>
    <t>71251</t>
  </si>
  <si>
    <t>JEFFERSON COUNTY JAIL</t>
  </si>
  <si>
    <t>219 EAST FREMONT AVENUE</t>
  </si>
  <si>
    <t>RIGBY</t>
  </si>
  <si>
    <t>83442</t>
  </si>
  <si>
    <t>77301</t>
  </si>
  <si>
    <t>JTF CAMP SIX</t>
  </si>
  <si>
    <t>AVENUE C PSC 1005 BOX 55</t>
  </si>
  <si>
    <t>FPO</t>
  </si>
  <si>
    <t>34009</t>
  </si>
  <si>
    <t>DOD</t>
  </si>
  <si>
    <t>56201</t>
  </si>
  <si>
    <t>KANSAS CITY HOLDROOM</t>
  </si>
  <si>
    <t>9747 NW CONANT AVENUE</t>
  </si>
  <si>
    <t>KANSAS CITY</t>
  </si>
  <si>
    <t>64153</t>
  </si>
  <si>
    <t>KARNES COUNTY CORRECTIONAL CENTER</t>
  </si>
  <si>
    <t>810 COMMERCE STREET</t>
  </si>
  <si>
    <t>78118</t>
  </si>
  <si>
    <t>KARNES COUNTY IMMIGRATION PROCESSING CENTER</t>
  </si>
  <si>
    <t>KAY CO JUSTICE FACILITY</t>
  </si>
  <si>
    <t>74647</t>
  </si>
  <si>
    <t>KENTON COUNTY JAIL</t>
  </si>
  <si>
    <t>3000 DECKER CRANE LANE</t>
  </si>
  <si>
    <t>COVINGTON</t>
  </si>
  <si>
    <t>41017</t>
  </si>
  <si>
    <t>5001 MALONEYVILLE RD</t>
  </si>
  <si>
    <t>KNOXVILLE</t>
  </si>
  <si>
    <t>37918</t>
  </si>
  <si>
    <t>18201 SW 12TH ST</t>
  </si>
  <si>
    <t>33194</t>
  </si>
  <si>
    <t>LA SALLE COUNTY REGIONAL DETENTION CENTER</t>
  </si>
  <si>
    <t>832 EAST TEXAS STATE HIGHWAY 44</t>
  </si>
  <si>
    <t>ENCINAL</t>
  </si>
  <si>
    <t>78019</t>
  </si>
  <si>
    <t>LAKE COUNTY JAIL</t>
  </si>
  <si>
    <t>551 W. MAIN ST.</t>
  </si>
  <si>
    <t>TAVARES</t>
  </si>
  <si>
    <t>32778</t>
  </si>
  <si>
    <t>78041</t>
  </si>
  <si>
    <t>LAWRENCE COUNTY</t>
  </si>
  <si>
    <t>80 SHERMAN STREET</t>
  </si>
  <si>
    <t>DEADWOOD</t>
  </si>
  <si>
    <t>SD</t>
  </si>
  <si>
    <t>57732</t>
  </si>
  <si>
    <t>LEAVENWORTH US PENITENTIARY</t>
  </si>
  <si>
    <t>1300 METROPOLITAN AVE.</t>
  </si>
  <si>
    <t>LEAVENWORTH</t>
  </si>
  <si>
    <t>66048</t>
  </si>
  <si>
    <t>29072</t>
  </si>
  <si>
    <t>76642</t>
  </si>
  <si>
    <t>LINCOLN COUNTY JAIL</t>
  </si>
  <si>
    <t>3020 N JEFFERS</t>
  </si>
  <si>
    <t>NORTH PLATTE</t>
  </si>
  <si>
    <t>69101</t>
  </si>
  <si>
    <t>52401</t>
  </si>
  <si>
    <t>LOGAN COUNTY JAIL</t>
  </si>
  <si>
    <t>216 S BROAD ST</t>
  </si>
  <si>
    <t>GUTHRIE</t>
  </si>
  <si>
    <t>73044</t>
  </si>
  <si>
    <t>LOUISIANA ICE PROCESSING</t>
  </si>
  <si>
    <t>18198 TUNICA TRACE BLDG E</t>
  </si>
  <si>
    <t>ANGOLA</t>
  </si>
  <si>
    <t>70712</t>
  </si>
  <si>
    <t>LUBBOCK COUNTY DETENTION CENTER</t>
  </si>
  <si>
    <t>811 MAIN STREET</t>
  </si>
  <si>
    <t>LUBBOCK</t>
  </si>
  <si>
    <t>79401</t>
  </si>
  <si>
    <t>39046</t>
  </si>
  <si>
    <t>110 FIFTH AVENUE</t>
  </si>
  <si>
    <t>YOUNGSTOWN</t>
  </si>
  <si>
    <t>44503</t>
  </si>
  <si>
    <t>MARION COUNTY JAIL</t>
  </si>
  <si>
    <t>695 JUSTICE WAY</t>
  </si>
  <si>
    <t>INDIANAPOLIS</t>
  </si>
  <si>
    <t>46203</t>
  </si>
  <si>
    <t>MARTIN COUNTY JAIL</t>
  </si>
  <si>
    <t>800 SOUTHEAST MONTEREY ROAD</t>
  </si>
  <si>
    <t>STUART</t>
  </si>
  <si>
    <t>34994</t>
  </si>
  <si>
    <t>MCCOOK DETENTION CENTER</t>
  </si>
  <si>
    <t>2309 N HIGHWAY 83</t>
  </si>
  <si>
    <t>MCCOOK</t>
  </si>
  <si>
    <t>69001</t>
  </si>
  <si>
    <t>FPBDS</t>
  </si>
  <si>
    <t>93301</t>
  </si>
  <si>
    <t>3038 WEST 850 SOUTH P.O. BOX 900</t>
  </si>
  <si>
    <t>BUNKERHILL</t>
  </si>
  <si>
    <t>46914</t>
  </si>
  <si>
    <t>MIAMI FEDERAL DETENTION</t>
  </si>
  <si>
    <t>33 NE 4 STREET</t>
  </si>
  <si>
    <t>33132</t>
  </si>
  <si>
    <t>MIGRANT OPS CENTER MAIN A</t>
  </si>
  <si>
    <t>MOC</t>
  </si>
  <si>
    <t>MILLER COUNTY JAIL</t>
  </si>
  <si>
    <t>2300 EAST STREET</t>
  </si>
  <si>
    <t>TEXARKANA</t>
  </si>
  <si>
    <t>71854</t>
  </si>
  <si>
    <t>83318</t>
  </si>
  <si>
    <t>MINNEHAHA COUNTY JAIL</t>
  </si>
  <si>
    <t>500 NORTH MINNESOTA AVENUE</t>
  </si>
  <si>
    <t>SIOUX FALLS</t>
  </si>
  <si>
    <t>57104</t>
  </si>
  <si>
    <t>48161</t>
  </si>
  <si>
    <t>MONTGOMERY COUNTY JAIL</t>
  </si>
  <si>
    <t>PARK STREET</t>
  </si>
  <si>
    <t>FONDA</t>
  </si>
  <si>
    <t>12068</t>
  </si>
  <si>
    <t>555 GEO DRIVE</t>
  </si>
  <si>
    <t>16866</t>
  </si>
  <si>
    <t>MUSCATINE COUNTY JAIL</t>
  </si>
  <si>
    <t>400 WALNUT STREET</t>
  </si>
  <si>
    <t>MUSCATINE</t>
  </si>
  <si>
    <t>52761</t>
  </si>
  <si>
    <t>NATRONA COUNTY JAIL</t>
  </si>
  <si>
    <t>1100 BRUCE LANE</t>
  </si>
  <si>
    <t>CASPER</t>
  </si>
  <si>
    <t>WY</t>
  </si>
  <si>
    <t>82601</t>
  </si>
  <si>
    <t>NELSON COLEMAN CORRECTION</t>
  </si>
  <si>
    <t>5061 HIGHWAY 3127</t>
  </si>
  <si>
    <t>KILLONA</t>
  </si>
  <si>
    <t>70057</t>
  </si>
  <si>
    <t>89060</t>
  </si>
  <si>
    <t>28429</t>
  </si>
  <si>
    <t>NIAGARA COUNTY JAIL</t>
  </si>
  <si>
    <t>5526 NIAGARA STREET EXTENTION</t>
  </si>
  <si>
    <t>LOCKPORT</t>
  </si>
  <si>
    <t>14094</t>
  </si>
  <si>
    <t>1805 W 32ND ST</t>
  </si>
  <si>
    <t>BALDWIN</t>
  </si>
  <si>
    <t>49304</t>
  </si>
  <si>
    <t>NORTHEAST OHIO CORRECTIONAL CENTER</t>
  </si>
  <si>
    <t>2240 HUBBARD ROAD</t>
  </si>
  <si>
    <t>44505</t>
  </si>
  <si>
    <t>NORTHERN REGIONAL JAIL</t>
  </si>
  <si>
    <t>RD. 2, BOX 1</t>
  </si>
  <si>
    <t>MOUNDSVILLE</t>
  </si>
  <si>
    <t>26041</t>
  </si>
  <si>
    <t>NORTHWEST ICE PROCESSSING CENTER</t>
  </si>
  <si>
    <t>98421</t>
  </si>
  <si>
    <t>NORTHWEST REGIONAL CORRECTIONS CENTER</t>
  </si>
  <si>
    <t>816 MARIN AVE., SUITE 110</t>
  </si>
  <si>
    <t>CROOKSTON</t>
  </si>
  <si>
    <t>56716</t>
  </si>
  <si>
    <t>NORTHWEST STATE CORRECTIONAL CENTER</t>
  </si>
  <si>
    <t>3649 LOWER NEWTON ROAD</t>
  </si>
  <si>
    <t>SWANTON</t>
  </si>
  <si>
    <t>05488</t>
  </si>
  <si>
    <t>OLDHAM COUNTY DETENTION CENTER</t>
  </si>
  <si>
    <t>3405 W HWY 146</t>
  </si>
  <si>
    <t>LA GRANGE</t>
  </si>
  <si>
    <t>40031</t>
  </si>
  <si>
    <t>ORANGE COUNTY JAIL (FL)</t>
  </si>
  <si>
    <t>3855 SOUTH JOHN YOUNG PARKWAY</t>
  </si>
  <si>
    <t>ORLANDO</t>
  </si>
  <si>
    <t>32839</t>
  </si>
  <si>
    <t>ORANGE COUNTY JAIL (NY)</t>
  </si>
  <si>
    <t>10924</t>
  </si>
  <si>
    <t>92154</t>
  </si>
  <si>
    <t>88081</t>
  </si>
  <si>
    <t>1818 COUNTY ROAD 806</t>
  </si>
  <si>
    <t>GAINESVILLE</t>
  </si>
  <si>
    <t>65655</t>
  </si>
  <si>
    <t>PHELPS COUNTY JAIL (MO)</t>
  </si>
  <si>
    <t>301 W. 2ND</t>
  </si>
  <si>
    <t>ROLLA</t>
  </si>
  <si>
    <t>65401</t>
  </si>
  <si>
    <t>PHELPS COUNTY JAIL (NE)</t>
  </si>
  <si>
    <t>715 5TH AVENUE</t>
  </si>
  <si>
    <t>HOLDREGE</t>
  </si>
  <si>
    <t>68949</t>
  </si>
  <si>
    <t>PICKENS COUNTY DETENTION CENTER</t>
  </si>
  <si>
    <t>35447</t>
  </si>
  <si>
    <t>PIKE COUNTY JAIL</t>
  </si>
  <si>
    <t>18428</t>
  </si>
  <si>
    <t>70576</t>
  </si>
  <si>
    <t>33762</t>
  </si>
  <si>
    <t>PLATTE COUNTY JAIL</t>
  </si>
  <si>
    <t>850 MAPLE STREET</t>
  </si>
  <si>
    <t>WHEATLAND</t>
  </si>
  <si>
    <t>82201</t>
  </si>
  <si>
    <t>02360</t>
  </si>
  <si>
    <t>50313</t>
  </si>
  <si>
    <t>PORT ISABEL SPC</t>
  </si>
  <si>
    <t>78566</t>
  </si>
  <si>
    <t>51501</t>
  </si>
  <si>
    <t>76009</t>
  </si>
  <si>
    <t>PUTNAM COUNTY SHERIFF</t>
  </si>
  <si>
    <t>421 E SPRING ST.</t>
  </si>
  <si>
    <t>COOKEVILLE</t>
  </si>
  <si>
    <t>38501</t>
  </si>
  <si>
    <t>71202</t>
  </si>
  <si>
    <t>78046</t>
  </si>
  <si>
    <t>71334</t>
  </si>
  <si>
    <t>RIVERSIDE REGIONAL JAIL</t>
  </si>
  <si>
    <t>1000 RIVER ROAD</t>
  </si>
  <si>
    <t>HOPEWELL</t>
  </si>
  <si>
    <t>23860</t>
  </si>
  <si>
    <t>ROBERT A DEYTON DETENTION FACILITY</t>
  </si>
  <si>
    <t>11866 HASTINGS BRIDGE ROAD P.O. BOX 429</t>
  </si>
  <si>
    <t>30250</t>
  </si>
  <si>
    <t>VICENTE T. SEMAN BLDG, CIVIC CENTER</t>
  </si>
  <si>
    <t>96950</t>
  </si>
  <si>
    <t>SALT LAKE COUNTY METRO JAIL</t>
  </si>
  <si>
    <t>3415 SOUTH 900 WEST</t>
  </si>
  <si>
    <t>SALT LAKE CITY</t>
  </si>
  <si>
    <t>84119</t>
  </si>
  <si>
    <t>00965</t>
  </si>
  <si>
    <t>85349</t>
  </si>
  <si>
    <t>SARPY COUNTY JAIL</t>
  </si>
  <si>
    <t>1208 GOLDEN GATE DRIVE</t>
  </si>
  <si>
    <t>PAPILLION</t>
  </si>
  <si>
    <t>68046</t>
  </si>
  <si>
    <t>SAUK COUNTY SHERIFF</t>
  </si>
  <si>
    <t>1300 LANGE CT.</t>
  </si>
  <si>
    <t>BARABOO</t>
  </si>
  <si>
    <t>53913</t>
  </si>
  <si>
    <t>SCOTT COUNTY DET. FACILITY</t>
  </si>
  <si>
    <t>416 W 4TH ST</t>
  </si>
  <si>
    <t>DAVENPORT</t>
  </si>
  <si>
    <t>52801</t>
  </si>
  <si>
    <t>44883</t>
  </si>
  <si>
    <t>55330</t>
  </si>
  <si>
    <t>SIOUX COUNTY JAIL</t>
  </si>
  <si>
    <t>4363 IRONWOOD AVENUE</t>
  </si>
  <si>
    <t>ORANGE CITY</t>
  </si>
  <si>
    <t>51041</t>
  </si>
  <si>
    <t>1001 CENTER WAY</t>
  </si>
  <si>
    <t>25309</t>
  </si>
  <si>
    <t>SOUTH LOUISIANA ICE PROCESSING CENTER</t>
  </si>
  <si>
    <t>70515</t>
  </si>
  <si>
    <t>78061</t>
  </si>
  <si>
    <t>48060</t>
  </si>
  <si>
    <t>STE. GENEVIEVE COUNTY SHERIFF/JAIL</t>
  </si>
  <si>
    <t>5 BASLER DR.</t>
  </si>
  <si>
    <t>STE. GENEVIEVE</t>
  </si>
  <si>
    <t>63670</t>
  </si>
  <si>
    <t>31815</t>
  </si>
  <si>
    <t>03820</t>
  </si>
  <si>
    <t>SWEETWATER COUNTY JAIL</t>
  </si>
  <si>
    <t>50140 UNITED STATES HIGHWAY 191 SOUTH</t>
  </si>
  <si>
    <t>ROCK SPRINGS</t>
  </si>
  <si>
    <t>82935</t>
  </si>
  <si>
    <t>76574</t>
  </si>
  <si>
    <t>TOOELE COUNTY JAIL</t>
  </si>
  <si>
    <t>47 SOUTH MAIN STREET</t>
  </si>
  <si>
    <t>TOOELE</t>
  </si>
  <si>
    <t>84074</t>
  </si>
  <si>
    <t>TORRANCE/ESTANCIA, NM</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</si>
  <si>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</si>
  <si>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</si>
  <si>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</si>
  <si>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</si>
  <si>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</si>
  <si>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</si>
  <si>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</si>
  <si>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</si>
  <si>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</si>
  <si>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</si>
  <si>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</si>
  <si>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04578</t>
  </si>
  <si>
    <t>UINTA COUNTY JAIL</t>
  </si>
  <si>
    <t>77 COUNTY ROAD 109</t>
  </si>
  <si>
    <t>EVANSTON</t>
  </si>
  <si>
    <t>82930</t>
  </si>
  <si>
    <t>VICTORIA COUNTY JAIL</t>
  </si>
  <si>
    <t>101 NORTH GLASS STREET</t>
  </si>
  <si>
    <t>VICTORIA</t>
  </si>
  <si>
    <t>77901</t>
  </si>
  <si>
    <t>WALTON COUNTY JAIL</t>
  </si>
  <si>
    <t>40 SHERIFF CIR</t>
  </si>
  <si>
    <t>DEFUNIAK SPRINGS</t>
  </si>
  <si>
    <t>32433</t>
  </si>
  <si>
    <t>WARD COUNTY JAIL</t>
  </si>
  <si>
    <t>P.O. BOX 907</t>
  </si>
  <si>
    <t>MINOT</t>
  </si>
  <si>
    <t>58702</t>
  </si>
  <si>
    <t>72701</t>
  </si>
  <si>
    <t>WASHINGTON COUNTY JAIL (PURGATORY CORRECTIONAL FACILITY)</t>
  </si>
  <si>
    <t>750 SOUTH 5300 WEST</t>
  </si>
  <si>
    <t>HURRICANE</t>
  </si>
  <si>
    <t>84737</t>
  </si>
  <si>
    <t>911 PARR BLVD 775 328 3308</t>
  </si>
  <si>
    <t>89506</t>
  </si>
  <si>
    <t>WEBER COUNTY JAIL</t>
  </si>
  <si>
    <t>721 WEST 12TH STREET</t>
  </si>
  <si>
    <t>OGDEN</t>
  </si>
  <si>
    <t>84404</t>
  </si>
  <si>
    <t>WESTERN TENNESSEE DETENTION FACILITY</t>
  </si>
  <si>
    <t>6299 FINDE NAIFEH DRIVE</t>
  </si>
  <si>
    <t>MASON</t>
  </si>
  <si>
    <t>38049</t>
  </si>
  <si>
    <t>71483</t>
  </si>
  <si>
    <t>51101</t>
  </si>
  <si>
    <t>02863</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</si>
  <si>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</si>
  <si>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November 2025</t>
  </si>
  <si>
    <t>Facilities</t>
  </si>
  <si>
    <t>Placement Count</t>
  </si>
  <si>
    <t>Grand Total</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</si>
  <si>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</si>
  <si>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</si>
  <si>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</si>
  <si>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</si>
  <si>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</si>
  <si>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</si>
  <si>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</si>
  <si>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</si>
  <si>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</si>
  <si>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</si>
  <si>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</si>
  <si>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</si>
  <si>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</si>
  <si>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</si>
  <si>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</si>
  <si>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</si>
  <si>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</si>
  <si>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</si>
  <si>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</si>
  <si>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</si>
  <si>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</si>
  <si>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</si>
  <si>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</si>
  <si>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</si>
  <si>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</si>
  <si>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</si>
  <si>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</si>
  <si>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</si>
  <si>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</si>
  <si>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</si>
  <si>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</si>
  <si>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</si>
  <si>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</si>
  <si>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</si>
  <si>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</si>
  <si>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</si>
  <si>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</si>
  <si>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</si>
  <si>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</si>
  <si>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</si>
  <si>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</si>
  <si>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</si>
  <si>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</si>
  <si>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</si>
  <si>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</si>
  <si>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</si>
  <si>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</si>
  <si>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ICLOS and Detainees Data are updated through 01/07/2026 (IIDS Run Date 01/08/2026; EID as of 01/07/2026).</t>
  </si>
  <si>
    <t>FY2026 YTD Encounters data is updated through 01/07/2026 (IIDS Run Date 01/08/2026; EID as of 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</si>
</sst>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_(* #,##0.0_);_(* \(#,##0.0\);_(* &quot;-&quot;_);_(@_)"/>
    <numFmt numFmtId="167" formatCode="#,##0.0"/>
    <numFmt numFmtId="168" formatCode="_(* #,##0.0_);_(* \(#,##0.0\);_(* &quot;-&quot;?_);_(@_)"/>
    <numFmt numFmtId="169" formatCode="mmm\-yyyy"/>
    <numFmt numFmtId="170" formatCode="0.0%"/>
    <numFmt numFmtId="171" formatCode="mm/dd/yyyy"/>
    <numFmt numFmtId="172" formatCode="_(* #,##0_);_(* \(#,##0\);_(* &quot;-&quot;?_);_(@_)"/>
    <numFmt numFmtId="173" formatCode="&quot;$&quot;#,##0.00"/>
  </numFmts>
  <fonts count="53"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1"/>
      <color rgb="FF000000"/>
      <name val="Calibri"/>
      <family val="2"/>
    </font>
    <font>
      <b/>
      <sz val="9"/>
      <color theme="0"/>
      <name val="Calibri"/>
      <family val="2"/>
      <scheme val="minor"/>
    </font>
    <font>
      <b/>
      <sz val="12"/>
      <color theme="4" tint="-0.499984740745262"/>
      <name val="Calibri"/>
      <family val="2"/>
      <scheme val="minor"/>
    </font>
    <font>
      <b/>
      <sz val="18"/>
      <color theme="3" tint="-0.499984740745262"/>
      <name val="Calibri"/>
      <family val="2"/>
      <scheme val="minor"/>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sz val="12"/>
      <name val="Times New Roman"/>
      <family val="1"/>
    </font>
    <font>
      <i/>
      <sz val="11"/>
      <color theme="1"/>
      <name val="Calibri"/>
      <family val="2"/>
      <scheme val="minor"/>
    </font>
    <font>
      <b/>
      <i/>
      <sz val="9"/>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
      <sz val="11"/>
      <color theme="1"/>
      <name val="Calibri"/>
      <family val="2"/>
    </font>
    <font>
      <sz val="8"/>
      <name val="Calibri"/>
      <family val="2"/>
      <scheme val="minor"/>
    </font>
    <font>
      <b/>
      <sz val="12"/>
      <color rgb="FFFFFFFF"/>
      <name val="Times New Roman"/>
      <family val="1"/>
    </font>
    <font>
      <b/>
      <sz val="12"/>
      <color rgb="FF000000"/>
      <name val="Times New Roman"/>
      <family val="1"/>
    </font>
    <font>
      <sz val="12"/>
      <color rgb="FF000000"/>
      <name val="Times New Roman"/>
      <family val="1"/>
    </font>
    <font>
      <b/>
      <sz val="12"/>
      <name val="Calibri"/>
      <family val="2"/>
      <scheme val="minor"/>
    </font>
    <font>
      <b/>
      <sz val="12"/>
      <color indexed="18"/>
      <name val="Calibri"/>
      <family val="2"/>
      <scheme val="minor"/>
    </font>
    <font>
      <b/>
      <sz val="12"/>
      <color rgb="FFFF0000"/>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
      <sz val="8"/>
      <color theme="1"/>
      <name val="Calibri"/>
      <family val="2"/>
      <scheme val="minor"/>
    </font>
    <font>
      <b/>
      <sz val="12"/>
      <color indexed="8"/>
      <name val="Calibri"/>
      <family val="2"/>
      <scheme val="minor"/>
    </font>
    <font>
      <b/>
      <sz val="12"/>
      <color theme="1"/>
      <name val="Times New Roman"/>
      <family val="2"/>
    </font>
    <font>
      <b/>
      <sz val="12"/>
      <color rgb="FFFFFFFF"/>
      <name val="Times New Roman"/>
      <family val="2"/>
    </font>
    <font>
      <b/>
      <sz val="12"/>
      <color rgb="FF000000"/>
      <name val="Times New Roman"/>
      <family val="2"/>
    </font>
    <font>
      <b/>
      <sz val="18"/>
      <color theme="4" tint="-0.499984740745262"/>
      <name val="Calibri"/>
      <family val="2"/>
      <scheme val="minor"/>
    </font>
    <font>
      <sz val="9"/>
      <color theme="4" tint="-0.499984740745262"/>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s>
  <fills count="2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4" tint="0.39997558519241921"/>
        <bgColor indexed="64"/>
      </patternFill>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9E1F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0">
    <xf numFmtId="0" fontId="0" fillId="0" borderId="0"/>
    <xf numFmtId="43" fontId="1" fillId="0" borderId="0" applyFont="0" applyFill="0" applyBorder="0" applyAlignment="0" applyProtection="0"/>
    <xf numFmtId="0" fontId="5" fillId="0" borderId="0"/>
    <xf numFmtId="0" fontId="6" fillId="0" borderId="0"/>
    <xf numFmtId="0" fontId="1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29" fillId="0" borderId="0"/>
    <xf numFmtId="44" fontId="1" fillId="0" borderId="0" applyFont="0" applyFill="0" applyBorder="0" applyAlignment="0" applyProtection="0"/>
  </cellStyleXfs>
  <cellXfs count="496">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Alignment="1">
      <alignment horizontal="center"/>
    </xf>
    <xf numFmtId="0" fontId="2" fillId="2" borderId="0" xfId="0" applyFont="1" applyFill="1"/>
    <xf numFmtId="0" fontId="0" fillId="0" borderId="0" xfId="0" applyAlignment="1">
      <alignment horizontal="left" vertical="top"/>
    </xf>
    <xf numFmtId="0" fontId="2" fillId="2" borderId="0" xfId="0" applyFont="1" applyFill="1" applyAlignment="1">
      <alignment wrapText="1"/>
    </xf>
    <xf numFmtId="0" fontId="4" fillId="2" borderId="0" xfId="0" applyFont="1" applyFill="1"/>
    <xf numFmtId="0" fontId="6" fillId="0" borderId="0" xfId="4" applyFont="1" applyAlignment="1">
      <alignment horizontal="left" vertical="center"/>
    </xf>
    <xf numFmtId="0" fontId="7" fillId="6" borderId="0" xfId="3" applyFont="1" applyFill="1" applyAlignment="1">
      <alignment vertical="center" wrapText="1"/>
    </xf>
    <xf numFmtId="0" fontId="13" fillId="3" borderId="9"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0" fillId="2" borderId="0" xfId="0" applyFont="1" applyFill="1" applyAlignment="1">
      <alignment horizontal="center" vertical="center"/>
    </xf>
    <xf numFmtId="0" fontId="10" fillId="2" borderId="8" xfId="0" applyFont="1" applyFill="1" applyBorder="1" applyAlignment="1">
      <alignment horizontal="center" vertical="center"/>
    </xf>
    <xf numFmtId="0" fontId="10"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0" fillId="2" borderId="0" xfId="0" applyFont="1" applyFill="1" applyAlignment="1">
      <alignment horizontal="center" wrapText="1"/>
    </xf>
    <xf numFmtId="0" fontId="10" fillId="2" borderId="8" xfId="0" applyFont="1" applyFill="1" applyBorder="1" applyAlignment="1">
      <alignment horizontal="center"/>
    </xf>
    <xf numFmtId="0" fontId="10" fillId="0" borderId="0" xfId="0" applyFont="1" applyAlignment="1">
      <alignment horizontal="center"/>
    </xf>
    <xf numFmtId="0" fontId="10" fillId="0" borderId="0" xfId="0" applyFont="1"/>
    <xf numFmtId="0" fontId="14" fillId="6" borderId="10" xfId="3" applyFont="1" applyFill="1" applyBorder="1" applyAlignment="1">
      <alignment vertical="center" wrapText="1"/>
    </xf>
    <xf numFmtId="0" fontId="17" fillId="6" borderId="6" xfId="3" applyFont="1" applyFill="1" applyBorder="1" applyAlignment="1">
      <alignment vertical="center" wrapText="1"/>
    </xf>
    <xf numFmtId="0" fontId="7" fillId="5" borderId="0" xfId="3" applyFont="1" applyFill="1" applyAlignment="1">
      <alignment vertical="center" wrapText="1"/>
    </xf>
    <xf numFmtId="0" fontId="16" fillId="5" borderId="0" xfId="2" applyFont="1" applyFill="1" applyAlignment="1">
      <alignment vertical="top"/>
    </xf>
    <xf numFmtId="0" fontId="14" fillId="6" borderId="0" xfId="3" applyFont="1" applyFill="1" applyAlignment="1">
      <alignment vertical="center" wrapText="1"/>
    </xf>
    <xf numFmtId="0" fontId="0" fillId="2" borderId="0" xfId="0" applyFill="1"/>
    <xf numFmtId="0" fontId="16" fillId="2" borderId="0" xfId="2" applyFont="1" applyFill="1" applyAlignment="1">
      <alignment vertical="top"/>
    </xf>
    <xf numFmtId="0" fontId="19" fillId="3" borderId="18" xfId="0" applyFont="1" applyFill="1" applyBorder="1" applyAlignment="1">
      <alignment horizontal="center" vertical="center" wrapText="1"/>
    </xf>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0" fillId="2" borderId="0" xfId="0" applyFont="1" applyFill="1" applyAlignment="1">
      <alignment vertical="center" wrapText="1"/>
    </xf>
    <xf numFmtId="0" fontId="13" fillId="3" borderId="1"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0" xfId="0" applyFont="1" applyFill="1" applyAlignment="1">
      <alignment horizontal="left" vertical="center" wrapText="1"/>
    </xf>
    <xf numFmtId="0" fontId="2" fillId="2" borderId="0" xfId="0" applyFont="1" applyFill="1" applyAlignment="1">
      <alignment horizontal="left"/>
    </xf>
    <xf numFmtId="0" fontId="10" fillId="2" borderId="0" xfId="0" applyFont="1" applyFill="1" applyAlignment="1">
      <alignment horizontal="left"/>
    </xf>
    <xf numFmtId="0" fontId="10" fillId="2" borderId="8" xfId="0" applyFont="1" applyFill="1" applyBorder="1"/>
    <xf numFmtId="0" fontId="10" fillId="2" borderId="0" xfId="0" applyFont="1" applyFill="1"/>
    <xf numFmtId="165" fontId="2" fillId="2" borderId="0" xfId="1" applyNumberFormat="1" applyFont="1" applyFill="1" applyBorder="1"/>
    <xf numFmtId="165" fontId="13"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0" fillId="2" borderId="7" xfId="0" applyFont="1" applyFill="1" applyBorder="1" applyAlignment="1">
      <alignment horizontal="center" vertical="center"/>
    </xf>
    <xf numFmtId="0" fontId="2" fillId="5" borderId="20"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0" borderId="7" xfId="0" applyFont="1" applyBorder="1"/>
    <xf numFmtId="0" fontId="10" fillId="0" borderId="8" xfId="0" applyFont="1" applyBorder="1" applyAlignment="1">
      <alignment horizontal="center"/>
    </xf>
    <xf numFmtId="0" fontId="13" fillId="3" borderId="5" xfId="0" applyFont="1" applyFill="1" applyBorder="1" applyAlignment="1">
      <alignment horizontal="center" vertical="center" wrapText="1"/>
    </xf>
    <xf numFmtId="0" fontId="2" fillId="5" borderId="5" xfId="0" applyFont="1" applyFill="1" applyBorder="1"/>
    <xf numFmtId="164" fontId="18"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Border="1"/>
    <xf numFmtId="0" fontId="0" fillId="0" borderId="8" xfId="0" applyBorder="1"/>
    <xf numFmtId="164" fontId="2" fillId="5" borderId="4" xfId="1" applyNumberFormat="1" applyFont="1" applyFill="1" applyBorder="1"/>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25" xfId="1" applyNumberFormat="1" applyFont="1" applyFill="1" applyBorder="1" applyAlignment="1">
      <alignment horizontal="left"/>
    </xf>
    <xf numFmtId="41" fontId="2" fillId="5" borderId="29" xfId="1" applyNumberFormat="1" applyFont="1" applyFill="1" applyBorder="1"/>
    <xf numFmtId="164" fontId="2" fillId="2" borderId="3" xfId="1" applyNumberFormat="1" applyFont="1" applyFill="1" applyBorder="1" applyAlignment="1"/>
    <xf numFmtId="41" fontId="2" fillId="5" borderId="1" xfId="1" applyNumberFormat="1" applyFont="1" applyFill="1" applyBorder="1"/>
    <xf numFmtId="41" fontId="2" fillId="5" borderId="1" xfId="0" applyNumberFormat="1" applyFont="1" applyFill="1" applyBorder="1"/>
    <xf numFmtId="166" fontId="2" fillId="5" borderId="1" xfId="1" applyNumberFormat="1" applyFont="1" applyFill="1" applyBorder="1"/>
    <xf numFmtId="166" fontId="2" fillId="5" borderId="1" xfId="0" applyNumberFormat="1" applyFont="1" applyFill="1" applyBorder="1"/>
    <xf numFmtId="166" fontId="2" fillId="2" borderId="1" xfId="1" applyNumberFormat="1" applyFont="1" applyFill="1" applyBorder="1" applyAlignment="1">
      <alignment horizontal="left"/>
    </xf>
    <xf numFmtId="166" fontId="2" fillId="5" borderId="4" xfId="1" applyNumberFormat="1" applyFont="1" applyFill="1" applyBorder="1"/>
    <xf numFmtId="166" fontId="2" fillId="5" borderId="4" xfId="0" applyNumberFormat="1" applyFont="1" applyFill="1" applyBorder="1"/>
    <xf numFmtId="166"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0" fillId="2" borderId="0" xfId="0" applyNumberFormat="1" applyFont="1" applyFill="1" applyAlignment="1">
      <alignment horizontal="center"/>
    </xf>
    <xf numFmtId="3" fontId="2" fillId="0" borderId="0" xfId="0" applyNumberFormat="1" applyFont="1"/>
    <xf numFmtId="0" fontId="10" fillId="2" borderId="0" xfId="0" applyFont="1" applyFill="1" applyAlignment="1">
      <alignment horizontal="left" vertical="center"/>
    </xf>
    <xf numFmtId="0" fontId="10" fillId="2" borderId="8"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xf numFmtId="16" fontId="2" fillId="0" borderId="0" xfId="0" applyNumberFormat="1" applyFont="1"/>
    <xf numFmtId="3" fontId="10" fillId="2" borderId="0" xfId="0" applyNumberFormat="1" applyFont="1" applyFill="1" applyAlignment="1">
      <alignment horizontal="center"/>
    </xf>
    <xf numFmtId="16" fontId="10" fillId="2" borderId="0" xfId="0" applyNumberFormat="1" applyFont="1" applyFill="1" applyAlignment="1">
      <alignment horizontal="center"/>
    </xf>
    <xf numFmtId="16" fontId="10" fillId="2" borderId="8" xfId="0" applyNumberFormat="1" applyFont="1" applyFill="1" applyBorder="1" applyAlignment="1">
      <alignment horizontal="center"/>
    </xf>
    <xf numFmtId="4" fontId="10"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10" fillId="0" borderId="0" xfId="0" applyNumberFormat="1" applyFont="1" applyAlignment="1">
      <alignment horizontal="center"/>
    </xf>
    <xf numFmtId="4" fontId="10" fillId="0" borderId="0" xfId="0" applyNumberFormat="1" applyFont="1" applyAlignment="1">
      <alignment horizontal="center"/>
    </xf>
    <xf numFmtId="4" fontId="10" fillId="0" borderId="0" xfId="0" applyNumberFormat="1" applyFont="1"/>
    <xf numFmtId="3" fontId="10" fillId="2" borderId="8" xfId="0" applyNumberFormat="1" applyFont="1" applyFill="1" applyBorder="1" applyAlignment="1">
      <alignment horizontal="center"/>
    </xf>
    <xf numFmtId="164" fontId="18" fillId="2" borderId="1" xfId="1" applyNumberFormat="1" applyFont="1" applyFill="1" applyBorder="1" applyAlignment="1">
      <alignment horizontal="left"/>
    </xf>
    <xf numFmtId="164" fontId="18" fillId="2" borderId="1" xfId="1" applyNumberFormat="1" applyFont="1" applyFill="1" applyBorder="1" applyAlignment="1"/>
    <xf numFmtId="164" fontId="18" fillId="2" borderId="1" xfId="1" applyNumberFormat="1" applyFont="1" applyFill="1" applyBorder="1" applyAlignment="1">
      <alignment horizontal="center"/>
    </xf>
    <xf numFmtId="0" fontId="9" fillId="3" borderId="18" xfId="0" applyFont="1" applyFill="1" applyBorder="1" applyAlignment="1">
      <alignment horizontal="left" vertical="top" wrapText="1"/>
    </xf>
    <xf numFmtId="0" fontId="9" fillId="3" borderId="22"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4" xfId="0" applyFont="1" applyBorder="1" applyAlignment="1">
      <alignment horizontal="left" vertical="top" wrapText="1"/>
    </xf>
    <xf numFmtId="0" fontId="8" fillId="2" borderId="34"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9"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21" fillId="2" borderId="34" xfId="0" applyNumberFormat="1" applyFont="1" applyFill="1" applyBorder="1" applyAlignment="1">
      <alignment vertical="top" wrapText="1"/>
    </xf>
    <xf numFmtId="49" fontId="21" fillId="0" borderId="34" xfId="0" applyNumberFormat="1" applyFont="1" applyBorder="1" applyAlignment="1">
      <alignment vertical="top" wrapText="1"/>
    </xf>
    <xf numFmtId="49" fontId="21" fillId="0" borderId="39" xfId="0" applyNumberFormat="1" applyFont="1" applyBorder="1" applyAlignment="1">
      <alignment vertical="top" wrapText="1"/>
    </xf>
    <xf numFmtId="41" fontId="2" fillId="2" borderId="34" xfId="1" applyNumberFormat="1" applyFont="1" applyFill="1" applyBorder="1" applyAlignment="1">
      <alignment horizontal="left"/>
    </xf>
    <xf numFmtId="3" fontId="10" fillId="0" borderId="0" xfId="0" applyNumberFormat="1" applyFont="1" applyAlignment="1">
      <alignment horizontal="center"/>
    </xf>
    <xf numFmtId="3" fontId="10" fillId="0" borderId="8" xfId="0" applyNumberFormat="1" applyFont="1" applyBorder="1" applyAlignment="1">
      <alignment horizontal="center"/>
    </xf>
    <xf numFmtId="0" fontId="0" fillId="0" borderId="1" xfId="0" applyBorder="1"/>
    <xf numFmtId="164" fontId="18" fillId="2" borderId="1" xfId="1" applyNumberFormat="1" applyFont="1" applyFill="1" applyBorder="1" applyAlignment="1">
      <alignment horizontal="right"/>
    </xf>
    <xf numFmtId="3" fontId="2" fillId="2" borderId="0" xfId="0" applyNumberFormat="1" applyFont="1" applyFill="1" applyAlignment="1">
      <alignment horizontal="left"/>
    </xf>
    <xf numFmtId="41" fontId="2" fillId="2" borderId="1" xfId="1" applyNumberFormat="1" applyFont="1" applyFill="1" applyBorder="1" applyAlignment="1">
      <alignment horizontal="right"/>
    </xf>
    <xf numFmtId="16" fontId="10" fillId="2" borderId="0" xfId="0" applyNumberFormat="1" applyFont="1" applyFill="1" applyAlignment="1">
      <alignment horizontal="center" wrapText="1"/>
    </xf>
    <xf numFmtId="16" fontId="2" fillId="2" borderId="0" xfId="0" applyNumberFormat="1" applyFont="1" applyFill="1" applyAlignment="1">
      <alignment wrapText="1"/>
    </xf>
    <xf numFmtId="16" fontId="10" fillId="2" borderId="0" xfId="0" applyNumberFormat="1" applyFont="1" applyFill="1"/>
    <xf numFmtId="0" fontId="10" fillId="2" borderId="41" xfId="0" applyFont="1" applyFill="1" applyBorder="1" applyAlignment="1">
      <alignment horizontal="center"/>
    </xf>
    <xf numFmtId="0" fontId="2" fillId="2" borderId="8" xfId="0" applyFont="1" applyFill="1" applyBorder="1"/>
    <xf numFmtId="0" fontId="10" fillId="5" borderId="20" xfId="0" applyFont="1" applyFill="1" applyBorder="1"/>
    <xf numFmtId="3" fontId="2" fillId="2" borderId="8" xfId="0" applyNumberFormat="1" applyFont="1" applyFill="1" applyBorder="1"/>
    <xf numFmtId="164" fontId="10" fillId="9" borderId="3" xfId="1" applyNumberFormat="1" applyFont="1" applyFill="1" applyBorder="1" applyAlignment="1">
      <alignment horizontal="left"/>
    </xf>
    <xf numFmtId="164" fontId="2" fillId="2" borderId="0" xfId="0" applyNumberFormat="1" applyFont="1" applyFill="1"/>
    <xf numFmtId="164" fontId="23" fillId="9" borderId="1" xfId="1" applyNumberFormat="1" applyFont="1" applyFill="1" applyBorder="1" applyAlignment="1">
      <alignment horizontal="right"/>
    </xf>
    <xf numFmtId="164" fontId="10" fillId="9" borderId="1" xfId="1" applyNumberFormat="1" applyFont="1" applyFill="1" applyBorder="1" applyAlignment="1">
      <alignment horizontal="left"/>
    </xf>
    <xf numFmtId="0" fontId="10" fillId="2" borderId="42" xfId="0" applyFont="1" applyFill="1" applyBorder="1" applyAlignment="1">
      <alignment horizontal="center"/>
    </xf>
    <xf numFmtId="41" fontId="10" fillId="2" borderId="0" xfId="0" applyNumberFormat="1" applyFont="1" applyFill="1" applyAlignment="1">
      <alignment horizontal="center"/>
    </xf>
    <xf numFmtId="4" fontId="2" fillId="2" borderId="8" xfId="0" applyNumberFormat="1" applyFont="1" applyFill="1" applyBorder="1"/>
    <xf numFmtId="4" fontId="2" fillId="2" borderId="0" xfId="0" applyNumberFormat="1" applyFont="1" applyFill="1"/>
    <xf numFmtId="0" fontId="2" fillId="0" borderId="8" xfId="0" applyFont="1" applyBorder="1"/>
    <xf numFmtId="16" fontId="2" fillId="0" borderId="8" xfId="0" applyNumberFormat="1" applyFont="1" applyBorder="1"/>
    <xf numFmtId="166" fontId="2" fillId="2" borderId="0" xfId="1" applyNumberFormat="1" applyFont="1" applyFill="1" applyBorder="1" applyAlignment="1">
      <alignment horizontal="left"/>
    </xf>
    <xf numFmtId="0" fontId="20" fillId="0" borderId="0" xfId="0" applyFont="1"/>
    <xf numFmtId="0" fontId="8" fillId="0" borderId="0" xfId="0" applyFont="1"/>
    <xf numFmtId="0" fontId="26" fillId="0" borderId="1" xfId="0" applyFont="1" applyBorder="1"/>
    <xf numFmtId="168" fontId="27" fillId="2" borderId="1" xfId="1" applyNumberFormat="1" applyFont="1" applyFill="1" applyBorder="1" applyAlignment="1">
      <alignment horizontal="left"/>
    </xf>
    <xf numFmtId="0" fontId="25" fillId="5" borderId="3" xfId="0" applyFont="1" applyFill="1" applyBorder="1"/>
    <xf numFmtId="168" fontId="27" fillId="2" borderId="3" xfId="1" applyNumberFormat="1" applyFont="1" applyFill="1" applyBorder="1" applyAlignment="1">
      <alignment horizontal="left"/>
    </xf>
    <xf numFmtId="0" fontId="24" fillId="0" borderId="0" xfId="0" applyFont="1"/>
    <xf numFmtId="0" fontId="25" fillId="5" borderId="0" xfId="0" applyFont="1" applyFill="1"/>
    <xf numFmtId="0" fontId="26" fillId="5" borderId="0" xfId="0" applyFont="1" applyFill="1"/>
    <xf numFmtId="164" fontId="27" fillId="2" borderId="1" xfId="1" applyNumberFormat="1" applyFont="1" applyFill="1" applyBorder="1" applyAlignment="1">
      <alignment horizontal="left"/>
    </xf>
    <xf numFmtId="164" fontId="27" fillId="2" borderId="43" xfId="1" applyNumberFormat="1" applyFont="1" applyFill="1" applyBorder="1" applyAlignment="1">
      <alignment horizontal="left"/>
    </xf>
    <xf numFmtId="164" fontId="27" fillId="2" borderId="3" xfId="1" applyNumberFormat="1" applyFont="1" applyFill="1" applyBorder="1" applyAlignment="1">
      <alignment horizontal="left"/>
    </xf>
    <xf numFmtId="169" fontId="19" fillId="3" borderId="19" xfId="0" applyNumberFormat="1" applyFont="1" applyFill="1" applyBorder="1" applyAlignment="1">
      <alignment horizontal="center" vertical="center" wrapText="1"/>
    </xf>
    <xf numFmtId="164" fontId="20" fillId="9" borderId="5" xfId="1" applyNumberFormat="1" applyFont="1" applyFill="1" applyBorder="1" applyAlignment="1">
      <alignment horizontal="left"/>
    </xf>
    <xf numFmtId="164" fontId="20" fillId="9" borderId="44" xfId="1" applyNumberFormat="1" applyFont="1" applyFill="1" applyBorder="1" applyAlignment="1">
      <alignment horizontal="left"/>
    </xf>
    <xf numFmtId="170" fontId="8" fillId="2" borderId="1" xfId="1" applyNumberFormat="1" applyFont="1" applyFill="1" applyBorder="1" applyAlignment="1">
      <alignment horizontal="right"/>
    </xf>
    <xf numFmtId="170" fontId="8" fillId="2" borderId="34" xfId="1" applyNumberFormat="1" applyFont="1" applyFill="1" applyBorder="1" applyAlignment="1">
      <alignment horizontal="right"/>
    </xf>
    <xf numFmtId="0" fontId="8" fillId="0" borderId="34" xfId="0" applyFont="1" applyBorder="1" applyAlignment="1">
      <alignment vertical="center" wrapText="1"/>
    </xf>
    <xf numFmtId="0" fontId="8" fillId="0" borderId="34" xfId="0" applyFont="1" applyBorder="1" applyAlignment="1">
      <alignment wrapText="1"/>
    </xf>
    <xf numFmtId="3" fontId="8" fillId="2" borderId="34" xfId="1" applyNumberFormat="1" applyFont="1" applyFill="1" applyBorder="1" applyAlignment="1">
      <alignment horizontal="right"/>
    </xf>
    <xf numFmtId="41" fontId="2" fillId="2" borderId="0" xfId="1" applyNumberFormat="1" applyFont="1" applyFill="1" applyBorder="1" applyAlignment="1">
      <alignment horizontal="right"/>
    </xf>
    <xf numFmtId="168" fontId="2" fillId="2" borderId="0" xfId="1" applyNumberFormat="1" applyFont="1" applyFill="1" applyBorder="1" applyAlignment="1">
      <alignment horizontal="left"/>
    </xf>
    <xf numFmtId="0" fontId="13" fillId="3" borderId="6" xfId="0" applyFont="1" applyFill="1" applyBorder="1" applyAlignment="1">
      <alignment horizontal="center" vertical="center" wrapText="1"/>
    </xf>
    <xf numFmtId="41" fontId="2" fillId="5" borderId="1" xfId="1" applyNumberFormat="1" applyFont="1" applyFill="1" applyBorder="1" applyAlignment="1">
      <alignment horizontal="left"/>
    </xf>
    <xf numFmtId="164" fontId="2" fillId="5" borderId="4" xfId="1" applyNumberFormat="1" applyFont="1" applyFill="1" applyBorder="1" applyAlignment="1">
      <alignment horizontal="right"/>
    </xf>
    <xf numFmtId="164" fontId="2" fillId="9" borderId="3" xfId="1" applyNumberFormat="1" applyFont="1" applyFill="1" applyBorder="1" applyAlignment="1">
      <alignment horizontal="right"/>
    </xf>
    <xf numFmtId="164" fontId="2" fillId="9" borderId="1" xfId="1" applyNumberFormat="1" applyFont="1" applyFill="1" applyBorder="1" applyAlignment="1">
      <alignment horizontal="right"/>
    </xf>
    <xf numFmtId="41" fontId="2" fillId="2" borderId="0" xfId="1" applyNumberFormat="1" applyFont="1" applyFill="1" applyBorder="1" applyAlignment="1">
      <alignment horizontal="left"/>
    </xf>
    <xf numFmtId="164" fontId="2" fillId="2" borderId="6" xfId="1" applyNumberFormat="1" applyFont="1" applyFill="1" applyBorder="1" applyAlignment="1">
      <alignment vertical="center"/>
    </xf>
    <xf numFmtId="164" fontId="2" fillId="2" borderId="0" xfId="1" applyNumberFormat="1" applyFont="1" applyFill="1" applyBorder="1" applyAlignment="1">
      <alignment horizontal="center" vertical="center"/>
    </xf>
    <xf numFmtId="164" fontId="2" fillId="2" borderId="1" xfId="1" applyNumberFormat="1" applyFont="1" applyFill="1" applyBorder="1" applyAlignment="1">
      <alignment vertical="center"/>
    </xf>
    <xf numFmtId="0" fontId="8" fillId="2" borderId="39" xfId="0" applyFont="1" applyFill="1" applyBorder="1" applyAlignment="1">
      <alignment horizontal="left" vertical="top" wrapText="1"/>
    </xf>
    <xf numFmtId="169" fontId="19" fillId="3" borderId="22" xfId="0" applyNumberFormat="1" applyFont="1" applyFill="1" applyBorder="1" applyAlignment="1">
      <alignment horizontal="center" vertical="center" wrapText="1"/>
    </xf>
    <xf numFmtId="3" fontId="8" fillId="2" borderId="0" xfId="1" applyNumberFormat="1" applyFont="1" applyFill="1" applyBorder="1" applyAlignment="1">
      <alignment horizontal="right"/>
    </xf>
    <xf numFmtId="41" fontId="8" fillId="2" borderId="34" xfId="1" applyNumberFormat="1" applyFont="1" applyFill="1" applyBorder="1" applyAlignment="1">
      <alignment horizontal="right"/>
    </xf>
    <xf numFmtId="41" fontId="8" fillId="2" borderId="39" xfId="1" applyNumberFormat="1" applyFont="1" applyFill="1" applyBorder="1" applyAlignment="1">
      <alignment horizontal="right"/>
    </xf>
    <xf numFmtId="41" fontId="8" fillId="11" borderId="1" xfId="1" applyNumberFormat="1" applyFont="1" applyFill="1" applyBorder="1" applyAlignment="1">
      <alignment horizontal="right"/>
    </xf>
    <xf numFmtId="41" fontId="8" fillId="2" borderId="1" xfId="1" applyNumberFormat="1" applyFont="1" applyFill="1" applyBorder="1" applyAlignment="1">
      <alignment horizontal="right"/>
    </xf>
    <xf numFmtId="41" fontId="8" fillId="2" borderId="43" xfId="1" applyNumberFormat="1" applyFont="1" applyFill="1" applyBorder="1" applyAlignment="1">
      <alignment horizontal="right"/>
    </xf>
    <xf numFmtId="168" fontId="8" fillId="2" borderId="43" xfId="1" applyNumberFormat="1" applyFont="1" applyFill="1" applyBorder="1" applyAlignment="1">
      <alignment horizontal="right"/>
    </xf>
    <xf numFmtId="168" fontId="8" fillId="2" borderId="39" xfId="1" applyNumberFormat="1" applyFont="1" applyFill="1" applyBorder="1" applyAlignment="1">
      <alignment horizontal="right"/>
    </xf>
    <xf numFmtId="0" fontId="13" fillId="3" borderId="1" xfId="0" applyFont="1" applyFill="1" applyBorder="1" applyAlignment="1">
      <alignment vertical="center" wrapText="1"/>
    </xf>
    <xf numFmtId="164" fontId="2" fillId="4" borderId="14" xfId="1" applyNumberFormat="1" applyFont="1" applyFill="1" applyBorder="1" applyAlignment="1"/>
    <xf numFmtId="0" fontId="13" fillId="3" borderId="16" xfId="0" applyFont="1" applyFill="1" applyBorder="1" applyAlignment="1">
      <alignment vertical="center" wrapText="1"/>
    </xf>
    <xf numFmtId="41" fontId="2" fillId="0" borderId="1" xfId="1" applyNumberFormat="1" applyFont="1" applyFill="1" applyBorder="1" applyAlignment="1">
      <alignment horizontal="left"/>
    </xf>
    <xf numFmtId="41" fontId="2" fillId="0" borderId="1" xfId="1" applyNumberFormat="1" applyFont="1" applyFill="1" applyBorder="1" applyAlignment="1">
      <alignment horizontal="right" vertical="top"/>
    </xf>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41" fontId="2" fillId="0" borderId="1" xfId="1" applyNumberFormat="1" applyFont="1" applyFill="1" applyBorder="1" applyAlignment="1">
      <alignment horizontal="right"/>
    </xf>
    <xf numFmtId="165" fontId="2" fillId="0" borderId="1" xfId="1" applyNumberFormat="1" applyFont="1" applyFill="1" applyBorder="1"/>
    <xf numFmtId="164" fontId="2" fillId="0" borderId="33" xfId="1" applyNumberFormat="1" applyFont="1" applyFill="1" applyBorder="1" applyAlignment="1"/>
    <xf numFmtId="164" fontId="2" fillId="0" borderId="3" xfId="1" applyNumberFormat="1" applyFont="1" applyFill="1" applyBorder="1" applyAlignment="1">
      <alignment horizontal="left"/>
    </xf>
    <xf numFmtId="164" fontId="2" fillId="0" borderId="1" xfId="1" applyNumberFormat="1" applyFont="1" applyFill="1" applyBorder="1" applyAlignment="1">
      <alignment horizontal="left"/>
    </xf>
    <xf numFmtId="41" fontId="2" fillId="0" borderId="3" xfId="1" applyNumberFormat="1" applyFont="1" applyFill="1" applyBorder="1" applyAlignment="1">
      <alignment horizontal="left"/>
    </xf>
    <xf numFmtId="164" fontId="2" fillId="0" borderId="14" xfId="1" applyNumberFormat="1" applyFont="1" applyFill="1" applyBorder="1" applyAlignment="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1" xfId="1" applyNumberFormat="1" applyFont="1" applyFill="1" applyBorder="1" applyAlignment="1">
      <alignment horizontal="right"/>
    </xf>
    <xf numFmtId="164" fontId="2" fillId="2" borderId="3" xfId="1" applyNumberFormat="1" applyFont="1" applyFill="1" applyBorder="1" applyAlignment="1">
      <alignment horizontal="right"/>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41" fontId="2" fillId="5" borderId="4" xfId="0" applyNumberFormat="1" applyFont="1" applyFill="1" applyBorder="1" applyAlignment="1">
      <alignment horizontal="right"/>
    </xf>
    <xf numFmtId="164" fontId="20" fillId="0" borderId="0" xfId="1" applyNumberFormat="1" applyFont="1" applyFill="1" applyBorder="1" applyAlignment="1">
      <alignment horizontal="left"/>
    </xf>
    <xf numFmtId="41" fontId="8" fillId="2" borderId="0" xfId="1" applyNumberFormat="1" applyFont="1" applyFill="1" applyBorder="1" applyAlignment="1">
      <alignment horizontal="right"/>
    </xf>
    <xf numFmtId="0" fontId="8" fillId="0" borderId="34" xfId="0" applyFont="1" applyBorder="1" applyAlignment="1">
      <alignment vertical="center"/>
    </xf>
    <xf numFmtId="0" fontId="26" fillId="12" borderId="11" xfId="0" applyFont="1" applyFill="1" applyBorder="1"/>
    <xf numFmtId="0" fontId="26" fillId="12" borderId="12" xfId="0" applyFont="1" applyFill="1" applyBorder="1"/>
    <xf numFmtId="0" fontId="26" fillId="12" borderId="1" xfId="0" applyFont="1" applyFill="1" applyBorder="1" applyAlignment="1">
      <alignment horizontal="center"/>
    </xf>
    <xf numFmtId="0" fontId="26" fillId="12" borderId="33" xfId="0" applyFont="1" applyFill="1" applyBorder="1"/>
    <xf numFmtId="172" fontId="8" fillId="2" borderId="34" xfId="1" applyNumberFormat="1" applyFont="1" applyFill="1" applyBorder="1" applyAlignment="1">
      <alignment horizontal="right"/>
    </xf>
    <xf numFmtId="172" fontId="8" fillId="2" borderId="1" xfId="1" applyNumberFormat="1" applyFont="1" applyFill="1" applyBorder="1" applyAlignment="1">
      <alignment horizontal="right"/>
    </xf>
    <xf numFmtId="169" fontId="19" fillId="10" borderId="22" xfId="0" applyNumberFormat="1" applyFont="1" applyFill="1" applyBorder="1" applyAlignment="1">
      <alignment horizontal="center" vertical="center" wrapText="1"/>
    </xf>
    <xf numFmtId="165" fontId="2" fillId="0" borderId="0" xfId="1" applyNumberFormat="1" applyFont="1" applyFill="1" applyBorder="1"/>
    <xf numFmtId="165" fontId="13" fillId="0" borderId="0" xfId="0" applyNumberFormat="1" applyFont="1" applyAlignment="1">
      <alignment horizontal="center" vertical="center" wrapText="1"/>
    </xf>
    <xf numFmtId="164" fontId="2" fillId="0" borderId="0" xfId="1" applyNumberFormat="1" applyFont="1" applyFill="1" applyBorder="1" applyAlignment="1"/>
    <xf numFmtId="3" fontId="10" fillId="2" borderId="45" xfId="0" applyNumberFormat="1" applyFont="1" applyFill="1" applyBorder="1" applyAlignment="1">
      <alignment horizontal="center"/>
    </xf>
    <xf numFmtId="0" fontId="10" fillId="2" borderId="45" xfId="0" applyFont="1" applyFill="1" applyBorder="1" applyAlignment="1">
      <alignment horizontal="center"/>
    </xf>
    <xf numFmtId="0" fontId="26" fillId="13" borderId="12" xfId="0" applyFont="1" applyFill="1" applyBorder="1"/>
    <xf numFmtId="0" fontId="26" fillId="13" borderId="33" xfId="0" applyFont="1" applyFill="1" applyBorder="1"/>
    <xf numFmtId="0" fontId="26" fillId="13" borderId="1" xfId="0" applyFont="1" applyFill="1" applyBorder="1" applyAlignment="1">
      <alignment horizontal="center"/>
    </xf>
    <xf numFmtId="16" fontId="13" fillId="3" borderId="22" xfId="0" applyNumberFormat="1"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164" fontId="2" fillId="0" borderId="2" xfId="1" applyNumberFormat="1" applyFont="1" applyFill="1" applyBorder="1" applyAlignment="1">
      <alignment horizontal="left"/>
    </xf>
    <xf numFmtId="164" fontId="10" fillId="4" borderId="20" xfId="1" applyNumberFormat="1" applyFont="1" applyFill="1" applyBorder="1" applyAlignment="1">
      <alignment horizontal="left"/>
    </xf>
    <xf numFmtId="164" fontId="10" fillId="4" borderId="4" xfId="1" applyNumberFormat="1" applyFont="1" applyFill="1" applyBorder="1" applyAlignment="1">
      <alignment horizontal="left"/>
    </xf>
    <xf numFmtId="164" fontId="10" fillId="4" borderId="29" xfId="1" applyNumberFormat="1" applyFont="1" applyFill="1" applyBorder="1" applyAlignment="1">
      <alignment horizontal="left"/>
    </xf>
    <xf numFmtId="164" fontId="2" fillId="0" borderId="46" xfId="1" applyNumberFormat="1" applyFont="1" applyFill="1" applyBorder="1" applyAlignment="1">
      <alignment horizontal="left"/>
    </xf>
    <xf numFmtId="164" fontId="2" fillId="0" borderId="5" xfId="1" applyNumberFormat="1" applyFont="1" applyFill="1" applyBorder="1" applyAlignment="1">
      <alignment horizontal="left"/>
    </xf>
    <xf numFmtId="164" fontId="2" fillId="0" borderId="34" xfId="1" applyNumberFormat="1" applyFont="1" applyFill="1" applyBorder="1" applyAlignment="1">
      <alignment horizontal="left"/>
    </xf>
    <xf numFmtId="164" fontId="10" fillId="0" borderId="0" xfId="1" applyNumberFormat="1" applyFont="1" applyFill="1" applyBorder="1" applyAlignment="1">
      <alignment horizontal="left"/>
    </xf>
    <xf numFmtId="0" fontId="26" fillId="14" borderId="12" xfId="0" applyFont="1" applyFill="1" applyBorder="1"/>
    <xf numFmtId="0" fontId="26" fillId="14" borderId="33" xfId="0" applyFont="1" applyFill="1" applyBorder="1"/>
    <xf numFmtId="0" fontId="26" fillId="14" borderId="1" xfId="0" applyFont="1" applyFill="1" applyBorder="1" applyAlignment="1">
      <alignment horizontal="center"/>
    </xf>
    <xf numFmtId="49" fontId="21" fillId="0" borderId="34" xfId="0" applyNumberFormat="1" applyFont="1" applyBorder="1" applyAlignment="1">
      <alignment horizontal="left" vertical="top" wrapText="1"/>
    </xf>
    <xf numFmtId="0" fontId="10" fillId="0" borderId="0" xfId="0" applyFont="1" applyAlignment="1">
      <alignment horizontal="left" vertical="center" wrapText="1"/>
    </xf>
    <xf numFmtId="41" fontId="2" fillId="5" borderId="14" xfId="0" applyNumberFormat="1" applyFont="1" applyFill="1" applyBorder="1"/>
    <xf numFmtId="164" fontId="2" fillId="0" borderId="32" xfId="1" applyNumberFormat="1" applyFont="1" applyFill="1" applyBorder="1" applyAlignment="1"/>
    <xf numFmtId="164" fontId="2" fillId="2" borderId="0" xfId="1" applyNumberFormat="1" applyFont="1" applyFill="1" applyBorder="1" applyAlignment="1"/>
    <xf numFmtId="0" fontId="26" fillId="0" borderId="3" xfId="0" applyFont="1" applyBorder="1"/>
    <xf numFmtId="41" fontId="8" fillId="0" borderId="34" xfId="1" applyNumberFormat="1" applyFont="1" applyFill="1" applyBorder="1" applyAlignment="1">
      <alignment horizontal="right"/>
    </xf>
    <xf numFmtId="0" fontId="16" fillId="5" borderId="0" xfId="2" applyFont="1" applyFill="1" applyAlignment="1">
      <alignment horizontal="center" vertical="top"/>
    </xf>
    <xf numFmtId="0" fontId="8" fillId="0" borderId="34" xfId="0" applyFont="1" applyBorder="1"/>
    <xf numFmtId="168" fontId="2" fillId="0" borderId="1" xfId="1" applyNumberFormat="1" applyFont="1" applyFill="1" applyBorder="1"/>
    <xf numFmtId="0" fontId="31" fillId="15" borderId="18"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32" fillId="16" borderId="5" xfId="0" applyFont="1" applyFill="1" applyBorder="1" applyAlignment="1">
      <alignment horizontal="left"/>
    </xf>
    <xf numFmtId="0" fontId="33" fillId="17" borderId="34" xfId="0" applyFont="1" applyFill="1" applyBorder="1" applyAlignment="1">
      <alignment horizontal="right"/>
    </xf>
    <xf numFmtId="0" fontId="32" fillId="16" borderId="44" xfId="0" applyFont="1" applyFill="1" applyBorder="1" applyAlignment="1">
      <alignment horizontal="left"/>
    </xf>
    <xf numFmtId="41" fontId="8" fillId="2" borderId="33" xfId="1" applyNumberFormat="1" applyFont="1" applyFill="1" applyBorder="1" applyAlignment="1">
      <alignment horizontal="right"/>
    </xf>
    <xf numFmtId="170" fontId="8" fillId="2" borderId="33" xfId="1" applyNumberFormat="1" applyFont="1" applyFill="1" applyBorder="1" applyAlignment="1">
      <alignment horizontal="right"/>
    </xf>
    <xf numFmtId="172" fontId="8" fillId="2" borderId="33" xfId="1" applyNumberFormat="1" applyFont="1" applyFill="1" applyBorder="1" applyAlignment="1">
      <alignment horizontal="right"/>
    </xf>
    <xf numFmtId="169" fontId="19" fillId="10" borderId="47" xfId="0" applyNumberFormat="1" applyFont="1" applyFill="1" applyBorder="1" applyAlignment="1">
      <alignment horizontal="center" vertical="center" wrapText="1"/>
    </xf>
    <xf numFmtId="169" fontId="19" fillId="10" borderId="19" xfId="0" applyNumberFormat="1" applyFont="1" applyFill="1" applyBorder="1" applyAlignment="1">
      <alignment horizontal="center" vertical="center" wrapText="1"/>
    </xf>
    <xf numFmtId="168" fontId="8" fillId="2" borderId="48" xfId="1" applyNumberFormat="1" applyFont="1" applyFill="1" applyBorder="1" applyAlignment="1">
      <alignment horizontal="right"/>
    </xf>
    <xf numFmtId="0" fontId="16" fillId="5" borderId="0" xfId="2" applyFont="1" applyFill="1" applyAlignment="1">
      <alignment horizontal="left" vertical="top"/>
    </xf>
    <xf numFmtId="164" fontId="2" fillId="0" borderId="44" xfId="1" applyNumberFormat="1" applyFont="1" applyFill="1" applyBorder="1" applyAlignment="1">
      <alignment horizontal="left"/>
    </xf>
    <xf numFmtId="164" fontId="2" fillId="0" borderId="43" xfId="1" applyNumberFormat="1" applyFont="1" applyFill="1" applyBorder="1" applyAlignment="1">
      <alignment horizontal="left"/>
    </xf>
    <xf numFmtId="164" fontId="2" fillId="0" borderId="39" xfId="1" applyNumberFormat="1" applyFont="1" applyFill="1" applyBorder="1" applyAlignment="1">
      <alignment horizontal="left"/>
    </xf>
    <xf numFmtId="0" fontId="34" fillId="2" borderId="0" xfId="0" applyFont="1" applyFill="1" applyAlignment="1">
      <alignment horizontal="left" vertical="center" wrapText="1"/>
    </xf>
    <xf numFmtId="0" fontId="35" fillId="6" borderId="0" xfId="3" applyFont="1" applyFill="1" applyAlignment="1">
      <alignment vertical="center" wrapText="1"/>
    </xf>
    <xf numFmtId="164" fontId="35" fillId="6" borderId="0" xfId="1" applyNumberFormat="1" applyFont="1" applyFill="1" applyBorder="1" applyAlignment="1">
      <alignment vertical="center" wrapText="1"/>
    </xf>
    <xf numFmtId="170" fontId="35" fillId="6" borderId="0" xfId="5" applyNumberFormat="1" applyFont="1" applyFill="1" applyBorder="1" applyAlignment="1">
      <alignment vertical="center" wrapText="1"/>
    </xf>
    <xf numFmtId="0" fontId="36" fillId="6" borderId="0" xfId="3" applyFont="1" applyFill="1" applyAlignment="1">
      <alignment vertical="center" wrapText="1"/>
    </xf>
    <xf numFmtId="0" fontId="38" fillId="8" borderId="1" xfId="0" applyFont="1" applyFill="1" applyBorder="1" applyAlignment="1">
      <alignment horizontal="left" vertical="top"/>
    </xf>
    <xf numFmtId="0" fontId="38" fillId="8" borderId="1" xfId="0" applyFont="1" applyFill="1" applyBorder="1" applyAlignment="1">
      <alignment horizontal="left"/>
    </xf>
    <xf numFmtId="164" fontId="38" fillId="8" borderId="1" xfId="1" applyNumberFormat="1" applyFont="1" applyFill="1" applyBorder="1" applyAlignment="1">
      <alignment horizontal="left"/>
    </xf>
    <xf numFmtId="170" fontId="38" fillId="8" borderId="1" xfId="5" applyNumberFormat="1" applyFont="1" applyFill="1" applyBorder="1" applyAlignment="1">
      <alignment horizontal="left"/>
    </xf>
    <xf numFmtId="0" fontId="39" fillId="0" borderId="1" xfId="0" applyFont="1" applyBorder="1" applyAlignment="1">
      <alignment vertical="center"/>
    </xf>
    <xf numFmtId="3" fontId="40" fillId="0" borderId="1" xfId="0" applyNumberFormat="1" applyFont="1" applyBorder="1"/>
    <xf numFmtId="173" fontId="40" fillId="0" borderId="1" xfId="0" applyNumberFormat="1" applyFont="1" applyBorder="1"/>
    <xf numFmtId="0" fontId="40" fillId="0" borderId="1" xfId="0" applyFont="1" applyBorder="1" applyAlignment="1">
      <alignment horizontal="left"/>
    </xf>
    <xf numFmtId="164" fontId="40" fillId="0" borderId="1" xfId="1" applyNumberFormat="1" applyFont="1" applyBorder="1" applyAlignment="1">
      <alignment horizontal="right"/>
    </xf>
    <xf numFmtId="170" fontId="40" fillId="0" borderId="1" xfId="5" applyNumberFormat="1" applyFont="1" applyBorder="1" applyAlignment="1">
      <alignment horizontal="right"/>
    </xf>
    <xf numFmtId="3" fontId="39" fillId="0" borderId="1" xfId="0" applyNumberFormat="1" applyFont="1" applyBorder="1" applyAlignment="1">
      <alignment vertical="center"/>
    </xf>
    <xf numFmtId="173" fontId="39" fillId="0" borderId="1" xfId="9" applyNumberFormat="1" applyFont="1" applyBorder="1" applyAlignment="1">
      <alignment vertical="center"/>
    </xf>
    <xf numFmtId="164" fontId="40" fillId="0" borderId="1" xfId="1" applyNumberFormat="1" applyFont="1" applyFill="1" applyBorder="1" applyAlignment="1">
      <alignment horizontal="right"/>
    </xf>
    <xf numFmtId="170" fontId="40" fillId="0" borderId="1" xfId="5" applyNumberFormat="1" applyFont="1" applyFill="1" applyBorder="1" applyAlignment="1">
      <alignment horizontal="right"/>
    </xf>
    <xf numFmtId="0" fontId="41" fillId="7" borderId="1" xfId="0" applyFont="1" applyFill="1" applyBorder="1" applyAlignment="1">
      <alignment vertical="center"/>
    </xf>
    <xf numFmtId="164" fontId="41" fillId="7" borderId="1" xfId="1" applyNumberFormat="1" applyFont="1" applyFill="1" applyBorder="1" applyAlignment="1">
      <alignment vertical="center"/>
    </xf>
    <xf numFmtId="170" fontId="41" fillId="7" borderId="1" xfId="5" applyNumberFormat="1" applyFont="1" applyFill="1" applyBorder="1" applyAlignment="1">
      <alignment vertical="center"/>
    </xf>
    <xf numFmtId="0" fontId="42" fillId="0" borderId="0" xfId="0" applyFont="1" applyAlignment="1">
      <alignment horizontal="left"/>
    </xf>
    <xf numFmtId="3" fontId="41" fillId="7" borderId="1" xfId="0" applyNumberFormat="1" applyFont="1" applyFill="1" applyBorder="1" applyAlignment="1">
      <alignment vertical="center"/>
    </xf>
    <xf numFmtId="173" fontId="41" fillId="7" borderId="1" xfId="9" applyNumberFormat="1" applyFont="1" applyFill="1" applyBorder="1" applyAlignment="1">
      <alignment vertical="center"/>
    </xf>
    <xf numFmtId="0" fontId="30" fillId="2" borderId="0" xfId="0" applyFont="1" applyFill="1" applyAlignment="1">
      <alignment horizontal="left" vertical="center" wrapText="1"/>
    </xf>
    <xf numFmtId="0" fontId="40" fillId="0" borderId="0" xfId="0" applyFont="1"/>
    <xf numFmtId="167" fontId="39" fillId="0" borderId="1" xfId="0" applyNumberFormat="1" applyFont="1" applyBorder="1" applyAlignment="1">
      <alignment vertical="center"/>
    </xf>
    <xf numFmtId="164" fontId="38" fillId="8" borderId="1" xfId="1" applyNumberFormat="1" applyFont="1" applyFill="1" applyBorder="1" applyAlignment="1">
      <alignment horizontal="right"/>
    </xf>
    <xf numFmtId="170" fontId="38" fillId="8" borderId="1" xfId="5" applyNumberFormat="1" applyFont="1" applyFill="1" applyBorder="1" applyAlignment="1">
      <alignment horizontal="right"/>
    </xf>
    <xf numFmtId="3" fontId="35" fillId="6" borderId="0" xfId="3" applyNumberFormat="1" applyFont="1" applyFill="1" applyAlignment="1">
      <alignment vertical="center" wrapText="1"/>
    </xf>
    <xf numFmtId="167" fontId="40" fillId="0" borderId="1" xfId="0" applyNumberFormat="1" applyFont="1" applyBorder="1"/>
    <xf numFmtId="167" fontId="41" fillId="7" borderId="1" xfId="0" applyNumberFormat="1" applyFont="1" applyFill="1" applyBorder="1" applyAlignment="1">
      <alignment vertical="center"/>
    </xf>
    <xf numFmtId="0" fontId="34" fillId="2" borderId="0" xfId="0" applyFont="1" applyFill="1" applyAlignment="1">
      <alignment horizontal="left" vertical="top" wrapText="1"/>
    </xf>
    <xf numFmtId="164" fontId="34" fillId="2" borderId="0" xfId="1" applyNumberFormat="1" applyFont="1" applyFill="1" applyBorder="1" applyAlignment="1">
      <alignment horizontal="left" vertical="center" wrapText="1"/>
    </xf>
    <xf numFmtId="164" fontId="40" fillId="0" borderId="0" xfId="1" applyNumberFormat="1" applyFont="1"/>
    <xf numFmtId="170" fontId="40" fillId="0" borderId="0" xfId="5" applyNumberFormat="1" applyFont="1"/>
    <xf numFmtId="0" fontId="38" fillId="3" borderId="50" xfId="0" applyFont="1" applyFill="1" applyBorder="1" applyAlignment="1">
      <alignment horizontal="center" vertical="center" wrapText="1"/>
    </xf>
    <xf numFmtId="0" fontId="37" fillId="4" borderId="50" xfId="0" applyFont="1" applyFill="1" applyBorder="1"/>
    <xf numFmtId="41" fontId="43" fillId="4" borderId="50" xfId="0" applyNumberFormat="1" applyFont="1" applyFill="1" applyBorder="1" applyAlignment="1">
      <alignment horizontal="center"/>
    </xf>
    <xf numFmtId="166" fontId="43" fillId="4" borderId="50" xfId="0" applyNumberFormat="1" applyFont="1" applyFill="1" applyBorder="1" applyAlignment="1">
      <alignment horizontal="center"/>
    </xf>
    <xf numFmtId="0" fontId="0" fillId="0" borderId="0" xfId="0" applyAlignment="1">
      <alignment horizontal="left"/>
    </xf>
    <xf numFmtId="2" fontId="0" fillId="0" borderId="0" xfId="0" applyNumberFormat="1"/>
    <xf numFmtId="0" fontId="37" fillId="18" borderId="50" xfId="0" applyFont="1" applyFill="1" applyBorder="1" applyAlignment="1">
      <alignment vertical="center"/>
    </xf>
    <xf numFmtId="3" fontId="37" fillId="18" borderId="50" xfId="0" applyNumberFormat="1" applyFont="1" applyFill="1" applyBorder="1" applyAlignment="1">
      <alignment vertical="center"/>
    </xf>
    <xf numFmtId="167" fontId="37" fillId="18" borderId="50" xfId="0" applyNumberFormat="1" applyFont="1" applyFill="1" applyBorder="1" applyAlignment="1">
      <alignment vertical="center"/>
    </xf>
    <xf numFmtId="164" fontId="0" fillId="0" borderId="0" xfId="1" applyNumberFormat="1" applyFont="1" applyBorder="1"/>
    <xf numFmtId="170" fontId="0" fillId="0" borderId="0" xfId="5" applyNumberFormat="1" applyFont="1" applyBorder="1"/>
    <xf numFmtId="0" fontId="40" fillId="0" borderId="50" xfId="0" applyFont="1" applyBorder="1" applyAlignment="1">
      <alignment horizontal="left" indent="1"/>
    </xf>
    <xf numFmtId="3" fontId="40" fillId="0" borderId="50" xfId="0" applyNumberFormat="1" applyFont="1" applyBorder="1"/>
    <xf numFmtId="167" fontId="40" fillId="0" borderId="50" xfId="0" applyNumberFormat="1" applyFont="1" applyBorder="1"/>
    <xf numFmtId="3" fontId="40" fillId="0" borderId="0" xfId="0" applyNumberFormat="1" applyFont="1"/>
    <xf numFmtId="3" fontId="37" fillId="18" borderId="50" xfId="0" applyNumberFormat="1" applyFont="1" applyFill="1" applyBorder="1"/>
    <xf numFmtId="167" fontId="37" fillId="18" borderId="50" xfId="0" applyNumberFormat="1" applyFont="1" applyFill="1" applyBorder="1"/>
    <xf numFmtId="0" fontId="40" fillId="0" borderId="50" xfId="0" applyFont="1" applyBorder="1" applyAlignment="1">
      <alignment horizontal="left" vertical="center" indent="1"/>
    </xf>
    <xf numFmtId="3" fontId="40" fillId="0" borderId="50" xfId="0" applyNumberFormat="1" applyFont="1" applyBorder="1" applyAlignment="1">
      <alignment vertical="center"/>
    </xf>
    <xf numFmtId="167" fontId="40" fillId="0" borderId="50" xfId="0" applyNumberFormat="1" applyFont="1" applyBorder="1" applyAlignment="1">
      <alignment vertical="center"/>
    </xf>
    <xf numFmtId="0" fontId="37" fillId="18" borderId="50" xfId="0" applyFont="1" applyFill="1" applyBorder="1"/>
    <xf numFmtId="0" fontId="37" fillId="18" borderId="50" xfId="0" applyFont="1" applyFill="1" applyBorder="1" applyAlignment="1">
      <alignment horizontal="left"/>
    </xf>
    <xf numFmtId="0" fontId="40" fillId="0" borderId="50" xfId="0" applyFont="1" applyBorder="1"/>
    <xf numFmtId="2" fontId="40" fillId="0" borderId="50" xfId="0" applyNumberFormat="1" applyFont="1" applyBorder="1"/>
    <xf numFmtId="164" fontId="40" fillId="0" borderId="0" xfId="1" applyNumberFormat="1" applyFont="1" applyBorder="1"/>
    <xf numFmtId="0" fontId="44" fillId="0" borderId="0" xfId="0" applyFont="1"/>
    <xf numFmtId="0" fontId="45" fillId="3" borderId="0" xfId="0" applyFont="1" applyFill="1" applyAlignment="1">
      <alignment horizontal="center" vertical="center" wrapText="1"/>
    </xf>
    <xf numFmtId="0" fontId="46" fillId="7" borderId="1" xfId="0" applyFont="1" applyFill="1" applyBorder="1" applyAlignment="1">
      <alignment horizontal="center" vertical="center" wrapText="1"/>
    </xf>
    <xf numFmtId="0" fontId="0" fillId="0" borderId="0" xfId="0" applyAlignment="1">
      <alignment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3" fontId="5" fillId="0" borderId="1" xfId="0" applyNumberFormat="1" applyFont="1" applyBorder="1"/>
    <xf numFmtId="171" fontId="5" fillId="0" borderId="1" xfId="0" applyNumberFormat="1" applyFont="1" applyBorder="1" applyAlignment="1">
      <alignment horizontal="left"/>
    </xf>
    <xf numFmtId="14" fontId="5" fillId="0" borderId="1" xfId="0" applyNumberFormat="1" applyFont="1" applyBorder="1" applyAlignment="1">
      <alignment horizontal="left" vertical="center"/>
    </xf>
    <xf numFmtId="0" fontId="16" fillId="0" borderId="0" xfId="2" applyFont="1" applyAlignment="1">
      <alignment vertical="top"/>
    </xf>
    <xf numFmtId="0" fontId="49" fillId="19" borderId="1" xfId="0" applyFont="1" applyFill="1" applyBorder="1" applyAlignment="1">
      <alignment horizontal="center" vertical="center" wrapText="1"/>
    </xf>
    <xf numFmtId="0" fontId="0" fillId="5" borderId="1" xfId="0" applyFill="1" applyBorder="1" applyAlignment="1">
      <alignment horizontal="left"/>
    </xf>
    <xf numFmtId="0" fontId="0" fillId="5" borderId="1" xfId="0" applyFill="1" applyBorder="1"/>
    <xf numFmtId="0" fontId="0" fillId="0" borderId="1" xfId="0" applyBorder="1" applyAlignment="1">
      <alignment horizontal="left"/>
    </xf>
    <xf numFmtId="0" fontId="50" fillId="20" borderId="54" xfId="0" applyFont="1" applyFill="1" applyBorder="1" applyAlignment="1">
      <alignment vertical="center"/>
    </xf>
    <xf numFmtId="0" fontId="50" fillId="20" borderId="55" xfId="0" applyFont="1" applyFill="1" applyBorder="1" applyAlignment="1">
      <alignment vertical="center"/>
    </xf>
    <xf numFmtId="0" fontId="0" fillId="0" borderId="0" xfId="0" applyAlignment="1">
      <alignment vertical="center"/>
    </xf>
    <xf numFmtId="0" fontId="50" fillId="20" borderId="50" xfId="0" applyFont="1" applyFill="1" applyBorder="1" applyAlignment="1">
      <alignment vertical="center"/>
    </xf>
    <xf numFmtId="0" fontId="50" fillId="20" borderId="55" xfId="0" applyFont="1" applyFill="1" applyBorder="1" applyAlignment="1">
      <alignment vertical="center" wrapText="1"/>
    </xf>
    <xf numFmtId="0" fontId="50" fillId="20" borderId="0" xfId="0" applyFont="1" applyFill="1" applyAlignment="1">
      <alignment vertical="center" wrapText="1"/>
    </xf>
    <xf numFmtId="0" fontId="51" fillId="0" borderId="56" xfId="0" applyFont="1" applyBorder="1" applyAlignment="1">
      <alignment vertical="center"/>
    </xf>
    <xf numFmtId="0" fontId="51" fillId="0" borderId="57" xfId="0" applyFont="1" applyBorder="1" applyAlignment="1">
      <alignment horizontal="right" vertical="center"/>
    </xf>
    <xf numFmtId="0" fontId="51" fillId="0" borderId="56" xfId="0" applyFont="1" applyBorder="1" applyAlignment="1">
      <alignment vertical="center" wrapText="1"/>
    </xf>
    <xf numFmtId="0" fontId="50" fillId="20" borderId="56" xfId="0" applyFont="1" applyFill="1" applyBorder="1" applyAlignment="1">
      <alignment vertical="center"/>
    </xf>
    <xf numFmtId="0" fontId="50" fillId="20" borderId="57" xfId="0" applyFont="1" applyFill="1" applyBorder="1" applyAlignment="1">
      <alignment horizontal="right" vertical="center"/>
    </xf>
    <xf numFmtId="0" fontId="22" fillId="0" borderId="0" xfId="0" applyFont="1" applyAlignment="1">
      <alignment horizontal="left" vertical="center"/>
    </xf>
    <xf numFmtId="0" fontId="50" fillId="0" borderId="7" xfId="0" applyFont="1" applyBorder="1" applyAlignment="1">
      <alignment horizontal="left" vertical="center"/>
    </xf>
    <xf numFmtId="0" fontId="50" fillId="0" borderId="0" xfId="0" applyFont="1" applyAlignment="1">
      <alignment horizontal="left" vertical="center"/>
    </xf>
    <xf numFmtId="2" fontId="51" fillId="0" borderId="57" xfId="0" applyNumberFormat="1" applyFont="1" applyBorder="1" applyAlignment="1">
      <alignment horizontal="right" vertical="center"/>
    </xf>
    <xf numFmtId="0" fontId="0" fillId="0" borderId="7" xfId="0" applyBorder="1" applyAlignment="1">
      <alignment horizontal="left" vertical="top" wrapText="1"/>
    </xf>
    <xf numFmtId="0" fontId="0" fillId="0" borderId="0" xfId="0" applyAlignment="1">
      <alignment horizontal="left" vertical="top" wrapText="1"/>
    </xf>
    <xf numFmtId="0" fontId="52" fillId="0" borderId="0" xfId="0" applyFont="1" applyAlignment="1">
      <alignment horizontal="left" vertical="top" wrapText="1"/>
    </xf>
    <xf numFmtId="2" fontId="50" fillId="20" borderId="57" xfId="0" applyNumberFormat="1" applyFont="1" applyFill="1" applyBorder="1" applyAlignment="1">
      <alignment horizontal="right" vertical="center"/>
    </xf>
    <xf numFmtId="0" fontId="22" fillId="0" borderId="0" xfId="0" applyFont="1"/>
    <xf numFmtId="0" fontId="7" fillId="0" borderId="0" xfId="3" applyFont="1" applyAlignment="1">
      <alignment vertical="center" wrapText="1"/>
    </xf>
    <xf numFmtId="0" fontId="15" fillId="2" borderId="0" xfId="0" applyFont="1" applyFill="1" applyAlignment="1">
      <alignment horizontal="left" vertical="center"/>
    </xf>
    <xf numFmtId="0" fontId="16" fillId="0" borderId="0" xfId="2" applyFont="1" applyAlignment="1">
      <alignment horizontal="left" vertical="top"/>
    </xf>
    <xf numFmtId="0" fontId="14" fillId="6" borderId="0" xfId="3" applyFont="1" applyFill="1" applyAlignment="1">
      <alignment horizontal="left" vertical="center" wrapText="1"/>
    </xf>
    <xf numFmtId="0" fontId="16" fillId="5" borderId="0" xfId="2" applyFont="1" applyFill="1" applyAlignment="1">
      <alignment horizontal="left" vertical="top"/>
    </xf>
    <xf numFmtId="0" fontId="2" fillId="4" borderId="2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24" xfId="0" applyFont="1" applyFill="1" applyBorder="1" applyAlignment="1">
      <alignment horizontal="center" vertical="center"/>
    </xf>
    <xf numFmtId="0" fontId="13" fillId="3" borderId="1"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2" xfId="0" applyFont="1" applyFill="1" applyBorder="1" applyAlignment="1">
      <alignment horizontal="center" vertical="center"/>
    </xf>
    <xf numFmtId="0" fontId="10" fillId="2" borderId="7" xfId="0" applyFont="1" applyFill="1" applyBorder="1" applyAlignment="1">
      <alignment horizontal="left" vertical="center" wrapText="1"/>
    </xf>
    <xf numFmtId="0" fontId="10" fillId="2" borderId="0" xfId="0" applyFont="1" applyFill="1" applyAlignment="1">
      <alignment horizontal="left" vertical="center" wrapText="1"/>
    </xf>
    <xf numFmtId="0" fontId="2" fillId="2" borderId="1" xfId="0" applyFont="1" applyFill="1" applyBorder="1"/>
    <xf numFmtId="0" fontId="2" fillId="2" borderId="0" xfId="0" applyFont="1" applyFill="1"/>
    <xf numFmtId="0" fontId="10" fillId="4" borderId="23"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24"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applyAlignment="1">
      <alignment horizontal="right"/>
    </xf>
    <xf numFmtId="0" fontId="2" fillId="4" borderId="26" xfId="0" applyFont="1" applyFill="1" applyBorder="1" applyAlignment="1">
      <alignment horizontal="center" vertical="center"/>
    </xf>
    <xf numFmtId="0" fontId="2" fillId="4" borderId="27" xfId="0" applyFont="1" applyFill="1" applyBorder="1" applyAlignment="1">
      <alignment horizontal="center" vertical="center"/>
    </xf>
    <xf numFmtId="0" fontId="2" fillId="4" borderId="28"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33" xfId="0" applyFont="1" applyFill="1" applyBorder="1" applyAlignment="1">
      <alignment horizontal="center" vertical="center"/>
    </xf>
    <xf numFmtId="0" fontId="13" fillId="3" borderId="15"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2" fillId="5" borderId="13" xfId="0" applyFont="1" applyFill="1" applyBorder="1" applyAlignment="1">
      <alignment horizontal="center"/>
    </xf>
    <xf numFmtId="0" fontId="2" fillId="5" borderId="14" xfId="0" applyFont="1" applyFill="1" applyBorder="1" applyAlignment="1">
      <alignment horizontal="center"/>
    </xf>
    <xf numFmtId="164" fontId="2" fillId="2" borderId="15" xfId="1" applyNumberFormat="1" applyFont="1" applyFill="1" applyBorder="1" applyAlignment="1">
      <alignment horizontal="left" wrapText="1"/>
    </xf>
    <xf numFmtId="164" fontId="2" fillId="2" borderId="16" xfId="1" applyNumberFormat="1" applyFont="1" applyFill="1" applyBorder="1" applyAlignment="1">
      <alignment horizontal="left" wrapText="1"/>
    </xf>
    <xf numFmtId="164" fontId="2" fillId="5" borderId="13" xfId="1" applyNumberFormat="1" applyFont="1" applyFill="1" applyBorder="1" applyAlignment="1">
      <alignment horizontal="center"/>
    </xf>
    <xf numFmtId="164" fontId="2" fillId="5" borderId="21" xfId="1" applyNumberFormat="1" applyFont="1" applyFill="1" applyBorder="1" applyAlignment="1">
      <alignment horizontal="center"/>
    </xf>
    <xf numFmtId="164" fontId="2" fillId="5" borderId="14" xfId="1" applyNumberFormat="1" applyFont="1" applyFill="1" applyBorder="1" applyAlignment="1">
      <alignment horizontal="center"/>
    </xf>
    <xf numFmtId="0" fontId="10" fillId="0" borderId="7" xfId="0" applyFont="1" applyBorder="1" applyAlignment="1">
      <alignment horizontal="left" vertical="center"/>
    </xf>
    <xf numFmtId="0" fontId="10" fillId="0" borderId="0" xfId="0" applyFont="1" applyAlignment="1">
      <alignment horizontal="left" vertical="center"/>
    </xf>
    <xf numFmtId="0" fontId="10" fillId="2" borderId="7" xfId="0" applyFont="1" applyFill="1" applyBorder="1" applyAlignment="1">
      <alignment horizontal="left" vertical="center"/>
    </xf>
    <xf numFmtId="0" fontId="10" fillId="2" borderId="0" xfId="0" applyFont="1" applyFill="1" applyAlignment="1">
      <alignment horizontal="left" vertical="center"/>
    </xf>
    <xf numFmtId="0" fontId="10" fillId="2" borderId="8" xfId="0" applyFont="1" applyFill="1" applyBorder="1" applyAlignment="1">
      <alignment horizontal="left" vertical="center"/>
    </xf>
    <xf numFmtId="0" fontId="10" fillId="2" borderId="7" xfId="0" applyFont="1" applyFill="1" applyBorder="1" applyAlignment="1">
      <alignment vertical="center" wrapText="1"/>
    </xf>
    <xf numFmtId="0" fontId="10" fillId="2" borderId="0" xfId="0" applyFont="1" applyFill="1" applyAlignment="1">
      <alignment vertical="center" wrapText="1"/>
    </xf>
    <xf numFmtId="164" fontId="2" fillId="2" borderId="30" xfId="1" applyNumberFormat="1" applyFont="1" applyFill="1" applyBorder="1" applyAlignment="1">
      <alignment horizontal="center"/>
    </xf>
    <xf numFmtId="164" fontId="2" fillId="2" borderId="31" xfId="1" applyNumberFormat="1" applyFont="1" applyFill="1" applyBorder="1" applyAlignment="1">
      <alignment horizontal="center"/>
    </xf>
    <xf numFmtId="164" fontId="2" fillId="2" borderId="32" xfId="1" applyNumberFormat="1" applyFont="1" applyFill="1" applyBorder="1" applyAlignment="1">
      <alignment horizontal="center"/>
    </xf>
    <xf numFmtId="164" fontId="2" fillId="2" borderId="11"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33" xfId="1" applyNumberFormat="1" applyFont="1" applyFill="1" applyBorder="1" applyAlignment="1">
      <alignment horizontal="center"/>
    </xf>
    <xf numFmtId="164" fontId="2" fillId="2" borderId="1" xfId="1" applyNumberFormat="1" applyFont="1" applyFill="1" applyBorder="1" applyAlignment="1">
      <alignment horizontal="right"/>
    </xf>
    <xf numFmtId="164" fontId="2" fillId="4" borderId="13" xfId="1" applyNumberFormat="1" applyFont="1" applyFill="1" applyBorder="1" applyAlignment="1">
      <alignment horizontal="center"/>
    </xf>
    <xf numFmtId="164" fontId="2" fillId="4" borderId="21" xfId="1" applyNumberFormat="1" applyFont="1" applyFill="1" applyBorder="1" applyAlignment="1">
      <alignment horizontal="center"/>
    </xf>
    <xf numFmtId="164" fontId="2" fillId="4" borderId="14" xfId="1" applyNumberFormat="1" applyFont="1" applyFill="1" applyBorder="1" applyAlignment="1">
      <alignment horizontal="center"/>
    </xf>
    <xf numFmtId="164" fontId="2" fillId="2" borderId="3" xfId="1" applyNumberFormat="1" applyFont="1" applyFill="1" applyBorder="1" applyAlignment="1">
      <alignment horizontal="right"/>
    </xf>
    <xf numFmtId="0" fontId="42" fillId="0" borderId="0" xfId="0" applyFont="1" applyAlignment="1">
      <alignment horizontal="left"/>
    </xf>
    <xf numFmtId="0" fontId="16" fillId="0" borderId="0" xfId="2" applyFont="1" applyAlignment="1">
      <alignment horizontal="center" vertical="top"/>
    </xf>
    <xf numFmtId="0" fontId="14" fillId="6" borderId="0" xfId="3" applyFont="1" applyFill="1" applyAlignment="1">
      <alignment horizontal="center" vertical="center" wrapText="1"/>
    </xf>
    <xf numFmtId="0" fontId="16" fillId="5" borderId="0" xfId="2" applyFont="1" applyFill="1" applyAlignment="1">
      <alignment horizontal="center" vertical="top"/>
    </xf>
    <xf numFmtId="0" fontId="34" fillId="2" borderId="17" xfId="0" applyFont="1" applyFill="1" applyBorder="1" applyAlignment="1">
      <alignment horizontal="left" wrapText="1"/>
    </xf>
    <xf numFmtId="0" fontId="37" fillId="0" borderId="0" xfId="0" applyFont="1" applyAlignment="1">
      <alignment horizontal="center"/>
    </xf>
    <xf numFmtId="0" fontId="34" fillId="2" borderId="49" xfId="0" applyFont="1" applyFill="1" applyBorder="1" applyAlignment="1">
      <alignment vertical="center" wrapText="1"/>
    </xf>
    <xf numFmtId="0" fontId="30" fillId="2" borderId="40" xfId="0" applyFont="1" applyFill="1" applyBorder="1" applyAlignment="1">
      <alignment horizontal="left" vertical="center" wrapText="1"/>
    </xf>
    <xf numFmtId="0" fontId="30" fillId="2" borderId="0" xfId="0" applyFont="1" applyFill="1" applyAlignment="1">
      <alignment horizontal="left" vertical="center" wrapText="1"/>
    </xf>
    <xf numFmtId="0" fontId="37" fillId="0" borderId="0" xfId="0" applyFont="1" applyAlignment="1">
      <alignment horizontal="left" wrapText="1"/>
    </xf>
    <xf numFmtId="0" fontId="37" fillId="0" borderId="0" xfId="0" applyFont="1" applyAlignment="1">
      <alignment horizontal="left"/>
    </xf>
    <xf numFmtId="0" fontId="34" fillId="2" borderId="0" xfId="0" applyFont="1" applyFill="1" applyAlignment="1">
      <alignment horizontal="left" vertical="top" wrapText="1"/>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10" fillId="0" borderId="37" xfId="0" applyFont="1" applyBorder="1" applyAlignment="1">
      <alignment horizontal="left" vertical="center"/>
    </xf>
    <xf numFmtId="0" fontId="10" fillId="0" borderId="17" xfId="0" applyFont="1" applyBorder="1" applyAlignment="1">
      <alignment horizontal="left" vertical="center"/>
    </xf>
    <xf numFmtId="0" fontId="2" fillId="2" borderId="40" xfId="0" applyFont="1" applyFill="1" applyBorder="1"/>
    <xf numFmtId="0" fontId="13" fillId="3" borderId="11"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2" fillId="5" borderId="13" xfId="0" applyFont="1" applyFill="1" applyBorder="1" applyAlignment="1">
      <alignment horizontal="left"/>
    </xf>
    <xf numFmtId="0" fontId="2" fillId="5" borderId="14" xfId="0" applyFont="1" applyFill="1" applyBorder="1" applyAlignment="1">
      <alignment horizontal="left"/>
    </xf>
    <xf numFmtId="164" fontId="2" fillId="2" borderId="30" xfId="1" applyNumberFormat="1" applyFont="1" applyFill="1" applyBorder="1" applyAlignment="1">
      <alignment horizontal="left"/>
    </xf>
    <xf numFmtId="164" fontId="2" fillId="2" borderId="32" xfId="1" applyNumberFormat="1" applyFont="1" applyFill="1" applyBorder="1" applyAlignment="1">
      <alignment horizontal="left"/>
    </xf>
    <xf numFmtId="164" fontId="2" fillId="2" borderId="11" xfId="1" applyNumberFormat="1" applyFont="1" applyFill="1" applyBorder="1" applyAlignment="1">
      <alignment horizontal="left"/>
    </xf>
    <xf numFmtId="164" fontId="2" fillId="2" borderId="33" xfId="1" applyNumberFormat="1" applyFont="1" applyFill="1" applyBorder="1" applyAlignment="1">
      <alignment horizontal="left"/>
    </xf>
    <xf numFmtId="0" fontId="10" fillId="0" borderId="7" xfId="0" applyFont="1" applyBorder="1" applyAlignment="1">
      <alignment horizontal="left" vertical="center" wrapText="1"/>
    </xf>
    <xf numFmtId="0" fontId="10" fillId="0" borderId="0" xfId="0" applyFont="1" applyAlignment="1">
      <alignment horizontal="left" vertical="center" wrapText="1"/>
    </xf>
    <xf numFmtId="0" fontId="10" fillId="2" borderId="17" xfId="0" applyFont="1" applyFill="1" applyBorder="1" applyAlignment="1">
      <alignment horizontal="left" vertical="center"/>
    </xf>
    <xf numFmtId="0" fontId="10" fillId="2" borderId="42" xfId="0" applyFont="1" applyFill="1" applyBorder="1" applyAlignment="1">
      <alignment horizontal="left" vertical="center"/>
    </xf>
    <xf numFmtId="0" fontId="10" fillId="0" borderId="7" xfId="0" applyFont="1" applyBorder="1" applyAlignment="1">
      <alignment vertical="center" wrapText="1"/>
    </xf>
    <xf numFmtId="0" fontId="10" fillId="0" borderId="0" xfId="0" applyFont="1" applyAlignment="1">
      <alignment vertical="center" wrapText="1"/>
    </xf>
    <xf numFmtId="0" fontId="10" fillId="4" borderId="33" xfId="0" applyFont="1" applyFill="1" applyBorder="1" applyAlignment="1">
      <alignment horizontal="center" vertical="center"/>
    </xf>
    <xf numFmtId="0" fontId="26" fillId="14" borderId="15" xfId="0" applyFont="1" applyFill="1" applyBorder="1" applyAlignment="1">
      <alignment horizontal="center"/>
    </xf>
    <xf numFmtId="0" fontId="26" fillId="14" borderId="16" xfId="0" applyFont="1" applyFill="1" applyBorder="1" applyAlignment="1">
      <alignment horizontal="center"/>
    </xf>
    <xf numFmtId="0" fontId="26" fillId="13" borderId="15" xfId="0" applyFont="1" applyFill="1" applyBorder="1" applyAlignment="1">
      <alignment horizontal="center"/>
    </xf>
    <xf numFmtId="0" fontId="26" fillId="13" borderId="16" xfId="0" applyFont="1" applyFill="1" applyBorder="1" applyAlignment="1">
      <alignment horizontal="center"/>
    </xf>
    <xf numFmtId="0" fontId="26" fillId="12" borderId="15" xfId="0" applyFont="1" applyFill="1" applyBorder="1" applyAlignment="1">
      <alignment horizontal="center"/>
    </xf>
    <xf numFmtId="0" fontId="26" fillId="12" borderId="16" xfId="0" applyFont="1" applyFill="1" applyBorder="1" applyAlignment="1">
      <alignment horizontal="center"/>
    </xf>
    <xf numFmtId="0" fontId="25" fillId="5" borderId="1" xfId="0" applyFont="1" applyFill="1" applyBorder="1" applyAlignment="1">
      <alignment horizontal="center" vertical="center"/>
    </xf>
    <xf numFmtId="0" fontId="25" fillId="4" borderId="1" xfId="0" applyFont="1" applyFill="1" applyBorder="1" applyAlignment="1">
      <alignment horizontal="center" vertical="center"/>
    </xf>
    <xf numFmtId="0" fontId="28" fillId="0" borderId="0" xfId="0" applyFont="1" applyAlignment="1">
      <alignment wrapText="1"/>
    </xf>
    <xf numFmtId="0" fontId="20" fillId="0" borderId="0" xfId="0" applyFont="1" applyAlignment="1">
      <alignment wrapText="1"/>
    </xf>
    <xf numFmtId="0" fontId="45" fillId="3" borderId="0" xfId="0" applyFont="1" applyFill="1" applyAlignment="1">
      <alignment horizontal="center" vertical="center" wrapText="1"/>
    </xf>
    <xf numFmtId="0" fontId="16" fillId="0" borderId="0" xfId="2" applyFont="1" applyAlignment="1">
      <alignment horizontal="center" vertical="top" wrapText="1"/>
    </xf>
    <xf numFmtId="0" fontId="16" fillId="0" borderId="49" xfId="2" applyFont="1" applyBorder="1" applyAlignment="1">
      <alignment horizontal="center" vertical="top" wrapText="1"/>
    </xf>
    <xf numFmtId="49" fontId="12" fillId="17" borderId="51" xfId="0" applyNumberFormat="1" applyFont="1" applyFill="1" applyBorder="1" applyAlignment="1">
      <alignment horizontal="left" vertical="top" wrapText="1"/>
    </xf>
    <xf numFmtId="49" fontId="12" fillId="17" borderId="52" xfId="0" applyNumberFormat="1" applyFont="1" applyFill="1" applyBorder="1" applyAlignment="1">
      <alignment horizontal="left" vertical="top" wrapText="1"/>
    </xf>
    <xf numFmtId="0" fontId="50" fillId="20" borderId="53" xfId="0" applyFont="1" applyFill="1" applyBorder="1" applyAlignment="1">
      <alignment horizontal="center" vertical="center"/>
    </xf>
    <xf numFmtId="0" fontId="50" fillId="20" borderId="54" xfId="0" applyFont="1" applyFill="1" applyBorder="1" applyAlignment="1">
      <alignment horizontal="center" vertical="center"/>
    </xf>
    <xf numFmtId="0" fontId="50" fillId="20" borderId="55" xfId="0" applyFont="1" applyFill="1" applyBorder="1" applyAlignment="1">
      <alignment horizontal="center" vertical="center"/>
    </xf>
    <xf numFmtId="0" fontId="0" fillId="0" borderId="53" xfId="0" applyBorder="1" applyAlignment="1">
      <alignment horizontal="left" vertical="top" wrapText="1"/>
    </xf>
    <xf numFmtId="0" fontId="0" fillId="0" borderId="54" xfId="0" applyBorder="1" applyAlignment="1">
      <alignment horizontal="left" vertical="top" wrapText="1"/>
    </xf>
    <xf numFmtId="0" fontId="0" fillId="0" borderId="55" xfId="0" applyBorder="1" applyAlignment="1">
      <alignment horizontal="left" vertical="top" wrapText="1"/>
    </xf>
    <xf numFmtId="0" fontId="22" fillId="0" borderId="0" xfId="0" applyFont="1" applyAlignment="1">
      <alignment horizontal="left" vertical="center"/>
    </xf>
    <xf numFmtId="0" fontId="50" fillId="20" borderId="7" xfId="0" applyFont="1" applyFill="1" applyBorder="1" applyAlignment="1">
      <alignment horizontal="center" vertical="center"/>
    </xf>
    <xf numFmtId="0" fontId="50" fillId="20"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52" fillId="0" borderId="7" xfId="0" applyFont="1" applyBorder="1" applyAlignment="1">
      <alignment horizontal="left" vertical="top" wrapText="1"/>
    </xf>
    <xf numFmtId="0" fontId="52" fillId="0" borderId="0" xfId="0" applyFont="1" applyAlignment="1">
      <alignment horizontal="left" vertical="top" wrapText="1"/>
    </xf>
    <xf numFmtId="0" fontId="8" fillId="2" borderId="5" xfId="0" applyFont="1" applyFill="1" applyBorder="1" applyAlignment="1">
      <alignment horizontal="center" vertical="top" wrapText="1"/>
    </xf>
    <xf numFmtId="0" fontId="8" fillId="0" borderId="5" xfId="0" applyFont="1" applyBorder="1" applyAlignment="1">
      <alignment horizontal="center" vertical="top"/>
    </xf>
    <xf numFmtId="0" fontId="8" fillId="0" borderId="5" xfId="0" applyFont="1" applyBorder="1" applyAlignment="1">
      <alignment horizontal="center" vertical="top" wrapText="1"/>
    </xf>
    <xf numFmtId="0" fontId="26" fillId="0" borderId="5" xfId="0" applyFont="1" applyBorder="1" applyAlignment="1">
      <alignment horizontal="center" vertical="top" wrapText="1"/>
    </xf>
    <xf numFmtId="0" fontId="26" fillId="0" borderId="5" xfId="0" applyFont="1" applyBorder="1" applyAlignment="1">
      <alignment vertical="top" wrapText="1"/>
    </xf>
    <xf numFmtId="0" fontId="26" fillId="0" borderId="44" xfId="0" applyFont="1" applyBorder="1" applyAlignment="1">
      <alignment vertical="top" wrapText="1"/>
    </xf>
    <xf numFmtId="0" fontId="8" fillId="0" borderId="5" xfId="0" applyFont="1" applyBorder="1" applyAlignment="1">
      <alignment horizontal="left" vertical="top" wrapText="1"/>
    </xf>
    <xf numFmtId="0" fontId="16" fillId="2" borderId="0" xfId="2" applyFont="1" applyFill="1" applyAlignment="1">
      <alignment horizontal="left" vertical="top"/>
    </xf>
    <xf numFmtId="0" fontId="8" fillId="0" borderId="35" xfId="0" applyFont="1" applyBorder="1" applyAlignment="1">
      <alignment horizontal="left" vertical="top" wrapText="1"/>
    </xf>
    <xf numFmtId="0" fontId="8" fillId="0" borderId="2" xfId="0" applyFont="1" applyBorder="1" applyAlignment="1">
      <alignment horizontal="left" vertical="top" wrapText="1"/>
    </xf>
    <xf numFmtId="0" fontId="8" fillId="0" borderId="36" xfId="0" applyFont="1" applyBorder="1" applyAlignment="1">
      <alignment horizontal="left" vertical="top" wrapText="1"/>
    </xf>
    <xf numFmtId="0" fontId="8" fillId="0" borderId="7" xfId="0" applyFont="1" applyBorder="1" applyAlignment="1">
      <alignment horizontal="left" vertical="top" wrapText="1"/>
    </xf>
    <xf numFmtId="0" fontId="8" fillId="0" borderId="37" xfId="0" applyFont="1" applyBorder="1" applyAlignment="1">
      <alignment horizontal="left" vertical="top" wrapText="1"/>
    </xf>
    <xf numFmtId="0" fontId="8" fillId="0" borderId="35" xfId="0" applyFont="1" applyBorder="1" applyAlignment="1">
      <alignment horizontal="center" vertical="top" wrapText="1"/>
    </xf>
    <xf numFmtId="0" fontId="8" fillId="0" borderId="9"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left" vertical="top" wrapText="1"/>
    </xf>
    <xf numFmtId="0" fontId="8" fillId="2" borderId="35" xfId="0" applyFont="1" applyFill="1" applyBorder="1" applyAlignment="1">
      <alignment horizontal="center" vertical="top" wrapText="1"/>
    </xf>
    <xf numFmtId="0" fontId="8" fillId="2" borderId="9" xfId="0" applyFont="1" applyFill="1" applyBorder="1" applyAlignment="1">
      <alignment horizontal="center" vertical="top" wrapText="1"/>
    </xf>
    <xf numFmtId="0" fontId="8" fillId="2" borderId="38" xfId="0" applyFont="1" applyFill="1" applyBorder="1" applyAlignment="1">
      <alignment horizontal="center" vertical="top" wrapText="1"/>
    </xf>
  </cellXfs>
  <cellStyles count="10">
    <cellStyle name="Comma" xfId="1" builtinId="3"/>
    <cellStyle name="Comma 2" xfId="7" xr:uid="{A93BED55-B359-434B-AE86-4CCC69A0120F}"/>
    <cellStyle name="Currency" xfId="9" builtinId="4"/>
    <cellStyle name="Normal" xfId="0" builtinId="0"/>
    <cellStyle name="Normal 2" xfId="4" xr:uid="{00000000-0005-0000-0000-000002000000}"/>
    <cellStyle name="Normal 2 3" xfId="6" xr:uid="{2ABC156F-E790-4D11-8103-609CDA7548BA}"/>
    <cellStyle name="Normal 3" xfId="8" xr:uid="{6329B972-6440-4BC4-BF5D-47658604C586}"/>
    <cellStyle name="Normal 5" xfId="2" xr:uid="{00000000-0005-0000-0000-000003000000}"/>
    <cellStyle name="Normal_FLQuickRefGuide_4.27.09" xfId="3" xr:uid="{00000000-0005-0000-0000-000004000000}"/>
    <cellStyle name="Percent" xfId="5" builtinId="5"/>
  </cellStyles>
  <dxfs count="0"/>
  <tableStyles count="0" defaultTableStyle="TableStyleMedium2" defaultPivotStyle="PivotStyleLight16"/>
  <colors>
    <mruColors>
      <color rgb="FFD9D9D9"/>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24" t="s">
        <v>475</v>
      </c>
    </row>
    <row r="2" spans="1:1" ht="51.75" customHeight="1" x14ac:dyDescent="0.35">
      <c r="A2" s="23" t="s">
        <v>42</v>
      </c>
    </row>
    <row r="3" spans="1:1" ht="76.400000000000006" customHeight="1" x14ac:dyDescent="0.35">
      <c r="A3" s="23" t="s">
        <v>548</v>
      </c>
    </row>
    <row r="4" spans="1:1" ht="22.5" customHeight="1" x14ac:dyDescent="0.35">
      <c r="A4" s="23" t="s">
        <v>474</v>
      </c>
    </row>
    <row r="5" spans="1:1" ht="36.75" customHeight="1" x14ac:dyDescent="0.35">
      <c r="A5" s="23" t="s">
        <v>446</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5"/>
  <sheetViews>
    <sheetView showGridLines="0" zoomScaleNormal="100" zoomScalePageLayoutView="90" workbookViewId="0">
      <selection activeCell="A3" sqref="A3:D3"/>
    </sheetView>
  </sheetViews>
  <sheetFormatPr defaultRowHeight="14.5" x14ac:dyDescent="0.35"/>
  <cols>
    <col min="1" max="1" width="36.453125" customWidth="1"/>
    <col min="2" max="2" width="11.1796875"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7.54296875" bestFit="1" customWidth="1"/>
    <col min="13" max="13" width="9" bestFit="1" customWidth="1"/>
    <col min="14" max="14" width="13.54296875" customWidth="1"/>
    <col min="15" max="15" width="17.1796875" customWidth="1"/>
    <col min="16" max="16" width="10.453125" customWidth="1"/>
    <col min="27" max="27" width="10.54296875" bestFit="1" customWidth="1"/>
  </cols>
  <sheetData>
    <row r="1" spans="1:50" s="5" customFormat="1" ht="27.75" customHeight="1" x14ac:dyDescent="0.3">
      <c r="A1" s="362" t="s">
        <v>41</v>
      </c>
      <c r="B1" s="362"/>
      <c r="C1" s="362"/>
      <c r="D1" s="362"/>
    </row>
    <row r="2" spans="1:50" s="1" customFormat="1" ht="45.75" customHeight="1" x14ac:dyDescent="0.3">
      <c r="A2" s="363" t="s">
        <v>42</v>
      </c>
      <c r="B2" s="363"/>
      <c r="C2" s="363"/>
      <c r="D2" s="363"/>
      <c r="E2" s="363"/>
      <c r="F2" s="363"/>
      <c r="G2" s="363"/>
      <c r="H2" s="363"/>
      <c r="I2" s="363"/>
      <c r="J2" s="363"/>
      <c r="K2" s="363"/>
      <c r="L2" s="363"/>
      <c r="M2" s="363"/>
      <c r="N2" s="363"/>
      <c r="O2" s="363"/>
      <c r="P2" s="363"/>
      <c r="Q2" s="27"/>
      <c r="R2" s="27"/>
      <c r="S2" s="27"/>
      <c r="T2" s="27"/>
      <c r="U2" s="27"/>
      <c r="V2" s="27"/>
    </row>
    <row r="3" spans="1:50" ht="31.5" customHeight="1" x14ac:dyDescent="0.35">
      <c r="A3" s="364" t="s">
        <v>535</v>
      </c>
      <c r="B3" s="364"/>
      <c r="C3" s="364"/>
      <c r="D3" s="364"/>
      <c r="E3" s="25"/>
      <c r="F3" s="25"/>
      <c r="G3" s="25"/>
      <c r="H3" s="25"/>
      <c r="I3" s="25"/>
      <c r="J3" s="25"/>
      <c r="K3" s="25"/>
      <c r="L3" s="25"/>
      <c r="M3" s="25"/>
      <c r="N3" s="25"/>
      <c r="O3" s="25"/>
      <c r="P3" s="25"/>
      <c r="Q3" s="25"/>
      <c r="R3" s="25"/>
      <c r="S3" s="25"/>
      <c r="T3" s="25"/>
      <c r="U3" s="25"/>
      <c r="V3" s="25"/>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5" customFormat="1" ht="30.75" customHeight="1" x14ac:dyDescent="0.3">
      <c r="A4" s="361"/>
      <c r="B4" s="361"/>
      <c r="C4" s="361"/>
      <c r="D4" s="361"/>
      <c r="E4" s="361"/>
      <c r="F4" s="361"/>
      <c r="G4" s="361"/>
      <c r="H4" s="361"/>
      <c r="I4" s="361"/>
      <c r="J4" s="361"/>
      <c r="K4" s="361"/>
      <c r="L4" s="361"/>
      <c r="M4" s="361"/>
      <c r="N4" s="361"/>
      <c r="O4" s="361"/>
      <c r="P4" s="361"/>
      <c r="Q4" s="361"/>
      <c r="R4" s="361"/>
      <c r="S4" s="361"/>
      <c r="T4" s="361"/>
      <c r="U4" s="361"/>
      <c r="V4" s="361"/>
      <c r="W4" s="8"/>
      <c r="X4" s="8"/>
      <c r="Y4" s="8"/>
      <c r="Z4" s="8"/>
    </row>
    <row r="5" spans="1:50" s="1" customFormat="1" ht="7.5" customHeight="1" thickBot="1" x14ac:dyDescent="0.3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3">
      <c r="A6" s="369"/>
      <c r="B6" s="370"/>
      <c r="C6" s="370"/>
      <c r="D6" s="370"/>
      <c r="E6" s="370"/>
      <c r="F6" s="370"/>
      <c r="G6" s="370"/>
      <c r="H6" s="370"/>
      <c r="I6" s="370"/>
      <c r="J6" s="370"/>
      <c r="K6" s="370"/>
      <c r="L6" s="370"/>
      <c r="M6" s="370"/>
      <c r="N6" s="370"/>
      <c r="O6" s="370"/>
      <c r="P6" s="370"/>
      <c r="Q6" s="370"/>
      <c r="R6" s="370"/>
      <c r="S6" s="370"/>
      <c r="T6" s="370"/>
      <c r="U6" s="370"/>
      <c r="V6" s="371"/>
      <c r="W6" s="2"/>
      <c r="X6" s="2"/>
      <c r="Y6" s="2"/>
      <c r="Z6" s="2"/>
    </row>
    <row r="7" spans="1:50" s="5" customFormat="1" ht="16.5" customHeight="1" x14ac:dyDescent="0.3">
      <c r="A7" s="45"/>
      <c r="B7" s="14"/>
      <c r="C7" s="14"/>
      <c r="D7" s="14"/>
      <c r="E7" s="14"/>
      <c r="F7" s="14"/>
      <c r="G7" s="14"/>
      <c r="H7" s="14"/>
      <c r="J7" s="35"/>
      <c r="K7" s="35"/>
      <c r="L7" s="35"/>
      <c r="N7" s="14"/>
      <c r="O7" s="14"/>
      <c r="P7" s="14"/>
      <c r="Q7" s="14"/>
      <c r="R7" s="14"/>
      <c r="S7" s="14"/>
      <c r="T7" s="14"/>
      <c r="U7" s="14"/>
      <c r="V7" s="15"/>
      <c r="W7" s="16"/>
      <c r="X7" s="16"/>
      <c r="Y7" s="16"/>
      <c r="Z7" s="16"/>
    </row>
    <row r="8" spans="1:50" s="37" customFormat="1" ht="30.65" customHeight="1" x14ac:dyDescent="0.3">
      <c r="A8" s="372" t="s">
        <v>532</v>
      </c>
      <c r="B8" s="373"/>
      <c r="C8" s="373"/>
      <c r="D8" s="373"/>
      <c r="E8" s="36"/>
      <c r="F8" s="36"/>
      <c r="G8" s="373" t="s">
        <v>516</v>
      </c>
      <c r="H8" s="373"/>
      <c r="I8" s="373"/>
      <c r="J8" s="373"/>
      <c r="K8" s="373"/>
      <c r="M8" s="373" t="s">
        <v>534</v>
      </c>
      <c r="N8" s="373"/>
      <c r="O8" s="373"/>
      <c r="P8" s="373"/>
      <c r="Q8" s="373"/>
      <c r="T8" s="82"/>
      <c r="U8" s="82"/>
      <c r="V8" s="83"/>
      <c r="W8" s="38"/>
      <c r="X8" s="38"/>
      <c r="Y8" s="38"/>
      <c r="Z8" s="38"/>
    </row>
    <row r="9" spans="1:50" s="5" customFormat="1" ht="28.4" customHeight="1" x14ac:dyDescent="0.3">
      <c r="A9" s="11" t="s">
        <v>511</v>
      </c>
      <c r="B9" s="34" t="s">
        <v>116</v>
      </c>
      <c r="C9" s="34" t="s">
        <v>117</v>
      </c>
      <c r="D9" s="34" t="s">
        <v>1</v>
      </c>
      <c r="E9" s="14"/>
      <c r="F9" s="14"/>
      <c r="G9" s="368" t="s">
        <v>118</v>
      </c>
      <c r="H9" s="368"/>
      <c r="I9" s="42" t="s">
        <v>116</v>
      </c>
      <c r="J9" s="42" t="s">
        <v>117</v>
      </c>
      <c r="K9" s="42" t="s">
        <v>1</v>
      </c>
      <c r="M9" s="368" t="s">
        <v>114</v>
      </c>
      <c r="N9" s="368"/>
      <c r="O9" s="368" t="s">
        <v>115</v>
      </c>
      <c r="P9" s="368"/>
      <c r="Q9" s="368"/>
      <c r="R9" s="14"/>
      <c r="S9" s="14"/>
      <c r="T9" s="14"/>
      <c r="U9" s="16"/>
      <c r="V9" s="20"/>
      <c r="W9" s="16"/>
      <c r="X9" s="16"/>
    </row>
    <row r="10" spans="1:50" s="5" customFormat="1" ht="16.5" customHeight="1" thickBot="1" x14ac:dyDescent="0.35">
      <c r="A10" s="46" t="s">
        <v>1</v>
      </c>
      <c r="B10" s="59">
        <v>319</v>
      </c>
      <c r="C10" s="59">
        <v>18749</v>
      </c>
      <c r="D10" s="59">
        <v>19068</v>
      </c>
      <c r="E10" s="14"/>
      <c r="F10" s="14"/>
      <c r="G10" s="374" t="s">
        <v>119</v>
      </c>
      <c r="H10" s="374"/>
      <c r="I10" s="17">
        <v>19.149999999999999</v>
      </c>
      <c r="J10" s="17">
        <v>137.15</v>
      </c>
      <c r="K10" s="17">
        <v>133.68</v>
      </c>
      <c r="M10" s="379" t="s">
        <v>1</v>
      </c>
      <c r="N10" s="379"/>
      <c r="O10" s="382">
        <v>2387</v>
      </c>
      <c r="P10" s="382"/>
      <c r="Q10" s="382"/>
      <c r="R10" s="14"/>
      <c r="S10" s="14"/>
      <c r="T10" s="14"/>
      <c r="U10" s="88"/>
      <c r="V10" s="97"/>
      <c r="W10" s="16"/>
      <c r="X10" s="16"/>
      <c r="Z10" s="84"/>
      <c r="AA10" s="84"/>
    </row>
    <row r="11" spans="1:50" s="5" customFormat="1" ht="13.4" customHeight="1" thickTop="1" x14ac:dyDescent="0.3">
      <c r="A11" s="47" t="s">
        <v>124</v>
      </c>
      <c r="B11" s="13">
        <v>307</v>
      </c>
      <c r="C11" s="13">
        <v>4086</v>
      </c>
      <c r="D11" s="13">
        <v>4393</v>
      </c>
      <c r="E11" s="14"/>
      <c r="F11" s="14"/>
      <c r="G11" s="375"/>
      <c r="H11" s="375"/>
      <c r="I11" s="41"/>
      <c r="J11" s="41"/>
      <c r="K11" s="41"/>
      <c r="M11" s="380" t="s">
        <v>116</v>
      </c>
      <c r="N11" s="380"/>
      <c r="O11" s="415">
        <v>0</v>
      </c>
      <c r="P11" s="415"/>
      <c r="Q11" s="415"/>
      <c r="R11" s="14"/>
      <c r="S11" s="14"/>
      <c r="T11" s="14"/>
      <c r="U11" s="88"/>
      <c r="V11" s="97"/>
      <c r="W11" s="16"/>
      <c r="X11" s="16"/>
      <c r="Z11" s="84"/>
      <c r="AA11" s="84"/>
    </row>
    <row r="12" spans="1:50" s="5" customFormat="1" ht="13.4" customHeight="1" x14ac:dyDescent="0.3">
      <c r="A12" s="48" t="s">
        <v>125</v>
      </c>
      <c r="B12" s="32">
        <v>2</v>
      </c>
      <c r="C12" s="32">
        <v>11146</v>
      </c>
      <c r="D12" s="32">
        <v>11148</v>
      </c>
      <c r="E12" s="14"/>
      <c r="F12" s="14"/>
      <c r="M12" s="381" t="s">
        <v>117</v>
      </c>
      <c r="N12" s="381"/>
      <c r="O12" s="411">
        <v>2387</v>
      </c>
      <c r="P12" s="411"/>
      <c r="Q12" s="411"/>
      <c r="R12" s="14"/>
      <c r="S12" s="14"/>
      <c r="T12" s="14"/>
      <c r="U12" s="88"/>
      <c r="V12" s="97"/>
      <c r="W12" s="16"/>
      <c r="X12" s="16"/>
      <c r="Z12" s="84"/>
      <c r="AA12" s="84"/>
    </row>
    <row r="13" spans="1:50" s="5" customFormat="1" ht="13.4" customHeight="1" x14ac:dyDescent="0.3">
      <c r="A13" s="48" t="s">
        <v>126</v>
      </c>
      <c r="B13" s="32">
        <v>1</v>
      </c>
      <c r="C13" s="32">
        <v>2415</v>
      </c>
      <c r="D13" s="32">
        <v>2416</v>
      </c>
      <c r="E13" s="14"/>
      <c r="F13" s="14"/>
      <c r="G13" s="14"/>
      <c r="H13" s="14"/>
      <c r="I13" s="14"/>
      <c r="J13" s="14"/>
      <c r="K13" s="14"/>
      <c r="R13" s="14"/>
      <c r="S13" s="14"/>
      <c r="T13" s="14"/>
      <c r="U13" s="88"/>
      <c r="V13" s="97"/>
      <c r="W13" s="16"/>
      <c r="X13" s="16"/>
      <c r="Z13" s="84"/>
      <c r="AA13" s="84"/>
    </row>
    <row r="14" spans="1:50" s="5" customFormat="1" ht="13.4" customHeight="1" x14ac:dyDescent="0.3">
      <c r="A14" s="48" t="s">
        <v>0</v>
      </c>
      <c r="B14" s="32">
        <v>9</v>
      </c>
      <c r="C14" s="32">
        <v>1102</v>
      </c>
      <c r="D14" s="32">
        <v>1111</v>
      </c>
      <c r="E14" s="14"/>
      <c r="F14" s="14"/>
      <c r="G14" s="14"/>
      <c r="H14" s="14"/>
      <c r="I14" s="14"/>
      <c r="J14" s="14"/>
      <c r="K14" s="14"/>
      <c r="L14" s="14"/>
      <c r="M14" s="14"/>
      <c r="N14" s="14"/>
      <c r="O14" s="14"/>
      <c r="P14" s="14"/>
      <c r="Q14" s="14"/>
      <c r="R14" s="14"/>
      <c r="S14" s="14"/>
      <c r="T14" s="14"/>
      <c r="U14" s="88"/>
      <c r="V14" s="97"/>
      <c r="W14" s="16"/>
      <c r="X14" s="16"/>
      <c r="Z14" s="84"/>
      <c r="AA14" s="84"/>
    </row>
    <row r="15" spans="1:50" s="5" customFormat="1" ht="16.5" customHeight="1" x14ac:dyDescent="0.3">
      <c r="A15" s="49"/>
      <c r="B15" s="18"/>
      <c r="C15" s="18"/>
      <c r="D15" s="18"/>
      <c r="E15" s="18"/>
      <c r="F15" s="18"/>
      <c r="G15" s="14"/>
      <c r="H15" s="14"/>
      <c r="I15" s="14"/>
      <c r="J15" s="14"/>
      <c r="K15" s="14"/>
      <c r="L15" s="14"/>
      <c r="M15" s="14"/>
      <c r="N15" s="14"/>
      <c r="O15" s="14"/>
      <c r="P15" s="14"/>
      <c r="Q15" s="14"/>
      <c r="R15" s="14"/>
      <c r="S15" s="14"/>
      <c r="T15" s="14"/>
      <c r="U15" s="14"/>
      <c r="V15" s="15"/>
      <c r="W15" s="16"/>
      <c r="X15" s="16"/>
      <c r="Y15" s="16"/>
      <c r="Z15" s="16"/>
    </row>
    <row r="16" spans="1:50" s="5" customFormat="1" ht="16.5" customHeight="1" x14ac:dyDescent="0.3">
      <c r="A16" s="376"/>
      <c r="B16" s="377"/>
      <c r="C16" s="377"/>
      <c r="D16" s="377"/>
      <c r="E16" s="377"/>
      <c r="F16" s="377"/>
      <c r="G16" s="377"/>
      <c r="H16" s="377"/>
      <c r="I16" s="377"/>
      <c r="J16" s="377"/>
      <c r="K16" s="377"/>
      <c r="L16" s="377"/>
      <c r="M16" s="377"/>
      <c r="N16" s="377"/>
      <c r="O16" s="377"/>
      <c r="P16" s="377"/>
      <c r="Q16" s="377"/>
      <c r="R16" s="377"/>
      <c r="S16" s="377"/>
      <c r="T16" s="377"/>
      <c r="U16" s="377"/>
      <c r="V16" s="378"/>
      <c r="W16" s="16"/>
      <c r="X16" s="16"/>
      <c r="Y16" s="16"/>
      <c r="Z16" s="16"/>
    </row>
    <row r="17" spans="1:26" s="5" customFormat="1" ht="16.5" customHeight="1" x14ac:dyDescent="0.3">
      <c r="A17" s="45"/>
      <c r="B17" s="14"/>
      <c r="C17" s="14"/>
      <c r="D17" s="14"/>
      <c r="E17" s="14"/>
      <c r="F17" s="14"/>
      <c r="G17" s="14"/>
      <c r="H17" s="14"/>
      <c r="I17" s="14"/>
      <c r="J17" s="14"/>
      <c r="K17" s="14"/>
      <c r="L17" s="14"/>
      <c r="M17" s="14"/>
      <c r="N17" s="14"/>
      <c r="O17" s="14"/>
      <c r="P17" s="14"/>
      <c r="Q17" s="14"/>
      <c r="R17" s="14"/>
      <c r="S17" s="14"/>
      <c r="T17" s="14"/>
      <c r="U17" s="14"/>
      <c r="V17" s="15"/>
      <c r="W17" s="16"/>
      <c r="X17" s="16"/>
      <c r="Y17" s="16"/>
      <c r="Z17" s="16"/>
    </row>
    <row r="18" spans="1:26" s="7" customFormat="1" ht="27.65" customHeight="1" x14ac:dyDescent="0.3">
      <c r="A18" s="372" t="s">
        <v>533</v>
      </c>
      <c r="B18" s="373"/>
      <c r="C18" s="373"/>
      <c r="D18" s="373"/>
      <c r="E18" s="373"/>
      <c r="F18" s="373"/>
      <c r="I18" s="401" t="s">
        <v>536</v>
      </c>
      <c r="J18" s="401"/>
      <c r="K18" s="401"/>
      <c r="L18" s="401"/>
      <c r="M18" s="401"/>
      <c r="N18" s="401"/>
      <c r="O18" s="401"/>
      <c r="P18" s="401"/>
      <c r="Q18" s="401"/>
      <c r="R18" s="401"/>
      <c r="S18" s="401"/>
      <c r="T18" s="401"/>
      <c r="U18" s="401"/>
      <c r="V18" s="402"/>
      <c r="W18" s="19"/>
      <c r="X18" s="19"/>
      <c r="Y18" s="19"/>
      <c r="Z18" s="19"/>
    </row>
    <row r="19" spans="1:26" s="1" customFormat="1" ht="28.75" customHeight="1" x14ac:dyDescent="0.3">
      <c r="A19" s="34" t="s">
        <v>120</v>
      </c>
      <c r="B19" s="34" t="s">
        <v>74</v>
      </c>
      <c r="C19" s="34" t="s">
        <v>121</v>
      </c>
      <c r="D19" s="34" t="s">
        <v>56</v>
      </c>
      <c r="E19" s="34" t="s">
        <v>122</v>
      </c>
      <c r="F19" s="34" t="s">
        <v>1</v>
      </c>
      <c r="I19" s="34" t="s">
        <v>127</v>
      </c>
      <c r="J19" s="34" t="s">
        <v>128</v>
      </c>
      <c r="K19" s="34" t="s">
        <v>129</v>
      </c>
      <c r="L19" s="34" t="s">
        <v>130</v>
      </c>
      <c r="M19" s="34" t="s">
        <v>131</v>
      </c>
      <c r="N19" s="34" t="s">
        <v>132</v>
      </c>
      <c r="O19" s="34" t="s">
        <v>133</v>
      </c>
      <c r="P19" s="34" t="s">
        <v>134</v>
      </c>
      <c r="Q19" s="34" t="s">
        <v>135</v>
      </c>
      <c r="R19" s="34" t="s">
        <v>136</v>
      </c>
      <c r="S19" s="34" t="s">
        <v>138</v>
      </c>
      <c r="T19" s="34" t="s">
        <v>139</v>
      </c>
      <c r="U19" s="34" t="s">
        <v>140</v>
      </c>
      <c r="V19" s="34" t="s">
        <v>1</v>
      </c>
      <c r="W19" s="21"/>
      <c r="X19" s="21"/>
      <c r="Y19" s="21"/>
      <c r="Z19" s="21"/>
    </row>
    <row r="20" spans="1:26" s="1" customFormat="1" ht="18" customHeight="1" thickBot="1" x14ac:dyDescent="0.35">
      <c r="A20" s="46" t="s">
        <v>1</v>
      </c>
      <c r="B20" s="59">
        <v>12853</v>
      </c>
      <c r="C20" s="62">
        <f>B20/F20</f>
        <v>0.67406125445773024</v>
      </c>
      <c r="D20" s="59">
        <v>6215</v>
      </c>
      <c r="E20" s="62">
        <f>D20/F20</f>
        <v>0.32593874554226976</v>
      </c>
      <c r="F20" s="59">
        <v>19068</v>
      </c>
      <c r="I20" s="12" t="s">
        <v>1</v>
      </c>
      <c r="J20" s="63">
        <v>24728</v>
      </c>
      <c r="K20" s="64">
        <v>22369</v>
      </c>
      <c r="L20" s="63">
        <v>23907</v>
      </c>
      <c r="M20" s="64">
        <v>22780</v>
      </c>
      <c r="N20" s="63">
        <v>22687</v>
      </c>
      <c r="O20" s="64">
        <v>19386</v>
      </c>
      <c r="P20" s="63">
        <v>8517</v>
      </c>
      <c r="Q20" s="64">
        <v>7277</v>
      </c>
      <c r="R20" s="63">
        <v>6688</v>
      </c>
      <c r="S20" s="63">
        <v>7540</v>
      </c>
      <c r="T20" s="64">
        <v>8274</v>
      </c>
      <c r="U20" s="63">
        <v>8716</v>
      </c>
      <c r="V20" s="68">
        <v>182869</v>
      </c>
      <c r="W20" s="21"/>
      <c r="X20" s="21"/>
      <c r="Y20" s="21"/>
      <c r="Z20" s="21"/>
    </row>
    <row r="21" spans="1:26" s="1" customFormat="1" ht="15" customHeight="1" thickTop="1" x14ac:dyDescent="0.3">
      <c r="A21" s="47" t="s">
        <v>60</v>
      </c>
      <c r="B21" s="13">
        <v>9250</v>
      </c>
      <c r="C21" s="60">
        <f t="shared" ref="C21:C23" si="0">B21/F21</f>
        <v>0.90499951081107521</v>
      </c>
      <c r="D21" s="13">
        <v>971</v>
      </c>
      <c r="E21" s="60">
        <f t="shared" ref="E21:E23" si="1">D21/F21</f>
        <v>9.5000489188924758E-2</v>
      </c>
      <c r="F21" s="13">
        <v>10221</v>
      </c>
      <c r="I21" s="13" t="s">
        <v>56</v>
      </c>
      <c r="J21" s="65">
        <v>13303</v>
      </c>
      <c r="K21" s="65">
        <v>12643</v>
      </c>
      <c r="L21" s="65">
        <v>14007</v>
      </c>
      <c r="M21" s="65">
        <v>10868</v>
      </c>
      <c r="N21" s="65">
        <v>11197</v>
      </c>
      <c r="O21" s="65">
        <v>9211</v>
      </c>
      <c r="P21" s="65">
        <v>2904</v>
      </c>
      <c r="Q21" s="65">
        <v>1883</v>
      </c>
      <c r="R21" s="65">
        <v>1585</v>
      </c>
      <c r="S21" s="65">
        <v>1685</v>
      </c>
      <c r="T21" s="65">
        <v>1740</v>
      </c>
      <c r="U21" s="65">
        <v>2069</v>
      </c>
      <c r="V21" s="67">
        <v>83095</v>
      </c>
      <c r="W21" s="21"/>
      <c r="X21" s="21"/>
      <c r="Y21" s="21"/>
      <c r="Z21" s="21"/>
    </row>
    <row r="22" spans="1:26" s="1" customFormat="1" ht="15" customHeight="1" x14ac:dyDescent="0.3">
      <c r="A22" s="48" t="s">
        <v>93</v>
      </c>
      <c r="B22" s="32">
        <v>2919</v>
      </c>
      <c r="C22" s="61">
        <f t="shared" si="0"/>
        <v>0.91590837778475054</v>
      </c>
      <c r="D22" s="32">
        <v>268</v>
      </c>
      <c r="E22" s="61">
        <f t="shared" si="1"/>
        <v>8.4091622215249448E-2</v>
      </c>
      <c r="F22" s="32">
        <v>3187</v>
      </c>
      <c r="I22" s="32" t="s">
        <v>530</v>
      </c>
      <c r="J22" s="66">
        <v>11425</v>
      </c>
      <c r="K22" s="66">
        <v>9726</v>
      </c>
      <c r="L22" s="66">
        <v>9900</v>
      </c>
      <c r="M22" s="66">
        <v>11912</v>
      </c>
      <c r="N22" s="66">
        <v>11490</v>
      </c>
      <c r="O22" s="66">
        <v>10175</v>
      </c>
      <c r="P22" s="66">
        <v>5613</v>
      </c>
      <c r="Q22" s="66">
        <v>5394</v>
      </c>
      <c r="R22" s="66">
        <v>5103</v>
      </c>
      <c r="S22" s="66">
        <v>5855</v>
      </c>
      <c r="T22" s="66">
        <v>6534</v>
      </c>
      <c r="U22" s="66">
        <v>6647</v>
      </c>
      <c r="V22" s="114">
        <v>99774</v>
      </c>
      <c r="W22" s="21"/>
      <c r="X22" s="21"/>
      <c r="Y22" s="21"/>
      <c r="Z22" s="21"/>
    </row>
    <row r="23" spans="1:26" s="1" customFormat="1" ht="15" customHeight="1" x14ac:dyDescent="0.3">
      <c r="A23" s="48" t="s">
        <v>123</v>
      </c>
      <c r="B23" s="32">
        <v>684</v>
      </c>
      <c r="C23" s="61">
        <f t="shared" si="0"/>
        <v>0.12084805653710247</v>
      </c>
      <c r="D23" s="32">
        <v>4976</v>
      </c>
      <c r="E23" s="61">
        <f t="shared" si="1"/>
        <v>0.87915194346289749</v>
      </c>
      <c r="F23" s="32">
        <v>5660</v>
      </c>
      <c r="T23" s="16"/>
      <c r="U23" s="16"/>
      <c r="V23" s="20"/>
      <c r="W23" s="21"/>
      <c r="X23" s="21"/>
      <c r="Y23" s="21"/>
      <c r="Z23" s="21"/>
    </row>
    <row r="24" spans="1:26" s="1" customFormat="1" ht="12" x14ac:dyDescent="0.3">
      <c r="A24" s="50"/>
      <c r="T24" s="16"/>
      <c r="U24" s="16"/>
      <c r="V24" s="20"/>
      <c r="W24" s="21"/>
      <c r="X24" s="21"/>
      <c r="Y24" s="21"/>
      <c r="Z24" s="21"/>
    </row>
    <row r="25" spans="1:26" s="5" customFormat="1" ht="16.5" customHeight="1" x14ac:dyDescent="0.3">
      <c r="A25" s="376"/>
      <c r="B25" s="377"/>
      <c r="C25" s="377"/>
      <c r="D25" s="377"/>
      <c r="E25" s="377"/>
      <c r="F25" s="377"/>
      <c r="G25" s="377"/>
      <c r="H25" s="377"/>
      <c r="I25" s="377"/>
      <c r="J25" s="377"/>
      <c r="K25" s="377"/>
      <c r="L25" s="377"/>
      <c r="M25" s="377"/>
      <c r="N25" s="377"/>
      <c r="O25" s="377"/>
      <c r="P25" s="377"/>
      <c r="Q25" s="377"/>
      <c r="R25" s="377"/>
      <c r="S25" s="377"/>
      <c r="T25" s="377"/>
      <c r="U25" s="377"/>
      <c r="V25" s="378"/>
      <c r="W25" s="16"/>
      <c r="X25" s="16"/>
      <c r="Y25" s="16"/>
      <c r="Z25" s="16"/>
    </row>
    <row r="26" spans="1:26" s="1" customFormat="1" ht="12" x14ac:dyDescent="0.3">
      <c r="A26" s="50"/>
      <c r="T26" s="16"/>
      <c r="U26" s="16"/>
      <c r="V26" s="20"/>
      <c r="W26" s="21"/>
      <c r="X26" s="21"/>
      <c r="Y26" s="21"/>
      <c r="Z26" s="21"/>
    </row>
    <row r="27" spans="1:26" s="5" customFormat="1" ht="21.65" customHeight="1" x14ac:dyDescent="0.3">
      <c r="A27" s="403" t="s">
        <v>537</v>
      </c>
      <c r="B27" s="404"/>
      <c r="C27" s="404"/>
      <c r="D27" s="404"/>
      <c r="E27" s="404"/>
      <c r="F27" s="33"/>
      <c r="H27" s="404" t="s">
        <v>538</v>
      </c>
      <c r="I27" s="404"/>
      <c r="J27" s="404"/>
      <c r="K27" s="404"/>
      <c r="L27" s="404"/>
      <c r="M27" s="33"/>
      <c r="N27" s="404" t="s">
        <v>539</v>
      </c>
      <c r="O27" s="404"/>
      <c r="P27" s="404"/>
      <c r="Q27" s="404"/>
      <c r="R27" s="404"/>
      <c r="S27" s="33"/>
      <c r="V27" s="39"/>
      <c r="W27" s="40"/>
      <c r="X27" s="40"/>
      <c r="Y27" s="40"/>
      <c r="Z27" s="40"/>
    </row>
    <row r="28" spans="1:26" s="1" customFormat="1" ht="37.5" customHeight="1" x14ac:dyDescent="0.3">
      <c r="A28" s="11" t="s">
        <v>142</v>
      </c>
      <c r="B28" s="34" t="s">
        <v>60</v>
      </c>
      <c r="C28" s="34" t="s">
        <v>93</v>
      </c>
      <c r="D28" s="34" t="s">
        <v>123</v>
      </c>
      <c r="E28" s="34" t="s">
        <v>1</v>
      </c>
      <c r="H28" s="368" t="s">
        <v>142</v>
      </c>
      <c r="I28" s="368"/>
      <c r="J28" s="368" t="s">
        <v>1</v>
      </c>
      <c r="K28" s="368"/>
      <c r="L28" s="368"/>
      <c r="M28" s="16"/>
      <c r="N28" s="388"/>
      <c r="O28" s="389"/>
      <c r="P28" s="388" t="s">
        <v>137</v>
      </c>
      <c r="Q28" s="390"/>
      <c r="R28" s="389"/>
      <c r="U28" s="16"/>
      <c r="V28" s="51"/>
      <c r="W28" s="21"/>
      <c r="X28" s="21"/>
      <c r="Y28" s="21"/>
    </row>
    <row r="29" spans="1:26" s="1" customFormat="1" ht="15" customHeight="1" thickBot="1" x14ac:dyDescent="0.35">
      <c r="A29" s="46" t="s">
        <v>1</v>
      </c>
      <c r="B29" s="59">
        <v>98375</v>
      </c>
      <c r="C29" s="59">
        <v>23500</v>
      </c>
      <c r="D29" s="59">
        <v>60994</v>
      </c>
      <c r="E29" s="64">
        <v>182869</v>
      </c>
      <c r="H29" s="379" t="s">
        <v>1</v>
      </c>
      <c r="I29" s="379"/>
      <c r="J29" s="412">
        <v>61886</v>
      </c>
      <c r="K29" s="413"/>
      <c r="L29" s="414"/>
      <c r="M29" s="16"/>
      <c r="N29" s="391" t="s">
        <v>1</v>
      </c>
      <c r="O29" s="392"/>
      <c r="P29" s="395">
        <v>185884</v>
      </c>
      <c r="Q29" s="396"/>
      <c r="R29" s="397"/>
      <c r="U29" s="16"/>
      <c r="V29" s="51"/>
      <c r="W29" s="21"/>
      <c r="X29" s="21"/>
      <c r="Y29" s="21"/>
    </row>
    <row r="30" spans="1:26" s="1" customFormat="1" ht="15" customHeight="1" thickTop="1" x14ac:dyDescent="0.3">
      <c r="A30" s="47" t="s">
        <v>117</v>
      </c>
      <c r="B30" s="13">
        <v>15</v>
      </c>
      <c r="C30" s="13">
        <v>6</v>
      </c>
      <c r="D30" s="13">
        <v>1809</v>
      </c>
      <c r="E30" s="13">
        <v>1830</v>
      </c>
      <c r="F30" s="5"/>
      <c r="G30" s="5"/>
      <c r="H30" s="380" t="s">
        <v>116</v>
      </c>
      <c r="I30" s="380"/>
      <c r="J30" s="405">
        <v>5307</v>
      </c>
      <c r="K30" s="406"/>
      <c r="L30" s="407"/>
      <c r="M30" s="16"/>
      <c r="N30" s="393" t="s">
        <v>512</v>
      </c>
      <c r="O30" s="394"/>
      <c r="P30" s="405">
        <v>3310</v>
      </c>
      <c r="Q30" s="406"/>
      <c r="R30" s="407"/>
      <c r="U30" s="16"/>
      <c r="V30" s="51"/>
      <c r="W30" s="21"/>
      <c r="X30" s="21"/>
      <c r="Y30" s="21"/>
    </row>
    <row r="31" spans="1:26" s="1" customFormat="1" ht="12" x14ac:dyDescent="0.3">
      <c r="A31" s="48" t="s">
        <v>116</v>
      </c>
      <c r="B31" s="32">
        <v>98360</v>
      </c>
      <c r="C31" s="32">
        <v>23494</v>
      </c>
      <c r="D31" s="32">
        <v>59185</v>
      </c>
      <c r="E31" s="32">
        <v>181039</v>
      </c>
      <c r="F31" s="5"/>
      <c r="G31" s="5"/>
      <c r="H31" s="381" t="s">
        <v>117</v>
      </c>
      <c r="I31" s="381"/>
      <c r="J31" s="408">
        <v>56579</v>
      </c>
      <c r="K31" s="409"/>
      <c r="L31" s="410"/>
      <c r="M31" s="16"/>
      <c r="N31" s="16"/>
      <c r="O31" s="16"/>
      <c r="P31" s="16"/>
      <c r="Q31" s="16"/>
      <c r="R31" s="16"/>
      <c r="U31" s="16"/>
      <c r="V31" s="51"/>
      <c r="W31" s="21"/>
      <c r="X31" s="21"/>
      <c r="Y31" s="21"/>
    </row>
    <row r="32" spans="1:26" s="1" customFormat="1" ht="12" x14ac:dyDescent="0.3">
      <c r="A32" s="50"/>
      <c r="F32" s="5"/>
      <c r="G32" s="5"/>
      <c r="H32" s="5"/>
      <c r="K32" s="5"/>
      <c r="L32" s="16"/>
      <c r="M32" s="16"/>
      <c r="N32" s="16"/>
      <c r="O32" s="16"/>
      <c r="P32" s="16"/>
      <c r="Q32" s="16"/>
      <c r="R32" s="16"/>
      <c r="S32" s="16"/>
      <c r="T32" s="16"/>
      <c r="U32" s="16"/>
      <c r="V32" s="20"/>
      <c r="W32" s="21"/>
      <c r="X32" s="21"/>
      <c r="Y32" s="21"/>
      <c r="Z32" s="21"/>
    </row>
    <row r="33" spans="1:26" s="5" customFormat="1" ht="16.5" customHeight="1" x14ac:dyDescent="0.3">
      <c r="A33" s="376"/>
      <c r="B33" s="377"/>
      <c r="C33" s="377"/>
      <c r="D33" s="377"/>
      <c r="E33" s="377"/>
      <c r="F33" s="377"/>
      <c r="G33" s="377"/>
      <c r="H33" s="377"/>
      <c r="I33" s="377"/>
      <c r="J33" s="377"/>
      <c r="K33" s="377"/>
      <c r="L33" s="377"/>
      <c r="M33" s="377"/>
      <c r="N33" s="377"/>
      <c r="O33" s="377"/>
      <c r="P33" s="377"/>
      <c r="Q33" s="377"/>
      <c r="R33" s="377"/>
      <c r="S33" s="377"/>
      <c r="T33" s="377"/>
      <c r="U33" s="377"/>
      <c r="V33" s="378"/>
      <c r="W33" s="16"/>
      <c r="X33" s="16"/>
      <c r="Y33" s="16"/>
      <c r="Z33" s="16"/>
    </row>
    <row r="34" spans="1:26" s="1" customFormat="1" ht="12" x14ac:dyDescent="0.3">
      <c r="A34" s="50"/>
      <c r="F34" s="5"/>
      <c r="G34" s="5"/>
      <c r="H34" s="5"/>
      <c r="K34" s="5"/>
      <c r="L34" s="16"/>
      <c r="M34" s="16"/>
      <c r="N34" s="16"/>
      <c r="O34" s="16"/>
      <c r="P34" s="16"/>
      <c r="Q34" s="16"/>
      <c r="R34" s="16"/>
      <c r="S34" s="16"/>
      <c r="T34" s="16"/>
      <c r="U34" s="16"/>
      <c r="V34" s="20"/>
      <c r="W34" s="21"/>
      <c r="X34" s="21"/>
      <c r="Y34" s="21"/>
      <c r="Z34" s="21"/>
    </row>
    <row r="35" spans="1:26" s="1" customFormat="1" ht="12" x14ac:dyDescent="0.3">
      <c r="A35" s="50"/>
      <c r="F35" s="5"/>
      <c r="G35" s="5"/>
      <c r="H35" s="5"/>
      <c r="I35" s="87"/>
      <c r="J35" s="87"/>
      <c r="K35" s="86"/>
      <c r="L35" s="89"/>
      <c r="M35" s="89"/>
      <c r="N35" s="89"/>
      <c r="O35" s="89"/>
      <c r="P35" s="89"/>
      <c r="Q35" s="89"/>
      <c r="R35" s="89"/>
      <c r="S35" s="89"/>
      <c r="T35" s="16"/>
      <c r="U35" s="16"/>
      <c r="V35" s="20"/>
      <c r="W35" s="21"/>
      <c r="X35" s="21"/>
      <c r="Y35" s="21"/>
      <c r="Z35" s="21"/>
    </row>
    <row r="36" spans="1:26" s="1" customFormat="1" ht="22.5" customHeight="1" x14ac:dyDescent="0.3">
      <c r="A36" s="372" t="s">
        <v>540</v>
      </c>
      <c r="B36" s="373"/>
      <c r="C36" s="373"/>
      <c r="D36" s="373"/>
      <c r="E36" s="373"/>
      <c r="F36" s="33"/>
      <c r="G36" s="5"/>
      <c r="H36" s="86"/>
      <c r="I36" s="87"/>
      <c r="J36" s="87"/>
      <c r="K36" s="87"/>
      <c r="L36" s="87"/>
      <c r="M36" s="87"/>
      <c r="N36" s="87"/>
      <c r="O36" s="87"/>
      <c r="P36" s="87"/>
      <c r="Q36" s="87"/>
      <c r="R36" s="87"/>
      <c r="S36" s="87"/>
      <c r="T36" s="89"/>
      <c r="U36" s="89"/>
      <c r="V36" s="90"/>
      <c r="W36" s="94"/>
      <c r="X36" s="21"/>
      <c r="Y36" s="21"/>
      <c r="Z36" s="21"/>
    </row>
    <row r="37" spans="1:26" s="1" customFormat="1" ht="38.5" customHeight="1" x14ac:dyDescent="0.3">
      <c r="A37" s="52" t="s">
        <v>141</v>
      </c>
      <c r="B37" s="34" t="s">
        <v>60</v>
      </c>
      <c r="C37" s="34" t="s">
        <v>93</v>
      </c>
      <c r="D37" s="34" t="s">
        <v>123</v>
      </c>
      <c r="E37" s="34" t="s">
        <v>1</v>
      </c>
      <c r="F37" s="5"/>
      <c r="H37" s="81"/>
      <c r="I37" s="81"/>
      <c r="J37" s="81"/>
      <c r="K37" s="81"/>
      <c r="L37" s="81"/>
      <c r="M37" s="81"/>
      <c r="N37" s="81"/>
      <c r="O37" s="81"/>
      <c r="P37" s="81"/>
      <c r="Q37" s="81"/>
      <c r="R37" s="88"/>
      <c r="S37" s="88"/>
      <c r="T37" s="88"/>
      <c r="U37" s="21"/>
      <c r="V37" s="51"/>
      <c r="W37" s="21"/>
      <c r="X37" s="21"/>
    </row>
    <row r="38" spans="1:26" s="1" customFormat="1" ht="15.75" customHeight="1" thickBot="1" x14ac:dyDescent="0.35">
      <c r="A38" s="53" t="s">
        <v>1</v>
      </c>
      <c r="B38" s="59">
        <v>11989</v>
      </c>
      <c r="C38" s="64">
        <v>9245</v>
      </c>
      <c r="D38" s="59">
        <v>40652</v>
      </c>
      <c r="E38" s="59">
        <v>61886</v>
      </c>
      <c r="F38" s="5"/>
      <c r="H38" s="81"/>
      <c r="I38" s="81"/>
      <c r="J38" s="81"/>
      <c r="K38" s="81"/>
      <c r="L38" s="81"/>
      <c r="M38" s="81"/>
      <c r="N38" s="81"/>
      <c r="O38" s="81"/>
      <c r="P38" s="81"/>
      <c r="Q38" s="81"/>
      <c r="R38" s="88"/>
      <c r="S38" s="88"/>
      <c r="T38" s="88"/>
      <c r="U38" s="115"/>
      <c r="V38" s="116"/>
      <c r="W38" s="115"/>
      <c r="X38" s="115"/>
    </row>
    <row r="39" spans="1:26" s="1" customFormat="1" ht="12.5" thickTop="1" x14ac:dyDescent="0.3">
      <c r="A39" s="48" t="s">
        <v>478</v>
      </c>
      <c r="B39" s="13">
        <f>SUM(B40:B41)</f>
        <v>6892</v>
      </c>
      <c r="C39" s="13">
        <f t="shared" ref="C39:E39" si="2">SUM(C40:C41)</f>
        <v>6585</v>
      </c>
      <c r="D39" s="13">
        <f t="shared" si="2"/>
        <v>16259</v>
      </c>
      <c r="E39" s="69">
        <f t="shared" si="2"/>
        <v>29736</v>
      </c>
      <c r="F39" s="5"/>
      <c r="H39" s="81"/>
      <c r="I39" s="81"/>
      <c r="J39" s="81"/>
      <c r="K39" s="81"/>
      <c r="L39" s="81"/>
      <c r="M39" s="81"/>
      <c r="N39" s="81"/>
      <c r="O39" s="81"/>
      <c r="P39" s="81"/>
      <c r="Q39" s="81"/>
      <c r="R39" s="88"/>
      <c r="S39" s="88"/>
      <c r="T39" s="88"/>
      <c r="U39" s="115"/>
      <c r="V39" s="116"/>
      <c r="W39" s="115"/>
      <c r="X39" s="115"/>
    </row>
    <row r="40" spans="1:26" s="1" customFormat="1" ht="12" x14ac:dyDescent="0.3">
      <c r="A40" s="54" t="s">
        <v>479</v>
      </c>
      <c r="B40" s="98">
        <v>1145</v>
      </c>
      <c r="C40" s="98">
        <v>1622</v>
      </c>
      <c r="D40" s="98">
        <v>2019</v>
      </c>
      <c r="E40" s="99">
        <v>4786</v>
      </c>
      <c r="F40" s="5"/>
      <c r="H40" s="81"/>
      <c r="I40" s="81"/>
      <c r="J40" s="81"/>
      <c r="K40" s="81"/>
      <c r="L40" s="81"/>
      <c r="M40" s="81"/>
      <c r="N40" s="81"/>
      <c r="O40" s="81"/>
      <c r="P40" s="81"/>
      <c r="Q40" s="81"/>
      <c r="R40" s="88"/>
      <c r="S40" s="88"/>
      <c r="T40" s="88"/>
      <c r="U40" s="115"/>
      <c r="V40" s="116"/>
      <c r="W40" s="115"/>
      <c r="X40" s="115"/>
    </row>
    <row r="41" spans="1:26" s="1" customFormat="1" ht="12" x14ac:dyDescent="0.3">
      <c r="A41" s="54" t="s">
        <v>480</v>
      </c>
      <c r="B41" s="98">
        <v>5747</v>
      </c>
      <c r="C41" s="98">
        <v>4963</v>
      </c>
      <c r="D41" s="98">
        <v>14240</v>
      </c>
      <c r="E41" s="100">
        <v>24950</v>
      </c>
      <c r="F41" s="5"/>
      <c r="H41" s="81"/>
      <c r="I41" s="81"/>
      <c r="J41" s="81"/>
      <c r="K41" s="81"/>
      <c r="L41" s="81"/>
      <c r="M41" s="92"/>
      <c r="N41" s="92"/>
      <c r="O41" s="92"/>
      <c r="P41" s="92"/>
      <c r="Q41" s="92"/>
      <c r="R41" s="80"/>
      <c r="S41" s="80"/>
      <c r="T41" s="80"/>
      <c r="U41" s="21"/>
      <c r="V41" s="51"/>
      <c r="W41" s="21"/>
      <c r="X41" s="21"/>
    </row>
    <row r="42" spans="1:26" s="1" customFormat="1" ht="12" x14ac:dyDescent="0.3">
      <c r="A42" s="48" t="s">
        <v>2</v>
      </c>
      <c r="B42" s="32">
        <v>1937</v>
      </c>
      <c r="C42" s="32">
        <v>1995</v>
      </c>
      <c r="D42" s="32">
        <v>10321</v>
      </c>
      <c r="E42" s="44">
        <v>14253</v>
      </c>
      <c r="F42" s="5"/>
      <c r="H42" s="81"/>
      <c r="I42" s="81"/>
      <c r="J42" s="92"/>
      <c r="K42" s="81"/>
      <c r="L42" s="81"/>
      <c r="M42" s="92"/>
      <c r="N42" s="92"/>
      <c r="O42" s="92"/>
      <c r="P42" s="92"/>
      <c r="Q42" s="92"/>
      <c r="R42" s="80"/>
      <c r="S42" s="88"/>
      <c r="T42" s="80"/>
      <c r="U42" s="21"/>
      <c r="V42" s="51"/>
      <c r="W42" s="21"/>
      <c r="X42" s="21"/>
    </row>
    <row r="43" spans="1:26" s="1" customFormat="1" ht="12" x14ac:dyDescent="0.3">
      <c r="A43" s="48" t="s">
        <v>481</v>
      </c>
      <c r="B43" s="32">
        <v>2897</v>
      </c>
      <c r="C43" s="32">
        <v>518</v>
      </c>
      <c r="D43" s="32">
        <v>3205</v>
      </c>
      <c r="E43" s="44">
        <v>6620</v>
      </c>
      <c r="F43" s="5"/>
      <c r="I43" s="81"/>
      <c r="J43" s="92"/>
      <c r="K43" s="81"/>
      <c r="L43" s="81"/>
      <c r="M43" s="92"/>
      <c r="N43" s="92"/>
      <c r="O43" s="92"/>
      <c r="P43" s="92"/>
      <c r="Q43" s="92"/>
      <c r="R43" s="80"/>
      <c r="S43" s="80"/>
      <c r="T43" s="80"/>
      <c r="U43" s="21"/>
      <c r="V43" s="51"/>
      <c r="W43" s="21"/>
      <c r="X43" s="21"/>
    </row>
    <row r="44" spans="1:26" s="1" customFormat="1" ht="12" x14ac:dyDescent="0.3">
      <c r="A44" s="48" t="s">
        <v>482</v>
      </c>
      <c r="B44" s="32">
        <v>261</v>
      </c>
      <c r="C44" s="32">
        <v>146</v>
      </c>
      <c r="D44" s="32">
        <v>10866</v>
      </c>
      <c r="E44" s="44">
        <v>11273</v>
      </c>
      <c r="F44" s="5"/>
      <c r="I44" s="81"/>
      <c r="J44" s="92"/>
      <c r="K44" s="92"/>
      <c r="L44" s="92"/>
      <c r="M44" s="92"/>
      <c r="N44" s="92"/>
      <c r="O44" s="92"/>
      <c r="P44" s="92"/>
      <c r="Q44" s="92"/>
      <c r="R44" s="80"/>
      <c r="S44" s="80"/>
      <c r="T44" s="80"/>
      <c r="U44" s="21"/>
      <c r="V44" s="51"/>
      <c r="W44" s="21"/>
      <c r="X44" s="21"/>
    </row>
    <row r="45" spans="1:26" s="1" customFormat="1" ht="12" x14ac:dyDescent="0.3">
      <c r="A45" s="48" t="s">
        <v>483</v>
      </c>
      <c r="B45" s="32">
        <v>2</v>
      </c>
      <c r="C45" s="32">
        <v>1</v>
      </c>
      <c r="D45" s="32">
        <v>1</v>
      </c>
      <c r="E45" s="43">
        <v>4</v>
      </c>
      <c r="F45" s="5"/>
      <c r="I45" s="5"/>
      <c r="J45" s="80"/>
      <c r="K45" s="80"/>
      <c r="L45" s="80"/>
      <c r="M45" s="80"/>
      <c r="N45" s="80"/>
      <c r="O45" s="80"/>
      <c r="P45" s="80"/>
      <c r="Q45" s="80"/>
      <c r="R45" s="16"/>
      <c r="S45" s="16"/>
      <c r="T45" s="16"/>
      <c r="U45" s="21"/>
      <c r="V45" s="51"/>
      <c r="W45" s="21"/>
      <c r="X45" s="21"/>
    </row>
    <row r="46" spans="1:26" s="1" customFormat="1" ht="12" x14ac:dyDescent="0.3">
      <c r="A46" s="50"/>
      <c r="E46" s="5"/>
      <c r="F46" s="5"/>
      <c r="G46" s="5"/>
      <c r="J46" s="5"/>
      <c r="K46" s="16"/>
      <c r="L46" s="16"/>
      <c r="M46" s="16"/>
      <c r="N46" s="16"/>
      <c r="O46" s="16"/>
      <c r="P46" s="16"/>
      <c r="Q46" s="16"/>
      <c r="R46" s="16"/>
      <c r="S46" s="16"/>
      <c r="T46" s="16"/>
      <c r="U46" s="16"/>
      <c r="V46" s="51"/>
      <c r="W46" s="21"/>
      <c r="X46" s="21"/>
      <c r="Y46" s="21"/>
    </row>
    <row r="47" spans="1:26" s="5" customFormat="1" ht="18" customHeight="1" x14ac:dyDescent="0.3">
      <c r="A47" s="386"/>
      <c r="B47" s="366"/>
      <c r="C47" s="366"/>
      <c r="D47" s="366"/>
      <c r="E47" s="366"/>
      <c r="F47" s="366"/>
      <c r="G47" s="366"/>
      <c r="H47" s="366"/>
      <c r="I47" s="366"/>
      <c r="J47" s="366"/>
      <c r="K47" s="366"/>
      <c r="L47" s="366"/>
      <c r="M47" s="366"/>
      <c r="N47" s="366"/>
      <c r="O47" s="366"/>
      <c r="P47" s="366"/>
      <c r="Q47" s="366"/>
      <c r="R47" s="366"/>
      <c r="S47" s="366"/>
      <c r="T47" s="366"/>
      <c r="U47" s="366"/>
      <c r="V47" s="387"/>
      <c r="W47" s="16"/>
      <c r="X47" s="16"/>
      <c r="Y47" s="16"/>
      <c r="Z47" s="16"/>
    </row>
    <row r="48" spans="1:26" s="1" customFormat="1" ht="12" x14ac:dyDescent="0.3">
      <c r="A48" s="50"/>
      <c r="F48" s="5"/>
      <c r="G48" s="5"/>
      <c r="H48" s="5"/>
      <c r="K48" s="5"/>
      <c r="L48" s="16"/>
      <c r="M48" s="16"/>
      <c r="N48" s="16"/>
      <c r="O48" s="16"/>
      <c r="P48" s="16"/>
      <c r="Q48" s="16"/>
      <c r="R48" s="16"/>
      <c r="S48" s="16"/>
      <c r="T48" s="16"/>
      <c r="U48" s="16"/>
      <c r="V48" s="20"/>
      <c r="W48" s="21"/>
      <c r="X48" s="21"/>
      <c r="Y48" s="21"/>
      <c r="Z48" s="21"/>
    </row>
    <row r="49" spans="1:29" s="1" customFormat="1" ht="23.25" customHeight="1" x14ac:dyDescent="0.3">
      <c r="A49" s="398" t="s">
        <v>541</v>
      </c>
      <c r="B49" s="399"/>
      <c r="C49" s="399"/>
      <c r="D49" s="399"/>
      <c r="E49" s="399"/>
      <c r="F49" s="399"/>
      <c r="G49" s="399"/>
      <c r="H49" s="399"/>
      <c r="I49" s="399"/>
      <c r="J49" s="399"/>
      <c r="K49" s="399"/>
      <c r="L49" s="399"/>
      <c r="M49" s="399"/>
      <c r="N49" s="399"/>
      <c r="O49" s="16"/>
      <c r="P49" s="16"/>
      <c r="Q49" s="89"/>
      <c r="R49" s="89"/>
      <c r="S49" s="89"/>
      <c r="T49" s="89"/>
      <c r="U49" s="89"/>
      <c r="V49" s="90"/>
      <c r="W49" s="94"/>
      <c r="X49" s="94"/>
      <c r="Y49" s="94"/>
      <c r="Z49" s="94"/>
      <c r="AA49" s="87"/>
      <c r="AB49" s="87"/>
    </row>
    <row r="50" spans="1:29" s="1" customFormat="1" ht="22.5" customHeight="1" x14ac:dyDescent="0.3">
      <c r="A50" s="11" t="s">
        <v>127</v>
      </c>
      <c r="B50" s="34" t="s">
        <v>128</v>
      </c>
      <c r="C50" s="34" t="s">
        <v>129</v>
      </c>
      <c r="D50" s="34" t="s">
        <v>130</v>
      </c>
      <c r="E50" s="34" t="s">
        <v>131</v>
      </c>
      <c r="F50" s="34" t="s">
        <v>132</v>
      </c>
      <c r="G50" s="34" t="s">
        <v>133</v>
      </c>
      <c r="H50" s="34" t="s">
        <v>134</v>
      </c>
      <c r="I50" s="34" t="s">
        <v>135</v>
      </c>
      <c r="J50" s="34" t="s">
        <v>136</v>
      </c>
      <c r="K50" s="34" t="s">
        <v>138</v>
      </c>
      <c r="L50" s="34" t="s">
        <v>139</v>
      </c>
      <c r="M50" s="34" t="s">
        <v>140</v>
      </c>
      <c r="N50" s="34" t="s">
        <v>146</v>
      </c>
      <c r="O50" s="16"/>
      <c r="P50" s="89"/>
      <c r="Q50" s="89"/>
      <c r="R50" s="89"/>
      <c r="S50" s="89"/>
      <c r="T50" s="89"/>
      <c r="U50" s="89"/>
      <c r="V50" s="90"/>
      <c r="W50" s="94"/>
      <c r="X50" s="94"/>
      <c r="Y50" s="94"/>
      <c r="Z50" s="94"/>
      <c r="AA50" s="87"/>
      <c r="AB50" s="87"/>
      <c r="AC50" s="87"/>
    </row>
    <row r="51" spans="1:29" s="1" customFormat="1" ht="12" x14ac:dyDescent="0.3">
      <c r="A51" s="53" t="s">
        <v>143</v>
      </c>
      <c r="B51" s="70">
        <v>31143.70968</v>
      </c>
      <c r="C51" s="71">
        <v>27523.56667</v>
      </c>
      <c r="D51" s="70">
        <v>24437.80645</v>
      </c>
      <c r="E51" s="71">
        <v>22593.74194</v>
      </c>
      <c r="F51" s="70">
        <v>20331.517240000001</v>
      </c>
      <c r="G51" s="71">
        <v>18513.77419</v>
      </c>
      <c r="H51" s="71">
        <v>15024.93333</v>
      </c>
      <c r="I51" s="70">
        <v>12085.29032</v>
      </c>
      <c r="J51" s="71">
        <v>10175.6</v>
      </c>
      <c r="K51" s="70">
        <v>8955.80645</v>
      </c>
      <c r="L51" s="70">
        <v>7581.9032299999999</v>
      </c>
      <c r="M51" s="71">
        <v>6731</v>
      </c>
      <c r="N51" s="70">
        <v>17098.19672</v>
      </c>
      <c r="O51" s="16"/>
      <c r="P51" s="80"/>
      <c r="Q51" s="80"/>
      <c r="R51" s="80"/>
      <c r="S51" s="80"/>
      <c r="T51" s="80"/>
      <c r="U51" s="80"/>
      <c r="V51" s="91"/>
      <c r="W51" s="95"/>
      <c r="X51" s="95"/>
      <c r="Y51" s="95"/>
      <c r="Z51" s="95"/>
      <c r="AA51" s="92"/>
      <c r="AB51" s="81"/>
    </row>
    <row r="52" spans="1:29" s="1" customFormat="1" ht="12" x14ac:dyDescent="0.3">
      <c r="A52" s="55" t="s">
        <v>60</v>
      </c>
      <c r="B52" s="66">
        <v>4740.83871</v>
      </c>
      <c r="C52" s="66">
        <v>3981.0333300000002</v>
      </c>
      <c r="D52" s="66">
        <v>3503.48387</v>
      </c>
      <c r="E52" s="66">
        <v>3307.9354800000001</v>
      </c>
      <c r="F52" s="66">
        <v>2980.7586200000001</v>
      </c>
      <c r="G52" s="66">
        <v>2867.9354800000001</v>
      </c>
      <c r="H52" s="66">
        <v>2676.8666699999999</v>
      </c>
      <c r="I52" s="66">
        <v>2351.8709699999999</v>
      </c>
      <c r="J52" s="66">
        <v>2131.8666699999999</v>
      </c>
      <c r="K52" s="66">
        <v>1826.0967700000001</v>
      </c>
      <c r="L52" s="66">
        <v>1489.2258099999999</v>
      </c>
      <c r="M52" s="66">
        <v>1124.26667</v>
      </c>
      <c r="N52" s="66">
        <v>2750.1967199999999</v>
      </c>
      <c r="O52" s="16"/>
      <c r="P52" s="80"/>
      <c r="Q52" s="80"/>
      <c r="R52" s="80"/>
      <c r="S52" s="80"/>
      <c r="T52" s="80"/>
      <c r="U52" s="88"/>
      <c r="V52" s="91"/>
      <c r="W52" s="95"/>
      <c r="X52" s="95"/>
      <c r="Y52" s="95"/>
      <c r="Z52" s="95"/>
      <c r="AA52" s="92"/>
      <c r="AB52" s="92"/>
      <c r="AC52" s="92"/>
    </row>
    <row r="53" spans="1:29" s="1" customFormat="1" ht="12" x14ac:dyDescent="0.3">
      <c r="A53" s="56" t="s">
        <v>93</v>
      </c>
      <c r="B53" s="66">
        <v>876.90323000000001</v>
      </c>
      <c r="C53" s="66">
        <v>747.96667000000002</v>
      </c>
      <c r="D53" s="66">
        <v>663.83870999999999</v>
      </c>
      <c r="E53" s="66">
        <v>676.25806</v>
      </c>
      <c r="F53" s="66">
        <v>616</v>
      </c>
      <c r="G53" s="66">
        <v>536.54839000000004</v>
      </c>
      <c r="H53" s="66">
        <v>469</v>
      </c>
      <c r="I53" s="66">
        <v>397.48387000000002</v>
      </c>
      <c r="J53" s="66">
        <v>362.36667</v>
      </c>
      <c r="K53" s="66">
        <v>319.16129000000001</v>
      </c>
      <c r="L53" s="66">
        <v>279.87097</v>
      </c>
      <c r="M53" s="66">
        <v>285.76666999999998</v>
      </c>
      <c r="N53" s="66">
        <v>519.31421</v>
      </c>
      <c r="O53" s="16"/>
      <c r="P53" s="89"/>
      <c r="Q53" s="89"/>
      <c r="R53" s="89"/>
      <c r="S53" s="89"/>
      <c r="T53" s="89"/>
      <c r="U53" s="89"/>
      <c r="V53" s="90"/>
      <c r="W53" s="94"/>
      <c r="X53" s="94"/>
      <c r="Y53" s="94"/>
      <c r="Z53" s="94"/>
      <c r="AA53" s="92"/>
      <c r="AB53" s="92"/>
      <c r="AC53" s="92"/>
    </row>
    <row r="54" spans="1:29" s="22" customFormat="1" ht="12" x14ac:dyDescent="0.3">
      <c r="A54" s="56" t="s">
        <v>123</v>
      </c>
      <c r="B54" s="66">
        <v>25525.96774</v>
      </c>
      <c r="C54" s="66">
        <v>22794.56667</v>
      </c>
      <c r="D54" s="66">
        <v>20270.48387</v>
      </c>
      <c r="E54" s="66">
        <v>18609.54839</v>
      </c>
      <c r="F54" s="66">
        <v>16734.758620000001</v>
      </c>
      <c r="G54" s="66">
        <v>15109.29032</v>
      </c>
      <c r="H54" s="66">
        <v>11879.06667</v>
      </c>
      <c r="I54" s="66">
        <v>9335.9354800000001</v>
      </c>
      <c r="J54" s="66">
        <v>7681.3666700000003</v>
      </c>
      <c r="K54" s="66">
        <v>6810.5483899999999</v>
      </c>
      <c r="L54" s="66">
        <v>5812.80645</v>
      </c>
      <c r="M54" s="66">
        <v>5320.9666699999998</v>
      </c>
      <c r="N54" s="66">
        <v>13828.68579</v>
      </c>
      <c r="O54" s="16"/>
      <c r="P54" s="80"/>
      <c r="Q54" s="80"/>
      <c r="R54" s="80"/>
      <c r="S54" s="80"/>
      <c r="T54" s="80"/>
      <c r="U54" s="80"/>
      <c r="V54" s="91"/>
      <c r="W54" s="96"/>
      <c r="X54" s="96"/>
      <c r="Y54" s="96"/>
      <c r="Z54" s="96"/>
      <c r="AA54" s="96"/>
      <c r="AB54" s="96"/>
    </row>
    <row r="55" spans="1:29" s="1" customFormat="1" ht="12" x14ac:dyDescent="0.3">
      <c r="A55" s="53" t="s">
        <v>144</v>
      </c>
      <c r="B55" s="70">
        <v>19074.12903</v>
      </c>
      <c r="C55" s="71">
        <v>18647.833330000001</v>
      </c>
      <c r="D55" s="70">
        <v>18312.77419</v>
      </c>
      <c r="E55" s="71">
        <v>18521.32258</v>
      </c>
      <c r="F55" s="70">
        <v>18981.413789999999</v>
      </c>
      <c r="G55" s="71">
        <v>19174.19355</v>
      </c>
      <c r="H55" s="71">
        <v>16798.400000000001</v>
      </c>
      <c r="I55" s="70">
        <v>15104.06452</v>
      </c>
      <c r="J55" s="71">
        <v>14028.333329999999</v>
      </c>
      <c r="K55" s="70">
        <v>13593.6129</v>
      </c>
      <c r="L55" s="70">
        <v>13815.12903</v>
      </c>
      <c r="M55" s="71">
        <v>13496.2</v>
      </c>
      <c r="N55" s="70">
        <v>16625.781419999999</v>
      </c>
      <c r="O55" s="16"/>
      <c r="P55" s="80"/>
      <c r="Q55" s="80"/>
      <c r="R55" s="80"/>
      <c r="S55" s="80"/>
      <c r="T55" s="80"/>
      <c r="U55" s="80"/>
      <c r="V55" s="91"/>
      <c r="W55" s="92"/>
      <c r="X55" s="92"/>
      <c r="Y55" s="92"/>
      <c r="Z55" s="92"/>
      <c r="AA55" s="92"/>
      <c r="AB55" s="92"/>
      <c r="AC55" s="92"/>
    </row>
    <row r="56" spans="1:29" s="1" customFormat="1" ht="12" x14ac:dyDescent="0.3">
      <c r="A56" s="55" t="s">
        <v>60</v>
      </c>
      <c r="B56" s="66">
        <v>13266.64516</v>
      </c>
      <c r="C56" s="66">
        <v>12851.133330000001</v>
      </c>
      <c r="D56" s="66">
        <v>12623.3871</v>
      </c>
      <c r="E56" s="66">
        <v>12683.6129</v>
      </c>
      <c r="F56" s="66">
        <v>12826.862069999999</v>
      </c>
      <c r="G56" s="66">
        <v>12947.06452</v>
      </c>
      <c r="H56" s="66">
        <v>11996.3</v>
      </c>
      <c r="I56" s="66">
        <v>11156.74194</v>
      </c>
      <c r="J56" s="66">
        <v>10430.299999999999</v>
      </c>
      <c r="K56" s="66">
        <v>10145.12903</v>
      </c>
      <c r="L56" s="66">
        <v>10178.74194</v>
      </c>
      <c r="M56" s="66">
        <v>9713.6666700000005</v>
      </c>
      <c r="N56" s="66">
        <v>11734.322399999999</v>
      </c>
      <c r="O56" s="16"/>
      <c r="P56" s="80"/>
      <c r="Q56" s="80"/>
      <c r="R56" s="80"/>
      <c r="S56" s="80"/>
      <c r="T56" s="80"/>
      <c r="U56" s="80"/>
      <c r="V56" s="91"/>
      <c r="W56" s="92"/>
      <c r="X56" s="92"/>
      <c r="Y56" s="92"/>
      <c r="Z56" s="92"/>
      <c r="AA56" s="92"/>
      <c r="AB56" s="92"/>
      <c r="AC56" s="81"/>
    </row>
    <row r="57" spans="1:29" s="1" customFormat="1" ht="12" x14ac:dyDescent="0.3">
      <c r="A57" s="56" t="s">
        <v>93</v>
      </c>
      <c r="B57" s="66">
        <v>3811.83871</v>
      </c>
      <c r="C57" s="66">
        <v>3782.1666700000001</v>
      </c>
      <c r="D57" s="66">
        <v>3765.2580600000001</v>
      </c>
      <c r="E57" s="66">
        <v>3921.1290300000001</v>
      </c>
      <c r="F57" s="66">
        <v>4053.65517</v>
      </c>
      <c r="G57" s="66">
        <v>4104.7741900000001</v>
      </c>
      <c r="H57" s="66">
        <v>3320.9666699999998</v>
      </c>
      <c r="I57" s="66">
        <v>2802.2903200000001</v>
      </c>
      <c r="J57" s="66">
        <v>2622.7</v>
      </c>
      <c r="K57" s="66">
        <v>2596.9354800000001</v>
      </c>
      <c r="L57" s="66">
        <v>2847.4516100000001</v>
      </c>
      <c r="M57" s="66">
        <v>3044.2</v>
      </c>
      <c r="N57" s="66">
        <v>3387.9699500000002</v>
      </c>
      <c r="O57" s="16"/>
      <c r="P57" s="80"/>
      <c r="Q57" s="80"/>
      <c r="R57" s="80"/>
      <c r="S57" s="80"/>
      <c r="T57" s="88"/>
      <c r="U57" s="80"/>
      <c r="V57" s="91"/>
      <c r="W57" s="92"/>
      <c r="X57" s="92"/>
      <c r="Y57" s="92"/>
      <c r="Z57" s="92"/>
      <c r="AA57" s="92"/>
      <c r="AB57" s="92"/>
      <c r="AC57" s="92"/>
    </row>
    <row r="58" spans="1:29" s="1" customFormat="1" ht="12" x14ac:dyDescent="0.3">
      <c r="A58" s="56" t="s">
        <v>123</v>
      </c>
      <c r="B58" s="66">
        <v>1995.64516</v>
      </c>
      <c r="C58" s="66">
        <v>2014.53333</v>
      </c>
      <c r="D58" s="66">
        <v>1924.1290300000001</v>
      </c>
      <c r="E58" s="66">
        <v>1916.5806500000001</v>
      </c>
      <c r="F58" s="66">
        <v>2100.8965499999999</v>
      </c>
      <c r="G58" s="66">
        <v>2122.35484</v>
      </c>
      <c r="H58" s="66">
        <v>1481.1333299999999</v>
      </c>
      <c r="I58" s="66">
        <v>1145.03226</v>
      </c>
      <c r="J58" s="66">
        <v>975.33333000000005</v>
      </c>
      <c r="K58" s="66">
        <v>851.54839000000004</v>
      </c>
      <c r="L58" s="66">
        <v>788.93547999999998</v>
      </c>
      <c r="M58" s="66">
        <v>738.33333000000005</v>
      </c>
      <c r="N58" s="66">
        <v>1503.4890700000001</v>
      </c>
      <c r="O58" s="16"/>
      <c r="P58" s="80"/>
      <c r="Q58" s="80"/>
      <c r="R58" s="80"/>
      <c r="S58" s="80"/>
      <c r="T58" s="80"/>
      <c r="U58" s="80"/>
      <c r="V58" s="91"/>
      <c r="W58" s="92"/>
      <c r="X58" s="92"/>
      <c r="Y58" s="92"/>
      <c r="Z58" s="81"/>
      <c r="AA58" s="92"/>
      <c r="AB58" s="92"/>
      <c r="AC58" s="92"/>
    </row>
    <row r="59" spans="1:29" s="1" customFormat="1" ht="12" x14ac:dyDescent="0.3">
      <c r="A59" s="53" t="s">
        <v>145</v>
      </c>
      <c r="B59" s="70">
        <v>50217.838710000004</v>
      </c>
      <c r="C59" s="71">
        <v>46171.4</v>
      </c>
      <c r="D59" s="70">
        <v>42750.580650000004</v>
      </c>
      <c r="E59" s="71">
        <v>41115.06452</v>
      </c>
      <c r="F59" s="70">
        <v>39312.93103</v>
      </c>
      <c r="G59" s="71">
        <v>37687.96774</v>
      </c>
      <c r="H59" s="71">
        <v>31823.333330000001</v>
      </c>
      <c r="I59" s="70">
        <v>27189.35484</v>
      </c>
      <c r="J59" s="71">
        <v>24203.93333</v>
      </c>
      <c r="K59" s="70">
        <v>22549.41935</v>
      </c>
      <c r="L59" s="70">
        <v>21397.03226</v>
      </c>
      <c r="M59" s="71">
        <v>20227.2</v>
      </c>
      <c r="N59" s="70">
        <v>33723.978139999999</v>
      </c>
      <c r="O59" s="16"/>
      <c r="P59" s="16"/>
      <c r="Q59" s="16"/>
      <c r="R59" s="80"/>
      <c r="S59" s="80"/>
      <c r="T59" s="80"/>
      <c r="U59" s="80"/>
      <c r="V59" s="91"/>
      <c r="W59" s="92"/>
      <c r="X59" s="92"/>
      <c r="Y59" s="92"/>
    </row>
    <row r="60" spans="1:29" s="1" customFormat="1" ht="12" x14ac:dyDescent="0.3">
      <c r="A60" s="55" t="s">
        <v>60</v>
      </c>
      <c r="B60" s="66">
        <v>18007.48387</v>
      </c>
      <c r="C60" s="66">
        <v>16832.166669999999</v>
      </c>
      <c r="D60" s="66">
        <v>16126.87097</v>
      </c>
      <c r="E60" s="66">
        <v>15991.54839</v>
      </c>
      <c r="F60" s="66">
        <v>15807.62069</v>
      </c>
      <c r="G60" s="66">
        <v>15815</v>
      </c>
      <c r="H60" s="66">
        <v>14673.166670000001</v>
      </c>
      <c r="I60" s="66">
        <v>13508.6129</v>
      </c>
      <c r="J60" s="66">
        <v>12562.166670000001</v>
      </c>
      <c r="K60" s="66">
        <v>11971.22581</v>
      </c>
      <c r="L60" s="66">
        <v>11667.96774</v>
      </c>
      <c r="M60" s="66">
        <v>10837.93333</v>
      </c>
      <c r="N60" s="66">
        <v>14484.519130000001</v>
      </c>
      <c r="O60" s="16"/>
      <c r="P60" s="16"/>
      <c r="Q60" s="16"/>
      <c r="R60" s="80"/>
      <c r="S60" s="16"/>
      <c r="T60" s="16"/>
      <c r="U60" s="16"/>
      <c r="V60" s="20"/>
    </row>
    <row r="61" spans="1:29" s="1" customFormat="1" ht="12" x14ac:dyDescent="0.3">
      <c r="A61" s="56" t="s">
        <v>93</v>
      </c>
      <c r="B61" s="66">
        <v>4688.7419399999999</v>
      </c>
      <c r="C61" s="66">
        <v>4530.1333299999997</v>
      </c>
      <c r="D61" s="66">
        <v>4429.0967700000001</v>
      </c>
      <c r="E61" s="66">
        <v>4597.3870999999999</v>
      </c>
      <c r="F61" s="66">
        <v>4669.65517</v>
      </c>
      <c r="G61" s="66">
        <v>4641.32258</v>
      </c>
      <c r="H61" s="66">
        <v>3789.9666699999998</v>
      </c>
      <c r="I61" s="66">
        <v>3199.7741900000001</v>
      </c>
      <c r="J61" s="66">
        <v>2985.0666700000002</v>
      </c>
      <c r="K61" s="66">
        <v>2916.0967700000001</v>
      </c>
      <c r="L61" s="66">
        <v>3127.32258</v>
      </c>
      <c r="M61" s="66">
        <v>3329.9666699999998</v>
      </c>
      <c r="N61" s="66">
        <v>3907.28415</v>
      </c>
      <c r="O61" s="16"/>
      <c r="P61" s="16"/>
      <c r="Q61" s="16"/>
      <c r="R61" s="16"/>
      <c r="S61" s="16"/>
      <c r="T61" s="16"/>
      <c r="U61" s="16"/>
      <c r="V61" s="20"/>
    </row>
    <row r="62" spans="1:29" s="1" customFormat="1" ht="12" x14ac:dyDescent="0.3">
      <c r="A62" s="56" t="s">
        <v>123</v>
      </c>
      <c r="B62" s="66">
        <v>27521.6129</v>
      </c>
      <c r="C62" s="66">
        <v>24809.1</v>
      </c>
      <c r="D62" s="66">
        <v>22194.6129</v>
      </c>
      <c r="E62" s="66">
        <v>20526.12903</v>
      </c>
      <c r="F62" s="66">
        <v>18835.655170000002</v>
      </c>
      <c r="G62" s="66">
        <v>17231.64516</v>
      </c>
      <c r="H62" s="66">
        <v>13360.2</v>
      </c>
      <c r="I62" s="66">
        <v>10480.96774</v>
      </c>
      <c r="J62" s="66">
        <v>8656.7000000000007</v>
      </c>
      <c r="K62" s="66">
        <v>7662.0967700000001</v>
      </c>
      <c r="L62" s="66">
        <v>6601.7419399999999</v>
      </c>
      <c r="M62" s="66">
        <v>6059.3</v>
      </c>
      <c r="N62" s="66">
        <v>15332.174859999999</v>
      </c>
      <c r="O62" s="16"/>
      <c r="P62" s="16"/>
      <c r="Q62" s="16"/>
      <c r="R62" s="16"/>
      <c r="S62" s="16"/>
      <c r="T62" s="16"/>
      <c r="U62" s="16"/>
      <c r="V62" s="20"/>
    </row>
    <row r="63" spans="1:29" s="1" customFormat="1" ht="12" x14ac:dyDescent="0.3">
      <c r="A63" s="50"/>
      <c r="F63" s="5"/>
      <c r="G63" s="5"/>
      <c r="H63" s="5"/>
      <c r="I63" s="5"/>
      <c r="J63" s="5"/>
      <c r="K63" s="5"/>
      <c r="L63" s="16"/>
      <c r="M63" s="16"/>
      <c r="N63" s="16"/>
      <c r="O63" s="16"/>
      <c r="P63" s="16"/>
      <c r="Q63" s="16"/>
      <c r="R63" s="16"/>
      <c r="S63" s="16"/>
      <c r="T63" s="16"/>
      <c r="U63" s="16"/>
      <c r="V63" s="20"/>
    </row>
    <row r="64" spans="1:29" s="1" customFormat="1" ht="12" customHeight="1" x14ac:dyDescent="0.3">
      <c r="A64" s="365"/>
      <c r="B64" s="366"/>
      <c r="C64" s="366"/>
      <c r="D64" s="366"/>
      <c r="E64" s="366"/>
      <c r="F64" s="366"/>
      <c r="G64" s="366"/>
      <c r="H64" s="366"/>
      <c r="I64" s="366"/>
      <c r="J64" s="366"/>
      <c r="K64" s="366"/>
      <c r="L64" s="366"/>
      <c r="M64" s="366"/>
      <c r="N64" s="366"/>
      <c r="O64" s="366"/>
      <c r="P64" s="366"/>
      <c r="Q64" s="366"/>
      <c r="R64" s="366"/>
      <c r="S64" s="366"/>
      <c r="T64" s="366"/>
      <c r="U64" s="366"/>
      <c r="V64" s="367"/>
    </row>
    <row r="65" spans="1:28" s="1" customFormat="1" ht="12" x14ac:dyDescent="0.3">
      <c r="A65" s="50"/>
      <c r="F65" s="5"/>
      <c r="G65" s="5"/>
      <c r="H65" s="5"/>
      <c r="I65" s="5"/>
      <c r="J65" s="5"/>
      <c r="K65" s="5"/>
      <c r="L65" s="16"/>
      <c r="M65" s="16"/>
      <c r="N65" s="16"/>
      <c r="O65" s="16"/>
      <c r="P65" s="16"/>
      <c r="Q65" s="16"/>
      <c r="R65" s="16"/>
      <c r="S65" s="16"/>
      <c r="T65" s="16"/>
      <c r="U65" s="16"/>
      <c r="V65" s="20"/>
    </row>
    <row r="66" spans="1:28" s="1" customFormat="1" ht="24.75" customHeight="1" x14ac:dyDescent="0.3">
      <c r="A66" s="398" t="s">
        <v>542</v>
      </c>
      <c r="B66" s="399"/>
      <c r="C66" s="399"/>
      <c r="D66" s="399"/>
      <c r="E66" s="399"/>
      <c r="F66" s="399"/>
      <c r="G66" s="399"/>
      <c r="H66" s="399"/>
      <c r="I66" s="399"/>
      <c r="J66" s="399"/>
      <c r="K66" s="399"/>
      <c r="L66" s="399"/>
      <c r="M66" s="399"/>
      <c r="N66" s="399"/>
      <c r="O66" s="16"/>
      <c r="P66" s="16"/>
      <c r="Q66" s="89"/>
      <c r="R66" s="89"/>
      <c r="S66" s="89"/>
      <c r="T66" s="89"/>
      <c r="U66" s="89"/>
      <c r="V66" s="90"/>
      <c r="W66" s="87"/>
      <c r="X66" s="87"/>
      <c r="Y66" s="87"/>
      <c r="Z66" s="87"/>
      <c r="AA66" s="87"/>
      <c r="AB66" s="87"/>
    </row>
    <row r="67" spans="1:28" s="1" customFormat="1" ht="12" x14ac:dyDescent="0.3">
      <c r="A67" s="11" t="s">
        <v>127</v>
      </c>
      <c r="B67" s="34" t="s">
        <v>128</v>
      </c>
      <c r="C67" s="34" t="s">
        <v>129</v>
      </c>
      <c r="D67" s="34" t="s">
        <v>130</v>
      </c>
      <c r="E67" s="34" t="s">
        <v>131</v>
      </c>
      <c r="F67" s="34" t="s">
        <v>132</v>
      </c>
      <c r="G67" s="34" t="s">
        <v>133</v>
      </c>
      <c r="H67" s="34" t="s">
        <v>134</v>
      </c>
      <c r="I67" s="34" t="s">
        <v>135</v>
      </c>
      <c r="J67" s="34" t="s">
        <v>136</v>
      </c>
      <c r="K67" s="34" t="s">
        <v>138</v>
      </c>
      <c r="L67" s="34" t="s">
        <v>139</v>
      </c>
      <c r="M67" s="34" t="s">
        <v>140</v>
      </c>
      <c r="N67" s="34" t="s">
        <v>146</v>
      </c>
      <c r="O67" s="16"/>
      <c r="P67" s="89"/>
      <c r="Q67" s="89"/>
      <c r="R67" s="89"/>
      <c r="S67" s="89"/>
      <c r="T67" s="89"/>
      <c r="U67" s="89"/>
      <c r="V67" s="90"/>
      <c r="W67" s="87"/>
      <c r="X67" s="87"/>
      <c r="Y67" s="87"/>
      <c r="Z67" s="87"/>
      <c r="AA67" s="87"/>
      <c r="AB67" s="87"/>
    </row>
    <row r="68" spans="1:28" s="1" customFormat="1" ht="12.75" customHeight="1" x14ac:dyDescent="0.3">
      <c r="A68" s="53" t="s">
        <v>143</v>
      </c>
      <c r="B68" s="72">
        <v>57.748269999999998</v>
      </c>
      <c r="C68" s="73">
        <v>56.589799999999997</v>
      </c>
      <c r="D68" s="72">
        <v>52.264679999999998</v>
      </c>
      <c r="E68" s="73">
        <v>60.988819999999997</v>
      </c>
      <c r="F68" s="72">
        <v>59.100079999999998</v>
      </c>
      <c r="G68" s="73">
        <v>54.063560000000003</v>
      </c>
      <c r="H68" s="73">
        <v>85.903459999999995</v>
      </c>
      <c r="I68" s="72">
        <v>109.64126</v>
      </c>
      <c r="J68" s="73">
        <v>134.86288999999999</v>
      </c>
      <c r="K68" s="72">
        <v>122.18868999999999</v>
      </c>
      <c r="L68" s="72">
        <v>123.70177</v>
      </c>
      <c r="M68" s="73">
        <v>131.04668000000001</v>
      </c>
      <c r="N68" s="72">
        <v>67.603200000000001</v>
      </c>
      <c r="O68" s="16"/>
      <c r="P68" s="89"/>
      <c r="Q68" s="89"/>
      <c r="R68" s="89"/>
      <c r="S68" s="89"/>
      <c r="T68" s="89"/>
      <c r="U68" s="89"/>
      <c r="V68" s="90"/>
      <c r="W68" s="87"/>
      <c r="X68" s="87"/>
      <c r="Y68" s="87"/>
      <c r="Z68" s="87"/>
      <c r="AA68" s="87"/>
    </row>
    <row r="69" spans="1:28" s="1" customFormat="1" ht="12" x14ac:dyDescent="0.3">
      <c r="A69" s="55" t="s">
        <v>60</v>
      </c>
      <c r="B69" s="74">
        <v>37.756619999999998</v>
      </c>
      <c r="C69" s="74">
        <v>37.849769999999999</v>
      </c>
      <c r="D69" s="74">
        <v>33.200099999999999</v>
      </c>
      <c r="E69" s="74">
        <v>33.936320000000002</v>
      </c>
      <c r="F69" s="74">
        <v>28.701899999999998</v>
      </c>
      <c r="G69" s="74">
        <v>24.823260000000001</v>
      </c>
      <c r="H69" s="74">
        <v>31.391549999999999</v>
      </c>
      <c r="I69" s="74">
        <v>43.908900000000003</v>
      </c>
      <c r="J69" s="74">
        <v>66.469830000000002</v>
      </c>
      <c r="K69" s="74">
        <v>76.606930000000006</v>
      </c>
      <c r="L69" s="74">
        <v>82.982870000000005</v>
      </c>
      <c r="M69" s="74">
        <v>78.283820000000006</v>
      </c>
      <c r="N69" s="74">
        <v>38.230670000000003</v>
      </c>
      <c r="O69" s="16"/>
      <c r="P69" s="16"/>
      <c r="Q69" s="16"/>
      <c r="R69" s="16"/>
      <c r="S69" s="16"/>
      <c r="T69" s="16"/>
      <c r="U69" s="16"/>
      <c r="V69" s="20"/>
    </row>
    <row r="70" spans="1:28" s="1" customFormat="1" ht="12" x14ac:dyDescent="0.3">
      <c r="A70" s="56" t="s">
        <v>93</v>
      </c>
      <c r="B70" s="74">
        <v>65.004419999999996</v>
      </c>
      <c r="C70" s="74">
        <v>61.150829999999999</v>
      </c>
      <c r="D70" s="74">
        <v>60.622010000000003</v>
      </c>
      <c r="E70" s="74">
        <v>60.700769999999999</v>
      </c>
      <c r="F70" s="74">
        <v>57.995559999999998</v>
      </c>
      <c r="G70" s="74">
        <v>51.883330000000001</v>
      </c>
      <c r="H70" s="74">
        <v>86.813659999999999</v>
      </c>
      <c r="I70" s="74">
        <v>117.06931</v>
      </c>
      <c r="J70" s="74">
        <v>147.6875</v>
      </c>
      <c r="K70" s="74">
        <v>131.75281000000001</v>
      </c>
      <c r="L70" s="74">
        <v>130.73117999999999</v>
      </c>
      <c r="M70" s="74">
        <v>152.25962000000001</v>
      </c>
      <c r="N70" s="74">
        <v>73.082480000000004</v>
      </c>
      <c r="O70" s="16"/>
      <c r="P70" s="16"/>
      <c r="Q70" s="16"/>
      <c r="R70" s="16"/>
      <c r="S70" s="16"/>
      <c r="T70" s="16"/>
      <c r="U70" s="16"/>
      <c r="V70" s="20"/>
    </row>
    <row r="71" spans="1:28" s="1" customFormat="1" ht="12" x14ac:dyDescent="0.3">
      <c r="A71" s="56" t="s">
        <v>123</v>
      </c>
      <c r="B71" s="74">
        <v>65.33314</v>
      </c>
      <c r="C71" s="74">
        <v>63.347540000000002</v>
      </c>
      <c r="D71" s="74">
        <v>58.670720000000003</v>
      </c>
      <c r="E71" s="74">
        <v>73.284800000000004</v>
      </c>
      <c r="F71" s="74">
        <v>74.161429999999996</v>
      </c>
      <c r="G71" s="74">
        <v>70.213250000000002</v>
      </c>
      <c r="H71" s="74">
        <v>121.96691</v>
      </c>
      <c r="I71" s="74">
        <v>149.73042000000001</v>
      </c>
      <c r="J71" s="74">
        <v>167.17222000000001</v>
      </c>
      <c r="K71" s="74">
        <v>148.05381</v>
      </c>
      <c r="L71" s="74">
        <v>146.74599000000001</v>
      </c>
      <c r="M71" s="74">
        <v>157.03758999999999</v>
      </c>
      <c r="N71" s="74">
        <v>80.622470000000007</v>
      </c>
      <c r="O71" s="16"/>
      <c r="P71" s="89"/>
      <c r="Q71" s="89"/>
      <c r="R71" s="89"/>
      <c r="S71" s="89"/>
      <c r="T71" s="89"/>
      <c r="U71" s="89"/>
      <c r="V71" s="90"/>
      <c r="W71" s="87"/>
      <c r="X71" s="87"/>
      <c r="Y71" s="87"/>
      <c r="Z71" s="87"/>
    </row>
    <row r="72" spans="1:28" s="1" customFormat="1" ht="12" x14ac:dyDescent="0.3">
      <c r="A72" s="53" t="s">
        <v>144</v>
      </c>
      <c r="B72" s="72">
        <v>51.296149999999997</v>
      </c>
      <c r="C72" s="73">
        <v>54.210619999999999</v>
      </c>
      <c r="D72" s="72">
        <v>58.525919999999999</v>
      </c>
      <c r="E72" s="73">
        <v>52.549280000000003</v>
      </c>
      <c r="F72" s="72">
        <v>52.58446</v>
      </c>
      <c r="G72" s="73">
        <v>47.912039999999998</v>
      </c>
      <c r="H72" s="73">
        <v>64.507869999999997</v>
      </c>
      <c r="I72" s="72">
        <v>64.810559999999995</v>
      </c>
      <c r="J72" s="73">
        <v>67.997219999999999</v>
      </c>
      <c r="K72" s="72">
        <v>72.464680000000001</v>
      </c>
      <c r="L72" s="72">
        <v>74.066670000000002</v>
      </c>
      <c r="M72" s="73">
        <v>77.910749999999993</v>
      </c>
      <c r="N72" s="72">
        <v>59.376570000000001</v>
      </c>
      <c r="O72" s="16"/>
      <c r="P72" s="16"/>
      <c r="Q72" s="16"/>
      <c r="R72" s="16"/>
      <c r="S72" s="16"/>
      <c r="T72" s="16"/>
      <c r="U72" s="16"/>
      <c r="V72" s="20"/>
    </row>
    <row r="73" spans="1:28" s="1" customFormat="1" ht="12" x14ac:dyDescent="0.3">
      <c r="A73" s="55" t="s">
        <v>60</v>
      </c>
      <c r="B73" s="74">
        <v>52.744790000000002</v>
      </c>
      <c r="C73" s="74">
        <v>55.562100000000001</v>
      </c>
      <c r="D73" s="74">
        <v>61.19406</v>
      </c>
      <c r="E73" s="74">
        <v>52.627780000000001</v>
      </c>
      <c r="F73" s="74">
        <v>52.923929999999999</v>
      </c>
      <c r="G73" s="74">
        <v>48.990270000000002</v>
      </c>
      <c r="H73" s="74">
        <v>64.29522</v>
      </c>
      <c r="I73" s="74">
        <v>61.853090000000002</v>
      </c>
      <c r="J73" s="74">
        <v>66.827579999999998</v>
      </c>
      <c r="K73" s="74">
        <v>70.606800000000007</v>
      </c>
      <c r="L73" s="74">
        <v>72.358239999999995</v>
      </c>
      <c r="M73" s="74">
        <v>80.542379999999994</v>
      </c>
      <c r="N73" s="74">
        <v>60.051400000000001</v>
      </c>
      <c r="O73" s="16"/>
      <c r="P73" s="16"/>
      <c r="Q73" s="16"/>
      <c r="R73" s="16"/>
      <c r="S73" s="16"/>
      <c r="T73" s="16"/>
      <c r="U73" s="16"/>
      <c r="V73" s="20"/>
    </row>
    <row r="74" spans="1:28" s="1" customFormat="1" ht="12" customHeight="1" x14ac:dyDescent="0.3">
      <c r="A74" s="56" t="s">
        <v>93</v>
      </c>
      <c r="B74" s="74">
        <v>49.484589999999997</v>
      </c>
      <c r="C74" s="74">
        <v>52.003520000000002</v>
      </c>
      <c r="D74" s="74">
        <v>53.932659999999998</v>
      </c>
      <c r="E74" s="74">
        <v>51.036090000000002</v>
      </c>
      <c r="F74" s="74">
        <v>52.73283</v>
      </c>
      <c r="G74" s="74">
        <v>47.938519999999997</v>
      </c>
      <c r="H74" s="74">
        <v>61.603059999999999</v>
      </c>
      <c r="I74" s="74">
        <v>64.624610000000004</v>
      </c>
      <c r="J74" s="74">
        <v>65.13449</v>
      </c>
      <c r="K74" s="74">
        <v>67.446830000000006</v>
      </c>
      <c r="L74" s="74">
        <v>71.195650000000001</v>
      </c>
      <c r="M74" s="74">
        <v>67.359650000000002</v>
      </c>
      <c r="N74" s="74">
        <v>56.74785</v>
      </c>
      <c r="O74" s="16"/>
      <c r="P74" s="16"/>
      <c r="Q74" s="16"/>
      <c r="R74" s="16"/>
      <c r="S74" s="16"/>
      <c r="T74" s="16"/>
      <c r="U74" s="16"/>
      <c r="V74" s="20"/>
    </row>
    <row r="75" spans="1:28" s="1" customFormat="1" ht="12" x14ac:dyDescent="0.3">
      <c r="A75" s="56" t="s">
        <v>123</v>
      </c>
      <c r="B75" s="74">
        <v>45.434750000000001</v>
      </c>
      <c r="C75" s="74">
        <v>49.696730000000002</v>
      </c>
      <c r="D75" s="74">
        <v>50.226869999999998</v>
      </c>
      <c r="E75" s="74">
        <v>54.670859999999998</v>
      </c>
      <c r="F75" s="74">
        <v>50.533140000000003</v>
      </c>
      <c r="G75" s="74">
        <v>42.181620000000002</v>
      </c>
      <c r="H75" s="74">
        <v>72.655320000000003</v>
      </c>
      <c r="I75" s="74">
        <v>102.20833</v>
      </c>
      <c r="J75" s="74">
        <v>91.905289999999994</v>
      </c>
      <c r="K75" s="74">
        <v>114.61490999999999</v>
      </c>
      <c r="L75" s="74">
        <v>102.32438999999999</v>
      </c>
      <c r="M75" s="74">
        <v>87.782219999999995</v>
      </c>
      <c r="N75" s="74">
        <v>59.960979999999999</v>
      </c>
      <c r="O75" s="16"/>
      <c r="P75" s="16"/>
      <c r="Q75" s="16"/>
      <c r="R75" s="16"/>
      <c r="S75" s="16"/>
      <c r="T75" s="16"/>
      <c r="U75" s="16"/>
      <c r="V75" s="20"/>
    </row>
    <row r="76" spans="1:28" s="1" customFormat="1" ht="12" x14ac:dyDescent="0.3">
      <c r="A76" s="53" t="s">
        <v>145</v>
      </c>
      <c r="B76" s="72">
        <v>55.196219999999997</v>
      </c>
      <c r="C76" s="73">
        <v>55.656610000000001</v>
      </c>
      <c r="D76" s="72">
        <v>54.68235</v>
      </c>
      <c r="E76" s="73">
        <v>57.083159999999999</v>
      </c>
      <c r="F76" s="72">
        <v>56.130470000000003</v>
      </c>
      <c r="G76" s="73">
        <v>51.003509999999999</v>
      </c>
      <c r="H76" s="73">
        <v>73.792050000000003</v>
      </c>
      <c r="I76" s="72">
        <v>80.890910000000005</v>
      </c>
      <c r="J76" s="73">
        <v>91.010080000000002</v>
      </c>
      <c r="K76" s="72">
        <v>88.824740000000006</v>
      </c>
      <c r="L76" s="72">
        <v>88.734610000000004</v>
      </c>
      <c r="M76" s="73">
        <v>91.539770000000004</v>
      </c>
      <c r="N76" s="72">
        <v>63.541020000000003</v>
      </c>
      <c r="O76" s="16"/>
      <c r="P76" s="16"/>
      <c r="Q76" s="16"/>
      <c r="R76" s="16"/>
      <c r="S76" s="16"/>
      <c r="T76" s="16"/>
      <c r="U76" s="16"/>
      <c r="V76" s="20"/>
    </row>
    <row r="77" spans="1:28" s="1" customFormat="1" ht="12" x14ac:dyDescent="0.3">
      <c r="A77" s="55" t="s">
        <v>60</v>
      </c>
      <c r="B77" s="74">
        <v>47.063879999999997</v>
      </c>
      <c r="C77" s="74">
        <v>49.009680000000003</v>
      </c>
      <c r="D77" s="74">
        <v>50.855759999999997</v>
      </c>
      <c r="E77" s="74">
        <v>46.332059999999998</v>
      </c>
      <c r="F77" s="74">
        <v>44.141330000000004</v>
      </c>
      <c r="G77" s="74">
        <v>40.646059999999999</v>
      </c>
      <c r="H77" s="74">
        <v>54.599649999999997</v>
      </c>
      <c r="I77" s="74">
        <v>57.964210000000001</v>
      </c>
      <c r="J77" s="74">
        <v>66.763840000000002</v>
      </c>
      <c r="K77" s="74">
        <v>71.724909999999994</v>
      </c>
      <c r="L77" s="74">
        <v>74.145920000000004</v>
      </c>
      <c r="M77" s="74">
        <v>80.230490000000003</v>
      </c>
      <c r="N77" s="74">
        <v>53.372839999999997</v>
      </c>
      <c r="O77" s="16"/>
      <c r="P77" s="16"/>
      <c r="Q77" s="16"/>
      <c r="R77" s="16"/>
      <c r="S77" s="16"/>
      <c r="T77" s="16"/>
      <c r="U77" s="16"/>
      <c r="V77" s="20"/>
    </row>
    <row r="78" spans="1:28" s="1" customFormat="1" ht="12" x14ac:dyDescent="0.3">
      <c r="A78" s="56" t="s">
        <v>93</v>
      </c>
      <c r="B78" s="74">
        <v>51.975900000000003</v>
      </c>
      <c r="C78" s="74">
        <v>53.792319999999997</v>
      </c>
      <c r="D78" s="74">
        <v>55.045780000000001</v>
      </c>
      <c r="E78" s="74">
        <v>52.500779999999999</v>
      </c>
      <c r="F78" s="74">
        <v>53.607680000000002</v>
      </c>
      <c r="G78" s="74">
        <v>48.378300000000003</v>
      </c>
      <c r="H78" s="74">
        <v>63.951970000000003</v>
      </c>
      <c r="I78" s="74">
        <v>68.427139999999994</v>
      </c>
      <c r="J78" s="74">
        <v>71.79983</v>
      </c>
      <c r="K78" s="74">
        <v>72.376400000000004</v>
      </c>
      <c r="L78" s="74">
        <v>75.204920000000001</v>
      </c>
      <c r="M78" s="74">
        <v>72.227119999999999</v>
      </c>
      <c r="N78" s="74">
        <v>58.845379999999999</v>
      </c>
      <c r="O78" s="16"/>
      <c r="P78" s="16"/>
      <c r="Q78" s="16"/>
      <c r="R78" s="16"/>
      <c r="S78" s="16"/>
      <c r="T78" s="16"/>
      <c r="U78" s="16"/>
      <c r="V78" s="20"/>
    </row>
    <row r="79" spans="1:28" s="1" customFormat="1" ht="12" x14ac:dyDescent="0.3">
      <c r="A79" s="56" t="s">
        <v>123</v>
      </c>
      <c r="B79" s="74">
        <v>63.531280000000002</v>
      </c>
      <c r="C79" s="74">
        <v>62.087110000000003</v>
      </c>
      <c r="D79" s="74">
        <v>57.938009999999998</v>
      </c>
      <c r="E79" s="74">
        <v>70.912390000000002</v>
      </c>
      <c r="F79" s="74">
        <v>70.854709999999997</v>
      </c>
      <c r="G79" s="74">
        <v>65.590159999999997</v>
      </c>
      <c r="H79" s="74">
        <v>113.76963000000001</v>
      </c>
      <c r="I79" s="74">
        <v>142.53063</v>
      </c>
      <c r="J79" s="74">
        <v>156.1926</v>
      </c>
      <c r="K79" s="74">
        <v>142.84969000000001</v>
      </c>
      <c r="L79" s="74">
        <v>137.78297000000001</v>
      </c>
      <c r="M79" s="74">
        <v>141.80547000000001</v>
      </c>
      <c r="N79" s="74">
        <v>78.074190000000002</v>
      </c>
      <c r="O79" s="16"/>
      <c r="P79" s="16"/>
      <c r="Q79" s="16"/>
      <c r="R79" s="16"/>
      <c r="S79" s="16"/>
      <c r="T79" s="16"/>
      <c r="U79" s="16"/>
      <c r="V79" s="20"/>
    </row>
    <row r="80" spans="1:28" s="1" customFormat="1" ht="12" x14ac:dyDescent="0.3">
      <c r="A80" s="50"/>
      <c r="F80" s="5"/>
      <c r="G80" s="5"/>
      <c r="H80" s="5"/>
      <c r="I80" s="5"/>
      <c r="J80" s="5"/>
      <c r="K80" s="5"/>
      <c r="L80" s="16"/>
      <c r="M80" s="16"/>
      <c r="N80" s="16"/>
      <c r="O80" s="16"/>
      <c r="P80" s="16"/>
      <c r="Q80" s="16"/>
      <c r="R80" s="16"/>
      <c r="S80" s="16"/>
      <c r="T80" s="16"/>
      <c r="U80" s="16"/>
      <c r="V80" s="20"/>
    </row>
    <row r="81" spans="1:27" s="1" customFormat="1" ht="12" x14ac:dyDescent="0.3">
      <c r="A81" s="365"/>
      <c r="B81" s="366"/>
      <c r="C81" s="366"/>
      <c r="D81" s="366"/>
      <c r="E81" s="366"/>
      <c r="F81" s="366"/>
      <c r="G81" s="366"/>
      <c r="H81" s="366"/>
      <c r="I81" s="366"/>
      <c r="J81" s="366"/>
      <c r="K81" s="366"/>
      <c r="L81" s="366"/>
      <c r="M81" s="366"/>
      <c r="N81" s="366"/>
      <c r="O81" s="366"/>
      <c r="P81" s="366"/>
      <c r="Q81" s="366"/>
      <c r="R81" s="366"/>
      <c r="S81" s="366"/>
      <c r="T81" s="366"/>
      <c r="U81" s="366"/>
      <c r="V81" s="367"/>
    </row>
    <row r="82" spans="1:27" s="1" customFormat="1" ht="12" x14ac:dyDescent="0.3">
      <c r="A82" s="50"/>
      <c r="F82" s="5"/>
      <c r="G82" s="5"/>
      <c r="H82" s="5"/>
      <c r="I82" s="5"/>
      <c r="J82" s="5"/>
      <c r="K82" s="5"/>
      <c r="L82" s="16"/>
      <c r="M82" s="16"/>
      <c r="N82" s="16"/>
      <c r="O82" s="16"/>
      <c r="P82" s="16"/>
      <c r="Q82" s="16"/>
      <c r="R82" s="16"/>
      <c r="S82" s="16"/>
      <c r="T82" s="16"/>
      <c r="U82" s="16"/>
      <c r="V82" s="20"/>
    </row>
    <row r="83" spans="1:27" s="5" customFormat="1" ht="24.75" customHeight="1" x14ac:dyDescent="0.3">
      <c r="A83" s="400" t="s">
        <v>543</v>
      </c>
      <c r="B83" s="401"/>
      <c r="C83" s="401"/>
      <c r="D83" s="401"/>
      <c r="E83" s="401"/>
      <c r="F83" s="401"/>
      <c r="G83" s="401"/>
      <c r="H83" s="401"/>
      <c r="I83" s="401"/>
      <c r="J83" s="401"/>
      <c r="K83" s="401"/>
      <c r="L83" s="401"/>
      <c r="M83" s="401"/>
      <c r="N83" s="401"/>
      <c r="O83" s="16"/>
      <c r="P83" s="89"/>
      <c r="Q83" s="89"/>
      <c r="R83" s="89"/>
      <c r="S83" s="89"/>
      <c r="T83" s="89"/>
      <c r="U83" s="89"/>
      <c r="V83" s="90"/>
      <c r="W83" s="86"/>
      <c r="X83" s="86"/>
      <c r="Y83" s="86"/>
      <c r="Z83" s="86"/>
      <c r="AA83" s="86"/>
    </row>
    <row r="84" spans="1:27" s="1" customFormat="1" ht="12" x14ac:dyDescent="0.3">
      <c r="A84" s="11" t="s">
        <v>142</v>
      </c>
      <c r="B84" s="34" t="s">
        <v>128</v>
      </c>
      <c r="C84" s="34" t="s">
        <v>129</v>
      </c>
      <c r="D84" s="34" t="s">
        <v>130</v>
      </c>
      <c r="E84" s="34" t="s">
        <v>131</v>
      </c>
      <c r="F84" s="34" t="s">
        <v>132</v>
      </c>
      <c r="G84" s="34" t="s">
        <v>133</v>
      </c>
      <c r="H84" s="34" t="s">
        <v>134</v>
      </c>
      <c r="I84" s="34" t="s">
        <v>135</v>
      </c>
      <c r="J84" s="34" t="s">
        <v>136</v>
      </c>
      <c r="K84" s="34" t="s">
        <v>138</v>
      </c>
      <c r="L84" s="34" t="s">
        <v>139</v>
      </c>
      <c r="M84" s="34" t="s">
        <v>140</v>
      </c>
      <c r="N84" s="34" t="s">
        <v>146</v>
      </c>
      <c r="O84" s="16"/>
      <c r="P84" s="80"/>
      <c r="Q84" s="89"/>
      <c r="R84" s="89"/>
      <c r="S84" s="89"/>
      <c r="T84" s="89"/>
      <c r="U84" s="89"/>
      <c r="V84" s="90"/>
      <c r="W84" s="87"/>
      <c r="X84" s="87"/>
      <c r="Y84" s="87"/>
      <c r="Z84" s="87"/>
    </row>
    <row r="85" spans="1:27" s="1" customFormat="1" ht="12.75" customHeight="1" thickBot="1" x14ac:dyDescent="0.35">
      <c r="A85" s="46" t="s">
        <v>1</v>
      </c>
      <c r="B85" s="63">
        <v>50217.838710000004</v>
      </c>
      <c r="C85" s="64">
        <v>46171.4</v>
      </c>
      <c r="D85" s="63">
        <v>42750.580650000004</v>
      </c>
      <c r="E85" s="64">
        <v>41115.06452</v>
      </c>
      <c r="F85" s="63">
        <v>39312.93103</v>
      </c>
      <c r="G85" s="64">
        <v>37687.96774</v>
      </c>
      <c r="H85" s="64">
        <v>31823.333330000001</v>
      </c>
      <c r="I85" s="63">
        <v>27189.35484</v>
      </c>
      <c r="J85" s="64">
        <v>24203.93333</v>
      </c>
      <c r="K85" s="63">
        <v>22549.41935</v>
      </c>
      <c r="L85" s="63">
        <v>21397.03226</v>
      </c>
      <c r="M85" s="64">
        <v>20227.2</v>
      </c>
      <c r="N85" s="63">
        <v>33723.978139999999</v>
      </c>
      <c r="O85" s="16"/>
      <c r="P85" s="80"/>
      <c r="Q85" s="80"/>
      <c r="R85" s="80"/>
      <c r="S85" s="80"/>
      <c r="T85" s="88"/>
      <c r="U85" s="80"/>
      <c r="V85" s="91"/>
      <c r="W85" s="92"/>
      <c r="X85" s="92"/>
      <c r="Y85" s="92"/>
      <c r="Z85" s="92"/>
      <c r="AA85" s="92"/>
    </row>
    <row r="86" spans="1:27" s="1" customFormat="1" ht="12.5" thickTop="1" x14ac:dyDescent="0.3">
      <c r="A86" s="47" t="s">
        <v>116</v>
      </c>
      <c r="B86" s="65">
        <v>1590.2258099999999</v>
      </c>
      <c r="C86" s="65">
        <v>1836.1333299999999</v>
      </c>
      <c r="D86" s="65">
        <v>1544.83871</v>
      </c>
      <c r="E86" s="65">
        <v>1436.2258099999999</v>
      </c>
      <c r="F86" s="65">
        <v>1436.5517199999999</v>
      </c>
      <c r="G86" s="65">
        <v>1590.8709699999999</v>
      </c>
      <c r="H86" s="65">
        <v>766.96667000000002</v>
      </c>
      <c r="I86" s="65">
        <v>367.48387000000002</v>
      </c>
      <c r="J86" s="65">
        <v>269.39999999999998</v>
      </c>
      <c r="K86" s="65">
        <v>346.83870999999999</v>
      </c>
      <c r="L86" s="65">
        <v>262.51612999999998</v>
      </c>
      <c r="M86" s="65">
        <v>237.76667</v>
      </c>
      <c r="N86" s="65">
        <v>973.43443000000002</v>
      </c>
      <c r="O86" s="16"/>
      <c r="P86" s="80"/>
      <c r="Q86" s="80"/>
      <c r="R86" s="80"/>
      <c r="S86" s="80"/>
      <c r="T86" s="80"/>
      <c r="U86" s="80"/>
      <c r="V86" s="91"/>
      <c r="W86" s="92"/>
      <c r="X86" s="92"/>
      <c r="Y86" s="92"/>
      <c r="Z86" s="92"/>
    </row>
    <row r="87" spans="1:27" s="1" customFormat="1" ht="12" x14ac:dyDescent="0.3">
      <c r="A87" s="48" t="s">
        <v>117</v>
      </c>
      <c r="B87" s="66">
        <v>48627.6129</v>
      </c>
      <c r="C87" s="66">
        <v>44335.266669999997</v>
      </c>
      <c r="D87" s="66">
        <v>41205.74194</v>
      </c>
      <c r="E87" s="66">
        <v>39678.838710000004</v>
      </c>
      <c r="F87" s="66">
        <v>37876.379309999997</v>
      </c>
      <c r="G87" s="66">
        <v>36097.096769999996</v>
      </c>
      <c r="H87" s="66">
        <v>31056.366669999999</v>
      </c>
      <c r="I87" s="66">
        <v>26821.87097</v>
      </c>
      <c r="J87" s="66">
        <v>23934.533329999998</v>
      </c>
      <c r="K87" s="66">
        <v>22202.58065</v>
      </c>
      <c r="L87" s="66">
        <v>21134.51613</v>
      </c>
      <c r="M87" s="66">
        <v>19989.43333</v>
      </c>
      <c r="N87" s="66">
        <v>32750.543720000001</v>
      </c>
      <c r="O87" s="16"/>
      <c r="P87" s="80"/>
      <c r="Q87" s="80"/>
      <c r="R87" s="80"/>
      <c r="S87" s="80"/>
      <c r="T87" s="80"/>
      <c r="U87" s="80"/>
      <c r="V87" s="91"/>
      <c r="W87" s="92"/>
      <c r="X87" s="92"/>
      <c r="Y87" s="92"/>
      <c r="Z87" s="92"/>
      <c r="AA87" s="92"/>
    </row>
    <row r="88" spans="1:27" s="3" customFormat="1" ht="23.25" customHeight="1" x14ac:dyDescent="0.3">
      <c r="A88" s="50"/>
      <c r="B88" s="1"/>
      <c r="C88" s="1"/>
      <c r="D88" s="1"/>
      <c r="E88" s="1"/>
      <c r="F88" s="5"/>
      <c r="G88" s="5"/>
      <c r="H88" s="5"/>
      <c r="I88" s="5"/>
      <c r="J88" s="5"/>
      <c r="K88" s="5"/>
      <c r="L88" s="16"/>
      <c r="M88" s="16"/>
      <c r="N88" s="16"/>
      <c r="O88" s="16"/>
      <c r="P88" s="80"/>
      <c r="Q88" s="80"/>
      <c r="R88" s="80"/>
      <c r="S88" s="80"/>
      <c r="T88" s="80"/>
      <c r="U88" s="80"/>
      <c r="V88" s="91"/>
      <c r="W88" s="93"/>
      <c r="X88" s="93"/>
      <c r="Y88" s="93"/>
    </row>
    <row r="89" spans="1:27" s="1" customFormat="1" ht="12.75" customHeight="1" x14ac:dyDescent="0.3">
      <c r="A89" s="365"/>
      <c r="B89" s="366"/>
      <c r="C89" s="366"/>
      <c r="D89" s="366"/>
      <c r="E89" s="366"/>
      <c r="F89" s="366"/>
      <c r="G89" s="366"/>
      <c r="H89" s="366"/>
      <c r="I89" s="366"/>
      <c r="J89" s="366"/>
      <c r="K89" s="366"/>
      <c r="L89" s="366"/>
      <c r="M89" s="366"/>
      <c r="N89" s="366"/>
      <c r="O89" s="366"/>
      <c r="P89" s="366"/>
      <c r="Q89" s="366"/>
      <c r="R89" s="366"/>
      <c r="S89" s="366"/>
      <c r="T89" s="366"/>
      <c r="U89" s="366"/>
      <c r="V89" s="367"/>
    </row>
    <row r="90" spans="1:27" s="1" customFormat="1" ht="12.75" customHeight="1" x14ac:dyDescent="0.3">
      <c r="A90" s="50"/>
      <c r="F90" s="5"/>
      <c r="G90" s="5"/>
      <c r="H90" s="5"/>
      <c r="I90" s="5"/>
      <c r="J90" s="5"/>
      <c r="K90" s="5"/>
      <c r="L90" s="16"/>
      <c r="M90" s="16"/>
      <c r="N90" s="16"/>
      <c r="O90" s="16"/>
      <c r="P90" s="16"/>
      <c r="Q90" s="16"/>
      <c r="R90" s="16"/>
      <c r="S90" s="16"/>
      <c r="T90" s="16"/>
      <c r="U90" s="16"/>
      <c r="V90" s="20"/>
    </row>
    <row r="91" spans="1:27" s="5" customFormat="1" ht="24.75" customHeight="1" x14ac:dyDescent="0.3">
      <c r="A91" s="400" t="s">
        <v>544</v>
      </c>
      <c r="B91" s="401"/>
      <c r="C91" s="401"/>
      <c r="D91" s="401"/>
      <c r="E91" s="401"/>
      <c r="F91" s="401"/>
      <c r="G91" s="401"/>
      <c r="H91" s="401"/>
      <c r="I91" s="401"/>
      <c r="J91" s="401"/>
      <c r="K91" s="401"/>
      <c r="L91" s="401"/>
      <c r="M91" s="401"/>
      <c r="N91" s="401"/>
      <c r="O91" s="16"/>
      <c r="P91" s="89"/>
      <c r="Q91" s="89"/>
      <c r="R91" s="89"/>
      <c r="S91" s="89"/>
      <c r="T91" s="89"/>
      <c r="U91" s="89"/>
      <c r="V91" s="90"/>
      <c r="W91" s="86"/>
      <c r="X91" s="86"/>
      <c r="Y91" s="86"/>
      <c r="Z91" s="86"/>
      <c r="AA91" s="86"/>
    </row>
    <row r="92" spans="1:27" s="1" customFormat="1" ht="12" x14ac:dyDescent="0.3">
      <c r="A92" s="11" t="s">
        <v>142</v>
      </c>
      <c r="B92" s="34" t="s">
        <v>128</v>
      </c>
      <c r="C92" s="34" t="s">
        <v>129</v>
      </c>
      <c r="D92" s="34" t="s">
        <v>130</v>
      </c>
      <c r="E92" s="34" t="s">
        <v>131</v>
      </c>
      <c r="F92" s="34" t="s">
        <v>132</v>
      </c>
      <c r="G92" s="34" t="s">
        <v>133</v>
      </c>
      <c r="H92" s="34" t="s">
        <v>134</v>
      </c>
      <c r="I92" s="34" t="s">
        <v>135</v>
      </c>
      <c r="J92" s="34" t="s">
        <v>136</v>
      </c>
      <c r="K92" s="34" t="s">
        <v>138</v>
      </c>
      <c r="L92" s="34" t="s">
        <v>139</v>
      </c>
      <c r="M92" s="34" t="s">
        <v>140</v>
      </c>
      <c r="N92" s="34" t="s">
        <v>146</v>
      </c>
      <c r="O92" s="16"/>
      <c r="P92" s="16"/>
      <c r="Q92" s="16"/>
      <c r="R92" s="16"/>
      <c r="S92" s="16"/>
      <c r="T92" s="16"/>
      <c r="U92" s="16"/>
      <c r="V92" s="20"/>
    </row>
    <row r="93" spans="1:27" s="1" customFormat="1" ht="12.75" customHeight="1" thickBot="1" x14ac:dyDescent="0.35">
      <c r="A93" s="46" t="s">
        <v>1</v>
      </c>
      <c r="B93" s="75">
        <v>55.196219999999997</v>
      </c>
      <c r="C93" s="76">
        <v>55.656610000000001</v>
      </c>
      <c r="D93" s="75">
        <v>54.68235</v>
      </c>
      <c r="E93" s="76">
        <v>57.083159999999999</v>
      </c>
      <c r="F93" s="75">
        <v>56.130470000000003</v>
      </c>
      <c r="G93" s="76">
        <v>51.003509999999999</v>
      </c>
      <c r="H93" s="76">
        <v>73.792050000000003</v>
      </c>
      <c r="I93" s="75">
        <v>80.890910000000005</v>
      </c>
      <c r="J93" s="76">
        <v>91.010080000000002</v>
      </c>
      <c r="K93" s="75">
        <v>88.824740000000006</v>
      </c>
      <c r="L93" s="75">
        <v>88.734610000000004</v>
      </c>
      <c r="M93" s="76">
        <v>91.539770000000004</v>
      </c>
      <c r="N93" s="75">
        <v>63.541020000000003</v>
      </c>
      <c r="O93" s="16"/>
      <c r="P93" s="16"/>
      <c r="Q93" s="16"/>
      <c r="R93" s="16"/>
      <c r="S93" s="16"/>
      <c r="T93" s="16"/>
      <c r="U93" s="16"/>
      <c r="V93" s="20"/>
    </row>
    <row r="94" spans="1:27" s="1" customFormat="1" ht="12.5" thickTop="1" x14ac:dyDescent="0.3">
      <c r="A94" s="47" t="s">
        <v>116</v>
      </c>
      <c r="B94" s="77">
        <v>24.787990000000001</v>
      </c>
      <c r="C94" s="77">
        <v>39.352440000000001</v>
      </c>
      <c r="D94" s="77">
        <v>32.341900000000003</v>
      </c>
      <c r="E94" s="77">
        <v>54.740479999999998</v>
      </c>
      <c r="F94" s="77">
        <v>56.144739999999999</v>
      </c>
      <c r="G94" s="77">
        <v>64.247010000000003</v>
      </c>
      <c r="H94" s="77">
        <v>61.28689</v>
      </c>
      <c r="I94" s="77">
        <v>78.128569999999996</v>
      </c>
      <c r="J94" s="77">
        <v>42.88</v>
      </c>
      <c r="K94" s="77">
        <v>100.52542</v>
      </c>
      <c r="L94" s="77">
        <v>71.227270000000004</v>
      </c>
      <c r="M94" s="77">
        <v>167.62857</v>
      </c>
      <c r="N94" s="77">
        <v>50.132429999999999</v>
      </c>
      <c r="O94" s="16"/>
      <c r="P94" s="16"/>
      <c r="Q94" s="16"/>
      <c r="R94" s="16"/>
      <c r="S94" s="16"/>
      <c r="T94" s="16"/>
      <c r="U94" s="16"/>
      <c r="V94" s="20"/>
    </row>
    <row r="95" spans="1:27" s="1" customFormat="1" ht="12" x14ac:dyDescent="0.3">
      <c r="A95" s="48" t="s">
        <v>117</v>
      </c>
      <c r="B95" s="74">
        <v>55.494639999999997</v>
      </c>
      <c r="C95" s="74">
        <v>55.879480000000001</v>
      </c>
      <c r="D95" s="74">
        <v>55.012340000000002</v>
      </c>
      <c r="E95" s="74">
        <v>57.111330000000002</v>
      </c>
      <c r="F95" s="74">
        <v>56.130290000000002</v>
      </c>
      <c r="G95" s="74">
        <v>50.854179999999999</v>
      </c>
      <c r="H95" s="74">
        <v>73.902649999999994</v>
      </c>
      <c r="I95" s="74">
        <v>80.909319999999994</v>
      </c>
      <c r="J95" s="74">
        <v>91.139480000000006</v>
      </c>
      <c r="K95" s="74">
        <v>88.744380000000007</v>
      </c>
      <c r="L95" s="74">
        <v>88.820959999999999</v>
      </c>
      <c r="M95" s="74">
        <v>91.268609999999995</v>
      </c>
      <c r="N95" s="74">
        <v>63.681530000000002</v>
      </c>
      <c r="O95" s="16"/>
      <c r="P95" s="16"/>
      <c r="Q95" s="16"/>
      <c r="R95" s="16"/>
      <c r="S95" s="16"/>
      <c r="T95" s="16"/>
      <c r="U95" s="16"/>
      <c r="V95" s="20"/>
    </row>
    <row r="96" spans="1:27" x14ac:dyDescent="0.35">
      <c r="A96" s="57"/>
      <c r="V96" s="58"/>
    </row>
    <row r="97" spans="1:22" ht="15" thickBot="1" x14ac:dyDescent="0.4">
      <c r="A97" s="383"/>
      <c r="B97" s="384"/>
      <c r="C97" s="384"/>
      <c r="D97" s="384"/>
      <c r="E97" s="384"/>
      <c r="F97" s="384"/>
      <c r="G97" s="384"/>
      <c r="H97" s="384"/>
      <c r="I97" s="384"/>
      <c r="J97" s="384"/>
      <c r="K97" s="384"/>
      <c r="L97" s="384"/>
      <c r="M97" s="384"/>
      <c r="N97" s="384"/>
      <c r="O97" s="384"/>
      <c r="P97" s="384"/>
      <c r="Q97" s="384"/>
      <c r="R97" s="384"/>
      <c r="S97" s="384"/>
      <c r="T97" s="384"/>
      <c r="U97" s="384"/>
      <c r="V97" s="385"/>
    </row>
    <row r="98" spans="1:22" x14ac:dyDescent="0.35">
      <c r="A98" s="28"/>
    </row>
    <row r="99" spans="1:22" x14ac:dyDescent="0.35">
      <c r="B99" s="78"/>
      <c r="C99" s="78"/>
      <c r="D99" s="78"/>
      <c r="E99" s="78"/>
      <c r="F99" s="78"/>
      <c r="G99" s="78"/>
      <c r="H99" s="78"/>
      <c r="I99" s="78"/>
      <c r="J99" s="78"/>
      <c r="K99" s="78"/>
    </row>
    <row r="100" spans="1:22" x14ac:dyDescent="0.35">
      <c r="B100" s="78"/>
      <c r="C100" s="78"/>
      <c r="D100" s="78"/>
      <c r="E100" s="78"/>
      <c r="F100" s="78"/>
      <c r="G100" s="78"/>
      <c r="H100" s="78"/>
      <c r="I100" s="78"/>
      <c r="J100" s="78"/>
      <c r="K100" s="78"/>
      <c r="L100" s="78"/>
      <c r="M100" s="78"/>
    </row>
    <row r="101" spans="1:22" x14ac:dyDescent="0.35">
      <c r="B101" s="79"/>
      <c r="C101" s="79"/>
      <c r="D101" s="79"/>
      <c r="E101" s="79"/>
      <c r="F101" s="79"/>
      <c r="G101" s="79"/>
      <c r="H101" s="79"/>
      <c r="I101" s="79"/>
      <c r="J101" s="79"/>
      <c r="K101" s="79"/>
      <c r="L101" s="78"/>
      <c r="M101" s="78"/>
    </row>
    <row r="102" spans="1:22" x14ac:dyDescent="0.35">
      <c r="B102" s="79"/>
      <c r="C102" s="79"/>
      <c r="D102" s="79"/>
      <c r="E102" s="79"/>
      <c r="F102" s="79"/>
      <c r="G102" s="79"/>
      <c r="H102" s="79"/>
      <c r="I102" s="79"/>
      <c r="J102" s="79"/>
      <c r="K102" s="79"/>
      <c r="L102" s="79"/>
      <c r="M102" s="79"/>
    </row>
    <row r="103" spans="1:22" x14ac:dyDescent="0.35">
      <c r="B103" s="79"/>
      <c r="C103" s="79"/>
      <c r="D103" s="79"/>
      <c r="E103" s="79"/>
      <c r="F103" s="79"/>
      <c r="G103" s="79"/>
      <c r="H103" s="79"/>
      <c r="I103" s="79"/>
      <c r="J103" s="79"/>
      <c r="K103" s="79"/>
      <c r="L103" s="85"/>
      <c r="M103" s="79"/>
    </row>
    <row r="104" spans="1:22" x14ac:dyDescent="0.35">
      <c r="B104" s="79"/>
      <c r="C104" s="79"/>
      <c r="D104" s="79"/>
      <c r="E104" s="79"/>
      <c r="F104" s="79"/>
      <c r="G104" s="79"/>
      <c r="H104" s="79"/>
      <c r="I104" s="79"/>
      <c r="J104" s="79"/>
      <c r="K104" s="79"/>
      <c r="L104" s="79"/>
    </row>
    <row r="105" spans="1:22" x14ac:dyDescent="0.35">
      <c r="B105" s="79"/>
      <c r="C105" s="79"/>
      <c r="D105" s="79"/>
      <c r="E105" s="79"/>
      <c r="F105" s="79"/>
      <c r="G105" s="79"/>
    </row>
  </sheetData>
  <mergeCells count="54">
    <mergeCell ref="O12:Q12"/>
    <mergeCell ref="M9:N9"/>
    <mergeCell ref="O9:Q9"/>
    <mergeCell ref="M8:Q8"/>
    <mergeCell ref="J29:L29"/>
    <mergeCell ref="O11:Q11"/>
    <mergeCell ref="A49:N49"/>
    <mergeCell ref="I18:V18"/>
    <mergeCell ref="A27:E27"/>
    <mergeCell ref="H27:L27"/>
    <mergeCell ref="N27:R27"/>
    <mergeCell ref="A36:E36"/>
    <mergeCell ref="P30:R30"/>
    <mergeCell ref="J30:L30"/>
    <mergeCell ref="J31:L31"/>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4:V4"/>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C8FC-DECB-4834-AB3E-45F341BA9866}">
  <sheetPr>
    <tabColor theme="0"/>
  </sheetPr>
  <dimension ref="A1:AV166"/>
  <sheetViews>
    <sheetView showGridLines="0" zoomScale="106" zoomScaleNormal="106" zoomScalePageLayoutView="110" workbookViewId="0">
      <selection sqref="A1:G1"/>
    </sheetView>
  </sheetViews>
  <sheetFormatPr defaultRowHeight="14.5" x14ac:dyDescent="0.35"/>
  <cols>
    <col min="1" max="1" width="17.54296875" bestFit="1" customWidth="1"/>
    <col min="2" max="2" width="9.81640625" bestFit="1" customWidth="1"/>
    <col min="3" max="3" width="16.54296875" bestFit="1" customWidth="1"/>
    <col min="4" max="4" width="11.54296875" customWidth="1"/>
    <col min="5" max="5" width="20.54296875" customWidth="1"/>
    <col min="6" max="6" width="13.453125" style="310" customWidth="1"/>
    <col min="7" max="7" width="22" style="311" customWidth="1"/>
    <col min="8" max="8" width="19.54296875" customWidth="1"/>
  </cols>
  <sheetData>
    <row r="1" spans="1:48" ht="38.5" customHeight="1" x14ac:dyDescent="0.35">
      <c r="A1" s="417" t="s">
        <v>41</v>
      </c>
      <c r="B1" s="417"/>
      <c r="C1" s="417"/>
      <c r="D1" s="417"/>
      <c r="E1" s="417"/>
      <c r="F1" s="417"/>
      <c r="G1" s="417"/>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row>
    <row r="2" spans="1:48" ht="15.65" customHeight="1" x14ac:dyDescent="0.35">
      <c r="A2" s="418" t="s">
        <v>42</v>
      </c>
      <c r="B2" s="418"/>
      <c r="C2" s="418"/>
      <c r="D2" s="418"/>
      <c r="E2" s="418"/>
      <c r="F2" s="418"/>
      <c r="G2" s="418"/>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row>
    <row r="3" spans="1:48" ht="15" customHeight="1" x14ac:dyDescent="0.35">
      <c r="A3" s="418"/>
      <c r="B3" s="418"/>
      <c r="C3" s="418"/>
      <c r="D3" s="418"/>
      <c r="E3" s="418"/>
      <c r="F3" s="418"/>
      <c r="G3" s="418"/>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row>
    <row r="4" spans="1:48" ht="26" x14ac:dyDescent="0.35">
      <c r="A4" s="419" t="s">
        <v>860</v>
      </c>
      <c r="B4" s="419"/>
      <c r="C4" s="419"/>
      <c r="D4" s="419"/>
      <c r="E4" s="419"/>
      <c r="F4" s="419"/>
      <c r="G4" s="419"/>
      <c r="H4" s="31"/>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row>
    <row r="5" spans="1:48" ht="26" x14ac:dyDescent="0.35">
      <c r="A5" s="260"/>
      <c r="B5" s="260"/>
      <c r="C5" s="260"/>
      <c r="D5" s="260"/>
      <c r="E5" s="260"/>
      <c r="F5" s="260"/>
      <c r="G5" s="260"/>
      <c r="H5" s="31"/>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row>
    <row r="6" spans="1:48" ht="15.5" x14ac:dyDescent="0.35">
      <c r="A6" s="264"/>
      <c r="B6" s="264"/>
      <c r="C6" s="264"/>
      <c r="D6" s="265"/>
      <c r="E6" s="265"/>
      <c r="F6" s="266"/>
      <c r="G6" s="267"/>
      <c r="H6" s="265"/>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row>
    <row r="7" spans="1:48" ht="28.5" customHeight="1" x14ac:dyDescent="0.35">
      <c r="A7" s="420" t="s">
        <v>861</v>
      </c>
      <c r="B7" s="420"/>
      <c r="C7" s="420"/>
      <c r="D7" s="268"/>
      <c r="E7" s="421" t="s">
        <v>862</v>
      </c>
      <c r="F7" s="421"/>
      <c r="G7" s="421"/>
      <c r="H7" s="265"/>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row>
    <row r="8" spans="1:48" ht="15.5" x14ac:dyDescent="0.35">
      <c r="A8" s="269" t="s">
        <v>863</v>
      </c>
      <c r="B8" s="269" t="s">
        <v>448</v>
      </c>
      <c r="C8" s="269" t="s">
        <v>864</v>
      </c>
      <c r="D8" s="265"/>
      <c r="E8" s="270" t="s">
        <v>865</v>
      </c>
      <c r="F8" s="271" t="s">
        <v>448</v>
      </c>
      <c r="G8" s="272" t="s">
        <v>866</v>
      </c>
      <c r="H8" s="265"/>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row>
    <row r="9" spans="1:48" ht="15.5" x14ac:dyDescent="0.35">
      <c r="A9" s="273" t="s">
        <v>450</v>
      </c>
      <c r="B9" s="274">
        <v>140171</v>
      </c>
      <c r="C9" s="275">
        <v>134564.16</v>
      </c>
      <c r="D9" s="265"/>
      <c r="E9" s="276" t="s">
        <v>867</v>
      </c>
      <c r="F9" s="277">
        <v>9384</v>
      </c>
      <c r="G9" s="278">
        <v>0.97399999999999998</v>
      </c>
      <c r="H9" s="265"/>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row>
    <row r="10" spans="1:48" ht="15.5" x14ac:dyDescent="0.35">
      <c r="A10" s="273" t="s">
        <v>868</v>
      </c>
      <c r="B10" s="279">
        <v>37993</v>
      </c>
      <c r="C10" s="280">
        <v>104100.82</v>
      </c>
      <c r="D10" s="265"/>
      <c r="E10" s="276" t="s">
        <v>869</v>
      </c>
      <c r="F10" s="281">
        <v>251</v>
      </c>
      <c r="G10" s="282">
        <v>2.5999999999999999E-2</v>
      </c>
      <c r="H10" s="265"/>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row>
    <row r="11" spans="1:48" ht="15.5" x14ac:dyDescent="0.35">
      <c r="A11" s="273" t="s">
        <v>870</v>
      </c>
      <c r="B11" s="279">
        <v>2461</v>
      </c>
      <c r="C11" s="280">
        <v>11074.5</v>
      </c>
      <c r="D11" s="265"/>
      <c r="E11" s="283" t="s">
        <v>1</v>
      </c>
      <c r="F11" s="284">
        <v>9635</v>
      </c>
      <c r="G11" s="285">
        <v>1</v>
      </c>
      <c r="H11" s="265"/>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8" ht="15.5" x14ac:dyDescent="0.35">
      <c r="A12" s="273" t="s">
        <v>871</v>
      </c>
      <c r="B12" s="274">
        <v>28</v>
      </c>
      <c r="C12" s="275">
        <v>5.04</v>
      </c>
      <c r="D12" s="265"/>
      <c r="E12" s="286" t="s">
        <v>872</v>
      </c>
      <c r="F12" s="286"/>
      <c r="G12" s="286"/>
      <c r="H12" s="265"/>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row>
    <row r="13" spans="1:48" ht="15.5" x14ac:dyDescent="0.35">
      <c r="A13" s="273" t="s">
        <v>873</v>
      </c>
      <c r="B13" s="274">
        <v>5</v>
      </c>
      <c r="C13" s="275">
        <v>18.5</v>
      </c>
      <c r="D13" s="265"/>
      <c r="E13" s="416" t="s">
        <v>874</v>
      </c>
      <c r="F13" s="416"/>
      <c r="G13" s="416"/>
      <c r="H13" s="265"/>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row>
    <row r="14" spans="1:48" ht="15.5" x14ac:dyDescent="0.35">
      <c r="A14" s="283" t="s">
        <v>1</v>
      </c>
      <c r="B14" s="287">
        <v>180658</v>
      </c>
      <c r="C14" s="288">
        <v>249763.02</v>
      </c>
      <c r="D14" s="265"/>
      <c r="E14" s="416"/>
      <c r="F14" s="416"/>
      <c r="G14" s="416"/>
      <c r="H14" s="265"/>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row>
    <row r="15" spans="1:48" ht="47.15" customHeight="1" x14ac:dyDescent="0.35">
      <c r="A15" s="423" t="s">
        <v>875</v>
      </c>
      <c r="B15" s="423"/>
      <c r="C15" s="423"/>
      <c r="D15" s="268"/>
      <c r="E15" s="416"/>
      <c r="F15" s="416"/>
      <c r="G15" s="416"/>
      <c r="H15" s="265"/>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row>
    <row r="16" spans="1:48" ht="11.5" customHeight="1" x14ac:dyDescent="0.35">
      <c r="A16" s="424" t="s">
        <v>876</v>
      </c>
      <c r="B16" s="424"/>
      <c r="C16" s="424"/>
      <c r="D16" s="265"/>
      <c r="E16" s="286"/>
      <c r="F16" s="286"/>
      <c r="G16" s="286"/>
      <c r="H16" s="265"/>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row>
    <row r="17" spans="1:48" ht="18.649999999999999" customHeight="1" x14ac:dyDescent="0.35">
      <c r="A17" s="289"/>
      <c r="B17" s="289"/>
      <c r="C17" s="289"/>
      <c r="D17" s="290"/>
      <c r="E17" s="286"/>
      <c r="F17" s="286"/>
      <c r="G17" s="286"/>
      <c r="H17" s="265"/>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row>
    <row r="18" spans="1:48" ht="49.5" customHeight="1" x14ac:dyDescent="0.35">
      <c r="A18" s="420" t="s">
        <v>877</v>
      </c>
      <c r="B18" s="420"/>
      <c r="C18" s="420"/>
      <c r="D18" s="290"/>
      <c r="E18" s="286"/>
      <c r="F18" s="286"/>
      <c r="G18" s="286"/>
      <c r="H18" s="265"/>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row>
    <row r="19" spans="1:48" ht="15.5" x14ac:dyDescent="0.35">
      <c r="A19" s="269" t="s">
        <v>447</v>
      </c>
      <c r="B19" s="269" t="s">
        <v>448</v>
      </c>
      <c r="C19" s="269" t="s">
        <v>45</v>
      </c>
      <c r="D19" s="265"/>
      <c r="E19" s="425" t="s">
        <v>878</v>
      </c>
      <c r="F19" s="426"/>
      <c r="G19" s="426"/>
      <c r="H19" s="265"/>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row>
    <row r="20" spans="1:48" ht="17.149999999999999" customHeight="1" x14ac:dyDescent="0.35">
      <c r="A20" s="273" t="s">
        <v>449</v>
      </c>
      <c r="B20" s="279">
        <v>69902</v>
      </c>
      <c r="C20" s="291">
        <v>885.52</v>
      </c>
      <c r="D20" s="265"/>
      <c r="E20" s="270" t="s">
        <v>865</v>
      </c>
      <c r="F20" s="292" t="s">
        <v>448</v>
      </c>
      <c r="G20" s="293" t="s">
        <v>866</v>
      </c>
      <c r="H20" s="294"/>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row>
    <row r="21" spans="1:48" ht="15" customHeight="1" x14ac:dyDescent="0.35">
      <c r="A21" s="273" t="s">
        <v>476</v>
      </c>
      <c r="B21" s="274">
        <v>110756</v>
      </c>
      <c r="C21" s="295">
        <v>660.74</v>
      </c>
      <c r="D21" s="265"/>
      <c r="E21" s="276" t="s">
        <v>867</v>
      </c>
      <c r="F21" s="277">
        <v>1494</v>
      </c>
      <c r="G21" s="278">
        <v>0.85599999999999998</v>
      </c>
      <c r="H21" s="265"/>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row>
    <row r="22" spans="1:48" ht="15.5" x14ac:dyDescent="0.35">
      <c r="A22" s="283" t="s">
        <v>1</v>
      </c>
      <c r="B22" s="287">
        <v>180658</v>
      </c>
      <c r="C22" s="296">
        <v>747.71</v>
      </c>
      <c r="D22" s="265"/>
      <c r="E22" s="276" t="s">
        <v>869</v>
      </c>
      <c r="F22" s="277">
        <v>251</v>
      </c>
      <c r="G22" s="278">
        <v>0.14399999999999999</v>
      </c>
      <c r="H22" s="265"/>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row>
    <row r="23" spans="1:48" ht="15.5" x14ac:dyDescent="0.35">
      <c r="A23" s="423" t="str">
        <f>A15</f>
        <v>Data from BI Inc. Participants Report, 12.27.2025</v>
      </c>
      <c r="B23" s="423"/>
      <c r="C23" s="423"/>
      <c r="D23" s="265"/>
      <c r="E23" s="283" t="s">
        <v>1</v>
      </c>
      <c r="F23" s="284">
        <v>1745</v>
      </c>
      <c r="G23" s="285">
        <v>1</v>
      </c>
      <c r="H23" s="265"/>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row>
    <row r="24" spans="1:48" ht="15.5" x14ac:dyDescent="0.35">
      <c r="A24" s="424" t="s">
        <v>879</v>
      </c>
      <c r="B24" s="424"/>
      <c r="C24" s="424"/>
      <c r="D24" s="265"/>
      <c r="E24" s="416" t="s">
        <v>880</v>
      </c>
      <c r="F24" s="416"/>
      <c r="G24" s="416"/>
      <c r="H24" s="265"/>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row>
    <row r="25" spans="1:48" ht="15.5" x14ac:dyDescent="0.35">
      <c r="A25" s="289"/>
      <c r="B25" s="289"/>
      <c r="C25" s="289"/>
      <c r="D25" s="265"/>
      <c r="E25" s="416" t="s">
        <v>874</v>
      </c>
      <c r="F25" s="416"/>
      <c r="G25" s="416"/>
      <c r="H25" s="265"/>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row>
    <row r="26" spans="1:48" ht="45.65" customHeight="1" x14ac:dyDescent="0.35">
      <c r="A26" s="427" t="s">
        <v>881</v>
      </c>
      <c r="B26" s="427"/>
      <c r="C26" s="427"/>
      <c r="D26" s="265"/>
      <c r="E26" s="264"/>
      <c r="F26" s="298"/>
      <c r="G26" s="267"/>
      <c r="H26" s="265"/>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row>
    <row r="27" spans="1:48" ht="19.5" customHeight="1" x14ac:dyDescent="0.35">
      <c r="A27" s="297"/>
      <c r="B27" s="297"/>
      <c r="C27" s="297"/>
      <c r="D27" s="294"/>
      <c r="E27" s="264"/>
      <c r="F27" s="298"/>
      <c r="G27" s="267"/>
      <c r="H27" s="29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row>
    <row r="28" spans="1:48" ht="62.5" customHeight="1" thickBot="1" x14ac:dyDescent="0.4">
      <c r="A28" s="422" t="s">
        <v>882</v>
      </c>
      <c r="B28" s="422"/>
      <c r="C28" s="422"/>
      <c r="D28" s="294"/>
      <c r="E28" s="290"/>
      <c r="F28" s="299"/>
      <c r="G28" s="300"/>
      <c r="H28" s="29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row>
    <row r="29" spans="1:48" ht="31.5" thickBot="1" x14ac:dyDescent="0.4">
      <c r="A29" s="301" t="s">
        <v>484</v>
      </c>
      <c r="B29" s="301" t="s">
        <v>448</v>
      </c>
      <c r="C29" s="301" t="s">
        <v>485</v>
      </c>
      <c r="D29" s="294"/>
      <c r="E29" s="265"/>
      <c r="F29" s="266"/>
      <c r="G29" s="267"/>
      <c r="H29" s="29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row>
    <row r="30" spans="1:48" ht="18.649999999999999" customHeight="1" thickBot="1" x14ac:dyDescent="0.4">
      <c r="A30" s="302" t="s">
        <v>1</v>
      </c>
      <c r="B30" s="303">
        <v>180658</v>
      </c>
      <c r="C30" s="304">
        <v>747.71390140486449</v>
      </c>
      <c r="D30" s="265"/>
      <c r="E30" s="305"/>
      <c r="F30"/>
      <c r="G30" s="306"/>
      <c r="H30" s="265"/>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row>
    <row r="31" spans="1:48" ht="15" customHeight="1" thickBot="1" x14ac:dyDescent="0.4">
      <c r="A31" s="307" t="s">
        <v>451</v>
      </c>
      <c r="B31" s="308">
        <v>5890</v>
      </c>
      <c r="C31" s="309">
        <v>747.76825127334462</v>
      </c>
      <c r="D31" s="265"/>
      <c r="H31" s="265"/>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row>
    <row r="32" spans="1:48" ht="17.25" customHeight="1" thickBot="1" x14ac:dyDescent="0.4">
      <c r="A32" s="312" t="s">
        <v>450</v>
      </c>
      <c r="B32" s="313">
        <v>4054</v>
      </c>
      <c r="C32" s="314">
        <v>831.88727183029107</v>
      </c>
      <c r="D32" s="265"/>
      <c r="H32" s="265"/>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row>
    <row r="33" spans="1:45" ht="16" thickBot="1" x14ac:dyDescent="0.4">
      <c r="A33" s="312" t="s">
        <v>868</v>
      </c>
      <c r="B33" s="313">
        <v>1760</v>
      </c>
      <c r="C33" s="314">
        <v>561.84943181818187</v>
      </c>
      <c r="D33" s="315"/>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row>
    <row r="34" spans="1:45" ht="16" thickBot="1" x14ac:dyDescent="0.4">
      <c r="A34" s="312" t="s">
        <v>870</v>
      </c>
      <c r="B34" s="313">
        <v>76</v>
      </c>
      <c r="C34" s="314">
        <v>566.17105263157896</v>
      </c>
      <c r="D34" s="29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row>
    <row r="35" spans="1:45" ht="16" thickBot="1" x14ac:dyDescent="0.4">
      <c r="A35" s="307" t="s">
        <v>452</v>
      </c>
      <c r="B35" s="308">
        <v>3020</v>
      </c>
      <c r="C35" s="309">
        <v>714.38576158940396</v>
      </c>
      <c r="D35" s="29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row>
    <row r="36" spans="1:45" ht="16" thickBot="1" x14ac:dyDescent="0.4">
      <c r="A36" s="312" t="s">
        <v>450</v>
      </c>
      <c r="B36" s="313">
        <v>2217</v>
      </c>
      <c r="C36" s="314">
        <v>771.74560216508792</v>
      </c>
      <c r="D36" s="29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row>
    <row r="37" spans="1:45" ht="16" thickBot="1" x14ac:dyDescent="0.4">
      <c r="A37" s="312" t="s">
        <v>868</v>
      </c>
      <c r="B37" s="313">
        <v>781</v>
      </c>
      <c r="C37" s="314">
        <v>553.90909090909088</v>
      </c>
      <c r="D37" s="29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row>
    <row r="38" spans="1:45" ht="16" thickBot="1" x14ac:dyDescent="0.4">
      <c r="A38" s="312" t="s">
        <v>870</v>
      </c>
      <c r="B38" s="313">
        <v>22</v>
      </c>
      <c r="C38" s="314">
        <v>631</v>
      </c>
      <c r="D38" s="29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row>
    <row r="39" spans="1:45" ht="16" thickBot="1" x14ac:dyDescent="0.4">
      <c r="A39" s="307" t="s">
        <v>453</v>
      </c>
      <c r="B39" s="316">
        <v>8323</v>
      </c>
      <c r="C39" s="317">
        <v>804.14141535504029</v>
      </c>
      <c r="D39" s="29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row>
    <row r="40" spans="1:45" ht="16" thickBot="1" x14ac:dyDescent="0.4">
      <c r="A40" s="312" t="s">
        <v>450</v>
      </c>
      <c r="B40" s="313">
        <v>6677</v>
      </c>
      <c r="C40" s="314">
        <v>892.07203834057213</v>
      </c>
      <c r="D40" s="29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row>
    <row r="41" spans="1:45" ht="16" thickBot="1" x14ac:dyDescent="0.4">
      <c r="A41" s="312" t="s">
        <v>873</v>
      </c>
      <c r="B41" s="313">
        <v>1</v>
      </c>
      <c r="C41" s="314">
        <v>432</v>
      </c>
      <c r="D41" s="29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row>
    <row r="42" spans="1:45" ht="16" thickBot="1" x14ac:dyDescent="0.4">
      <c r="A42" s="312" t="s">
        <v>868</v>
      </c>
      <c r="B42" s="313">
        <v>1565</v>
      </c>
      <c r="C42" s="314">
        <v>439.13993610223645</v>
      </c>
      <c r="D42" s="315"/>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3" spans="1:45" ht="16" thickBot="1" x14ac:dyDescent="0.4">
      <c r="A43" s="312" t="s">
        <v>870</v>
      </c>
      <c r="B43" s="313">
        <v>80</v>
      </c>
      <c r="C43" s="314">
        <v>610.22500000000002</v>
      </c>
      <c r="D43" s="29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row>
    <row r="44" spans="1:45" ht="16" thickBot="1" x14ac:dyDescent="0.4">
      <c r="A44" s="307" t="s">
        <v>454</v>
      </c>
      <c r="B44" s="308">
        <v>926</v>
      </c>
      <c r="C44" s="309">
        <v>842.54967602591796</v>
      </c>
      <c r="D44" s="29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row>
    <row r="45" spans="1:45" ht="16" thickBot="1" x14ac:dyDescent="0.4">
      <c r="A45" s="312" t="s">
        <v>450</v>
      </c>
      <c r="B45" s="313">
        <v>768</v>
      </c>
      <c r="C45" s="314">
        <v>943.18619791666663</v>
      </c>
      <c r="D45" s="29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row>
    <row r="46" spans="1:45" ht="16" thickBot="1" x14ac:dyDescent="0.4">
      <c r="A46" s="312" t="s">
        <v>871</v>
      </c>
      <c r="B46" s="313">
        <v>12</v>
      </c>
      <c r="C46" s="314">
        <v>2396.5</v>
      </c>
      <c r="D46" s="29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row>
    <row r="47" spans="1:45" ht="16" thickBot="1" x14ac:dyDescent="0.4">
      <c r="A47" s="312" t="s">
        <v>873</v>
      </c>
      <c r="B47" s="313">
        <v>1</v>
      </c>
      <c r="C47" s="314">
        <v>246</v>
      </c>
      <c r="D47" s="29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row>
    <row r="48" spans="1:45" ht="16" thickBot="1" x14ac:dyDescent="0.4">
      <c r="A48" s="312" t="s">
        <v>868</v>
      </c>
      <c r="B48" s="313">
        <v>145</v>
      </c>
      <c r="C48" s="314">
        <v>185.0344827586207</v>
      </c>
      <c r="D48" s="29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row>
    <row r="49" spans="1:45" ht="16" thickBot="1" x14ac:dyDescent="0.4">
      <c r="A49" s="307" t="s">
        <v>455</v>
      </c>
      <c r="B49" s="316">
        <v>18901</v>
      </c>
      <c r="C49" s="317">
        <v>946.45156340934341</v>
      </c>
      <c r="D49" s="29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row>
    <row r="50" spans="1:45" ht="16" thickBot="1" x14ac:dyDescent="0.4">
      <c r="A50" s="318" t="s">
        <v>450</v>
      </c>
      <c r="B50" s="319">
        <v>15033</v>
      </c>
      <c r="C50" s="320">
        <v>1056.6180403113151</v>
      </c>
      <c r="D50" s="29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row>
    <row r="51" spans="1:45" ht="16" thickBot="1" x14ac:dyDescent="0.4">
      <c r="A51" s="312" t="s">
        <v>871</v>
      </c>
      <c r="B51" s="313">
        <v>2</v>
      </c>
      <c r="C51" s="314">
        <v>3858</v>
      </c>
      <c r="D51" s="29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row>
    <row r="52" spans="1:45" ht="16" thickBot="1" x14ac:dyDescent="0.4">
      <c r="A52" s="312" t="s">
        <v>868</v>
      </c>
      <c r="B52" s="313">
        <v>3656</v>
      </c>
      <c r="C52" s="314">
        <v>517.03473741794312</v>
      </c>
      <c r="D52" s="29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row>
    <row r="53" spans="1:45" ht="16" thickBot="1" x14ac:dyDescent="0.4">
      <c r="A53" s="312" t="s">
        <v>870</v>
      </c>
      <c r="B53" s="313">
        <v>210</v>
      </c>
      <c r="C53" s="314">
        <v>508.31904761904764</v>
      </c>
      <c r="D53" s="29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row>
    <row r="54" spans="1:45" ht="16" thickBot="1" x14ac:dyDescent="0.4">
      <c r="A54" s="307" t="s">
        <v>456</v>
      </c>
      <c r="B54" s="308">
        <v>1960</v>
      </c>
      <c r="C54" s="309">
        <v>598.17091836734699</v>
      </c>
      <c r="D54" s="29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row>
    <row r="55" spans="1:45" ht="16" thickBot="1" x14ac:dyDescent="0.4">
      <c r="A55" s="312" t="s">
        <v>450</v>
      </c>
      <c r="B55" s="313">
        <v>810</v>
      </c>
      <c r="C55" s="314">
        <v>691.81851851851854</v>
      </c>
      <c r="D55" s="315"/>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6" spans="1:45" ht="16" thickBot="1" x14ac:dyDescent="0.4">
      <c r="A56" s="312" t="s">
        <v>868</v>
      </c>
      <c r="B56" s="313">
        <v>1054</v>
      </c>
      <c r="C56" s="314">
        <v>532.39468690702085</v>
      </c>
      <c r="D56" s="29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row>
    <row r="57" spans="1:45" ht="16" thickBot="1" x14ac:dyDescent="0.4">
      <c r="A57" s="312" t="s">
        <v>870</v>
      </c>
      <c r="B57" s="313">
        <v>96</v>
      </c>
      <c r="C57" s="314">
        <v>530.1875</v>
      </c>
      <c r="D57" s="29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row>
    <row r="58" spans="1:45" ht="16" thickBot="1" x14ac:dyDescent="0.4">
      <c r="A58" s="307" t="s">
        <v>457</v>
      </c>
      <c r="B58" s="308">
        <v>3099</v>
      </c>
      <c r="C58" s="309">
        <v>762.33365601807031</v>
      </c>
      <c r="D58" s="29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row>
    <row r="59" spans="1:45" ht="16" thickBot="1" x14ac:dyDescent="0.4">
      <c r="A59" s="312" t="s">
        <v>450</v>
      </c>
      <c r="B59" s="313">
        <v>2261</v>
      </c>
      <c r="C59" s="314">
        <v>806.27731092436977</v>
      </c>
      <c r="D59" s="29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row>
    <row r="60" spans="1:45" ht="16" thickBot="1" x14ac:dyDescent="0.4">
      <c r="A60" s="312" t="s">
        <v>871</v>
      </c>
      <c r="B60" s="313">
        <v>12</v>
      </c>
      <c r="C60" s="314">
        <v>3073.5833333333335</v>
      </c>
      <c r="D60" s="29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row>
    <row r="61" spans="1:45" ht="16" thickBot="1" x14ac:dyDescent="0.4">
      <c r="A61" s="312" t="s">
        <v>868</v>
      </c>
      <c r="B61" s="313">
        <v>574</v>
      </c>
      <c r="C61" s="314">
        <v>639.18815331010455</v>
      </c>
      <c r="D61" s="29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row>
    <row r="62" spans="1:45" ht="16" thickBot="1" x14ac:dyDescent="0.4">
      <c r="A62" s="312" t="s">
        <v>870</v>
      </c>
      <c r="B62" s="313">
        <v>252</v>
      </c>
      <c r="C62" s="314">
        <v>538.5</v>
      </c>
      <c r="D62" s="29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row>
    <row r="63" spans="1:45" ht="16" thickBot="1" x14ac:dyDescent="0.4">
      <c r="A63" s="307" t="s">
        <v>458</v>
      </c>
      <c r="B63" s="316">
        <v>7671</v>
      </c>
      <c r="C63" s="317">
        <v>995.90679181332291</v>
      </c>
      <c r="D63" s="29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row>
    <row r="64" spans="1:45" ht="16" thickBot="1" x14ac:dyDescent="0.4">
      <c r="A64" s="312" t="s">
        <v>450</v>
      </c>
      <c r="B64" s="313">
        <v>7250</v>
      </c>
      <c r="C64" s="314">
        <v>1019.0782068965517</v>
      </c>
      <c r="D64" s="29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row>
    <row r="65" spans="1:45" ht="16" thickBot="1" x14ac:dyDescent="0.4">
      <c r="A65" s="312" t="s">
        <v>868</v>
      </c>
      <c r="B65" s="313">
        <v>415</v>
      </c>
      <c r="C65" s="314">
        <v>601.38795180722889</v>
      </c>
      <c r="D65" s="29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row>
    <row r="66" spans="1:45" ht="16" thickBot="1" x14ac:dyDescent="0.4">
      <c r="A66" s="312" t="s">
        <v>870</v>
      </c>
      <c r="B66" s="319">
        <v>6</v>
      </c>
      <c r="C66" s="320">
        <v>284.66666666666669</v>
      </c>
      <c r="D66" s="29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row>
    <row r="67" spans="1:45" ht="16" thickBot="1" x14ac:dyDescent="0.4">
      <c r="A67" s="321" t="s">
        <v>459</v>
      </c>
      <c r="B67" s="308">
        <v>1029</v>
      </c>
      <c r="C67" s="309">
        <v>428.12342079689017</v>
      </c>
      <c r="D67" s="29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row>
    <row r="68" spans="1:45" ht="16" thickBot="1" x14ac:dyDescent="0.4">
      <c r="A68" s="312" t="s">
        <v>450</v>
      </c>
      <c r="B68" s="313">
        <v>164</v>
      </c>
      <c r="C68" s="314">
        <v>833.59756097560978</v>
      </c>
      <c r="D68" s="29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69" spans="1:45" ht="17.5" customHeight="1" thickBot="1" x14ac:dyDescent="0.4">
      <c r="A69" s="312" t="s">
        <v>868</v>
      </c>
      <c r="B69" s="313">
        <v>694</v>
      </c>
      <c r="C69" s="314">
        <v>332.11815561959656</v>
      </c>
      <c r="D69" s="29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row>
    <row r="70" spans="1:45" ht="16" thickBot="1" x14ac:dyDescent="0.4">
      <c r="A70" s="318" t="s">
        <v>870</v>
      </c>
      <c r="B70" s="319">
        <v>171</v>
      </c>
      <c r="C70" s="320">
        <v>428.88304093567251</v>
      </c>
      <c r="D70" s="29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row>
    <row r="71" spans="1:45" ht="16" thickBot="1" x14ac:dyDescent="0.4">
      <c r="A71" s="322" t="s">
        <v>556</v>
      </c>
      <c r="B71" s="316">
        <v>448</v>
      </c>
      <c r="C71" s="317">
        <v>324.36383928571428</v>
      </c>
      <c r="D71" s="29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row>
    <row r="72" spans="1:45" ht="16" thickBot="1" x14ac:dyDescent="0.4">
      <c r="A72" s="312" t="s">
        <v>450</v>
      </c>
      <c r="B72" s="313">
        <v>114</v>
      </c>
      <c r="C72" s="314">
        <v>526.30701754385962</v>
      </c>
      <c r="D72" s="29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row>
    <row r="73" spans="1:45" ht="16" thickBot="1" x14ac:dyDescent="0.4">
      <c r="A73" s="312" t="s">
        <v>868</v>
      </c>
      <c r="B73" s="313">
        <v>313</v>
      </c>
      <c r="C73" s="314">
        <v>249.56230031948883</v>
      </c>
      <c r="D73" s="29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row>
    <row r="74" spans="1:45" ht="16" thickBot="1" x14ac:dyDescent="0.4">
      <c r="A74" s="312" t="s">
        <v>870</v>
      </c>
      <c r="B74" s="313">
        <v>21</v>
      </c>
      <c r="C74" s="314">
        <v>343</v>
      </c>
      <c r="D74" s="29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row>
    <row r="75" spans="1:45" ht="16" thickBot="1" x14ac:dyDescent="0.4">
      <c r="A75" s="322" t="s">
        <v>460</v>
      </c>
      <c r="B75" s="316">
        <v>3222</v>
      </c>
      <c r="C75" s="317">
        <v>543.71880819366856</v>
      </c>
      <c r="D75" s="29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row>
    <row r="76" spans="1:45" ht="16" thickBot="1" x14ac:dyDescent="0.4">
      <c r="A76" s="312" t="s">
        <v>450</v>
      </c>
      <c r="B76" s="313">
        <v>1672</v>
      </c>
      <c r="C76" s="314">
        <v>662.89234449760761</v>
      </c>
      <c r="D76" s="29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row>
    <row r="77" spans="1:45" ht="16" thickBot="1" x14ac:dyDescent="0.4">
      <c r="A77" s="312" t="s">
        <v>873</v>
      </c>
      <c r="B77" s="313">
        <v>1</v>
      </c>
      <c r="C77" s="314">
        <v>826</v>
      </c>
      <c r="D77" s="29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row>
    <row r="78" spans="1:45" ht="16" thickBot="1" x14ac:dyDescent="0.4">
      <c r="A78" s="312" t="s">
        <v>868</v>
      </c>
      <c r="B78" s="313">
        <v>1482</v>
      </c>
      <c r="C78" s="314">
        <v>412.66329284750339</v>
      </c>
      <c r="D78" s="29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row>
    <row r="79" spans="1:45" ht="16" thickBot="1" x14ac:dyDescent="0.4">
      <c r="A79" s="318" t="s">
        <v>870</v>
      </c>
      <c r="B79" s="319">
        <v>67</v>
      </c>
      <c r="C79" s="320">
        <v>464.37313432835822</v>
      </c>
      <c r="D79" s="315"/>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row>
    <row r="80" spans="1:45" ht="16" thickBot="1" x14ac:dyDescent="0.4">
      <c r="A80" s="322" t="s">
        <v>461</v>
      </c>
      <c r="B80" s="316">
        <v>18319</v>
      </c>
      <c r="C80" s="317">
        <v>569.73164474043347</v>
      </c>
      <c r="D80" s="29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row>
    <row r="81" spans="1:45" ht="16" thickBot="1" x14ac:dyDescent="0.4">
      <c r="A81" s="312" t="s">
        <v>450</v>
      </c>
      <c r="B81" s="313">
        <v>15332</v>
      </c>
      <c r="C81" s="314">
        <v>627.14988259848678</v>
      </c>
      <c r="D81" s="29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row>
    <row r="82" spans="1:45" ht="16" thickBot="1" x14ac:dyDescent="0.4">
      <c r="A82" s="312" t="s">
        <v>871</v>
      </c>
      <c r="B82" s="313">
        <v>2</v>
      </c>
      <c r="C82" s="314">
        <v>2556</v>
      </c>
      <c r="D82" s="29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row>
    <row r="83" spans="1:45" ht="16" thickBot="1" x14ac:dyDescent="0.4">
      <c r="A83" s="312" t="s">
        <v>868</v>
      </c>
      <c r="B83" s="313">
        <v>2820</v>
      </c>
      <c r="C83" s="314">
        <v>257.96241134751773</v>
      </c>
      <c r="D83" s="29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row>
    <row r="84" spans="1:45" ht="16" thickBot="1" x14ac:dyDescent="0.4">
      <c r="A84" s="312" t="s">
        <v>870</v>
      </c>
      <c r="B84" s="313">
        <v>165</v>
      </c>
      <c r="C84" s="314">
        <v>538.70303030303035</v>
      </c>
      <c r="D84" s="29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row>
    <row r="85" spans="1:45" ht="16" thickBot="1" x14ac:dyDescent="0.4">
      <c r="A85" s="322" t="s">
        <v>462</v>
      </c>
      <c r="B85" s="316">
        <v>17490</v>
      </c>
      <c r="C85" s="317">
        <v>653.02201257861634</v>
      </c>
      <c r="D85" s="29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row>
    <row r="86" spans="1:45" ht="16" thickBot="1" x14ac:dyDescent="0.4">
      <c r="A86" s="312" t="s">
        <v>450</v>
      </c>
      <c r="B86" s="313">
        <v>14004</v>
      </c>
      <c r="C86" s="314">
        <v>730.64074550128532</v>
      </c>
      <c r="D86" s="29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row>
    <row r="87" spans="1:45" ht="16" thickBot="1" x14ac:dyDescent="0.4">
      <c r="A87" s="312" t="s">
        <v>868</v>
      </c>
      <c r="B87" s="313">
        <v>3456</v>
      </c>
      <c r="C87" s="314">
        <v>339.93142361111109</v>
      </c>
      <c r="D87" s="29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row>
    <row r="88" spans="1:45" ht="16" thickBot="1" x14ac:dyDescent="0.4">
      <c r="A88" s="312" t="s">
        <v>870</v>
      </c>
      <c r="B88" s="313">
        <v>30</v>
      </c>
      <c r="C88" s="314">
        <v>488.63333333333333</v>
      </c>
      <c r="D88" s="29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row>
    <row r="89" spans="1:45" ht="16" thickBot="1" x14ac:dyDescent="0.4">
      <c r="A89" s="307" t="s">
        <v>463</v>
      </c>
      <c r="B89" s="308">
        <v>5915</v>
      </c>
      <c r="C89" s="309">
        <v>758.46187658495353</v>
      </c>
      <c r="D89" s="29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row>
    <row r="90" spans="1:45" ht="16" thickBot="1" x14ac:dyDescent="0.4">
      <c r="A90" s="312" t="s">
        <v>450</v>
      </c>
      <c r="B90" s="313">
        <v>4510</v>
      </c>
      <c r="C90" s="314">
        <v>834.26585365853657</v>
      </c>
      <c r="D90" s="29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row>
    <row r="91" spans="1:45" ht="16" thickBot="1" x14ac:dyDescent="0.4">
      <c r="A91" s="312" t="s">
        <v>868</v>
      </c>
      <c r="B91" s="313">
        <v>1351</v>
      </c>
      <c r="C91" s="314">
        <v>517.17098445595855</v>
      </c>
      <c r="D91" s="29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row>
    <row r="92" spans="1:45" ht="16" thickBot="1" x14ac:dyDescent="0.4">
      <c r="A92" s="318" t="s">
        <v>870</v>
      </c>
      <c r="B92" s="319">
        <v>54</v>
      </c>
      <c r="C92" s="320">
        <v>464.16666666666669</v>
      </c>
      <c r="D92" s="29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row>
    <row r="93" spans="1:45" ht="16" thickBot="1" x14ac:dyDescent="0.4">
      <c r="A93" s="322" t="s">
        <v>464</v>
      </c>
      <c r="B93" s="316">
        <v>10858</v>
      </c>
      <c r="C93" s="317">
        <v>598.18990606004786</v>
      </c>
      <c r="D93" s="29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row>
    <row r="94" spans="1:45" ht="16" thickBot="1" x14ac:dyDescent="0.4">
      <c r="A94" s="312" t="s">
        <v>450</v>
      </c>
      <c r="B94" s="313">
        <v>8924</v>
      </c>
      <c r="C94" s="314">
        <v>655.1609143881667</v>
      </c>
      <c r="D94" s="29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row>
    <row r="95" spans="1:45" ht="16" thickBot="1" x14ac:dyDescent="0.4">
      <c r="A95" s="312" t="s">
        <v>868</v>
      </c>
      <c r="B95" s="313">
        <v>1830</v>
      </c>
      <c r="C95" s="314">
        <v>326.17923497267759</v>
      </c>
      <c r="D95" s="29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row>
    <row r="96" spans="1:45" ht="16" thickBot="1" x14ac:dyDescent="0.4">
      <c r="A96" s="318" t="s">
        <v>870</v>
      </c>
      <c r="B96" s="319">
        <v>104</v>
      </c>
      <c r="C96" s="320">
        <v>495.98076923076923</v>
      </c>
      <c r="D96" s="29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row>
    <row r="97" spans="1:45" ht="16" thickBot="1" x14ac:dyDescent="0.4">
      <c r="A97" s="322" t="s">
        <v>465</v>
      </c>
      <c r="B97" s="316">
        <v>10386</v>
      </c>
      <c r="C97" s="317">
        <v>1055.4589832466781</v>
      </c>
      <c r="D97" s="29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row>
    <row r="98" spans="1:45" ht="16" thickBot="1" x14ac:dyDescent="0.4">
      <c r="A98" s="312" t="s">
        <v>450</v>
      </c>
      <c r="B98" s="313">
        <v>9143</v>
      </c>
      <c r="C98" s="314">
        <v>1109.0192496992233</v>
      </c>
      <c r="D98" s="29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row>
    <row r="99" spans="1:45" ht="16" thickBot="1" x14ac:dyDescent="0.4">
      <c r="A99" s="312" t="s">
        <v>873</v>
      </c>
      <c r="B99" s="313">
        <v>1</v>
      </c>
      <c r="C99" s="314">
        <v>484</v>
      </c>
      <c r="D99" s="29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row>
    <row r="100" spans="1:45" ht="16" thickBot="1" x14ac:dyDescent="0.4">
      <c r="A100" s="312" t="s">
        <v>868</v>
      </c>
      <c r="B100" s="313">
        <v>1206</v>
      </c>
      <c r="C100" s="314">
        <v>664.93532338308455</v>
      </c>
      <c r="D100" s="29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row>
    <row r="101" spans="1:45" ht="16" thickBot="1" x14ac:dyDescent="0.4">
      <c r="A101" s="318" t="s">
        <v>870</v>
      </c>
      <c r="B101" s="319">
        <v>36</v>
      </c>
      <c r="C101" s="320">
        <v>551.05555555555554</v>
      </c>
      <c r="D101" s="29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row>
    <row r="102" spans="1:45" ht="16" thickBot="1" x14ac:dyDescent="0.4">
      <c r="A102" s="322" t="s">
        <v>466</v>
      </c>
      <c r="B102" s="316">
        <v>6984</v>
      </c>
      <c r="C102" s="317">
        <v>772.6191294387171</v>
      </c>
      <c r="D102" s="29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row>
    <row r="103" spans="1:45" ht="16" thickBot="1" x14ac:dyDescent="0.4">
      <c r="A103" s="312" t="s">
        <v>450</v>
      </c>
      <c r="B103" s="313">
        <v>6012</v>
      </c>
      <c r="C103" s="314">
        <v>836.81204258150365</v>
      </c>
      <c r="D103" s="29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row>
    <row r="104" spans="1:45" ht="16" thickBot="1" x14ac:dyDescent="0.4">
      <c r="A104" s="312" t="s">
        <v>868</v>
      </c>
      <c r="B104" s="313">
        <v>952</v>
      </c>
      <c r="C104" s="314">
        <v>370.80567226890759</v>
      </c>
      <c r="D104" s="29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row>
    <row r="105" spans="1:45" ht="16" thickBot="1" x14ac:dyDescent="0.4">
      <c r="A105" s="318" t="s">
        <v>870</v>
      </c>
      <c r="B105" s="319">
        <v>20</v>
      </c>
      <c r="C105" s="320">
        <v>602.54999999999995</v>
      </c>
      <c r="D105" s="29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row>
    <row r="106" spans="1:45" ht="16" thickBot="1" x14ac:dyDescent="0.4">
      <c r="A106" s="322" t="s">
        <v>467</v>
      </c>
      <c r="B106" s="316">
        <v>1966</v>
      </c>
      <c r="C106" s="317">
        <v>512.25890132248219</v>
      </c>
      <c r="D106" s="29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row>
    <row r="107" spans="1:45" ht="16" thickBot="1" x14ac:dyDescent="0.4">
      <c r="A107" s="312" t="s">
        <v>450</v>
      </c>
      <c r="B107" s="313">
        <v>720</v>
      </c>
      <c r="C107" s="314">
        <v>752.7</v>
      </c>
      <c r="D107" s="29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row>
    <row r="108" spans="1:45" ht="16" thickBot="1" x14ac:dyDescent="0.4">
      <c r="A108" s="312" t="s">
        <v>868</v>
      </c>
      <c r="B108" s="313">
        <v>1199</v>
      </c>
      <c r="C108" s="314">
        <v>370.92160133444537</v>
      </c>
      <c r="D108" s="29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row>
    <row r="109" spans="1:45" ht="16" thickBot="1" x14ac:dyDescent="0.4">
      <c r="A109" s="312" t="s">
        <v>870</v>
      </c>
      <c r="B109" s="313">
        <v>47</v>
      </c>
      <c r="C109" s="314">
        <v>434.51063829787233</v>
      </c>
      <c r="D109" s="29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row>
    <row r="110" spans="1:45" ht="16" thickBot="1" x14ac:dyDescent="0.4">
      <c r="A110" s="322" t="s">
        <v>468</v>
      </c>
      <c r="B110" s="316">
        <v>6358</v>
      </c>
      <c r="C110" s="317">
        <v>946.33611198490087</v>
      </c>
      <c r="D110" s="29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row>
    <row r="111" spans="1:45" ht="16" thickBot="1" x14ac:dyDescent="0.4">
      <c r="A111" s="312" t="s">
        <v>450</v>
      </c>
      <c r="B111" s="313">
        <v>5519</v>
      </c>
      <c r="C111" s="314">
        <v>1003.251676028266</v>
      </c>
      <c r="D111" s="29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row>
    <row r="112" spans="1:45" ht="16" thickBot="1" x14ac:dyDescent="0.4">
      <c r="A112" s="312" t="s">
        <v>868</v>
      </c>
      <c r="B112" s="313">
        <v>813</v>
      </c>
      <c r="C112" s="314">
        <v>568.31611316113163</v>
      </c>
      <c r="D112" s="29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row>
    <row r="113" spans="1:45" ht="16" thickBot="1" x14ac:dyDescent="0.4">
      <c r="A113" s="312" t="s">
        <v>870</v>
      </c>
      <c r="B113" s="313">
        <v>26</v>
      </c>
      <c r="C113" s="314">
        <v>685.30769230769226</v>
      </c>
      <c r="D113" s="29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row>
    <row r="114" spans="1:45" ht="16" thickBot="1" x14ac:dyDescent="0.4">
      <c r="A114" s="322" t="s">
        <v>469</v>
      </c>
      <c r="B114" s="316">
        <v>3054</v>
      </c>
      <c r="C114" s="317">
        <v>497.74361493123774</v>
      </c>
      <c r="D114" s="29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row>
    <row r="115" spans="1:45" ht="16" thickBot="1" x14ac:dyDescent="0.4">
      <c r="A115" s="312" t="s">
        <v>450</v>
      </c>
      <c r="B115" s="313">
        <v>1710</v>
      </c>
      <c r="C115" s="314">
        <v>688.2245614035088</v>
      </c>
      <c r="D115" s="29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row>
    <row r="116" spans="1:45" ht="16" thickBot="1" x14ac:dyDescent="0.4">
      <c r="A116" s="312" t="s">
        <v>868</v>
      </c>
      <c r="B116" s="313">
        <v>1278</v>
      </c>
      <c r="C116" s="314">
        <v>250.10093896713616</v>
      </c>
      <c r="D116" s="29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row>
    <row r="117" spans="1:45" ht="16" thickBot="1" x14ac:dyDescent="0.4">
      <c r="A117" s="312" t="s">
        <v>870</v>
      </c>
      <c r="B117" s="313">
        <v>66</v>
      </c>
      <c r="C117" s="314">
        <v>357.81818181818181</v>
      </c>
      <c r="D117" s="29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row>
    <row r="118" spans="1:45" ht="16" thickBot="1" x14ac:dyDescent="0.4">
      <c r="A118" s="322" t="s">
        <v>470</v>
      </c>
      <c r="B118" s="316">
        <v>2163</v>
      </c>
      <c r="C118" s="317">
        <v>462.52473416551089</v>
      </c>
      <c r="D118" s="29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row>
    <row r="119" spans="1:45" ht="16" thickBot="1" x14ac:dyDescent="0.4">
      <c r="A119" s="312" t="s">
        <v>450</v>
      </c>
      <c r="B119" s="313">
        <v>1045</v>
      </c>
      <c r="C119" s="314">
        <v>762.64976076555024</v>
      </c>
      <c r="D119" s="29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row>
    <row r="120" spans="1:45" ht="16" thickBot="1" x14ac:dyDescent="0.4">
      <c r="A120" s="312" t="s">
        <v>868</v>
      </c>
      <c r="B120" s="313">
        <v>980</v>
      </c>
      <c r="C120" s="314">
        <v>187.18469387755101</v>
      </c>
      <c r="D120" s="29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row>
    <row r="121" spans="1:45" ht="16" thickBot="1" x14ac:dyDescent="0.4">
      <c r="A121" s="312" t="s">
        <v>870</v>
      </c>
      <c r="B121" s="313">
        <v>138</v>
      </c>
      <c r="C121" s="314">
        <v>145.15217391304347</v>
      </c>
      <c r="D121" s="290"/>
    </row>
    <row r="122" spans="1:45" ht="16" thickBot="1" x14ac:dyDescent="0.4">
      <c r="A122" s="322" t="s">
        <v>471</v>
      </c>
      <c r="B122" s="316">
        <v>20550</v>
      </c>
      <c r="C122" s="317">
        <v>773.97474452554741</v>
      </c>
      <c r="D122" s="290"/>
    </row>
    <row r="123" spans="1:45" ht="16" thickBot="1" x14ac:dyDescent="0.4">
      <c r="A123" s="312" t="s">
        <v>450</v>
      </c>
      <c r="B123" s="313">
        <v>17311</v>
      </c>
      <c r="C123" s="314">
        <v>832.07665646120961</v>
      </c>
      <c r="D123" s="290"/>
    </row>
    <row r="124" spans="1:45" ht="16" thickBot="1" x14ac:dyDescent="0.4">
      <c r="A124" s="312" t="s">
        <v>868</v>
      </c>
      <c r="B124" s="313">
        <v>2845</v>
      </c>
      <c r="C124" s="314">
        <v>453.89560632688926</v>
      </c>
      <c r="D124" s="290"/>
    </row>
    <row r="125" spans="1:45" ht="16" thickBot="1" x14ac:dyDescent="0.4">
      <c r="A125" s="318" t="s">
        <v>870</v>
      </c>
      <c r="B125" s="319">
        <v>394</v>
      </c>
      <c r="C125" s="320">
        <v>532.40862944162438</v>
      </c>
      <c r="D125" s="290"/>
    </row>
    <row r="126" spans="1:45" ht="16" thickBot="1" x14ac:dyDescent="0.4">
      <c r="A126" s="322" t="s">
        <v>472</v>
      </c>
      <c r="B126" s="316">
        <v>10165</v>
      </c>
      <c r="C126" s="317">
        <v>833.24171175602555</v>
      </c>
      <c r="D126" s="290"/>
    </row>
    <row r="127" spans="1:45" ht="16" thickBot="1" x14ac:dyDescent="0.4">
      <c r="A127" s="312" t="s">
        <v>450</v>
      </c>
      <c r="B127" s="313">
        <v>8935</v>
      </c>
      <c r="C127" s="314">
        <v>859.54448796866257</v>
      </c>
      <c r="D127" s="290"/>
    </row>
    <row r="128" spans="1:45" ht="16" thickBot="1" x14ac:dyDescent="0.4">
      <c r="A128" s="312" t="s">
        <v>868</v>
      </c>
      <c r="B128" s="313">
        <v>956</v>
      </c>
      <c r="C128" s="314">
        <v>609.63075313807531</v>
      </c>
      <c r="D128" s="290"/>
    </row>
    <row r="129" spans="1:4" ht="16" thickBot="1" x14ac:dyDescent="0.4">
      <c r="A129" s="318" t="s">
        <v>870</v>
      </c>
      <c r="B129" s="319">
        <v>274</v>
      </c>
      <c r="C129" s="320">
        <v>755.71167883211683</v>
      </c>
      <c r="D129" s="290"/>
    </row>
    <row r="130" spans="1:4" ht="16" thickBot="1" x14ac:dyDescent="0.4">
      <c r="A130" s="322" t="s">
        <v>473</v>
      </c>
      <c r="B130" s="316">
        <v>3440</v>
      </c>
      <c r="C130" s="317">
        <v>1158.4773255813955</v>
      </c>
      <c r="D130" s="290"/>
    </row>
    <row r="131" spans="1:4" ht="16" thickBot="1" x14ac:dyDescent="0.4">
      <c r="A131" s="312" t="s">
        <v>450</v>
      </c>
      <c r="B131" s="313">
        <v>2768</v>
      </c>
      <c r="C131" s="314">
        <v>1205.8999277456646</v>
      </c>
      <c r="D131" s="290"/>
    </row>
    <row r="132" spans="1:4" ht="16" thickBot="1" x14ac:dyDescent="0.4">
      <c r="A132" s="312" t="s">
        <v>868</v>
      </c>
      <c r="B132" s="313">
        <v>670</v>
      </c>
      <c r="C132" s="314">
        <v>964.97164179104482</v>
      </c>
      <c r="D132" s="290"/>
    </row>
    <row r="133" spans="1:4" ht="16" thickBot="1" x14ac:dyDescent="0.4">
      <c r="A133" s="312" t="s">
        <v>870</v>
      </c>
      <c r="B133" s="313">
        <v>2</v>
      </c>
      <c r="C133" s="314">
        <v>350</v>
      </c>
      <c r="D133" s="290"/>
    </row>
    <row r="134" spans="1:4" ht="16" thickBot="1" x14ac:dyDescent="0.4">
      <c r="A134" s="322" t="s">
        <v>529</v>
      </c>
      <c r="B134" s="316">
        <v>8521</v>
      </c>
      <c r="C134" s="317">
        <v>298.34010092712123</v>
      </c>
      <c r="D134" s="290"/>
    </row>
    <row r="135" spans="1:4" ht="16" thickBot="1" x14ac:dyDescent="0.4">
      <c r="A135" s="312" t="s">
        <v>450</v>
      </c>
      <c r="B135" s="323">
        <v>3218</v>
      </c>
      <c r="C135" s="324">
        <v>518.42914853946547</v>
      </c>
      <c r="D135" s="290"/>
    </row>
    <row r="136" spans="1:4" ht="16" thickBot="1" x14ac:dyDescent="0.4">
      <c r="A136" s="312" t="s">
        <v>873</v>
      </c>
      <c r="B136" s="323">
        <v>1</v>
      </c>
      <c r="C136" s="324">
        <v>679</v>
      </c>
      <c r="D136" s="290"/>
    </row>
    <row r="137" spans="1:4" ht="16" thickBot="1" x14ac:dyDescent="0.4">
      <c r="A137" s="312" t="s">
        <v>868</v>
      </c>
      <c r="B137" s="323">
        <v>5198</v>
      </c>
      <c r="C137" s="324">
        <v>164.24740284724894</v>
      </c>
      <c r="D137" s="290"/>
    </row>
    <row r="138" spans="1:4" ht="16" thickBot="1" x14ac:dyDescent="0.4">
      <c r="A138" s="312" t="s">
        <v>870</v>
      </c>
      <c r="B138" s="323">
        <v>104</v>
      </c>
      <c r="C138" s="324">
        <v>186.67307692307693</v>
      </c>
      <c r="D138" s="290"/>
    </row>
    <row r="139" spans="1:4" ht="15.5" x14ac:dyDescent="0.35">
      <c r="D139" s="290"/>
    </row>
    <row r="140" spans="1:4" ht="15.5" x14ac:dyDescent="0.35">
      <c r="D140" s="290"/>
    </row>
    <row r="141" spans="1:4" ht="15.5" x14ac:dyDescent="0.35">
      <c r="D141" s="290"/>
    </row>
    <row r="142" spans="1:4" ht="15.5" x14ac:dyDescent="0.35">
      <c r="D142" s="290"/>
    </row>
    <row r="143" spans="1:4" ht="15.5" x14ac:dyDescent="0.35">
      <c r="D143" s="290"/>
    </row>
    <row r="144" spans="1:4" ht="15.5" x14ac:dyDescent="0.35">
      <c r="D144" s="290"/>
    </row>
    <row r="145" spans="4:4" ht="15.5" x14ac:dyDescent="0.35">
      <c r="D145" s="290"/>
    </row>
    <row r="146" spans="4:4" ht="15.5" x14ac:dyDescent="0.35">
      <c r="D146" s="290"/>
    </row>
    <row r="147" spans="4:4" ht="15.5" x14ac:dyDescent="0.35">
      <c r="D147" s="290"/>
    </row>
    <row r="148" spans="4:4" ht="15.5" x14ac:dyDescent="0.35">
      <c r="D148" s="290"/>
    </row>
    <row r="149" spans="4:4" ht="15.5" x14ac:dyDescent="0.35">
      <c r="D149" s="290"/>
    </row>
    <row r="150" spans="4:4" ht="15.5" x14ac:dyDescent="0.35">
      <c r="D150" s="290"/>
    </row>
    <row r="151" spans="4:4" ht="15.5" x14ac:dyDescent="0.35">
      <c r="D151" s="325"/>
    </row>
    <row r="152" spans="4:4" ht="15.5" x14ac:dyDescent="0.35">
      <c r="D152" s="325"/>
    </row>
    <row r="153" spans="4:4" ht="15.5" x14ac:dyDescent="0.35">
      <c r="D153" s="325"/>
    </row>
    <row r="154" spans="4:4" ht="15.5" x14ac:dyDescent="0.35">
      <c r="D154" s="325"/>
    </row>
    <row r="155" spans="4:4" ht="15.5" x14ac:dyDescent="0.35">
      <c r="D155" s="290"/>
    </row>
    <row r="156" spans="4:4" ht="15.5" x14ac:dyDescent="0.35">
      <c r="D156" s="290"/>
    </row>
    <row r="157" spans="4:4" ht="15.5" x14ac:dyDescent="0.35">
      <c r="D157" s="290"/>
    </row>
    <row r="158" spans="4:4" ht="15.5" x14ac:dyDescent="0.35">
      <c r="D158" s="290"/>
    </row>
    <row r="159" spans="4:4" ht="15.5" x14ac:dyDescent="0.35">
      <c r="D159" s="290"/>
    </row>
    <row r="160" spans="4:4" ht="15.5" x14ac:dyDescent="0.35">
      <c r="D160" s="290"/>
    </row>
    <row r="161" spans="4:8" ht="15.5" x14ac:dyDescent="0.35">
      <c r="D161" s="290"/>
    </row>
    <row r="162" spans="4:8" ht="15.5" x14ac:dyDescent="0.35">
      <c r="D162" s="290"/>
    </row>
    <row r="163" spans="4:8" ht="15.5" x14ac:dyDescent="0.35">
      <c r="D163" s="290"/>
    </row>
    <row r="164" spans="4:8" ht="15.5" x14ac:dyDescent="0.35">
      <c r="D164" s="290"/>
      <c r="H164" s="290"/>
    </row>
    <row r="165" spans="4:8" ht="15.5" x14ac:dyDescent="0.35">
      <c r="D165" s="290"/>
      <c r="H165" s="290"/>
    </row>
    <row r="166" spans="4:8" ht="15.5" x14ac:dyDescent="0.35">
      <c r="D166" s="290"/>
      <c r="H166" s="290"/>
    </row>
  </sheetData>
  <mergeCells count="18">
    <mergeCell ref="A28:C28"/>
    <mergeCell ref="E14:G14"/>
    <mergeCell ref="A15:C15"/>
    <mergeCell ref="E15:G15"/>
    <mergeCell ref="A16:C16"/>
    <mergeCell ref="A18:C18"/>
    <mergeCell ref="E19:G19"/>
    <mergeCell ref="A23:C23"/>
    <mergeCell ref="A24:C24"/>
    <mergeCell ref="E24:G24"/>
    <mergeCell ref="E25:G25"/>
    <mergeCell ref="A26:C26"/>
    <mergeCell ref="E13:G13"/>
    <mergeCell ref="A1:G1"/>
    <mergeCell ref="A2:G3"/>
    <mergeCell ref="A4:G4"/>
    <mergeCell ref="A7:C7"/>
    <mergeCell ref="E7:G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4CAE-DBDB-450A-BC55-F2499338DE0E}">
  <dimension ref="A1:AX211"/>
  <sheetViews>
    <sheetView showGridLines="0" zoomScaleNormal="100" zoomScaleSheetLayoutView="70" zoomScalePageLayoutView="90" workbookViewId="0">
      <selection sqref="A1:D1"/>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5" customFormat="1" ht="27.75" customHeight="1" x14ac:dyDescent="0.3">
      <c r="A1" s="362" t="s">
        <v>41</v>
      </c>
      <c r="B1" s="362"/>
      <c r="C1" s="362"/>
      <c r="D1" s="362"/>
    </row>
    <row r="2" spans="1:50" s="1" customFormat="1" ht="45.75" customHeight="1" x14ac:dyDescent="0.3">
      <c r="A2" s="363" t="s">
        <v>42</v>
      </c>
      <c r="B2" s="363"/>
      <c r="C2" s="363"/>
      <c r="D2" s="363"/>
      <c r="E2" s="363"/>
      <c r="F2" s="363"/>
      <c r="G2" s="363"/>
      <c r="H2" s="363"/>
      <c r="I2" s="363"/>
      <c r="J2" s="363"/>
      <c r="K2" s="363"/>
      <c r="L2" s="363"/>
      <c r="M2" s="363"/>
      <c r="N2" s="363"/>
      <c r="O2" s="363"/>
      <c r="P2" s="363"/>
      <c r="Q2" s="27"/>
      <c r="R2" s="27"/>
      <c r="S2" s="27"/>
      <c r="T2" s="27"/>
      <c r="U2" s="27"/>
      <c r="V2" s="27"/>
    </row>
    <row r="3" spans="1:50" ht="31.5" customHeight="1" x14ac:dyDescent="0.35">
      <c r="A3" s="364" t="s">
        <v>776</v>
      </c>
      <c r="B3" s="364"/>
      <c r="C3" s="364"/>
      <c r="D3" s="364"/>
      <c r="E3" s="25"/>
      <c r="F3" s="25"/>
      <c r="G3" s="25"/>
      <c r="H3" s="25"/>
      <c r="I3" s="25"/>
      <c r="J3" s="25"/>
      <c r="K3" s="25"/>
      <c r="L3" s="25"/>
      <c r="M3" s="25"/>
      <c r="N3" s="25"/>
      <c r="O3" s="25"/>
      <c r="P3" s="25"/>
      <c r="Q3" s="25"/>
      <c r="R3" s="25"/>
      <c r="S3" s="25"/>
      <c r="T3" s="25"/>
      <c r="U3" s="25"/>
      <c r="V3" s="25"/>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5" customFormat="1" ht="30.75" customHeight="1" x14ac:dyDescent="0.3">
      <c r="A4" s="361"/>
      <c r="B4" s="361"/>
      <c r="C4" s="361"/>
      <c r="D4" s="361"/>
      <c r="E4" s="361"/>
      <c r="F4" s="361"/>
      <c r="G4" s="361"/>
      <c r="H4" s="361"/>
      <c r="I4" s="361"/>
      <c r="J4" s="361"/>
      <c r="K4" s="361"/>
      <c r="L4" s="361"/>
      <c r="M4" s="361"/>
      <c r="N4" s="361"/>
      <c r="O4" s="361"/>
      <c r="P4" s="361"/>
      <c r="Q4" s="361"/>
      <c r="R4" s="361"/>
      <c r="S4" s="361"/>
      <c r="T4" s="361"/>
      <c r="U4" s="361"/>
      <c r="V4" s="361"/>
      <c r="W4" s="8"/>
      <c r="X4" s="8"/>
      <c r="Y4" s="8"/>
      <c r="Z4" s="8"/>
    </row>
    <row r="5" spans="1:50" s="1" customFormat="1" ht="19" customHeight="1" thickBot="1" x14ac:dyDescent="0.3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3">
      <c r="A6" s="369"/>
      <c r="B6" s="370"/>
      <c r="C6" s="370"/>
      <c r="D6" s="370"/>
      <c r="E6" s="370"/>
      <c r="F6" s="370"/>
      <c r="G6" s="370"/>
      <c r="H6" s="370"/>
      <c r="I6" s="370"/>
      <c r="J6" s="370"/>
      <c r="K6" s="370"/>
      <c r="L6" s="370"/>
      <c r="M6" s="370"/>
      <c r="N6" s="370"/>
      <c r="O6" s="370"/>
      <c r="P6" s="370"/>
      <c r="Q6" s="370"/>
      <c r="R6" s="370"/>
      <c r="S6" s="370"/>
      <c r="T6" s="370"/>
      <c r="U6" s="370"/>
      <c r="V6" s="371"/>
      <c r="W6" s="2"/>
      <c r="X6" s="2"/>
      <c r="Y6" s="2"/>
      <c r="Z6" s="2"/>
    </row>
    <row r="7" spans="1:50" s="5" customFormat="1" ht="16.5" customHeight="1" x14ac:dyDescent="0.3">
      <c r="A7" s="45"/>
      <c r="B7" s="14"/>
      <c r="C7" s="14"/>
      <c r="D7" s="14"/>
      <c r="E7" s="14"/>
      <c r="F7" s="14"/>
      <c r="G7" s="14"/>
      <c r="H7" s="14"/>
      <c r="J7" s="35"/>
      <c r="K7" s="35"/>
      <c r="L7" s="35"/>
      <c r="N7" s="14"/>
      <c r="O7" s="14"/>
      <c r="P7" s="14"/>
      <c r="Q7" s="14"/>
      <c r="R7" s="14"/>
      <c r="S7" s="14"/>
      <c r="T7" s="14"/>
      <c r="U7" s="14"/>
      <c r="V7" s="15"/>
      <c r="W7" s="16"/>
      <c r="X7" s="16"/>
      <c r="Y7" s="16"/>
      <c r="Z7" s="16"/>
    </row>
    <row r="8" spans="1:50" s="37" customFormat="1" ht="30.65" customHeight="1" x14ac:dyDescent="0.3">
      <c r="A8" s="441" t="s">
        <v>777</v>
      </c>
      <c r="B8" s="442"/>
      <c r="C8" s="442"/>
      <c r="D8" s="442"/>
      <c r="E8" s="36"/>
      <c r="F8" s="36"/>
      <c r="G8" s="442" t="s">
        <v>516</v>
      </c>
      <c r="H8" s="442"/>
      <c r="I8" s="442"/>
      <c r="J8" s="442"/>
      <c r="K8" s="442"/>
      <c r="L8" s="240"/>
      <c r="N8" s="442" t="s">
        <v>534</v>
      </c>
      <c r="O8" s="442"/>
      <c r="P8" s="442"/>
      <c r="Q8" s="442"/>
      <c r="R8" s="442"/>
      <c r="U8" s="82"/>
      <c r="V8" s="83"/>
      <c r="X8" s="38"/>
      <c r="Y8" s="38"/>
      <c r="Z8" s="38"/>
      <c r="AA8" s="38"/>
      <c r="AC8" s="119"/>
      <c r="AD8" s="119"/>
    </row>
    <row r="9" spans="1:50" s="5" customFormat="1" ht="28.4" customHeight="1" x14ac:dyDescent="0.3">
      <c r="A9" s="11" t="s">
        <v>511</v>
      </c>
      <c r="B9" s="34" t="s">
        <v>731</v>
      </c>
      <c r="C9" s="34" t="s">
        <v>117</v>
      </c>
      <c r="D9" s="34" t="s">
        <v>1</v>
      </c>
      <c r="E9" s="14"/>
      <c r="F9" s="14"/>
      <c r="G9" s="433" t="s">
        <v>118</v>
      </c>
      <c r="H9" s="434"/>
      <c r="I9" s="42" t="s">
        <v>731</v>
      </c>
      <c r="J9" s="42" t="s">
        <v>117</v>
      </c>
      <c r="K9" s="42" t="s">
        <v>1</v>
      </c>
      <c r="L9" s="218"/>
      <c r="M9" s="218"/>
      <c r="N9" s="368" t="s">
        <v>114</v>
      </c>
      <c r="O9" s="368"/>
      <c r="P9" s="180" t="s">
        <v>115</v>
      </c>
      <c r="Q9" s="14"/>
      <c r="R9" s="14"/>
      <c r="S9" s="14"/>
      <c r="T9" s="14"/>
      <c r="U9" s="14"/>
      <c r="V9" s="83"/>
      <c r="X9" s="16"/>
      <c r="Y9" s="16"/>
      <c r="Z9" s="16"/>
      <c r="AA9" s="16"/>
      <c r="AB9" s="16"/>
      <c r="AC9" s="84"/>
      <c r="AD9" s="84"/>
    </row>
    <row r="10" spans="1:50" s="5" customFormat="1" ht="16.5" customHeight="1" thickBot="1" x14ac:dyDescent="0.35">
      <c r="A10" s="46" t="s">
        <v>1</v>
      </c>
      <c r="B10" s="59">
        <f>SUM(B11:B14)</f>
        <v>1302</v>
      </c>
      <c r="C10" s="59">
        <f>SUM(C11:C14)</f>
        <v>67688</v>
      </c>
      <c r="D10" s="59">
        <f>SUM(D11:D14)</f>
        <v>68990</v>
      </c>
      <c r="E10" s="14"/>
      <c r="F10" s="14"/>
      <c r="G10" s="374" t="s">
        <v>778</v>
      </c>
      <c r="H10" s="374"/>
      <c r="I10" s="248">
        <v>18</v>
      </c>
      <c r="J10" s="194">
        <v>88.258754146700994</v>
      </c>
      <c r="K10" s="194">
        <v>88.206998158379307</v>
      </c>
      <c r="L10" s="217"/>
      <c r="M10" s="217"/>
      <c r="N10" s="379" t="s">
        <v>1</v>
      </c>
      <c r="O10" s="379"/>
      <c r="P10" s="241">
        <f>SUM(P11:P12)</f>
        <v>2487</v>
      </c>
      <c r="Q10" s="14"/>
      <c r="R10" s="14"/>
      <c r="S10" s="14"/>
      <c r="T10" s="14"/>
      <c r="U10" s="14"/>
      <c r="V10" s="83"/>
      <c r="X10" s="16"/>
      <c r="Y10" s="16"/>
      <c r="Z10" s="16"/>
      <c r="AA10" s="16"/>
      <c r="AB10" s="16"/>
      <c r="AC10" s="84"/>
      <c r="AD10" s="84"/>
    </row>
    <row r="11" spans="1:50" s="5" customFormat="1" ht="13.4" customHeight="1" thickTop="1" x14ac:dyDescent="0.3">
      <c r="A11" s="47" t="s">
        <v>124</v>
      </c>
      <c r="B11" s="193">
        <v>367</v>
      </c>
      <c r="C11" s="193">
        <v>6061</v>
      </c>
      <c r="D11" s="120">
        <f>SUM(B11:C11)</f>
        <v>6428</v>
      </c>
      <c r="E11" s="14"/>
      <c r="F11" s="375"/>
      <c r="G11" s="432"/>
      <c r="H11" s="41"/>
      <c r="I11" s="41"/>
      <c r="J11" s="41"/>
      <c r="K11" s="41"/>
      <c r="L11" s="41"/>
      <c r="N11" s="380" t="s">
        <v>731</v>
      </c>
      <c r="O11" s="380"/>
      <c r="P11" s="242">
        <v>249</v>
      </c>
      <c r="Q11" s="14"/>
      <c r="R11" s="14"/>
      <c r="S11" s="88"/>
      <c r="T11" s="88"/>
      <c r="U11" s="88"/>
      <c r="V11" s="83"/>
      <c r="X11" s="16"/>
      <c r="Y11" s="16"/>
      <c r="Z11" s="84"/>
      <c r="AA11" s="84"/>
    </row>
    <row r="12" spans="1:50" s="5" customFormat="1" ht="13.4" customHeight="1" x14ac:dyDescent="0.3">
      <c r="A12" s="48" t="s">
        <v>125</v>
      </c>
      <c r="B12" s="193">
        <v>746</v>
      </c>
      <c r="C12" s="193">
        <v>48109</v>
      </c>
      <c r="D12" s="120">
        <f>SUM(B12:C12)</f>
        <v>48855</v>
      </c>
      <c r="E12" s="14"/>
      <c r="M12" s="243"/>
      <c r="N12" s="381" t="s">
        <v>117</v>
      </c>
      <c r="O12" s="381"/>
      <c r="P12" s="195">
        <v>2238</v>
      </c>
      <c r="Q12" s="14"/>
      <c r="R12" s="14"/>
      <c r="S12" s="14"/>
      <c r="T12" s="14"/>
      <c r="U12" s="88"/>
      <c r="V12" s="83"/>
      <c r="W12" s="220"/>
      <c r="X12" s="16"/>
      <c r="Y12" s="16"/>
      <c r="Z12" s="16"/>
      <c r="AA12" s="16"/>
      <c r="AB12" s="84"/>
      <c r="AC12" s="84"/>
    </row>
    <row r="13" spans="1:50" s="5" customFormat="1" ht="13.4" customHeight="1" x14ac:dyDescent="0.3">
      <c r="A13" s="48" t="s">
        <v>839</v>
      </c>
      <c r="B13" s="193">
        <v>41</v>
      </c>
      <c r="C13" s="193">
        <v>2861</v>
      </c>
      <c r="D13" s="120">
        <f>SUM(B13:C13)</f>
        <v>2902</v>
      </c>
      <c r="E13" s="14"/>
      <c r="F13" s="14"/>
      <c r="G13" s="14"/>
      <c r="H13" s="14"/>
      <c r="I13" s="14"/>
      <c r="J13" s="14"/>
      <c r="Q13" s="14"/>
      <c r="R13" s="14"/>
      <c r="S13" s="14"/>
      <c r="T13" s="88"/>
      <c r="U13" s="14"/>
      <c r="V13" s="83"/>
      <c r="W13" s="221"/>
      <c r="X13" s="16"/>
      <c r="Y13" s="16"/>
      <c r="Z13" s="16"/>
      <c r="AA13" s="84"/>
      <c r="AB13" s="84"/>
    </row>
    <row r="14" spans="1:50" s="5" customFormat="1" ht="13.4" customHeight="1" x14ac:dyDescent="0.3">
      <c r="A14" s="48" t="s">
        <v>0</v>
      </c>
      <c r="B14" s="193">
        <v>148</v>
      </c>
      <c r="C14" s="193">
        <v>10657</v>
      </c>
      <c r="D14" s="120">
        <f>SUM(B14:C14)</f>
        <v>10805</v>
      </c>
      <c r="E14" s="14"/>
      <c r="F14" s="14"/>
      <c r="G14" s="14"/>
      <c r="H14" s="14"/>
      <c r="I14" s="14"/>
      <c r="J14" s="14"/>
      <c r="K14" s="14"/>
      <c r="L14" s="14"/>
      <c r="M14" s="14"/>
      <c r="N14" s="14"/>
      <c r="O14" s="14"/>
      <c r="P14" s="14"/>
      <c r="Q14" s="14"/>
      <c r="R14" s="14"/>
      <c r="S14" s="14"/>
      <c r="T14" s="88"/>
      <c r="U14" s="14"/>
      <c r="V14" s="83"/>
      <c r="W14" s="221"/>
      <c r="X14" s="16"/>
      <c r="Y14" s="16"/>
      <c r="Z14" s="16"/>
      <c r="AA14" s="84"/>
      <c r="AB14" s="84"/>
    </row>
    <row r="15" spans="1:50" s="5" customFormat="1" ht="16.5" customHeight="1" x14ac:dyDescent="0.3">
      <c r="A15" s="49"/>
      <c r="B15" s="18"/>
      <c r="C15" s="18"/>
      <c r="D15" s="18"/>
      <c r="E15" s="18"/>
      <c r="F15" s="18"/>
      <c r="G15" s="14"/>
      <c r="H15" s="14"/>
      <c r="I15" s="14"/>
      <c r="J15" s="14"/>
      <c r="K15" s="14"/>
      <c r="L15" s="14"/>
      <c r="M15" s="14"/>
      <c r="N15" s="14"/>
      <c r="O15" s="14"/>
      <c r="P15" s="14"/>
      <c r="Q15" s="14"/>
      <c r="R15" s="14"/>
      <c r="S15" s="14"/>
      <c r="T15" s="14"/>
      <c r="U15" s="14"/>
      <c r="V15" s="83"/>
      <c r="W15" s="221"/>
      <c r="X15" s="16"/>
      <c r="Y15" s="16"/>
      <c r="Z15" s="16"/>
      <c r="AA15" s="16"/>
      <c r="AB15" s="84"/>
      <c r="AC15" s="84"/>
      <c r="AK15" s="84"/>
      <c r="AL15" s="84"/>
    </row>
    <row r="16" spans="1:50" s="5" customFormat="1" ht="16.5" customHeight="1" x14ac:dyDescent="0.3">
      <c r="A16" s="376"/>
      <c r="B16" s="377"/>
      <c r="C16" s="377"/>
      <c r="D16" s="377"/>
      <c r="E16" s="377"/>
      <c r="F16" s="377"/>
      <c r="G16" s="377"/>
      <c r="H16" s="377"/>
      <c r="I16" s="377"/>
      <c r="J16" s="377"/>
      <c r="K16" s="377"/>
      <c r="L16" s="377"/>
      <c r="M16" s="377"/>
      <c r="N16" s="377"/>
      <c r="O16" s="377"/>
      <c r="P16" s="377"/>
      <c r="Q16" s="377"/>
      <c r="R16" s="377"/>
      <c r="S16" s="377"/>
      <c r="T16" s="377"/>
      <c r="U16" s="377"/>
      <c r="V16" s="447"/>
      <c r="W16" s="221"/>
      <c r="X16" s="84"/>
      <c r="Y16" s="16"/>
      <c r="Z16" s="16"/>
      <c r="AK16" s="84"/>
    </row>
    <row r="17" spans="1:38" s="5" customFormat="1" ht="16.5" customHeight="1" x14ac:dyDescent="0.3">
      <c r="A17" s="45"/>
      <c r="B17" s="14"/>
      <c r="C17" s="14"/>
      <c r="D17" s="14"/>
      <c r="E17" s="14"/>
      <c r="F17" s="14"/>
      <c r="G17" s="14"/>
      <c r="H17" s="14"/>
      <c r="I17" s="14"/>
      <c r="J17" s="14"/>
      <c r="K17" s="14"/>
      <c r="L17" s="14"/>
      <c r="M17" s="14"/>
      <c r="N17" s="14"/>
      <c r="O17" s="14"/>
      <c r="P17" s="14"/>
      <c r="Q17" s="14"/>
      <c r="R17" s="14"/>
      <c r="S17" s="14"/>
      <c r="T17" s="14"/>
      <c r="U17" s="14"/>
      <c r="V17" s="15"/>
      <c r="W17" s="16"/>
      <c r="X17" s="16"/>
      <c r="Y17" s="16"/>
      <c r="Z17" s="16"/>
      <c r="AF17" s="84"/>
      <c r="AK17" s="84"/>
    </row>
    <row r="18" spans="1:38" s="7" customFormat="1" ht="27.65" customHeight="1" x14ac:dyDescent="0.3">
      <c r="A18" s="441" t="s">
        <v>779</v>
      </c>
      <c r="B18" s="442"/>
      <c r="C18" s="442"/>
      <c r="D18" s="442"/>
      <c r="E18" s="442"/>
      <c r="F18" s="442"/>
      <c r="I18" s="443" t="s">
        <v>780</v>
      </c>
      <c r="J18" s="443"/>
      <c r="K18" s="443"/>
      <c r="L18" s="443"/>
      <c r="M18" s="443"/>
      <c r="N18" s="443"/>
      <c r="O18" s="443"/>
      <c r="P18" s="443"/>
      <c r="Q18" s="443"/>
      <c r="R18" s="443"/>
      <c r="S18" s="443"/>
      <c r="T18" s="443"/>
      <c r="U18" s="443"/>
      <c r="V18" s="444"/>
      <c r="W18" s="19"/>
      <c r="X18" s="19"/>
      <c r="Y18" s="19"/>
      <c r="AE18" s="5"/>
      <c r="AF18" s="84"/>
      <c r="AG18" s="5"/>
      <c r="AH18" s="5"/>
      <c r="AI18" s="5"/>
      <c r="AJ18" s="5"/>
      <c r="AK18" s="5"/>
      <c r="AL18" s="84"/>
    </row>
    <row r="19" spans="1:38" s="1" customFormat="1" ht="28.75" customHeight="1" x14ac:dyDescent="0.3">
      <c r="A19" s="34" t="s">
        <v>120</v>
      </c>
      <c r="B19" s="34" t="s">
        <v>74</v>
      </c>
      <c r="C19" s="34" t="s">
        <v>121</v>
      </c>
      <c r="D19" s="34" t="s">
        <v>56</v>
      </c>
      <c r="E19" s="34" t="s">
        <v>122</v>
      </c>
      <c r="F19" s="34" t="s">
        <v>1</v>
      </c>
      <c r="I19" s="34" t="s">
        <v>127</v>
      </c>
      <c r="J19" s="34" t="s">
        <v>128</v>
      </c>
      <c r="K19" s="34" t="s">
        <v>129</v>
      </c>
      <c r="L19" s="34" t="s">
        <v>130</v>
      </c>
      <c r="M19" s="34" t="s">
        <v>131</v>
      </c>
      <c r="N19" s="34" t="s">
        <v>132</v>
      </c>
      <c r="O19" s="34" t="s">
        <v>133</v>
      </c>
      <c r="P19" s="34" t="s">
        <v>134</v>
      </c>
      <c r="Q19" s="34" t="s">
        <v>135</v>
      </c>
      <c r="R19" s="34" t="s">
        <v>136</v>
      </c>
      <c r="S19" s="34" t="s">
        <v>138</v>
      </c>
      <c r="T19" s="34" t="s">
        <v>139</v>
      </c>
      <c r="U19" s="34" t="s">
        <v>140</v>
      </c>
      <c r="V19" s="34" t="s">
        <v>1</v>
      </c>
      <c r="W19" s="21"/>
      <c r="X19" s="94"/>
      <c r="Y19" s="94"/>
      <c r="Z19" s="121"/>
      <c r="AA19" s="122"/>
      <c r="AB19" s="87"/>
      <c r="AC19" s="87"/>
      <c r="AD19" s="87"/>
      <c r="AE19" s="81"/>
      <c r="AF19" s="87"/>
      <c r="AG19" s="87"/>
      <c r="AH19" s="87"/>
      <c r="AI19" s="87"/>
      <c r="AJ19" s="87"/>
      <c r="AK19" s="87"/>
    </row>
    <row r="20" spans="1:38" s="1" customFormat="1" ht="18" customHeight="1" thickBot="1" x14ac:dyDescent="0.35">
      <c r="A20" s="46" t="s">
        <v>1</v>
      </c>
      <c r="B20" s="59">
        <f>SUM(B21:B23)</f>
        <v>57311</v>
      </c>
      <c r="C20" s="62">
        <f>IF(ISERROR(B20/F20),0,B20/F20)</f>
        <v>0.83071459631830702</v>
      </c>
      <c r="D20" s="59">
        <f>SUM(D21:D23)</f>
        <v>11679</v>
      </c>
      <c r="E20" s="62">
        <f>IF(ISERROR(D20/F20),0,D20/F20)</f>
        <v>0.16928540368169301</v>
      </c>
      <c r="F20" s="59">
        <f>B20+D20</f>
        <v>68990</v>
      </c>
      <c r="I20" s="12" t="s">
        <v>1</v>
      </c>
      <c r="J20" s="63">
        <f t="shared" ref="J20:U20" si="0">SUM(J21:J22)</f>
        <v>41611</v>
      </c>
      <c r="K20" s="64">
        <f t="shared" si="0"/>
        <v>38410</v>
      </c>
      <c r="L20" s="63">
        <f t="shared" si="0"/>
        <v>42116</v>
      </c>
      <c r="M20" s="63">
        <f t="shared" si="0"/>
        <v>2366</v>
      </c>
      <c r="N20" s="63">
        <f t="shared" si="0"/>
        <v>0</v>
      </c>
      <c r="O20" s="63">
        <f t="shared" si="0"/>
        <v>0</v>
      </c>
      <c r="P20" s="63">
        <f t="shared" si="0"/>
        <v>0</v>
      </c>
      <c r="Q20" s="63">
        <f t="shared" si="0"/>
        <v>0</v>
      </c>
      <c r="R20" s="63">
        <f t="shared" si="0"/>
        <v>0</v>
      </c>
      <c r="S20" s="63">
        <f t="shared" si="0"/>
        <v>0</v>
      </c>
      <c r="T20" s="63">
        <f t="shared" si="0"/>
        <v>0</v>
      </c>
      <c r="U20" s="63">
        <f t="shared" si="0"/>
        <v>0</v>
      </c>
      <c r="V20" s="68">
        <f>SUM(J20:U20)</f>
        <v>124503</v>
      </c>
      <c r="W20" s="21"/>
      <c r="X20" s="21"/>
      <c r="Y20" s="94"/>
      <c r="Z20" s="94"/>
      <c r="AA20" s="87"/>
      <c r="AB20" s="87"/>
      <c r="AC20" s="87"/>
      <c r="AD20" s="87"/>
      <c r="AE20" s="81"/>
      <c r="AF20" s="87"/>
      <c r="AG20" s="87"/>
    </row>
    <row r="21" spans="1:38" s="1" customFormat="1" ht="15" customHeight="1" thickTop="1" x14ac:dyDescent="0.3">
      <c r="A21" s="47" t="s">
        <v>60</v>
      </c>
      <c r="B21" s="196">
        <v>16627</v>
      </c>
      <c r="C21" s="60">
        <v>0.94</v>
      </c>
      <c r="D21" s="196">
        <v>1102</v>
      </c>
      <c r="E21" s="60">
        <v>0.06</v>
      </c>
      <c r="F21" s="13">
        <f>B21+D21</f>
        <v>17729</v>
      </c>
      <c r="I21" s="13" t="s">
        <v>56</v>
      </c>
      <c r="J21" s="198">
        <v>4990</v>
      </c>
      <c r="K21" s="198">
        <v>3923</v>
      </c>
      <c r="L21" s="198">
        <v>4300</v>
      </c>
      <c r="M21" s="198">
        <v>161</v>
      </c>
      <c r="N21" s="198"/>
      <c r="O21" s="198"/>
      <c r="P21" s="198"/>
      <c r="Q21" s="198"/>
      <c r="R21" s="198"/>
      <c r="S21" s="198"/>
      <c r="T21" s="198"/>
      <c r="U21" s="198"/>
      <c r="V21" s="67">
        <f>SUM(J21:U21)</f>
        <v>13374</v>
      </c>
      <c r="W21" s="21"/>
      <c r="X21" s="115"/>
      <c r="Y21" s="115"/>
      <c r="Z21" s="94"/>
      <c r="AA21" s="87"/>
      <c r="AB21" s="81"/>
      <c r="AC21" s="81"/>
      <c r="AD21" s="81"/>
      <c r="AE21" s="81"/>
      <c r="AF21" s="81"/>
      <c r="AG21" s="81"/>
      <c r="AH21" s="81"/>
      <c r="AI21" s="81"/>
      <c r="AJ21" s="81"/>
      <c r="AK21" s="81"/>
      <c r="AL21" s="81"/>
    </row>
    <row r="22" spans="1:38" s="1" customFormat="1" ht="15" customHeight="1" x14ac:dyDescent="0.3">
      <c r="A22" s="48" t="s">
        <v>93</v>
      </c>
      <c r="B22" s="197">
        <v>16040</v>
      </c>
      <c r="C22" s="61">
        <v>0.9</v>
      </c>
      <c r="D22" s="197">
        <v>1841</v>
      </c>
      <c r="E22" s="61">
        <v>0.1</v>
      </c>
      <c r="F22" s="32">
        <f>B22+D22</f>
        <v>17881</v>
      </c>
      <c r="I22" s="32" t="s">
        <v>530</v>
      </c>
      <c r="J22" s="183">
        <v>36621</v>
      </c>
      <c r="K22" s="198">
        <v>34487</v>
      </c>
      <c r="L22" s="198">
        <v>37816</v>
      </c>
      <c r="M22" s="198">
        <v>2205</v>
      </c>
      <c r="N22" s="198"/>
      <c r="O22" s="198"/>
      <c r="P22" s="198"/>
      <c r="Q22" s="198"/>
      <c r="R22" s="198"/>
      <c r="S22" s="198"/>
      <c r="T22" s="198"/>
      <c r="U22" s="198"/>
      <c r="V22" s="114">
        <f>SUM(J22:U22)</f>
        <v>111129</v>
      </c>
      <c r="W22" s="21"/>
      <c r="X22" s="115"/>
      <c r="Y22" s="115"/>
      <c r="Z22" s="115"/>
      <c r="AA22" s="81"/>
      <c r="AB22" s="81"/>
      <c r="AC22" s="81"/>
      <c r="AD22" s="81"/>
      <c r="AE22" s="81"/>
      <c r="AF22" s="81"/>
      <c r="AG22" s="81"/>
      <c r="AH22" s="81"/>
      <c r="AI22" s="81"/>
      <c r="AJ22" s="81"/>
      <c r="AK22" s="81"/>
      <c r="AL22" s="81"/>
    </row>
    <row r="23" spans="1:38" s="1" customFormat="1" ht="15" customHeight="1" x14ac:dyDescent="0.3">
      <c r="A23" s="48" t="s">
        <v>123</v>
      </c>
      <c r="B23" s="197">
        <v>24644</v>
      </c>
      <c r="C23" s="61">
        <v>0.74</v>
      </c>
      <c r="D23" s="197">
        <v>8736</v>
      </c>
      <c r="E23" s="61">
        <v>0.26</v>
      </c>
      <c r="F23" s="32">
        <f>B23+D23</f>
        <v>33380</v>
      </c>
      <c r="T23" s="16"/>
      <c r="U23" s="16"/>
      <c r="V23" s="20"/>
      <c r="W23" s="21"/>
      <c r="X23" s="115"/>
      <c r="Y23" s="115"/>
      <c r="Z23" s="115"/>
      <c r="AA23" s="81"/>
      <c r="AB23" s="81"/>
      <c r="AC23" s="81"/>
      <c r="AD23" s="81"/>
      <c r="AE23" s="81"/>
      <c r="AF23" s="81"/>
      <c r="AG23" s="81"/>
      <c r="AH23" s="81"/>
      <c r="AI23" s="81"/>
      <c r="AJ23" s="81"/>
      <c r="AK23" s="81"/>
      <c r="AL23" s="81"/>
    </row>
    <row r="24" spans="1:38" s="1" customFormat="1" ht="12" x14ac:dyDescent="0.3">
      <c r="A24" s="50"/>
      <c r="T24" s="16"/>
      <c r="U24" s="16"/>
      <c r="V24" s="20"/>
      <c r="W24" s="21"/>
      <c r="X24" s="21"/>
      <c r="Y24" s="115"/>
      <c r="Z24" s="115"/>
      <c r="AA24" s="81"/>
      <c r="AB24" s="81"/>
      <c r="AC24" s="81"/>
      <c r="AD24" s="81"/>
      <c r="AE24" s="81"/>
      <c r="AF24" s="81"/>
      <c r="AG24" s="81"/>
      <c r="AH24" s="81"/>
      <c r="AK24" s="81"/>
      <c r="AL24" s="81"/>
    </row>
    <row r="25" spans="1:38" s="5" customFormat="1" ht="16.5" customHeight="1" x14ac:dyDescent="0.3">
      <c r="A25" s="376"/>
      <c r="B25" s="377"/>
      <c r="C25" s="377"/>
      <c r="D25" s="377"/>
      <c r="E25" s="377"/>
      <c r="F25" s="377"/>
      <c r="G25" s="377"/>
      <c r="H25" s="377"/>
      <c r="I25" s="377"/>
      <c r="J25" s="377"/>
      <c r="K25" s="377"/>
      <c r="L25" s="377"/>
      <c r="M25" s="377"/>
      <c r="N25" s="377"/>
      <c r="O25" s="377"/>
      <c r="P25" s="377"/>
      <c r="Q25" s="377"/>
      <c r="R25" s="377"/>
      <c r="S25" s="377"/>
      <c r="T25" s="377"/>
      <c r="U25" s="377"/>
      <c r="V25" s="378"/>
      <c r="W25" s="16"/>
      <c r="X25" s="16"/>
      <c r="Y25" s="16"/>
      <c r="Z25" s="88"/>
      <c r="AA25" s="84"/>
      <c r="AB25" s="84"/>
      <c r="AC25" s="84"/>
      <c r="AD25" s="84"/>
      <c r="AE25" s="84"/>
      <c r="AF25" s="84"/>
      <c r="AG25" s="84"/>
    </row>
    <row r="26" spans="1:38" s="1" customFormat="1" ht="12" x14ac:dyDescent="0.3">
      <c r="A26" s="50"/>
      <c r="T26" s="16"/>
      <c r="U26" s="16"/>
      <c r="V26" s="20"/>
      <c r="W26" s="21"/>
      <c r="X26" s="21"/>
      <c r="Y26" s="21"/>
      <c r="Z26" s="115"/>
      <c r="AA26" s="81"/>
      <c r="AB26" s="81"/>
      <c r="AC26" s="81"/>
      <c r="AG26" s="81"/>
    </row>
    <row r="27" spans="1:38" s="5" customFormat="1" ht="21.65" customHeight="1" x14ac:dyDescent="0.3">
      <c r="A27" s="445" t="s">
        <v>781</v>
      </c>
      <c r="B27" s="446"/>
      <c r="C27" s="446"/>
      <c r="D27" s="446"/>
      <c r="E27" s="446"/>
      <c r="F27" s="33"/>
      <c r="H27" s="446" t="s">
        <v>782</v>
      </c>
      <c r="I27" s="446"/>
      <c r="J27" s="446"/>
      <c r="K27" s="446"/>
      <c r="L27" s="446"/>
      <c r="M27" s="33"/>
      <c r="N27" s="446" t="s">
        <v>783</v>
      </c>
      <c r="O27" s="446"/>
      <c r="P27" s="446"/>
      <c r="Q27" s="446"/>
      <c r="R27" s="446"/>
      <c r="S27" s="33"/>
      <c r="V27" s="39"/>
      <c r="W27" s="40"/>
      <c r="X27" s="123"/>
      <c r="Y27" s="123"/>
      <c r="Z27" s="123"/>
      <c r="AA27" s="86"/>
      <c r="AB27" s="86"/>
      <c r="AC27" s="86"/>
      <c r="AD27" s="86"/>
      <c r="AE27" s="84"/>
      <c r="AF27" s="84"/>
      <c r="AG27" s="84"/>
      <c r="AH27" s="86"/>
      <c r="AI27" s="86"/>
    </row>
    <row r="28" spans="1:38" s="1" customFormat="1" ht="37.5" customHeight="1" x14ac:dyDescent="0.3">
      <c r="A28" s="34" t="s">
        <v>142</v>
      </c>
      <c r="B28" s="34" t="s">
        <v>60</v>
      </c>
      <c r="C28" s="34" t="s">
        <v>93</v>
      </c>
      <c r="D28" s="34" t="s">
        <v>123</v>
      </c>
      <c r="E28" s="34" t="s">
        <v>1</v>
      </c>
      <c r="H28" s="433" t="s">
        <v>142</v>
      </c>
      <c r="I28" s="434"/>
      <c r="J28" s="180" t="s">
        <v>1</v>
      </c>
      <c r="K28" s="16"/>
      <c r="L28" s="16"/>
      <c r="M28" s="16"/>
      <c r="N28" s="388" t="s">
        <v>137</v>
      </c>
      <c r="O28" s="390"/>
      <c r="P28" s="182" t="s">
        <v>1</v>
      </c>
      <c r="U28" s="16"/>
      <c r="V28" s="51"/>
      <c r="W28" s="21"/>
      <c r="X28" s="21"/>
      <c r="Y28" s="21"/>
      <c r="Z28" s="81"/>
      <c r="AD28" s="81"/>
      <c r="AE28" s="81"/>
      <c r="AF28" s="81"/>
      <c r="AG28" s="81"/>
    </row>
    <row r="29" spans="1:38" s="1" customFormat="1" ht="15" customHeight="1" thickBot="1" x14ac:dyDescent="0.35">
      <c r="A29" s="46" t="s">
        <v>1</v>
      </c>
      <c r="B29" s="59">
        <f>SUM(B30:B31)</f>
        <v>34729</v>
      </c>
      <c r="C29" s="59">
        <f>SUM(C30:C31)</f>
        <v>31601</v>
      </c>
      <c r="D29" s="59">
        <f>SUM(D30:D31)</f>
        <v>58173</v>
      </c>
      <c r="E29" s="64">
        <f>SUM(B29:D29)</f>
        <v>124503</v>
      </c>
      <c r="H29" s="435" t="s">
        <v>1</v>
      </c>
      <c r="I29" s="436"/>
      <c r="J29" s="181">
        <f>SUM(J30:J31)</f>
        <v>115104</v>
      </c>
      <c r="K29" s="16"/>
      <c r="L29" s="16"/>
      <c r="M29" s="16"/>
      <c r="N29" s="391" t="s">
        <v>1</v>
      </c>
      <c r="O29" s="392"/>
      <c r="P29" s="199">
        <v>118164</v>
      </c>
      <c r="U29" s="88"/>
      <c r="V29" s="116"/>
      <c r="W29" s="21"/>
      <c r="X29" s="115"/>
      <c r="Y29" s="115"/>
      <c r="Z29" s="81"/>
      <c r="AA29" s="81"/>
      <c r="AB29" s="81"/>
      <c r="AC29" s="81"/>
      <c r="AD29" s="81"/>
      <c r="AE29" s="81"/>
      <c r="AF29" s="81"/>
      <c r="AG29" s="81"/>
      <c r="AH29" s="81"/>
      <c r="AI29" s="81"/>
      <c r="AJ29" s="81"/>
    </row>
    <row r="30" spans="1:38" s="1" customFormat="1" ht="14.5" customHeight="1" thickTop="1" x14ac:dyDescent="0.3">
      <c r="A30" s="47" t="s">
        <v>731</v>
      </c>
      <c r="B30" s="196">
        <v>2</v>
      </c>
      <c r="C30" s="196">
        <v>7</v>
      </c>
      <c r="D30" s="196">
        <v>38</v>
      </c>
      <c r="E30" s="13">
        <f>SUM(B30:D30)</f>
        <v>47</v>
      </c>
      <c r="F30" s="5"/>
      <c r="G30" s="5"/>
      <c r="H30" s="437" t="s">
        <v>731</v>
      </c>
      <c r="I30" s="438"/>
      <c r="J30" s="242">
        <v>521</v>
      </c>
      <c r="K30" s="16"/>
      <c r="L30" s="16"/>
      <c r="M30" s="16"/>
      <c r="N30" s="381" t="s">
        <v>676</v>
      </c>
      <c r="O30" s="381"/>
      <c r="P30" s="195">
        <v>10847</v>
      </c>
      <c r="R30" s="16"/>
      <c r="U30" s="88"/>
      <c r="V30" s="116"/>
      <c r="W30" s="21"/>
      <c r="X30" s="115"/>
      <c r="Y30" s="115"/>
      <c r="Z30" s="81"/>
      <c r="AA30" s="81"/>
      <c r="AB30" s="81"/>
      <c r="AC30" s="81"/>
      <c r="AD30" s="81"/>
      <c r="AE30" s="81"/>
      <c r="AF30" s="81"/>
      <c r="AG30" s="81"/>
      <c r="AH30" s="81"/>
      <c r="AI30" s="81"/>
      <c r="AJ30" s="81"/>
    </row>
    <row r="31" spans="1:38" s="1" customFormat="1" ht="14.5" customHeight="1" x14ac:dyDescent="0.3">
      <c r="A31" s="48" t="s">
        <v>117</v>
      </c>
      <c r="B31" s="197">
        <v>34727</v>
      </c>
      <c r="C31" s="197">
        <v>31594</v>
      </c>
      <c r="D31" s="197">
        <v>58135</v>
      </c>
      <c r="E31" s="13">
        <f>SUM(B31:D31)</f>
        <v>124456</v>
      </c>
      <c r="F31" s="5"/>
      <c r="G31" s="5"/>
      <c r="H31" s="439" t="s">
        <v>117</v>
      </c>
      <c r="I31" s="440"/>
      <c r="J31" s="195">
        <v>114583</v>
      </c>
      <c r="K31" s="16"/>
      <c r="L31" s="16"/>
      <c r="M31" s="16"/>
      <c r="N31" s="18"/>
      <c r="O31" s="18"/>
      <c r="P31" s="219"/>
      <c r="R31" s="16"/>
      <c r="U31" s="88"/>
      <c r="V31" s="116"/>
      <c r="W31" s="21"/>
      <c r="X31" s="115"/>
      <c r="Y31" s="115"/>
      <c r="Z31" s="81"/>
      <c r="AA31" s="81"/>
      <c r="AB31" s="81"/>
      <c r="AC31" s="81"/>
      <c r="AD31" s="81"/>
      <c r="AE31" s="81"/>
      <c r="AF31" s="81"/>
      <c r="AG31" s="81"/>
      <c r="AH31" s="81"/>
      <c r="AI31" s="81"/>
      <c r="AJ31" s="81"/>
    </row>
    <row r="32" spans="1:38" s="1" customFormat="1" ht="12" x14ac:dyDescent="0.3">
      <c r="A32" s="50"/>
      <c r="F32" s="5"/>
      <c r="G32" s="5"/>
      <c r="H32" s="5"/>
      <c r="K32" s="5"/>
      <c r="L32" s="16"/>
      <c r="M32" s="16"/>
      <c r="N32" s="16"/>
      <c r="O32" s="16"/>
      <c r="P32" s="16"/>
      <c r="Q32" s="16"/>
      <c r="R32" s="16"/>
      <c r="S32" s="16"/>
      <c r="T32" s="16"/>
      <c r="U32" s="88"/>
      <c r="V32" s="20"/>
      <c r="W32" s="21"/>
      <c r="X32" s="115"/>
      <c r="Y32" s="115"/>
      <c r="Z32" s="115"/>
      <c r="AA32" s="81"/>
      <c r="AB32" s="81"/>
      <c r="AC32" s="81"/>
      <c r="AD32" s="81"/>
      <c r="AE32" s="81"/>
      <c r="AF32" s="81"/>
      <c r="AG32" s="81"/>
    </row>
    <row r="33" spans="1:45" s="5" customFormat="1" ht="16.5" customHeight="1" x14ac:dyDescent="0.3">
      <c r="A33" s="376"/>
      <c r="B33" s="377"/>
      <c r="C33" s="377"/>
      <c r="D33" s="377"/>
      <c r="E33" s="377"/>
      <c r="F33" s="377"/>
      <c r="G33" s="377"/>
      <c r="H33" s="377"/>
      <c r="I33" s="377"/>
      <c r="J33" s="377"/>
      <c r="K33" s="377"/>
      <c r="L33" s="377"/>
      <c r="M33" s="377"/>
      <c r="N33" s="377"/>
      <c r="O33" s="377"/>
      <c r="P33" s="377"/>
      <c r="Q33" s="377"/>
      <c r="R33" s="377"/>
      <c r="S33" s="377"/>
      <c r="T33" s="377"/>
      <c r="U33" s="377"/>
      <c r="V33" s="378"/>
      <c r="W33" s="16"/>
      <c r="X33" s="16"/>
      <c r="Y33" s="16"/>
      <c r="Z33" s="88"/>
      <c r="AA33" s="84"/>
      <c r="AB33" s="84"/>
      <c r="AC33" s="84"/>
      <c r="AD33" s="84"/>
      <c r="AE33" s="84"/>
      <c r="AF33" s="84"/>
      <c r="AG33" s="84"/>
    </row>
    <row r="34" spans="1:45" s="1" customFormat="1" ht="12" x14ac:dyDescent="0.3">
      <c r="A34" s="50"/>
      <c r="F34" s="5"/>
      <c r="G34" s="5"/>
      <c r="H34" s="5"/>
      <c r="I34" s="81"/>
      <c r="K34" s="5"/>
      <c r="L34" s="16"/>
      <c r="M34" s="16"/>
      <c r="N34" s="16"/>
      <c r="O34" s="16"/>
      <c r="P34" s="16"/>
      <c r="Q34" s="16"/>
      <c r="R34" s="16"/>
      <c r="S34" s="16"/>
      <c r="T34" s="16"/>
      <c r="U34" s="16"/>
      <c r="V34" s="124"/>
      <c r="W34" s="21"/>
      <c r="X34" s="21"/>
      <c r="Y34" s="21"/>
      <c r="Z34" s="115"/>
      <c r="AA34" s="81"/>
      <c r="AB34" s="81"/>
      <c r="AC34" s="81"/>
      <c r="AD34" s="81"/>
      <c r="AE34" s="81"/>
    </row>
    <row r="35" spans="1:45" s="1" customFormat="1" ht="12" x14ac:dyDescent="0.3">
      <c r="A35" s="50"/>
      <c r="F35" s="5"/>
      <c r="G35" s="5"/>
      <c r="H35" s="5"/>
      <c r="I35" s="87"/>
      <c r="J35" s="87"/>
      <c r="K35" s="86"/>
      <c r="L35" s="89"/>
      <c r="M35" s="89"/>
      <c r="N35" s="89"/>
      <c r="O35" s="89"/>
      <c r="P35" s="89"/>
      <c r="Q35" s="89"/>
      <c r="R35" s="89"/>
      <c r="S35" s="89"/>
      <c r="T35" s="16"/>
      <c r="U35" s="16"/>
      <c r="V35" s="20"/>
      <c r="W35" s="21"/>
      <c r="X35" s="21"/>
      <c r="Y35" s="21"/>
      <c r="Z35" s="115"/>
      <c r="AB35" s="81"/>
      <c r="AC35" s="81"/>
      <c r="AE35" s="81"/>
    </row>
    <row r="36" spans="1:45" s="1" customFormat="1" ht="22.5" customHeight="1" x14ac:dyDescent="0.3">
      <c r="A36" s="372" t="s">
        <v>784</v>
      </c>
      <c r="B36" s="373"/>
      <c r="C36" s="373"/>
      <c r="D36" s="373"/>
      <c r="E36" s="373"/>
      <c r="F36" s="33"/>
      <c r="G36" s="5"/>
      <c r="H36" s="5"/>
      <c r="I36" s="5"/>
      <c r="J36" s="5"/>
      <c r="K36" s="5"/>
      <c r="L36" s="5"/>
      <c r="M36" s="5"/>
      <c r="N36" s="5"/>
      <c r="O36" s="5"/>
      <c r="P36" s="5"/>
      <c r="Q36" s="5"/>
      <c r="R36" s="84"/>
      <c r="S36" s="5"/>
      <c r="T36" s="5"/>
      <c r="U36" s="5"/>
      <c r="V36" s="125"/>
      <c r="W36" s="21"/>
      <c r="X36" s="21"/>
      <c r="Y36" s="21"/>
      <c r="Z36" s="115"/>
      <c r="AB36" s="81"/>
      <c r="AC36" s="81"/>
      <c r="AE36" s="81"/>
    </row>
    <row r="37" spans="1:45" s="1" customFormat="1" ht="38.5" customHeight="1" x14ac:dyDescent="0.3">
      <c r="A37" s="52" t="s">
        <v>141</v>
      </c>
      <c r="B37" s="34" t="s">
        <v>120</v>
      </c>
      <c r="C37" s="34" t="s">
        <v>128</v>
      </c>
      <c r="D37" s="34" t="s">
        <v>129</v>
      </c>
      <c r="E37" s="34" t="s">
        <v>130</v>
      </c>
      <c r="F37" s="34" t="s">
        <v>131</v>
      </c>
      <c r="G37" s="34" t="s">
        <v>132</v>
      </c>
      <c r="H37" s="34" t="s">
        <v>133</v>
      </c>
      <c r="I37" s="34" t="s">
        <v>134</v>
      </c>
      <c r="J37" s="34" t="s">
        <v>135</v>
      </c>
      <c r="K37" s="34" t="s">
        <v>136</v>
      </c>
      <c r="L37" s="34" t="s">
        <v>138</v>
      </c>
      <c r="M37" s="34" t="s">
        <v>139</v>
      </c>
      <c r="N37" s="34" t="s">
        <v>140</v>
      </c>
      <c r="O37" s="34" t="s">
        <v>1</v>
      </c>
      <c r="P37" s="5"/>
      <c r="Q37" s="5"/>
      <c r="R37" s="84"/>
      <c r="S37" s="5"/>
      <c r="T37" s="5"/>
      <c r="U37" s="5"/>
      <c r="V37" s="125"/>
      <c r="W37" s="5"/>
      <c r="X37" s="5"/>
      <c r="Y37" s="5"/>
      <c r="Z37" s="5"/>
      <c r="AA37" s="5"/>
      <c r="AB37" s="5"/>
      <c r="AC37" s="5"/>
      <c r="AD37" s="21"/>
      <c r="AE37" s="21"/>
      <c r="AI37" s="81"/>
      <c r="AJ37" s="81"/>
      <c r="AL37" s="81"/>
    </row>
    <row r="38" spans="1:45" s="1" customFormat="1" ht="15.75" customHeight="1" thickBot="1" x14ac:dyDescent="0.35">
      <c r="A38" s="126" t="s">
        <v>1</v>
      </c>
      <c r="B38" s="59"/>
      <c r="C38" s="206">
        <f t="shared" ref="C38:D38" si="1">SUM(C39,C51,C55,C59,C63,C67,C71,C75,C79,C83)</f>
        <v>37540</v>
      </c>
      <c r="D38" s="206">
        <f t="shared" si="1"/>
        <v>36450</v>
      </c>
      <c r="E38" s="206">
        <f>SUM(E39,E51,E55,E59,E63,E67,E71,E75,E79,E83)</f>
        <v>38857</v>
      </c>
      <c r="F38" s="206">
        <f>SUM(F39,F51,F55,F59,F63,F67,F71,F75,F79,F83)</f>
        <v>2257</v>
      </c>
      <c r="G38" s="206">
        <f t="shared" ref="G38:N38" si="2">SUM(G39,G51,G55,G59,G63,G67,G71,G75,G79,G83)</f>
        <v>0</v>
      </c>
      <c r="H38" s="206">
        <f t="shared" si="2"/>
        <v>0</v>
      </c>
      <c r="I38" s="206">
        <f t="shared" si="2"/>
        <v>0</v>
      </c>
      <c r="J38" s="206">
        <f t="shared" si="2"/>
        <v>0</v>
      </c>
      <c r="K38" s="206">
        <f t="shared" si="2"/>
        <v>0</v>
      </c>
      <c r="L38" s="206">
        <f t="shared" si="2"/>
        <v>0</v>
      </c>
      <c r="M38" s="206">
        <f t="shared" si="2"/>
        <v>0</v>
      </c>
      <c r="N38" s="206">
        <f t="shared" si="2"/>
        <v>0</v>
      </c>
      <c r="O38" s="163">
        <f>SUM(C38:N38)</f>
        <v>115104</v>
      </c>
      <c r="P38" s="5"/>
      <c r="Q38" s="5"/>
      <c r="R38" s="84"/>
      <c r="S38" s="5"/>
      <c r="T38" s="5"/>
      <c r="U38" s="84"/>
      <c r="V38" s="127"/>
      <c r="W38" s="84"/>
      <c r="X38" s="84"/>
      <c r="Y38" s="84"/>
      <c r="Z38" s="84"/>
      <c r="AA38" s="84"/>
      <c r="AB38" s="84"/>
      <c r="AC38" s="84"/>
      <c r="AD38" s="115"/>
      <c r="AE38" s="115"/>
      <c r="AF38" s="81"/>
      <c r="AG38" s="81"/>
      <c r="AH38" s="81"/>
      <c r="AI38" s="81"/>
      <c r="AJ38" s="81"/>
      <c r="AL38" s="81"/>
      <c r="AP38" s="81"/>
      <c r="AQ38" s="81"/>
      <c r="AR38" s="81"/>
      <c r="AS38" s="81"/>
    </row>
    <row r="39" spans="1:45" s="1" customFormat="1" ht="15" customHeight="1" thickTop="1" x14ac:dyDescent="0.3">
      <c r="A39" s="128" t="s">
        <v>840</v>
      </c>
      <c r="B39" s="128" t="s">
        <v>1</v>
      </c>
      <c r="C39" s="164">
        <v>1085</v>
      </c>
      <c r="D39" s="164">
        <v>1268</v>
      </c>
      <c r="E39" s="164">
        <v>2064</v>
      </c>
      <c r="F39" s="164">
        <v>109</v>
      </c>
      <c r="G39" s="164">
        <f t="shared" ref="G39:N39" si="3">SUM(G40:G42)</f>
        <v>0</v>
      </c>
      <c r="H39" s="164">
        <f t="shared" si="3"/>
        <v>0</v>
      </c>
      <c r="I39" s="164">
        <f t="shared" si="3"/>
        <v>0</v>
      </c>
      <c r="J39" s="164">
        <f t="shared" si="3"/>
        <v>0</v>
      </c>
      <c r="K39" s="164">
        <f t="shared" si="3"/>
        <v>0</v>
      </c>
      <c r="L39" s="164">
        <f t="shared" si="3"/>
        <v>0</v>
      </c>
      <c r="M39" s="164">
        <f t="shared" si="3"/>
        <v>0</v>
      </c>
      <c r="N39" s="164">
        <f t="shared" si="3"/>
        <v>0</v>
      </c>
      <c r="O39" s="164">
        <f>SUM(C39:N39)</f>
        <v>4526</v>
      </c>
      <c r="P39" s="129"/>
      <c r="Q39" s="129"/>
      <c r="R39" s="84"/>
      <c r="S39" s="84"/>
      <c r="T39" s="84"/>
      <c r="U39" s="84"/>
      <c r="V39" s="127"/>
      <c r="W39" s="84"/>
      <c r="X39" s="84"/>
      <c r="Y39" s="84"/>
      <c r="Z39" s="84"/>
      <c r="AA39" s="84"/>
      <c r="AB39" s="84"/>
      <c r="AC39" s="84"/>
      <c r="AD39" s="115"/>
      <c r="AE39" s="115"/>
      <c r="AF39" s="81"/>
      <c r="AG39" s="81"/>
      <c r="AH39" s="81"/>
      <c r="AI39" s="81"/>
      <c r="AS39" s="81"/>
    </row>
    <row r="40" spans="1:45" s="1" customFormat="1" ht="15" customHeight="1" x14ac:dyDescent="0.3">
      <c r="A40" s="32"/>
      <c r="B40" s="32" t="s">
        <v>60</v>
      </c>
      <c r="C40" s="200">
        <v>113</v>
      </c>
      <c r="D40" s="200">
        <v>148</v>
      </c>
      <c r="E40" s="200">
        <v>233</v>
      </c>
      <c r="F40" s="200">
        <v>10</v>
      </c>
      <c r="G40" s="200"/>
      <c r="H40" s="200"/>
      <c r="I40" s="200"/>
      <c r="J40" s="200"/>
      <c r="K40" s="200"/>
      <c r="L40" s="201"/>
      <c r="M40" s="201"/>
      <c r="N40" s="201"/>
      <c r="O40" s="203">
        <f>O44+O48</f>
        <v>504</v>
      </c>
      <c r="P40" s="5"/>
      <c r="Q40" s="5"/>
      <c r="R40" s="84"/>
      <c r="S40" s="5"/>
      <c r="T40" s="5"/>
      <c r="U40" s="84"/>
      <c r="V40" s="127"/>
      <c r="W40" s="5"/>
      <c r="X40" s="5"/>
      <c r="Y40" s="5"/>
      <c r="Z40" s="5"/>
      <c r="AA40" s="84"/>
      <c r="AB40" s="84"/>
      <c r="AC40" s="84"/>
      <c r="AD40" s="115"/>
      <c r="AE40" s="115"/>
      <c r="AF40" s="81"/>
      <c r="AG40" s="81"/>
      <c r="AH40" s="81"/>
      <c r="AI40" s="81"/>
      <c r="AS40" s="81"/>
    </row>
    <row r="41" spans="1:45" s="1" customFormat="1" ht="15" customHeight="1" x14ac:dyDescent="0.3">
      <c r="A41" s="32"/>
      <c r="B41" s="32" t="s">
        <v>93</v>
      </c>
      <c r="C41" s="200">
        <v>285</v>
      </c>
      <c r="D41" s="200">
        <v>340</v>
      </c>
      <c r="E41" s="200">
        <v>508</v>
      </c>
      <c r="F41" s="200">
        <v>28</v>
      </c>
      <c r="G41" s="200"/>
      <c r="H41" s="200"/>
      <c r="I41" s="200"/>
      <c r="J41" s="200"/>
      <c r="K41" s="200"/>
      <c r="L41" s="201"/>
      <c r="M41" s="201"/>
      <c r="N41" s="201"/>
      <c r="O41" s="203">
        <f>O45+O49</f>
        <v>1161</v>
      </c>
      <c r="P41" s="5"/>
      <c r="Q41" s="5"/>
      <c r="R41" s="5"/>
      <c r="S41" s="84"/>
      <c r="T41" s="84"/>
      <c r="U41" s="84"/>
      <c r="V41" s="127"/>
      <c r="W41" s="5"/>
      <c r="X41" s="5"/>
      <c r="Y41" s="5"/>
      <c r="Z41" s="5"/>
      <c r="AA41" s="5"/>
      <c r="AB41" s="84"/>
      <c r="AC41" s="5"/>
      <c r="AD41" s="115"/>
      <c r="AE41" s="21"/>
      <c r="AF41" s="81"/>
      <c r="AH41" s="81"/>
      <c r="AS41" s="81"/>
    </row>
    <row r="42" spans="1:45" s="1" customFormat="1" ht="15" customHeight="1" x14ac:dyDescent="0.3">
      <c r="A42" s="32"/>
      <c r="B42" s="32" t="s">
        <v>123</v>
      </c>
      <c r="C42" s="200">
        <v>687</v>
      </c>
      <c r="D42" s="200">
        <v>780</v>
      </c>
      <c r="E42" s="200">
        <v>1323</v>
      </c>
      <c r="F42" s="200">
        <v>71</v>
      </c>
      <c r="G42" s="200"/>
      <c r="H42" s="200"/>
      <c r="I42" s="200"/>
      <c r="J42" s="200"/>
      <c r="K42" s="200"/>
      <c r="L42" s="201"/>
      <c r="M42" s="201"/>
      <c r="N42" s="201"/>
      <c r="O42" s="203">
        <f>O46+O50</f>
        <v>2861</v>
      </c>
      <c r="P42" s="5"/>
      <c r="Q42" s="5"/>
      <c r="R42" s="5"/>
      <c r="S42" s="5"/>
      <c r="T42" s="5"/>
      <c r="U42" s="84"/>
      <c r="V42" s="125"/>
      <c r="W42" s="5"/>
      <c r="X42" s="5"/>
      <c r="Y42" s="5"/>
      <c r="Z42" s="5"/>
      <c r="AA42" s="5"/>
      <c r="AB42" s="84"/>
      <c r="AC42" s="5"/>
      <c r="AD42" s="21"/>
      <c r="AE42" s="21"/>
      <c r="AS42" s="81"/>
    </row>
    <row r="43" spans="1:45" s="1" customFormat="1" ht="14.5" customHeight="1" x14ac:dyDescent="0.3">
      <c r="A43" s="130" t="s">
        <v>479</v>
      </c>
      <c r="B43" s="131" t="s">
        <v>1</v>
      </c>
      <c r="C43" s="165">
        <v>91</v>
      </c>
      <c r="D43" s="165">
        <v>107</v>
      </c>
      <c r="E43" s="165">
        <v>146</v>
      </c>
      <c r="F43" s="165">
        <v>5</v>
      </c>
      <c r="G43" s="165">
        <f t="shared" ref="G43:N43" si="4">SUM(G44:G46)</f>
        <v>0</v>
      </c>
      <c r="H43" s="165">
        <f t="shared" si="4"/>
        <v>0</v>
      </c>
      <c r="I43" s="165">
        <f t="shared" si="4"/>
        <v>0</v>
      </c>
      <c r="J43" s="165">
        <f t="shared" si="4"/>
        <v>0</v>
      </c>
      <c r="K43" s="165">
        <f t="shared" si="4"/>
        <v>0</v>
      </c>
      <c r="L43" s="165">
        <f t="shared" si="4"/>
        <v>0</v>
      </c>
      <c r="M43" s="165">
        <f t="shared" si="4"/>
        <v>0</v>
      </c>
      <c r="N43" s="165">
        <f t="shared" si="4"/>
        <v>0</v>
      </c>
      <c r="O43" s="165">
        <f t="shared" ref="O43:O86" si="5">SUM(C43:N43)</f>
        <v>349</v>
      </c>
      <c r="P43" s="129"/>
      <c r="Q43" s="5"/>
      <c r="R43" s="5"/>
      <c r="S43" s="5"/>
      <c r="T43" s="5"/>
      <c r="U43" s="5"/>
      <c r="V43" s="125"/>
      <c r="W43" s="5"/>
      <c r="X43" s="5"/>
      <c r="Y43" s="5"/>
      <c r="Z43" s="5"/>
      <c r="AA43" s="5"/>
      <c r="AB43" s="84"/>
      <c r="AC43" s="5"/>
      <c r="AD43" s="21"/>
      <c r="AE43" s="21"/>
      <c r="AF43" s="81"/>
      <c r="AG43" s="81"/>
      <c r="AH43" s="81"/>
      <c r="AQ43" s="81"/>
      <c r="AR43" s="81"/>
      <c r="AS43" s="81"/>
    </row>
    <row r="44" spans="1:45" s="1" customFormat="1" ht="14.5" customHeight="1" x14ac:dyDescent="0.3">
      <c r="A44" s="118"/>
      <c r="B44" s="32" t="s">
        <v>60</v>
      </c>
      <c r="C44" s="200">
        <v>18</v>
      </c>
      <c r="D44" s="200">
        <v>18</v>
      </c>
      <c r="E44" s="200">
        <v>28</v>
      </c>
      <c r="F44" s="200">
        <v>2</v>
      </c>
      <c r="G44" s="200"/>
      <c r="H44" s="200"/>
      <c r="I44" s="200"/>
      <c r="J44" s="200"/>
      <c r="K44" s="200"/>
      <c r="L44" s="201"/>
      <c r="M44" s="201"/>
      <c r="N44" s="201"/>
      <c r="O44" s="202">
        <f t="shared" si="5"/>
        <v>66</v>
      </c>
      <c r="P44" s="129"/>
      <c r="Q44" s="5"/>
      <c r="R44" s="5"/>
      <c r="S44" s="5"/>
      <c r="T44" s="5"/>
      <c r="U44" s="5"/>
      <c r="V44" s="125"/>
      <c r="W44" s="5"/>
      <c r="X44" s="5"/>
      <c r="Y44" s="5"/>
      <c r="Z44" s="5"/>
      <c r="AA44" s="5"/>
      <c r="AB44" s="84"/>
      <c r="AC44" s="84"/>
      <c r="AD44" s="21"/>
      <c r="AE44" s="115"/>
      <c r="AF44" s="81"/>
      <c r="AG44" s="81"/>
      <c r="AH44" s="81"/>
      <c r="AI44" s="81"/>
      <c r="AQ44" s="81"/>
      <c r="AR44" s="81"/>
      <c r="AS44" s="81"/>
    </row>
    <row r="45" spans="1:45" s="1" customFormat="1" ht="14.5" customHeight="1" x14ac:dyDescent="0.3">
      <c r="A45" s="118"/>
      <c r="B45" s="32" t="s">
        <v>93</v>
      </c>
      <c r="C45" s="200">
        <v>23</v>
      </c>
      <c r="D45" s="200">
        <v>26</v>
      </c>
      <c r="E45" s="200">
        <v>27</v>
      </c>
      <c r="F45" s="200">
        <v>0</v>
      </c>
      <c r="G45" s="200"/>
      <c r="H45" s="200"/>
      <c r="I45" s="200"/>
      <c r="J45" s="200"/>
      <c r="K45" s="200"/>
      <c r="L45" s="201"/>
      <c r="M45" s="201"/>
      <c r="N45" s="201"/>
      <c r="O45" s="202">
        <f t="shared" si="5"/>
        <v>76</v>
      </c>
      <c r="P45" s="5"/>
      <c r="Q45" s="5"/>
      <c r="R45" s="5"/>
      <c r="S45" s="5"/>
      <c r="T45" s="5"/>
      <c r="U45" s="5"/>
      <c r="V45" s="125"/>
      <c r="W45" s="5"/>
      <c r="X45" s="5"/>
      <c r="Y45" s="5"/>
      <c r="Z45" s="5"/>
      <c r="AA45" s="5"/>
      <c r="AB45" s="84"/>
      <c r="AC45" s="5"/>
      <c r="AD45" s="115"/>
      <c r="AE45" s="21"/>
      <c r="AF45" s="81"/>
      <c r="AG45" s="81"/>
      <c r="AH45" s="81"/>
      <c r="AI45" s="81"/>
      <c r="AQ45" s="81"/>
      <c r="AR45" s="81"/>
      <c r="AS45" s="81"/>
    </row>
    <row r="46" spans="1:45" s="1" customFormat="1" ht="14.5" customHeight="1" x14ac:dyDescent="0.3">
      <c r="A46" s="118"/>
      <c r="B46" s="32" t="s">
        <v>123</v>
      </c>
      <c r="C46" s="200">
        <v>50</v>
      </c>
      <c r="D46" s="200">
        <v>63</v>
      </c>
      <c r="E46" s="200">
        <v>91</v>
      </c>
      <c r="F46" s="200">
        <v>3</v>
      </c>
      <c r="G46" s="200"/>
      <c r="H46" s="200"/>
      <c r="I46" s="200"/>
      <c r="J46" s="200"/>
      <c r="K46" s="200"/>
      <c r="L46" s="201"/>
      <c r="M46" s="201"/>
      <c r="N46" s="201"/>
      <c r="O46" s="202">
        <f t="shared" si="5"/>
        <v>207</v>
      </c>
      <c r="P46" s="5"/>
      <c r="Q46" s="5"/>
      <c r="R46" s="5"/>
      <c r="S46" s="5"/>
      <c r="T46" s="5"/>
      <c r="U46" s="5"/>
      <c r="V46" s="125"/>
      <c r="W46" s="5"/>
      <c r="X46" s="5"/>
      <c r="Y46" s="5"/>
      <c r="Z46" s="5"/>
      <c r="AA46" s="5"/>
      <c r="AB46" s="84"/>
      <c r="AC46" s="5"/>
      <c r="AD46" s="115"/>
      <c r="AE46" s="21"/>
      <c r="AF46" s="81"/>
      <c r="AG46" s="81"/>
      <c r="AH46" s="81"/>
      <c r="AI46" s="81"/>
      <c r="AQ46" s="81"/>
      <c r="AR46" s="81"/>
      <c r="AS46" s="81"/>
    </row>
    <row r="47" spans="1:45" s="1" customFormat="1" ht="14.5" customHeight="1" x14ac:dyDescent="0.3">
      <c r="A47" s="130" t="s">
        <v>480</v>
      </c>
      <c r="B47" s="131" t="s">
        <v>1</v>
      </c>
      <c r="C47" s="165">
        <v>994</v>
      </c>
      <c r="D47" s="165">
        <v>1161</v>
      </c>
      <c r="E47" s="165">
        <v>1918</v>
      </c>
      <c r="F47" s="165">
        <v>104</v>
      </c>
      <c r="G47" s="165">
        <f t="shared" ref="G47:N47" si="6">SUM(G48:G50)</f>
        <v>0</v>
      </c>
      <c r="H47" s="165">
        <f t="shared" si="6"/>
        <v>0</v>
      </c>
      <c r="I47" s="165">
        <f t="shared" si="6"/>
        <v>0</v>
      </c>
      <c r="J47" s="165">
        <f t="shared" si="6"/>
        <v>0</v>
      </c>
      <c r="K47" s="165">
        <f t="shared" si="6"/>
        <v>0</v>
      </c>
      <c r="L47" s="165">
        <f t="shared" si="6"/>
        <v>0</v>
      </c>
      <c r="M47" s="165">
        <f t="shared" si="6"/>
        <v>0</v>
      </c>
      <c r="N47" s="165">
        <f t="shared" si="6"/>
        <v>0</v>
      </c>
      <c r="O47" s="165">
        <f t="shared" si="5"/>
        <v>4177</v>
      </c>
      <c r="P47" s="5"/>
      <c r="Q47" s="5"/>
      <c r="R47" s="5"/>
      <c r="S47" s="5"/>
      <c r="T47" s="5"/>
      <c r="U47" s="5"/>
      <c r="V47" s="125"/>
      <c r="W47" s="5"/>
      <c r="X47" s="5"/>
      <c r="Y47" s="5"/>
      <c r="Z47" s="5"/>
      <c r="AA47" s="5"/>
      <c r="AB47" s="84"/>
      <c r="AC47" s="5"/>
      <c r="AD47" s="115"/>
      <c r="AE47" s="21"/>
      <c r="AF47" s="81"/>
      <c r="AG47" s="81"/>
      <c r="AH47" s="81"/>
      <c r="AI47" s="81"/>
      <c r="AP47" s="81"/>
      <c r="AQ47" s="81"/>
      <c r="AR47" s="81"/>
      <c r="AS47" s="81"/>
    </row>
    <row r="48" spans="1:45" s="1" customFormat="1" ht="14.5" customHeight="1" x14ac:dyDescent="0.3">
      <c r="A48" s="118"/>
      <c r="B48" s="32" t="s">
        <v>60</v>
      </c>
      <c r="C48" s="200">
        <v>95</v>
      </c>
      <c r="D48" s="200">
        <v>130</v>
      </c>
      <c r="E48" s="200">
        <v>205</v>
      </c>
      <c r="F48" s="200">
        <v>8</v>
      </c>
      <c r="G48" s="200"/>
      <c r="H48" s="200"/>
      <c r="I48" s="200"/>
      <c r="J48" s="200"/>
      <c r="K48" s="200"/>
      <c r="L48" s="201"/>
      <c r="M48" s="201"/>
      <c r="N48" s="201"/>
      <c r="O48" s="202">
        <f t="shared" si="5"/>
        <v>438</v>
      </c>
      <c r="P48" s="5"/>
      <c r="Q48" s="5"/>
      <c r="R48" s="5"/>
      <c r="S48" s="5"/>
      <c r="T48" s="5"/>
      <c r="U48" s="5"/>
      <c r="V48" s="127"/>
      <c r="W48" s="84"/>
      <c r="X48" s="84"/>
      <c r="Y48" s="84"/>
      <c r="Z48" s="84"/>
      <c r="AA48" s="84"/>
      <c r="AB48" s="84"/>
      <c r="AC48" s="84"/>
      <c r="AD48" s="115"/>
      <c r="AE48" s="115"/>
      <c r="AF48" s="81"/>
      <c r="AG48" s="81"/>
      <c r="AH48" s="81"/>
      <c r="AI48" s="81"/>
      <c r="AP48" s="81"/>
      <c r="AQ48" s="81"/>
      <c r="AR48" s="81"/>
      <c r="AS48" s="81"/>
    </row>
    <row r="49" spans="1:45" s="1" customFormat="1" ht="14.5" customHeight="1" x14ac:dyDescent="0.3">
      <c r="A49" s="118"/>
      <c r="B49" s="32" t="s">
        <v>93</v>
      </c>
      <c r="C49" s="200">
        <v>262</v>
      </c>
      <c r="D49" s="200">
        <v>314</v>
      </c>
      <c r="E49" s="200">
        <v>481</v>
      </c>
      <c r="F49" s="200">
        <v>28</v>
      </c>
      <c r="G49" s="200"/>
      <c r="H49" s="200"/>
      <c r="I49" s="200"/>
      <c r="J49" s="200"/>
      <c r="K49" s="200"/>
      <c r="L49" s="201"/>
      <c r="M49" s="201"/>
      <c r="N49" s="201"/>
      <c r="O49" s="202">
        <f t="shared" si="5"/>
        <v>1085</v>
      </c>
      <c r="P49" s="5"/>
      <c r="Q49" s="5"/>
      <c r="R49" s="5"/>
      <c r="S49" s="5"/>
      <c r="T49" s="5"/>
      <c r="U49" s="84"/>
      <c r="V49" s="127"/>
      <c r="W49" s="84"/>
      <c r="X49" s="84"/>
      <c r="Y49" s="84"/>
      <c r="Z49" s="84"/>
      <c r="AA49" s="84"/>
      <c r="AB49" s="84"/>
      <c r="AC49" s="84"/>
      <c r="AD49" s="115"/>
      <c r="AE49" s="115"/>
      <c r="AF49" s="81"/>
      <c r="AG49" s="81"/>
      <c r="AH49" s="81"/>
      <c r="AI49" s="81"/>
      <c r="AL49" s="81"/>
      <c r="AM49" s="81"/>
      <c r="AN49" s="81"/>
      <c r="AO49" s="81"/>
      <c r="AP49" s="81"/>
      <c r="AQ49" s="81"/>
      <c r="AR49" s="81"/>
      <c r="AS49" s="81"/>
    </row>
    <row r="50" spans="1:45" s="1" customFormat="1" ht="14.5" customHeight="1" x14ac:dyDescent="0.3">
      <c r="A50" s="118"/>
      <c r="B50" s="32" t="s">
        <v>123</v>
      </c>
      <c r="C50" s="200">
        <v>637</v>
      </c>
      <c r="D50" s="200">
        <v>717</v>
      </c>
      <c r="E50" s="200">
        <v>1232</v>
      </c>
      <c r="F50" s="200">
        <v>68</v>
      </c>
      <c r="G50" s="200"/>
      <c r="H50" s="200"/>
      <c r="I50" s="200"/>
      <c r="J50" s="200"/>
      <c r="K50" s="200"/>
      <c r="L50" s="201"/>
      <c r="M50" s="201"/>
      <c r="N50" s="201"/>
      <c r="O50" s="202">
        <f t="shared" si="5"/>
        <v>2654</v>
      </c>
      <c r="P50" s="5"/>
      <c r="Q50" s="5"/>
      <c r="R50" s="5"/>
      <c r="S50" s="5"/>
      <c r="T50" s="5"/>
      <c r="U50" s="5"/>
      <c r="V50" s="125"/>
      <c r="W50" s="5"/>
      <c r="X50" s="5"/>
      <c r="Y50" s="5"/>
      <c r="Z50" s="5"/>
      <c r="AA50" s="5"/>
      <c r="AB50" s="5"/>
      <c r="AC50" s="5"/>
      <c r="AD50" s="115"/>
      <c r="AE50" s="21"/>
      <c r="AF50" s="81"/>
      <c r="AG50" s="81"/>
      <c r="AH50" s="81"/>
      <c r="AI50" s="81"/>
      <c r="AP50" s="81"/>
      <c r="AQ50" s="81"/>
      <c r="AR50" s="81"/>
      <c r="AS50" s="81"/>
    </row>
    <row r="51" spans="1:45" s="1" customFormat="1" ht="14.5" customHeight="1" x14ac:dyDescent="0.3">
      <c r="A51" s="131" t="s">
        <v>2</v>
      </c>
      <c r="B51" s="131" t="s">
        <v>1</v>
      </c>
      <c r="C51" s="165">
        <v>288</v>
      </c>
      <c r="D51" s="165">
        <v>345</v>
      </c>
      <c r="E51" s="165">
        <v>628</v>
      </c>
      <c r="F51" s="165">
        <v>17</v>
      </c>
      <c r="G51" s="165">
        <f t="shared" ref="G51:N51" si="7">SUM(G52:G54)</f>
        <v>0</v>
      </c>
      <c r="H51" s="165">
        <f t="shared" si="7"/>
        <v>0</v>
      </c>
      <c r="I51" s="165">
        <f t="shared" si="7"/>
        <v>0</v>
      </c>
      <c r="J51" s="165">
        <f t="shared" si="7"/>
        <v>0</v>
      </c>
      <c r="K51" s="165">
        <f t="shared" si="7"/>
        <v>0</v>
      </c>
      <c r="L51" s="165">
        <f t="shared" si="7"/>
        <v>0</v>
      </c>
      <c r="M51" s="165">
        <f t="shared" si="7"/>
        <v>0</v>
      </c>
      <c r="N51" s="165">
        <f t="shared" si="7"/>
        <v>0</v>
      </c>
      <c r="O51" s="165">
        <f t="shared" si="5"/>
        <v>1278</v>
      </c>
      <c r="P51" s="5"/>
      <c r="Q51" s="5"/>
      <c r="R51" s="5"/>
      <c r="S51" s="5"/>
      <c r="T51" s="5"/>
      <c r="U51" s="84"/>
      <c r="V51" s="127"/>
      <c r="W51" s="84"/>
      <c r="X51" s="84"/>
      <c r="Y51" s="84"/>
      <c r="Z51" s="84"/>
      <c r="AA51" s="84"/>
      <c r="AB51" s="84"/>
      <c r="AC51" s="84"/>
      <c r="AD51" s="115"/>
      <c r="AE51" s="115"/>
      <c r="AF51" s="81"/>
      <c r="AG51" s="81"/>
      <c r="AH51" s="81"/>
      <c r="AI51" s="81"/>
      <c r="AP51" s="81"/>
      <c r="AQ51" s="81"/>
      <c r="AR51" s="81"/>
      <c r="AS51" s="81"/>
    </row>
    <row r="52" spans="1:45" s="1" customFormat="1" ht="14.5" customHeight="1" x14ac:dyDescent="0.3">
      <c r="A52" s="32"/>
      <c r="B52" s="32" t="s">
        <v>60</v>
      </c>
      <c r="C52" s="200">
        <v>26</v>
      </c>
      <c r="D52" s="200">
        <v>55</v>
      </c>
      <c r="E52" s="200">
        <v>81</v>
      </c>
      <c r="F52" s="200">
        <v>1</v>
      </c>
      <c r="G52" s="200"/>
      <c r="H52" s="200"/>
      <c r="I52" s="200"/>
      <c r="J52" s="200"/>
      <c r="K52" s="200"/>
      <c r="L52" s="201"/>
      <c r="M52" s="201"/>
      <c r="N52" s="201"/>
      <c r="O52" s="202">
        <f t="shared" si="5"/>
        <v>163</v>
      </c>
      <c r="P52" s="5"/>
      <c r="Q52" s="5"/>
      <c r="R52" s="5"/>
      <c r="S52" s="5"/>
      <c r="T52" s="5"/>
      <c r="U52" s="5"/>
      <c r="V52" s="125"/>
      <c r="W52" s="5"/>
      <c r="X52" s="84"/>
      <c r="Y52" s="84"/>
      <c r="Z52" s="84"/>
      <c r="AA52" s="84"/>
      <c r="AB52" s="84"/>
      <c r="AC52" s="84"/>
      <c r="AD52" s="115"/>
      <c r="AE52" s="115"/>
      <c r="AF52" s="81"/>
      <c r="AG52" s="81"/>
      <c r="AH52" s="81"/>
      <c r="AI52" s="81"/>
      <c r="AO52" s="81"/>
      <c r="AP52" s="81"/>
      <c r="AQ52" s="81"/>
      <c r="AR52" s="81"/>
      <c r="AS52" s="81"/>
    </row>
    <row r="53" spans="1:45" s="1" customFormat="1" ht="14.5" customHeight="1" x14ac:dyDescent="0.3">
      <c r="A53" s="32"/>
      <c r="B53" s="32" t="s">
        <v>93</v>
      </c>
      <c r="C53" s="200">
        <v>54</v>
      </c>
      <c r="D53" s="200">
        <v>63</v>
      </c>
      <c r="E53" s="200">
        <v>100</v>
      </c>
      <c r="F53" s="200">
        <v>1</v>
      </c>
      <c r="G53" s="200"/>
      <c r="H53" s="200"/>
      <c r="I53" s="200"/>
      <c r="J53" s="200"/>
      <c r="K53" s="200"/>
      <c r="L53" s="201"/>
      <c r="M53" s="201"/>
      <c r="N53" s="201"/>
      <c r="O53" s="202">
        <f t="shared" si="5"/>
        <v>218</v>
      </c>
      <c r="P53" s="5"/>
      <c r="Q53" s="5"/>
      <c r="R53" s="5"/>
      <c r="S53" s="5"/>
      <c r="T53" s="5"/>
      <c r="U53" s="5"/>
      <c r="V53" s="125"/>
      <c r="W53" s="5"/>
      <c r="X53" s="5"/>
      <c r="Y53" s="84"/>
      <c r="Z53" s="84"/>
      <c r="AA53" s="84"/>
      <c r="AB53" s="84"/>
      <c r="AC53" s="5"/>
      <c r="AD53" s="115"/>
      <c r="AE53" s="21"/>
      <c r="AF53" s="81"/>
      <c r="AG53" s="81"/>
      <c r="AH53" s="81"/>
      <c r="AI53" s="81"/>
      <c r="AP53" s="81"/>
      <c r="AQ53" s="81"/>
      <c r="AR53" s="81"/>
      <c r="AS53" s="81"/>
    </row>
    <row r="54" spans="1:45" s="1" customFormat="1" ht="14.5" customHeight="1" x14ac:dyDescent="0.3">
      <c r="A54" s="32"/>
      <c r="B54" s="32" t="s">
        <v>123</v>
      </c>
      <c r="C54" s="200">
        <v>208</v>
      </c>
      <c r="D54" s="200">
        <v>227</v>
      </c>
      <c r="E54" s="200">
        <v>447</v>
      </c>
      <c r="F54" s="200">
        <v>15</v>
      </c>
      <c r="G54" s="200"/>
      <c r="H54" s="200"/>
      <c r="I54" s="200"/>
      <c r="J54" s="200"/>
      <c r="K54" s="200"/>
      <c r="L54" s="201"/>
      <c r="M54" s="201"/>
      <c r="N54" s="201"/>
      <c r="O54" s="202">
        <f t="shared" si="5"/>
        <v>897</v>
      </c>
      <c r="P54" s="5"/>
      <c r="Q54" s="5"/>
      <c r="R54" s="5"/>
      <c r="S54" s="5"/>
      <c r="T54" s="5"/>
      <c r="U54" s="5"/>
      <c r="V54" s="125"/>
      <c r="W54" s="5"/>
      <c r="X54" s="84"/>
      <c r="Y54" s="84"/>
      <c r="Z54" s="84"/>
      <c r="AA54" s="84"/>
      <c r="AB54" s="84"/>
      <c r="AC54" s="84"/>
      <c r="AD54" s="115"/>
      <c r="AE54" s="115"/>
      <c r="AF54" s="81"/>
      <c r="AG54" s="81"/>
      <c r="AH54" s="81"/>
      <c r="AI54" s="81"/>
      <c r="AP54" s="81"/>
      <c r="AQ54" s="81"/>
      <c r="AR54" s="81"/>
      <c r="AS54" s="81"/>
    </row>
    <row r="55" spans="1:45" s="1" customFormat="1" ht="14.5" customHeight="1" x14ac:dyDescent="0.3">
      <c r="A55" s="131" t="s">
        <v>481</v>
      </c>
      <c r="B55" s="131" t="s">
        <v>1</v>
      </c>
      <c r="C55" s="165">
        <v>144</v>
      </c>
      <c r="D55" s="165">
        <v>181</v>
      </c>
      <c r="E55" s="165">
        <v>262</v>
      </c>
      <c r="F55" s="165">
        <v>10</v>
      </c>
      <c r="G55" s="165">
        <f t="shared" ref="G55:N55" si="8">SUM(G56:G58)</f>
        <v>0</v>
      </c>
      <c r="H55" s="165">
        <f t="shared" si="8"/>
        <v>0</v>
      </c>
      <c r="I55" s="165">
        <f t="shared" si="8"/>
        <v>0</v>
      </c>
      <c r="J55" s="165">
        <f t="shared" si="8"/>
        <v>0</v>
      </c>
      <c r="K55" s="165">
        <f t="shared" si="8"/>
        <v>0</v>
      </c>
      <c r="L55" s="165">
        <f t="shared" si="8"/>
        <v>0</v>
      </c>
      <c r="M55" s="165">
        <f t="shared" si="8"/>
        <v>0</v>
      </c>
      <c r="N55" s="165">
        <f t="shared" si="8"/>
        <v>0</v>
      </c>
      <c r="O55" s="165">
        <f t="shared" si="5"/>
        <v>597</v>
      </c>
      <c r="P55" s="5"/>
      <c r="Q55" s="5"/>
      <c r="R55" s="5"/>
      <c r="S55" s="5"/>
      <c r="T55" s="5"/>
      <c r="U55" s="5"/>
      <c r="V55" s="125"/>
      <c r="W55" s="5"/>
      <c r="X55" s="5"/>
      <c r="Y55" s="84"/>
      <c r="Z55" s="84"/>
      <c r="AA55" s="5"/>
      <c r="AB55" s="84"/>
      <c r="AC55" s="5"/>
      <c r="AD55" s="21"/>
      <c r="AE55" s="21"/>
      <c r="AF55" s="81"/>
      <c r="AG55" s="81"/>
      <c r="AH55" s="81"/>
      <c r="AI55" s="81"/>
      <c r="AP55" s="81"/>
      <c r="AQ55" s="81"/>
      <c r="AR55" s="81"/>
      <c r="AS55" s="81"/>
    </row>
    <row r="56" spans="1:45" s="1" customFormat="1" ht="14.5" customHeight="1" x14ac:dyDescent="0.3">
      <c r="A56" s="32"/>
      <c r="B56" s="32" t="s">
        <v>60</v>
      </c>
      <c r="C56" s="200">
        <v>59</v>
      </c>
      <c r="D56" s="200">
        <v>96</v>
      </c>
      <c r="E56" s="200">
        <v>140</v>
      </c>
      <c r="F56" s="200">
        <v>4</v>
      </c>
      <c r="G56" s="200"/>
      <c r="H56" s="200"/>
      <c r="I56" s="200"/>
      <c r="J56" s="200"/>
      <c r="K56" s="200"/>
      <c r="L56" s="201"/>
      <c r="M56" s="201"/>
      <c r="N56" s="201"/>
      <c r="O56" s="202">
        <f t="shared" si="5"/>
        <v>299</v>
      </c>
      <c r="P56" s="5"/>
      <c r="Q56" s="5"/>
      <c r="R56" s="5"/>
      <c r="S56" s="5"/>
      <c r="T56" s="5"/>
      <c r="U56" s="5"/>
      <c r="V56" s="125"/>
      <c r="W56" s="5"/>
      <c r="X56" s="5"/>
      <c r="Y56" s="5"/>
      <c r="Z56" s="84"/>
      <c r="AA56" s="84"/>
      <c r="AB56" s="84"/>
      <c r="AC56" s="84"/>
      <c r="AD56" s="115"/>
      <c r="AE56" s="115"/>
      <c r="AF56" s="81"/>
      <c r="AG56" s="81"/>
      <c r="AH56" s="81"/>
      <c r="AP56" s="81"/>
      <c r="AQ56" s="81"/>
      <c r="AR56" s="81"/>
      <c r="AS56" s="81"/>
    </row>
    <row r="57" spans="1:45" s="1" customFormat="1" ht="14.5" customHeight="1" x14ac:dyDescent="0.3">
      <c r="A57" s="32"/>
      <c r="B57" s="32" t="s">
        <v>93</v>
      </c>
      <c r="C57" s="200">
        <v>24</v>
      </c>
      <c r="D57" s="200">
        <v>17</v>
      </c>
      <c r="E57" s="200">
        <v>24</v>
      </c>
      <c r="F57" s="200">
        <v>1</v>
      </c>
      <c r="G57" s="200"/>
      <c r="H57" s="200"/>
      <c r="I57" s="200"/>
      <c r="J57" s="200"/>
      <c r="K57" s="200"/>
      <c r="L57" s="201"/>
      <c r="M57" s="201"/>
      <c r="N57" s="201"/>
      <c r="O57" s="202">
        <f t="shared" si="5"/>
        <v>66</v>
      </c>
      <c r="P57" s="5"/>
      <c r="Q57" s="5"/>
      <c r="R57" s="5"/>
      <c r="S57" s="5"/>
      <c r="T57" s="5"/>
      <c r="U57" s="5"/>
      <c r="V57" s="127"/>
      <c r="W57" s="84"/>
      <c r="X57" s="84"/>
      <c r="Y57" s="84"/>
      <c r="Z57" s="84"/>
      <c r="AA57" s="84"/>
      <c r="AB57" s="84"/>
      <c r="AC57" s="84"/>
      <c r="AD57" s="115"/>
      <c r="AE57" s="115"/>
      <c r="AF57" s="81"/>
      <c r="AG57" s="81"/>
      <c r="AH57" s="81"/>
      <c r="AI57" s="81"/>
      <c r="AP57" s="81"/>
      <c r="AQ57" s="81"/>
      <c r="AR57" s="81"/>
      <c r="AS57" s="81"/>
    </row>
    <row r="58" spans="1:45" s="1" customFormat="1" ht="14.5" customHeight="1" x14ac:dyDescent="0.3">
      <c r="A58" s="32"/>
      <c r="B58" s="32" t="s">
        <v>123</v>
      </c>
      <c r="C58" s="200">
        <v>61</v>
      </c>
      <c r="D58" s="200">
        <v>68</v>
      </c>
      <c r="E58" s="200">
        <v>98</v>
      </c>
      <c r="F58" s="200">
        <v>5</v>
      </c>
      <c r="G58" s="200"/>
      <c r="H58" s="200"/>
      <c r="I58" s="200"/>
      <c r="J58" s="200"/>
      <c r="K58" s="200"/>
      <c r="L58" s="201"/>
      <c r="M58" s="201"/>
      <c r="N58" s="201"/>
      <c r="O58" s="202">
        <f t="shared" si="5"/>
        <v>232</v>
      </c>
      <c r="P58" s="5"/>
      <c r="Q58" s="5"/>
      <c r="R58" s="5"/>
      <c r="S58" s="5"/>
      <c r="T58" s="5"/>
      <c r="U58" s="5"/>
      <c r="V58" s="127"/>
      <c r="W58" s="84"/>
      <c r="X58" s="84"/>
      <c r="Y58" s="84"/>
      <c r="Z58" s="84"/>
      <c r="AA58" s="84"/>
      <c r="AB58" s="84"/>
      <c r="AC58" s="5"/>
      <c r="AD58" s="21"/>
      <c r="AE58" s="21"/>
      <c r="AF58" s="81"/>
      <c r="AG58" s="81"/>
      <c r="AI58" s="81"/>
      <c r="AP58" s="81"/>
      <c r="AQ58" s="81"/>
      <c r="AR58" s="81"/>
      <c r="AS58" s="81"/>
    </row>
    <row r="59" spans="1:45" s="1" customFormat="1" ht="14.5" customHeight="1" x14ac:dyDescent="0.3">
      <c r="A59" s="131" t="s">
        <v>482</v>
      </c>
      <c r="B59" s="131" t="s">
        <v>1</v>
      </c>
      <c r="C59" s="165">
        <v>140</v>
      </c>
      <c r="D59" s="165">
        <v>83</v>
      </c>
      <c r="E59" s="165">
        <v>87</v>
      </c>
      <c r="F59" s="165">
        <v>2</v>
      </c>
      <c r="G59" s="165">
        <f t="shared" ref="G59:N59" si="9">SUM(G60:G62)</f>
        <v>0</v>
      </c>
      <c r="H59" s="165">
        <f t="shared" si="9"/>
        <v>0</v>
      </c>
      <c r="I59" s="165">
        <f t="shared" si="9"/>
        <v>0</v>
      </c>
      <c r="J59" s="165">
        <f t="shared" si="9"/>
        <v>0</v>
      </c>
      <c r="K59" s="165">
        <f t="shared" si="9"/>
        <v>0</v>
      </c>
      <c r="L59" s="165">
        <f t="shared" si="9"/>
        <v>0</v>
      </c>
      <c r="M59" s="165">
        <f t="shared" si="9"/>
        <v>0</v>
      </c>
      <c r="N59" s="165">
        <f t="shared" si="9"/>
        <v>0</v>
      </c>
      <c r="O59" s="165">
        <f t="shared" si="5"/>
        <v>312</v>
      </c>
      <c r="P59" s="5"/>
      <c r="Q59" s="5"/>
      <c r="R59" s="5"/>
      <c r="S59" s="5"/>
      <c r="T59" s="5"/>
      <c r="U59" s="5"/>
      <c r="V59" s="125"/>
      <c r="W59" s="5"/>
      <c r="X59" s="5"/>
      <c r="Y59" s="84"/>
      <c r="Z59" s="84"/>
      <c r="AA59" s="84"/>
      <c r="AB59" s="84"/>
      <c r="AC59" s="84"/>
      <c r="AD59" s="115"/>
      <c r="AE59" s="115"/>
      <c r="AF59" s="81"/>
      <c r="AG59" s="81"/>
      <c r="AH59" s="81"/>
      <c r="AI59" s="81"/>
      <c r="AP59" s="81"/>
      <c r="AQ59" s="81"/>
      <c r="AR59" s="81"/>
      <c r="AS59" s="81"/>
    </row>
    <row r="60" spans="1:45" s="1" customFormat="1" ht="14.5" customHeight="1" x14ac:dyDescent="0.3">
      <c r="A60" s="32"/>
      <c r="B60" s="32" t="s">
        <v>60</v>
      </c>
      <c r="C60" s="200">
        <v>5</v>
      </c>
      <c r="D60" s="200">
        <v>11</v>
      </c>
      <c r="E60" s="200">
        <v>12</v>
      </c>
      <c r="F60" s="200" t="s">
        <v>841</v>
      </c>
      <c r="G60" s="200"/>
      <c r="H60" s="200"/>
      <c r="I60" s="200"/>
      <c r="J60" s="200"/>
      <c r="K60" s="200"/>
      <c r="L60" s="201"/>
      <c r="M60" s="201"/>
      <c r="N60" s="201"/>
      <c r="O60" s="202">
        <f t="shared" si="5"/>
        <v>28</v>
      </c>
      <c r="P60" s="5"/>
      <c r="Q60" s="5"/>
      <c r="R60" s="5"/>
      <c r="S60" s="5"/>
      <c r="T60" s="5"/>
      <c r="U60" s="5"/>
      <c r="V60" s="125"/>
      <c r="W60" s="5"/>
      <c r="X60" s="5"/>
      <c r="Y60" s="84"/>
      <c r="Z60" s="84"/>
      <c r="AA60" s="84"/>
      <c r="AB60" s="84"/>
      <c r="AC60" s="84"/>
      <c r="AD60" s="115"/>
      <c r="AE60" s="115"/>
      <c r="AF60" s="81"/>
      <c r="AG60" s="81"/>
      <c r="AH60" s="81"/>
      <c r="AP60" s="81"/>
      <c r="AQ60" s="81"/>
      <c r="AR60" s="81"/>
      <c r="AS60" s="81"/>
    </row>
    <row r="61" spans="1:45" s="1" customFormat="1" ht="14.5" customHeight="1" x14ac:dyDescent="0.3">
      <c r="A61" s="32"/>
      <c r="B61" s="32" t="s">
        <v>93</v>
      </c>
      <c r="C61" s="200">
        <v>12</v>
      </c>
      <c r="D61" s="200">
        <v>14</v>
      </c>
      <c r="E61" s="200">
        <v>19</v>
      </c>
      <c r="F61" s="200" t="s">
        <v>841</v>
      </c>
      <c r="G61" s="200"/>
      <c r="H61" s="200"/>
      <c r="I61" s="200"/>
      <c r="J61" s="200"/>
      <c r="K61" s="200"/>
      <c r="L61" s="201"/>
      <c r="M61" s="201"/>
      <c r="N61" s="201"/>
      <c r="O61" s="202">
        <f t="shared" si="5"/>
        <v>45</v>
      </c>
      <c r="P61" s="5"/>
      <c r="Q61" s="5"/>
      <c r="R61" s="5"/>
      <c r="S61" s="5"/>
      <c r="T61" s="5"/>
      <c r="U61" s="5"/>
      <c r="V61" s="125"/>
      <c r="W61" s="5"/>
      <c r="X61" s="5"/>
      <c r="Y61" s="84"/>
      <c r="Z61" s="84"/>
      <c r="AA61" s="84"/>
      <c r="AB61" s="84"/>
      <c r="AC61" s="84"/>
      <c r="AD61" s="115"/>
      <c r="AE61" s="115"/>
      <c r="AF61" s="81"/>
      <c r="AG61" s="81"/>
      <c r="AH61" s="81"/>
      <c r="AK61" s="81"/>
      <c r="AL61" s="81"/>
      <c r="AM61" s="81"/>
      <c r="AN61" s="81"/>
      <c r="AO61" s="81"/>
      <c r="AP61" s="81"/>
      <c r="AQ61" s="81"/>
      <c r="AR61" s="81"/>
      <c r="AS61" s="81"/>
    </row>
    <row r="62" spans="1:45" s="1" customFormat="1" ht="14.5" customHeight="1" x14ac:dyDescent="0.3">
      <c r="A62" s="32"/>
      <c r="B62" s="32" t="s">
        <v>123</v>
      </c>
      <c r="C62" s="200">
        <v>123</v>
      </c>
      <c r="D62" s="200">
        <v>58</v>
      </c>
      <c r="E62" s="200">
        <v>56</v>
      </c>
      <c r="F62" s="200">
        <v>2</v>
      </c>
      <c r="G62" s="200"/>
      <c r="H62" s="200"/>
      <c r="I62" s="200"/>
      <c r="J62" s="200"/>
      <c r="K62" s="200"/>
      <c r="L62" s="201"/>
      <c r="M62" s="201"/>
      <c r="N62" s="201"/>
      <c r="O62" s="202">
        <f t="shared" si="5"/>
        <v>239</v>
      </c>
      <c r="P62" s="5"/>
      <c r="Q62" s="5"/>
      <c r="R62" s="5"/>
      <c r="S62" s="5"/>
      <c r="T62" s="5"/>
      <c r="U62" s="5"/>
      <c r="V62" s="125"/>
      <c r="W62" s="5"/>
      <c r="X62" s="5"/>
      <c r="Y62" s="84"/>
      <c r="Z62" s="84"/>
      <c r="AA62" s="84"/>
      <c r="AB62" s="84"/>
      <c r="AC62" s="84"/>
      <c r="AD62" s="115"/>
      <c r="AE62" s="115"/>
      <c r="AF62" s="81"/>
      <c r="AG62" s="81"/>
      <c r="AI62" s="81"/>
      <c r="AP62" s="81"/>
      <c r="AQ62" s="81"/>
      <c r="AR62" s="81"/>
      <c r="AS62" s="81"/>
    </row>
    <row r="63" spans="1:45" s="1" customFormat="1" ht="14.5" customHeight="1" x14ac:dyDescent="0.3">
      <c r="A63" s="131" t="s">
        <v>678</v>
      </c>
      <c r="B63" s="131" t="s">
        <v>1</v>
      </c>
      <c r="C63" s="165">
        <v>177</v>
      </c>
      <c r="D63" s="165">
        <v>156</v>
      </c>
      <c r="E63" s="165">
        <v>193</v>
      </c>
      <c r="F63" s="165">
        <v>7</v>
      </c>
      <c r="G63" s="165">
        <f t="shared" ref="G63:N63" si="10">SUM(G64:G66)</f>
        <v>0</v>
      </c>
      <c r="H63" s="165">
        <f>SUM(H64:H66)</f>
        <v>0</v>
      </c>
      <c r="I63" s="165">
        <f>SUM(I64:I66)</f>
        <v>0</v>
      </c>
      <c r="J63" s="165">
        <f t="shared" si="10"/>
        <v>0</v>
      </c>
      <c r="K63" s="165">
        <f t="shared" si="10"/>
        <v>0</v>
      </c>
      <c r="L63" s="165">
        <f t="shared" si="10"/>
        <v>0</v>
      </c>
      <c r="M63" s="165">
        <f t="shared" si="10"/>
        <v>0</v>
      </c>
      <c r="N63" s="165">
        <f t="shared" si="10"/>
        <v>0</v>
      </c>
      <c r="O63" s="165">
        <f>SUM(C63:N63)</f>
        <v>533</v>
      </c>
      <c r="P63" s="5"/>
      <c r="Q63" s="5"/>
      <c r="R63" s="5"/>
      <c r="S63" s="5"/>
      <c r="T63" s="5"/>
      <c r="U63" s="5"/>
      <c r="V63" s="125"/>
      <c r="W63" s="5"/>
      <c r="X63" s="5"/>
      <c r="Y63" s="84"/>
      <c r="Z63" s="84"/>
      <c r="AA63" s="84"/>
      <c r="AB63" s="84"/>
      <c r="AC63" s="84"/>
      <c r="AD63" s="115"/>
      <c r="AE63" s="115"/>
      <c r="AF63" s="81"/>
      <c r="AG63" s="81"/>
      <c r="AI63" s="81"/>
      <c r="AP63" s="81"/>
      <c r="AQ63" s="81"/>
      <c r="AR63" s="81"/>
      <c r="AS63" s="81"/>
    </row>
    <row r="64" spans="1:45" s="1" customFormat="1" ht="14.5" customHeight="1" x14ac:dyDescent="0.3">
      <c r="A64" s="32"/>
      <c r="B64" s="32" t="s">
        <v>60</v>
      </c>
      <c r="C64" s="200">
        <v>54</v>
      </c>
      <c r="D64" s="200">
        <v>33</v>
      </c>
      <c r="E64" s="200">
        <v>51</v>
      </c>
      <c r="F64" s="200">
        <v>2</v>
      </c>
      <c r="G64" s="200"/>
      <c r="H64" s="200"/>
      <c r="I64" s="200"/>
      <c r="J64" s="200"/>
      <c r="K64" s="200"/>
      <c r="L64" s="201"/>
      <c r="M64" s="201"/>
      <c r="N64" s="201"/>
      <c r="O64" s="202">
        <f t="shared" si="5"/>
        <v>140</v>
      </c>
      <c r="P64" s="5"/>
      <c r="Q64" s="5"/>
      <c r="R64" s="5"/>
      <c r="S64" s="5"/>
      <c r="T64" s="5"/>
      <c r="U64" s="5"/>
      <c r="V64" s="125"/>
      <c r="W64" s="5"/>
      <c r="X64" s="5"/>
      <c r="Y64" s="84"/>
      <c r="Z64" s="84"/>
      <c r="AA64" s="84"/>
      <c r="AB64" s="84"/>
      <c r="AC64" s="84"/>
      <c r="AD64" s="115"/>
      <c r="AE64" s="115"/>
      <c r="AF64" s="81"/>
      <c r="AG64" s="81"/>
      <c r="AI64" s="81"/>
      <c r="AP64" s="81"/>
      <c r="AQ64" s="81"/>
      <c r="AR64" s="81"/>
      <c r="AS64" s="81"/>
    </row>
    <row r="65" spans="1:45" s="1" customFormat="1" ht="14.5" customHeight="1" x14ac:dyDescent="0.3">
      <c r="A65" s="32"/>
      <c r="B65" s="32" t="s">
        <v>93</v>
      </c>
      <c r="C65" s="200">
        <v>29</v>
      </c>
      <c r="D65" s="200">
        <v>36</v>
      </c>
      <c r="E65" s="200">
        <v>44</v>
      </c>
      <c r="F65" s="200">
        <v>2</v>
      </c>
      <c r="G65" s="200"/>
      <c r="H65" s="200"/>
      <c r="I65" s="200"/>
      <c r="J65" s="200"/>
      <c r="K65" s="200"/>
      <c r="L65" s="201"/>
      <c r="M65" s="201"/>
      <c r="N65" s="201"/>
      <c r="O65" s="202">
        <f t="shared" si="5"/>
        <v>111</v>
      </c>
      <c r="P65" s="5"/>
      <c r="Q65" s="5"/>
      <c r="R65" s="5"/>
      <c r="S65" s="5"/>
      <c r="T65" s="5"/>
      <c r="U65" s="5"/>
      <c r="V65" s="125"/>
      <c r="W65" s="5"/>
      <c r="X65" s="5"/>
      <c r="Y65" s="84"/>
      <c r="Z65" s="84"/>
      <c r="AA65" s="84"/>
      <c r="AB65" s="84"/>
      <c r="AC65" s="84"/>
      <c r="AD65" s="115"/>
      <c r="AE65" s="115"/>
      <c r="AF65" s="81"/>
      <c r="AG65" s="81"/>
      <c r="AI65" s="81"/>
      <c r="AP65" s="81"/>
      <c r="AQ65" s="81"/>
      <c r="AR65" s="81"/>
      <c r="AS65" s="81"/>
    </row>
    <row r="66" spans="1:45" s="1" customFormat="1" ht="14.5" customHeight="1" x14ac:dyDescent="0.3">
      <c r="A66" s="32"/>
      <c r="B66" s="32" t="s">
        <v>123</v>
      </c>
      <c r="C66" s="200">
        <v>94</v>
      </c>
      <c r="D66" s="200">
        <v>87</v>
      </c>
      <c r="E66" s="200">
        <v>98</v>
      </c>
      <c r="F66" s="200">
        <v>3</v>
      </c>
      <c r="G66" s="200"/>
      <c r="H66" s="200"/>
      <c r="I66" s="200"/>
      <c r="J66" s="200"/>
      <c r="K66" s="200"/>
      <c r="L66" s="201"/>
      <c r="M66" s="201"/>
      <c r="N66" s="201"/>
      <c r="O66" s="202">
        <f t="shared" si="5"/>
        <v>282</v>
      </c>
      <c r="P66" s="5"/>
      <c r="Q66" s="5"/>
      <c r="R66" s="5"/>
      <c r="S66" s="5"/>
      <c r="T66" s="5"/>
      <c r="U66" s="5"/>
      <c r="V66" s="125"/>
      <c r="W66" s="5"/>
      <c r="X66" s="5"/>
      <c r="Y66" s="84"/>
      <c r="Z66" s="84"/>
      <c r="AA66" s="84"/>
      <c r="AB66" s="84"/>
      <c r="AC66" s="84"/>
      <c r="AD66" s="115"/>
      <c r="AE66" s="115"/>
      <c r="AF66" s="81"/>
      <c r="AG66" s="81"/>
      <c r="AI66" s="81"/>
      <c r="AP66" s="81"/>
      <c r="AQ66" s="81"/>
      <c r="AR66" s="81"/>
      <c r="AS66" s="81"/>
    </row>
    <row r="67" spans="1:45" s="1" customFormat="1" ht="14.5" customHeight="1" x14ac:dyDescent="0.3">
      <c r="A67" s="131" t="s">
        <v>679</v>
      </c>
      <c r="B67" s="131" t="s">
        <v>1</v>
      </c>
      <c r="C67" s="165">
        <v>34112</v>
      </c>
      <c r="D67" s="165">
        <v>32783</v>
      </c>
      <c r="E67" s="165">
        <v>33755</v>
      </c>
      <c r="F67" s="165">
        <v>1542</v>
      </c>
      <c r="G67" s="165">
        <f t="shared" ref="G67:N67" si="11">SUM(G68:G70)</f>
        <v>0</v>
      </c>
      <c r="H67" s="165">
        <f t="shared" si="11"/>
        <v>0</v>
      </c>
      <c r="I67" s="165">
        <f t="shared" si="11"/>
        <v>0</v>
      </c>
      <c r="J67" s="165">
        <f t="shared" si="11"/>
        <v>0</v>
      </c>
      <c r="K67" s="165">
        <f t="shared" si="11"/>
        <v>0</v>
      </c>
      <c r="L67" s="165">
        <f t="shared" si="11"/>
        <v>0</v>
      </c>
      <c r="M67" s="165">
        <f t="shared" si="11"/>
        <v>0</v>
      </c>
      <c r="N67" s="165">
        <f t="shared" si="11"/>
        <v>0</v>
      </c>
      <c r="O67" s="165">
        <f t="shared" si="5"/>
        <v>102192</v>
      </c>
      <c r="P67" s="5"/>
      <c r="Q67" s="5"/>
      <c r="R67" s="5"/>
      <c r="S67" s="5"/>
      <c r="T67" s="5"/>
      <c r="U67" s="5"/>
      <c r="V67" s="125"/>
      <c r="W67" s="5"/>
      <c r="X67" s="5"/>
      <c r="Y67" s="84"/>
      <c r="Z67" s="84"/>
      <c r="AA67" s="84"/>
      <c r="AB67" s="84"/>
      <c r="AC67" s="84"/>
      <c r="AD67" s="115"/>
      <c r="AE67" s="115"/>
      <c r="AF67" s="81"/>
      <c r="AG67" s="81"/>
      <c r="AI67" s="81"/>
      <c r="AP67" s="81"/>
      <c r="AQ67" s="81"/>
      <c r="AR67" s="81"/>
      <c r="AS67" s="81"/>
    </row>
    <row r="68" spans="1:45" s="1" customFormat="1" ht="14.5" customHeight="1" x14ac:dyDescent="0.3">
      <c r="A68" s="32"/>
      <c r="B68" s="32" t="s">
        <v>60</v>
      </c>
      <c r="C68" s="200">
        <v>10571</v>
      </c>
      <c r="D68" s="200">
        <v>9842</v>
      </c>
      <c r="E68" s="200">
        <v>10025</v>
      </c>
      <c r="F68" s="200">
        <v>496</v>
      </c>
      <c r="G68" s="200"/>
      <c r="H68" s="200"/>
      <c r="I68" s="200"/>
      <c r="J68" s="200"/>
      <c r="K68" s="200"/>
      <c r="L68" s="201"/>
      <c r="M68" s="201"/>
      <c r="N68" s="201"/>
      <c r="O68" s="202">
        <f t="shared" si="5"/>
        <v>30934</v>
      </c>
      <c r="P68" s="5"/>
      <c r="Q68" s="5"/>
      <c r="R68" s="5"/>
      <c r="S68" s="5"/>
      <c r="T68" s="5"/>
      <c r="U68" s="5"/>
      <c r="V68" s="125"/>
      <c r="W68" s="5"/>
      <c r="X68" s="5"/>
      <c r="Y68" s="84"/>
      <c r="Z68" s="84"/>
      <c r="AA68" s="84"/>
      <c r="AB68" s="84"/>
      <c r="AC68" s="84"/>
      <c r="AD68" s="115"/>
      <c r="AE68" s="115"/>
      <c r="AF68" s="81"/>
      <c r="AG68" s="81"/>
      <c r="AI68" s="81"/>
      <c r="AP68" s="81"/>
      <c r="AQ68" s="81"/>
      <c r="AR68" s="81"/>
      <c r="AS68" s="81"/>
    </row>
    <row r="69" spans="1:45" s="1" customFormat="1" ht="14.5" customHeight="1" x14ac:dyDescent="0.3">
      <c r="A69" s="32"/>
      <c r="B69" s="32" t="s">
        <v>93</v>
      </c>
      <c r="C69" s="200">
        <v>9194</v>
      </c>
      <c r="D69" s="200">
        <v>8700</v>
      </c>
      <c r="E69" s="200">
        <v>8614</v>
      </c>
      <c r="F69" s="200">
        <v>418</v>
      </c>
      <c r="G69" s="200"/>
      <c r="H69" s="200"/>
      <c r="I69" s="200"/>
      <c r="J69" s="200"/>
      <c r="K69" s="200"/>
      <c r="L69" s="201"/>
      <c r="M69" s="201"/>
      <c r="N69" s="201"/>
      <c r="O69" s="202">
        <f t="shared" si="5"/>
        <v>26926</v>
      </c>
      <c r="P69" s="5"/>
      <c r="Q69" s="5"/>
      <c r="R69" s="5"/>
      <c r="S69" s="5"/>
      <c r="T69" s="5"/>
      <c r="U69" s="5"/>
      <c r="V69" s="125"/>
      <c r="W69" s="5"/>
      <c r="X69" s="5"/>
      <c r="Y69" s="84"/>
      <c r="Z69" s="84"/>
      <c r="AA69" s="84"/>
      <c r="AB69" s="84"/>
      <c r="AC69" s="84"/>
      <c r="AD69" s="115"/>
      <c r="AE69" s="115"/>
      <c r="AF69" s="81"/>
      <c r="AG69" s="81"/>
      <c r="AI69" s="81"/>
      <c r="AP69" s="81"/>
      <c r="AQ69" s="81"/>
      <c r="AR69" s="81"/>
      <c r="AS69" s="81"/>
    </row>
    <row r="70" spans="1:45" s="1" customFormat="1" ht="14.5" customHeight="1" x14ac:dyDescent="0.3">
      <c r="A70" s="32"/>
      <c r="B70" s="32" t="s">
        <v>123</v>
      </c>
      <c r="C70" s="200">
        <v>14347</v>
      </c>
      <c r="D70" s="200">
        <v>14241</v>
      </c>
      <c r="E70" s="200">
        <v>15116</v>
      </c>
      <c r="F70" s="200">
        <v>628</v>
      </c>
      <c r="G70" s="200"/>
      <c r="H70" s="200"/>
      <c r="I70" s="200"/>
      <c r="J70" s="200"/>
      <c r="K70" s="200"/>
      <c r="L70" s="201"/>
      <c r="M70" s="201"/>
      <c r="N70" s="201"/>
      <c r="O70" s="202">
        <f t="shared" si="5"/>
        <v>44332</v>
      </c>
      <c r="P70" s="5"/>
      <c r="Q70" s="5"/>
      <c r="R70" s="5"/>
      <c r="S70" s="5"/>
      <c r="T70" s="5"/>
      <c r="U70" s="5"/>
      <c r="V70" s="125"/>
      <c r="W70" s="5"/>
      <c r="X70" s="5"/>
      <c r="Y70" s="84"/>
      <c r="Z70" s="84"/>
      <c r="AA70" s="84"/>
      <c r="AB70" s="84"/>
      <c r="AC70" s="84"/>
      <c r="AD70" s="115"/>
      <c r="AE70" s="115"/>
      <c r="AF70" s="81"/>
      <c r="AG70" s="81"/>
      <c r="AI70" s="81"/>
      <c r="AP70" s="81"/>
      <c r="AQ70" s="81"/>
      <c r="AR70" s="81"/>
      <c r="AS70" s="81"/>
    </row>
    <row r="71" spans="1:45" s="1" customFormat="1" ht="14.5" customHeight="1" x14ac:dyDescent="0.3">
      <c r="A71" s="131" t="s">
        <v>690</v>
      </c>
      <c r="B71" s="131" t="s">
        <v>1</v>
      </c>
      <c r="C71" s="165">
        <v>436</v>
      </c>
      <c r="D71" s="165">
        <v>353</v>
      </c>
      <c r="E71" s="165">
        <v>313</v>
      </c>
      <c r="F71" s="165">
        <v>5</v>
      </c>
      <c r="G71" s="165">
        <f t="shared" ref="G71:N71" si="12">SUM(G72:G74)</f>
        <v>0</v>
      </c>
      <c r="H71" s="165">
        <f t="shared" si="12"/>
        <v>0</v>
      </c>
      <c r="I71" s="165">
        <f t="shared" si="12"/>
        <v>0</v>
      </c>
      <c r="J71" s="165">
        <f t="shared" si="12"/>
        <v>0</v>
      </c>
      <c r="K71" s="165">
        <f t="shared" si="12"/>
        <v>0</v>
      </c>
      <c r="L71" s="165">
        <f t="shared" si="12"/>
        <v>0</v>
      </c>
      <c r="M71" s="165">
        <f t="shared" si="12"/>
        <v>0</v>
      </c>
      <c r="N71" s="165">
        <f t="shared" si="12"/>
        <v>0</v>
      </c>
      <c r="O71" s="165">
        <f t="shared" si="5"/>
        <v>1107</v>
      </c>
      <c r="P71" s="5"/>
      <c r="Q71" s="5"/>
      <c r="R71" s="5"/>
      <c r="S71" s="5"/>
      <c r="T71" s="5"/>
      <c r="U71" s="5"/>
      <c r="V71" s="125"/>
      <c r="W71" s="5"/>
      <c r="X71" s="5"/>
      <c r="Y71" s="84"/>
      <c r="Z71" s="84"/>
      <c r="AA71" s="84"/>
      <c r="AB71" s="84"/>
      <c r="AC71" s="84"/>
      <c r="AD71" s="115"/>
      <c r="AE71" s="115"/>
      <c r="AF71" s="81"/>
      <c r="AG71" s="81"/>
      <c r="AI71" s="81"/>
      <c r="AP71" s="81"/>
      <c r="AQ71" s="81"/>
      <c r="AR71" s="81"/>
      <c r="AS71" s="81"/>
    </row>
    <row r="72" spans="1:45" s="1" customFormat="1" ht="14.5" customHeight="1" x14ac:dyDescent="0.3">
      <c r="A72" s="32"/>
      <c r="B72" s="32" t="s">
        <v>60</v>
      </c>
      <c r="C72" s="200">
        <v>93</v>
      </c>
      <c r="D72" s="200">
        <v>75</v>
      </c>
      <c r="E72" s="200">
        <v>70</v>
      </c>
      <c r="F72" s="200" t="s">
        <v>841</v>
      </c>
      <c r="G72" s="200"/>
      <c r="H72" s="200"/>
      <c r="I72" s="200"/>
      <c r="J72" s="200"/>
      <c r="K72" s="200"/>
      <c r="L72" s="201"/>
      <c r="M72" s="201"/>
      <c r="N72" s="201"/>
      <c r="O72" s="202">
        <f t="shared" si="5"/>
        <v>238</v>
      </c>
      <c r="P72" s="5"/>
      <c r="Q72" s="5"/>
      <c r="R72" s="5"/>
      <c r="S72" s="5"/>
      <c r="T72" s="5"/>
      <c r="U72" s="5"/>
      <c r="V72" s="125"/>
      <c r="W72" s="5"/>
      <c r="X72" s="5"/>
      <c r="Y72" s="84"/>
      <c r="Z72" s="84"/>
      <c r="AA72" s="84"/>
      <c r="AB72" s="84"/>
      <c r="AC72" s="84"/>
      <c r="AD72" s="115"/>
      <c r="AE72" s="115"/>
      <c r="AF72" s="81"/>
      <c r="AG72" s="81"/>
      <c r="AI72" s="81"/>
      <c r="AP72" s="81"/>
      <c r="AQ72" s="81"/>
      <c r="AR72" s="81"/>
      <c r="AS72" s="81"/>
    </row>
    <row r="73" spans="1:45" s="1" customFormat="1" ht="14.5" customHeight="1" x14ac:dyDescent="0.3">
      <c r="A73" s="32"/>
      <c r="B73" s="32" t="s">
        <v>93</v>
      </c>
      <c r="C73" s="200">
        <v>74</v>
      </c>
      <c r="D73" s="200">
        <v>75</v>
      </c>
      <c r="E73" s="200">
        <v>64</v>
      </c>
      <c r="F73" s="200">
        <v>1</v>
      </c>
      <c r="G73" s="200"/>
      <c r="H73" s="200"/>
      <c r="I73" s="200"/>
      <c r="J73" s="200"/>
      <c r="K73" s="200"/>
      <c r="L73" s="201"/>
      <c r="M73" s="201"/>
      <c r="N73" s="201"/>
      <c r="O73" s="202">
        <f t="shared" si="5"/>
        <v>214</v>
      </c>
      <c r="P73" s="5"/>
      <c r="Q73" s="5"/>
      <c r="R73" s="5"/>
      <c r="S73" s="5"/>
      <c r="T73" s="5"/>
      <c r="U73" s="5"/>
      <c r="V73" s="125"/>
      <c r="W73" s="5"/>
      <c r="X73" s="5"/>
      <c r="Y73" s="84"/>
      <c r="Z73" s="84"/>
      <c r="AA73" s="84"/>
      <c r="AB73" s="84"/>
      <c r="AC73" s="84"/>
      <c r="AD73" s="115"/>
      <c r="AE73" s="115"/>
      <c r="AF73" s="81"/>
      <c r="AG73" s="81"/>
      <c r="AI73" s="81"/>
      <c r="AP73" s="81"/>
      <c r="AQ73" s="81"/>
      <c r="AR73" s="81"/>
      <c r="AS73" s="81"/>
    </row>
    <row r="74" spans="1:45" s="1" customFormat="1" ht="14.5" customHeight="1" x14ac:dyDescent="0.3">
      <c r="A74" s="32"/>
      <c r="B74" s="32" t="s">
        <v>123</v>
      </c>
      <c r="C74" s="200">
        <v>269</v>
      </c>
      <c r="D74" s="200">
        <v>203</v>
      </c>
      <c r="E74" s="200">
        <v>179</v>
      </c>
      <c r="F74" s="200">
        <v>4</v>
      </c>
      <c r="G74" s="200"/>
      <c r="H74" s="200"/>
      <c r="I74" s="200"/>
      <c r="J74" s="200"/>
      <c r="K74" s="200"/>
      <c r="L74" s="201"/>
      <c r="M74" s="201"/>
      <c r="N74" s="201"/>
      <c r="O74" s="202">
        <f t="shared" si="5"/>
        <v>655</v>
      </c>
      <c r="P74" s="5"/>
      <c r="Q74" s="5"/>
      <c r="R74" s="5"/>
      <c r="S74" s="5"/>
      <c r="T74" s="5"/>
      <c r="U74" s="5"/>
      <c r="V74" s="125"/>
      <c r="W74" s="5"/>
      <c r="X74" s="5"/>
      <c r="Y74" s="84"/>
      <c r="Z74" s="84"/>
      <c r="AA74" s="84"/>
      <c r="AB74" s="84"/>
      <c r="AC74" s="84"/>
      <c r="AD74" s="115"/>
      <c r="AE74" s="115"/>
      <c r="AF74" s="81"/>
      <c r="AG74" s="81"/>
      <c r="AI74" s="81"/>
      <c r="AP74" s="81"/>
      <c r="AQ74" s="81"/>
      <c r="AR74" s="81"/>
      <c r="AS74" s="81"/>
    </row>
    <row r="75" spans="1:45" s="1" customFormat="1" ht="14.5" customHeight="1" x14ac:dyDescent="0.3">
      <c r="A75" s="131" t="s">
        <v>689</v>
      </c>
      <c r="B75" s="131" t="s">
        <v>1</v>
      </c>
      <c r="C75" s="165">
        <v>903</v>
      </c>
      <c r="D75" s="165">
        <v>746</v>
      </c>
      <c r="E75" s="165">
        <v>722</v>
      </c>
      <c r="F75" s="165">
        <v>16</v>
      </c>
      <c r="G75" s="165">
        <f t="shared" ref="G75:N75" si="13">SUM(G76:G78)</f>
        <v>0</v>
      </c>
      <c r="H75" s="165">
        <f t="shared" si="13"/>
        <v>0</v>
      </c>
      <c r="I75" s="165">
        <f t="shared" si="13"/>
        <v>0</v>
      </c>
      <c r="J75" s="165">
        <f t="shared" si="13"/>
        <v>0</v>
      </c>
      <c r="K75" s="165">
        <f t="shared" si="13"/>
        <v>0</v>
      </c>
      <c r="L75" s="165">
        <f t="shared" si="13"/>
        <v>0</v>
      </c>
      <c r="M75" s="165">
        <f t="shared" si="13"/>
        <v>0</v>
      </c>
      <c r="N75" s="165">
        <f t="shared" si="13"/>
        <v>0</v>
      </c>
      <c r="O75" s="165">
        <f t="shared" si="5"/>
        <v>2387</v>
      </c>
      <c r="P75" s="5"/>
      <c r="Q75" s="5"/>
      <c r="R75" s="5"/>
      <c r="S75" s="5"/>
      <c r="T75" s="5"/>
      <c r="U75" s="5"/>
      <c r="V75" s="125"/>
      <c r="W75" s="5"/>
      <c r="X75" s="5"/>
      <c r="Y75" s="84"/>
      <c r="Z75" s="84"/>
      <c r="AA75" s="84"/>
      <c r="AB75" s="84"/>
      <c r="AC75" s="84"/>
      <c r="AD75" s="115"/>
      <c r="AE75" s="115"/>
      <c r="AF75" s="81"/>
      <c r="AG75" s="81"/>
      <c r="AI75" s="81"/>
      <c r="AP75" s="81"/>
      <c r="AQ75" s="81"/>
      <c r="AR75" s="81"/>
      <c r="AS75" s="81"/>
    </row>
    <row r="76" spans="1:45" s="1" customFormat="1" ht="14.5" customHeight="1" x14ac:dyDescent="0.3">
      <c r="A76" s="32"/>
      <c r="B76" s="32" t="s">
        <v>60</v>
      </c>
      <c r="C76" s="200">
        <v>549</v>
      </c>
      <c r="D76" s="200">
        <v>467</v>
      </c>
      <c r="E76" s="200">
        <v>445</v>
      </c>
      <c r="F76" s="200">
        <v>9</v>
      </c>
      <c r="G76" s="200"/>
      <c r="H76" s="200"/>
      <c r="I76" s="200"/>
      <c r="J76" s="200"/>
      <c r="K76" s="200"/>
      <c r="L76" s="201"/>
      <c r="M76" s="201"/>
      <c r="N76" s="201"/>
      <c r="O76" s="202">
        <f t="shared" si="5"/>
        <v>1470</v>
      </c>
      <c r="P76" s="5"/>
      <c r="Q76" s="5"/>
      <c r="R76" s="5"/>
      <c r="S76" s="5"/>
      <c r="T76" s="5"/>
      <c r="U76" s="5"/>
      <c r="V76" s="125"/>
      <c r="W76" s="5"/>
      <c r="X76" s="5"/>
      <c r="Y76" s="84"/>
      <c r="Z76" s="84"/>
      <c r="AA76" s="84"/>
      <c r="AB76" s="84"/>
      <c r="AC76" s="84"/>
      <c r="AD76" s="115"/>
      <c r="AE76" s="115"/>
      <c r="AF76" s="81"/>
      <c r="AG76" s="81"/>
      <c r="AI76" s="81"/>
      <c r="AP76" s="81"/>
      <c r="AQ76" s="81"/>
      <c r="AR76" s="81"/>
      <c r="AS76" s="81"/>
    </row>
    <row r="77" spans="1:45" s="1" customFormat="1" ht="14.5" customHeight="1" x14ac:dyDescent="0.3">
      <c r="A77" s="32"/>
      <c r="B77" s="32" t="s">
        <v>93</v>
      </c>
      <c r="C77" s="200">
        <v>255</v>
      </c>
      <c r="D77" s="200">
        <v>203</v>
      </c>
      <c r="E77" s="200">
        <v>169</v>
      </c>
      <c r="F77" s="200">
        <v>6</v>
      </c>
      <c r="G77" s="200"/>
      <c r="H77" s="200"/>
      <c r="I77" s="200"/>
      <c r="J77" s="200"/>
      <c r="K77" s="200"/>
      <c r="L77" s="201"/>
      <c r="M77" s="201"/>
      <c r="N77" s="201"/>
      <c r="O77" s="202">
        <f t="shared" si="5"/>
        <v>633</v>
      </c>
      <c r="P77" s="5"/>
      <c r="Q77" s="5"/>
      <c r="R77" s="5"/>
      <c r="S77" s="5"/>
      <c r="T77" s="5"/>
      <c r="U77" s="5"/>
      <c r="V77" s="125"/>
      <c r="W77" s="5"/>
      <c r="X77" s="5"/>
      <c r="Y77" s="84"/>
      <c r="Z77" s="84"/>
      <c r="AA77" s="84"/>
      <c r="AB77" s="84"/>
      <c r="AC77" s="84"/>
      <c r="AD77" s="115"/>
      <c r="AE77" s="115"/>
      <c r="AF77" s="81"/>
      <c r="AG77" s="81"/>
      <c r="AI77" s="81"/>
      <c r="AP77" s="81"/>
      <c r="AQ77" s="81"/>
      <c r="AR77" s="81"/>
      <c r="AS77" s="81"/>
    </row>
    <row r="78" spans="1:45" s="1" customFormat="1" ht="14.5" customHeight="1" x14ac:dyDescent="0.3">
      <c r="A78" s="32"/>
      <c r="B78" s="32" t="s">
        <v>123</v>
      </c>
      <c r="C78" s="200">
        <v>99</v>
      </c>
      <c r="D78" s="200">
        <v>76</v>
      </c>
      <c r="E78" s="200">
        <v>108</v>
      </c>
      <c r="F78" s="200">
        <v>1</v>
      </c>
      <c r="G78" s="200"/>
      <c r="H78" s="200"/>
      <c r="I78" s="200"/>
      <c r="J78" s="200"/>
      <c r="K78" s="200"/>
      <c r="L78" s="201"/>
      <c r="M78" s="201"/>
      <c r="N78" s="201"/>
      <c r="O78" s="202">
        <f t="shared" si="5"/>
        <v>284</v>
      </c>
      <c r="P78" s="5"/>
      <c r="Q78" s="5"/>
      <c r="R78" s="5"/>
      <c r="S78" s="5"/>
      <c r="T78" s="5"/>
      <c r="U78" s="5"/>
      <c r="V78" s="125"/>
      <c r="W78" s="5"/>
      <c r="X78" s="5"/>
      <c r="Y78" s="84"/>
      <c r="Z78" s="84"/>
      <c r="AA78" s="84"/>
      <c r="AB78" s="84"/>
      <c r="AC78" s="84"/>
      <c r="AD78" s="115"/>
      <c r="AE78" s="115"/>
      <c r="AF78" s="81"/>
      <c r="AG78" s="81"/>
      <c r="AI78" s="81"/>
      <c r="AP78" s="81"/>
      <c r="AQ78" s="81"/>
      <c r="AR78" s="81"/>
      <c r="AS78" s="81"/>
    </row>
    <row r="79" spans="1:45" s="1" customFormat="1" ht="14.5" customHeight="1" x14ac:dyDescent="0.3">
      <c r="A79" s="131" t="s">
        <v>688</v>
      </c>
      <c r="B79" s="131" t="s">
        <v>1</v>
      </c>
      <c r="C79" s="165">
        <v>249</v>
      </c>
      <c r="D79" s="165">
        <v>527</v>
      </c>
      <c r="E79" s="165">
        <v>824</v>
      </c>
      <c r="F79" s="165">
        <v>549</v>
      </c>
      <c r="G79" s="165">
        <f t="shared" ref="G79:N79" si="14">SUM(G80:G82)</f>
        <v>0</v>
      </c>
      <c r="H79" s="165">
        <f t="shared" si="14"/>
        <v>0</v>
      </c>
      <c r="I79" s="165">
        <f t="shared" si="14"/>
        <v>0</v>
      </c>
      <c r="J79" s="165">
        <f t="shared" si="14"/>
        <v>0</v>
      </c>
      <c r="K79" s="165">
        <f t="shared" si="14"/>
        <v>0</v>
      </c>
      <c r="L79" s="165">
        <f t="shared" si="14"/>
        <v>0</v>
      </c>
      <c r="M79" s="165">
        <f t="shared" si="14"/>
        <v>0</v>
      </c>
      <c r="N79" s="165">
        <f t="shared" si="14"/>
        <v>0</v>
      </c>
      <c r="O79" s="165">
        <f t="shared" si="5"/>
        <v>2149</v>
      </c>
      <c r="P79" s="5"/>
      <c r="Q79" s="5"/>
      <c r="R79" s="5"/>
      <c r="S79" s="5"/>
      <c r="T79" s="5"/>
      <c r="U79" s="5"/>
      <c r="V79" s="125"/>
      <c r="W79" s="5"/>
      <c r="X79" s="5"/>
      <c r="Y79" s="84"/>
      <c r="Z79" s="84"/>
      <c r="AA79" s="84"/>
      <c r="AB79" s="84"/>
      <c r="AC79" s="84"/>
      <c r="AD79" s="115"/>
      <c r="AE79" s="115"/>
      <c r="AF79" s="81"/>
      <c r="AG79" s="81"/>
      <c r="AI79" s="81"/>
      <c r="AP79" s="81"/>
      <c r="AQ79" s="81"/>
      <c r="AR79" s="81"/>
      <c r="AS79" s="81"/>
    </row>
    <row r="80" spans="1:45" s="1" customFormat="1" ht="14.5" customHeight="1" x14ac:dyDescent="0.3">
      <c r="A80" s="32"/>
      <c r="B80" s="32" t="s">
        <v>60</v>
      </c>
      <c r="C80" s="200">
        <v>60</v>
      </c>
      <c r="D80" s="200">
        <v>139</v>
      </c>
      <c r="E80" s="200">
        <v>238</v>
      </c>
      <c r="F80" s="200">
        <v>137</v>
      </c>
      <c r="G80" s="200"/>
      <c r="H80" s="200"/>
      <c r="I80" s="200"/>
      <c r="J80" s="200"/>
      <c r="K80" s="200"/>
      <c r="L80" s="201"/>
      <c r="M80" s="201"/>
      <c r="N80" s="201"/>
      <c r="O80" s="202">
        <f t="shared" si="5"/>
        <v>574</v>
      </c>
      <c r="P80" s="5"/>
      <c r="Q80" s="5"/>
      <c r="R80" s="5"/>
      <c r="S80" s="5"/>
      <c r="T80" s="5"/>
      <c r="U80" s="5"/>
      <c r="V80" s="125"/>
      <c r="W80" s="5"/>
      <c r="X80" s="5"/>
      <c r="Y80" s="84"/>
      <c r="Z80" s="84"/>
      <c r="AA80" s="84"/>
      <c r="AB80" s="84"/>
      <c r="AC80" s="84"/>
      <c r="AD80" s="115"/>
      <c r="AE80" s="115"/>
      <c r="AF80" s="81"/>
      <c r="AG80" s="81"/>
      <c r="AI80" s="81"/>
      <c r="AP80" s="81"/>
      <c r="AQ80" s="81"/>
      <c r="AR80" s="81"/>
      <c r="AS80" s="81"/>
    </row>
    <row r="81" spans="1:45" s="1" customFormat="1" ht="14.5" customHeight="1" x14ac:dyDescent="0.3">
      <c r="A81" s="32"/>
      <c r="B81" s="32" t="s">
        <v>93</v>
      </c>
      <c r="C81" s="200">
        <v>91</v>
      </c>
      <c r="D81" s="200">
        <v>133</v>
      </c>
      <c r="E81" s="200">
        <v>272</v>
      </c>
      <c r="F81" s="200">
        <v>181</v>
      </c>
      <c r="G81" s="200"/>
      <c r="H81" s="200"/>
      <c r="I81" s="200"/>
      <c r="J81" s="200"/>
      <c r="K81" s="200"/>
      <c r="L81" s="201"/>
      <c r="M81" s="201"/>
      <c r="N81" s="201"/>
      <c r="O81" s="202">
        <f t="shared" si="5"/>
        <v>677</v>
      </c>
      <c r="P81" s="5"/>
      <c r="Q81" s="5"/>
      <c r="R81" s="5"/>
      <c r="S81" s="5"/>
      <c r="T81" s="5"/>
      <c r="U81" s="5"/>
      <c r="V81" s="125"/>
      <c r="W81" s="5"/>
      <c r="X81" s="5"/>
      <c r="Y81" s="84"/>
      <c r="Z81" s="84"/>
      <c r="AA81" s="84"/>
      <c r="AB81" s="84"/>
      <c r="AC81" s="84"/>
      <c r="AD81" s="115"/>
      <c r="AE81" s="115"/>
      <c r="AF81" s="81"/>
      <c r="AG81" s="81"/>
      <c r="AI81" s="81"/>
      <c r="AP81" s="81"/>
      <c r="AQ81" s="81"/>
      <c r="AR81" s="81"/>
      <c r="AS81" s="81"/>
    </row>
    <row r="82" spans="1:45" s="1" customFormat="1" ht="14.5" customHeight="1" x14ac:dyDescent="0.3">
      <c r="A82" s="32"/>
      <c r="B82" s="32" t="s">
        <v>123</v>
      </c>
      <c r="C82" s="200">
        <v>98</v>
      </c>
      <c r="D82" s="200">
        <v>255</v>
      </c>
      <c r="E82" s="200">
        <v>314</v>
      </c>
      <c r="F82" s="200">
        <v>231</v>
      </c>
      <c r="G82" s="200"/>
      <c r="H82" s="200"/>
      <c r="I82" s="200"/>
      <c r="J82" s="200"/>
      <c r="K82" s="200"/>
      <c r="L82" s="201"/>
      <c r="M82" s="201"/>
      <c r="N82" s="201"/>
      <c r="O82" s="202">
        <f t="shared" si="5"/>
        <v>898</v>
      </c>
      <c r="P82" s="5"/>
      <c r="Q82" s="5"/>
      <c r="R82" s="5"/>
      <c r="S82" s="5"/>
      <c r="T82" s="5"/>
      <c r="U82" s="5"/>
      <c r="V82" s="125"/>
      <c r="W82" s="5"/>
      <c r="X82" s="5"/>
      <c r="Y82" s="84"/>
      <c r="Z82" s="84"/>
      <c r="AA82" s="84"/>
      <c r="AB82" s="84"/>
      <c r="AC82" s="84"/>
      <c r="AD82" s="115"/>
      <c r="AE82" s="115"/>
      <c r="AF82" s="81"/>
      <c r="AG82" s="81"/>
      <c r="AI82" s="81"/>
      <c r="AP82" s="81"/>
      <c r="AQ82" s="81"/>
      <c r="AR82" s="81"/>
      <c r="AS82" s="81"/>
    </row>
    <row r="83" spans="1:45" s="1" customFormat="1" ht="14.5" customHeight="1" x14ac:dyDescent="0.3">
      <c r="A83" s="131" t="s">
        <v>0</v>
      </c>
      <c r="B83" s="131" t="s">
        <v>1</v>
      </c>
      <c r="C83" s="165">
        <v>6</v>
      </c>
      <c r="D83" s="165">
        <v>8</v>
      </c>
      <c r="E83" s="165">
        <v>9</v>
      </c>
      <c r="F83" s="165" t="s">
        <v>841</v>
      </c>
      <c r="G83" s="165">
        <f t="shared" ref="G83:N83" si="15">SUM(G84:G86)</f>
        <v>0</v>
      </c>
      <c r="H83" s="165">
        <f t="shared" si="15"/>
        <v>0</v>
      </c>
      <c r="I83" s="165">
        <f t="shared" si="15"/>
        <v>0</v>
      </c>
      <c r="J83" s="165">
        <f t="shared" si="15"/>
        <v>0</v>
      </c>
      <c r="K83" s="165">
        <f t="shared" si="15"/>
        <v>0</v>
      </c>
      <c r="L83" s="165">
        <f t="shared" si="15"/>
        <v>0</v>
      </c>
      <c r="M83" s="165">
        <f t="shared" si="15"/>
        <v>0</v>
      </c>
      <c r="N83" s="165">
        <f t="shared" si="15"/>
        <v>0</v>
      </c>
      <c r="O83" s="165">
        <f t="shared" si="5"/>
        <v>23</v>
      </c>
      <c r="P83" s="5"/>
      <c r="Q83" s="5"/>
      <c r="R83" s="5"/>
      <c r="S83" s="5"/>
      <c r="T83" s="5"/>
      <c r="U83" s="5"/>
      <c r="V83" s="125"/>
      <c r="W83" s="5"/>
      <c r="X83" s="5"/>
      <c r="Y83" s="84"/>
      <c r="Z83" s="84"/>
      <c r="AA83" s="84"/>
      <c r="AB83" s="84"/>
      <c r="AC83" s="84"/>
      <c r="AD83" s="115"/>
      <c r="AE83" s="115"/>
      <c r="AF83" s="81"/>
      <c r="AG83" s="81"/>
      <c r="AI83" s="81"/>
      <c r="AP83" s="81"/>
      <c r="AQ83" s="81"/>
      <c r="AR83" s="81"/>
      <c r="AS83" s="81"/>
    </row>
    <row r="84" spans="1:45" s="1" customFormat="1" ht="14.5" customHeight="1" x14ac:dyDescent="0.3">
      <c r="A84" s="32"/>
      <c r="B84" s="32" t="s">
        <v>60</v>
      </c>
      <c r="C84" s="200">
        <v>1</v>
      </c>
      <c r="D84" s="200">
        <v>2</v>
      </c>
      <c r="E84" s="200">
        <v>2</v>
      </c>
      <c r="F84" s="200">
        <v>0</v>
      </c>
      <c r="G84" s="200"/>
      <c r="H84" s="200"/>
      <c r="I84" s="200"/>
      <c r="J84" s="200"/>
      <c r="K84" s="200"/>
      <c r="L84" s="201"/>
      <c r="M84" s="201"/>
      <c r="N84" s="201"/>
      <c r="O84" s="202">
        <f t="shared" si="5"/>
        <v>5</v>
      </c>
      <c r="P84" s="5"/>
      <c r="Q84" s="5"/>
      <c r="R84" s="5"/>
      <c r="S84" s="5"/>
      <c r="T84" s="5"/>
      <c r="U84" s="5"/>
      <c r="V84" s="125"/>
      <c r="W84" s="5"/>
      <c r="X84" s="5"/>
      <c r="Y84" s="84"/>
      <c r="Z84" s="84"/>
      <c r="AA84" s="84"/>
      <c r="AB84" s="84"/>
      <c r="AC84" s="84"/>
      <c r="AD84" s="115"/>
      <c r="AE84" s="115"/>
      <c r="AF84" s="81"/>
      <c r="AG84" s="81"/>
      <c r="AI84" s="81"/>
      <c r="AP84" s="81"/>
      <c r="AQ84" s="81"/>
      <c r="AR84" s="81"/>
      <c r="AS84" s="81"/>
    </row>
    <row r="85" spans="1:45" s="1" customFormat="1" ht="14.5" customHeight="1" x14ac:dyDescent="0.3">
      <c r="A85" s="32"/>
      <c r="B85" s="32" t="s">
        <v>93</v>
      </c>
      <c r="C85" s="200">
        <v>0</v>
      </c>
      <c r="D85" s="200">
        <v>2</v>
      </c>
      <c r="E85" s="200">
        <v>3</v>
      </c>
      <c r="F85" s="200">
        <v>0</v>
      </c>
      <c r="G85" s="200"/>
      <c r="H85" s="200"/>
      <c r="I85" s="200"/>
      <c r="J85" s="200"/>
      <c r="K85" s="200"/>
      <c r="L85" s="201"/>
      <c r="M85" s="201"/>
      <c r="N85" s="201"/>
      <c r="O85" s="202">
        <f t="shared" si="5"/>
        <v>5</v>
      </c>
      <c r="P85" s="5"/>
      <c r="Q85" s="5"/>
      <c r="R85" s="5"/>
      <c r="S85" s="5"/>
      <c r="T85" s="5"/>
      <c r="U85" s="5"/>
      <c r="V85" s="125"/>
      <c r="W85" s="5"/>
      <c r="X85" s="5"/>
      <c r="Y85" s="84"/>
      <c r="Z85" s="84"/>
      <c r="AA85" s="84"/>
      <c r="AB85" s="84"/>
      <c r="AC85" s="84"/>
      <c r="AD85" s="115"/>
      <c r="AE85" s="115"/>
      <c r="AF85" s="81"/>
      <c r="AG85" s="81"/>
      <c r="AI85" s="81"/>
      <c r="AP85" s="81"/>
      <c r="AQ85" s="81"/>
      <c r="AR85" s="81"/>
      <c r="AS85" s="81"/>
    </row>
    <row r="86" spans="1:45" s="1" customFormat="1" ht="14.5" customHeight="1" x14ac:dyDescent="0.3">
      <c r="A86" s="32"/>
      <c r="B86" s="32" t="s">
        <v>123</v>
      </c>
      <c r="C86" s="200">
        <v>5</v>
      </c>
      <c r="D86" s="200">
        <v>4</v>
      </c>
      <c r="E86" s="200">
        <v>4</v>
      </c>
      <c r="F86" s="200">
        <v>0</v>
      </c>
      <c r="G86" s="200"/>
      <c r="H86" s="200"/>
      <c r="I86" s="200"/>
      <c r="J86" s="200"/>
      <c r="K86" s="200"/>
      <c r="L86" s="201"/>
      <c r="M86" s="201"/>
      <c r="N86" s="201"/>
      <c r="O86" s="202">
        <f t="shared" si="5"/>
        <v>13</v>
      </c>
      <c r="P86" s="5"/>
      <c r="Q86" s="5"/>
      <c r="R86" s="5"/>
      <c r="S86" s="5"/>
      <c r="T86" s="5"/>
      <c r="U86" s="5"/>
      <c r="V86" s="125"/>
      <c r="W86" s="5"/>
      <c r="X86" s="5"/>
      <c r="Y86" s="84"/>
      <c r="Z86" s="84"/>
      <c r="AA86" s="84"/>
      <c r="AB86" s="84"/>
      <c r="AC86" s="84"/>
      <c r="AD86" s="115"/>
      <c r="AE86" s="115"/>
      <c r="AF86" s="81"/>
      <c r="AG86" s="81"/>
      <c r="AI86" s="81"/>
      <c r="AP86" s="81"/>
      <c r="AQ86" s="81"/>
      <c r="AR86" s="81"/>
      <c r="AS86" s="81"/>
    </row>
    <row r="87" spans="1:45" s="1" customFormat="1" ht="12" x14ac:dyDescent="0.3">
      <c r="A87" s="50"/>
      <c r="E87" s="5"/>
      <c r="F87" s="5"/>
      <c r="G87" s="5"/>
      <c r="Q87" s="5"/>
      <c r="R87" s="16"/>
      <c r="S87" s="16"/>
      <c r="T87" s="88"/>
      <c r="U87" s="88"/>
      <c r="V87" s="132"/>
      <c r="W87" s="16"/>
      <c r="X87" s="88"/>
      <c r="Y87" s="88"/>
      <c r="Z87" s="16"/>
      <c r="AA87" s="16"/>
      <c r="AB87" s="16"/>
      <c r="AC87" s="21"/>
      <c r="AD87" s="21"/>
      <c r="AE87" s="21"/>
      <c r="AF87" s="21"/>
      <c r="AQ87" s="81"/>
      <c r="AS87" s="81"/>
    </row>
    <row r="88" spans="1:45" s="5" customFormat="1" ht="18" customHeight="1" x14ac:dyDescent="0.3">
      <c r="A88" s="386"/>
      <c r="B88" s="366"/>
      <c r="C88" s="366"/>
      <c r="D88" s="366"/>
      <c r="E88" s="366"/>
      <c r="F88" s="366"/>
      <c r="G88" s="366"/>
      <c r="H88" s="366"/>
      <c r="I88" s="366"/>
      <c r="J88" s="366"/>
      <c r="K88" s="366"/>
      <c r="L88" s="366"/>
      <c r="M88" s="366"/>
      <c r="N88" s="366"/>
      <c r="O88" s="366"/>
      <c r="P88" s="366"/>
      <c r="Q88" s="366"/>
      <c r="R88" s="366"/>
      <c r="S88" s="366"/>
      <c r="T88" s="366"/>
      <c r="U88" s="366"/>
      <c r="V88" s="387"/>
      <c r="W88" s="16"/>
      <c r="X88" s="16"/>
      <c r="Y88" s="16"/>
      <c r="Z88" s="16"/>
    </row>
    <row r="89" spans="1:45" s="1" customFormat="1" ht="12" x14ac:dyDescent="0.3">
      <c r="A89" s="50"/>
      <c r="F89" s="5"/>
      <c r="G89" s="5"/>
      <c r="H89" s="5"/>
      <c r="K89" s="5"/>
      <c r="L89" s="16"/>
      <c r="M89" s="16"/>
      <c r="N89" s="16"/>
      <c r="O89" s="16"/>
      <c r="P89" s="16"/>
      <c r="Q89" s="16"/>
      <c r="R89" s="16"/>
      <c r="S89" s="16"/>
      <c r="T89" s="16"/>
      <c r="U89" s="16"/>
      <c r="V89" s="20"/>
      <c r="W89" s="21"/>
      <c r="X89" s="21"/>
      <c r="Y89" s="21"/>
      <c r="Z89" s="21"/>
    </row>
    <row r="90" spans="1:45" s="1" customFormat="1" ht="23.25" customHeight="1" x14ac:dyDescent="0.3">
      <c r="A90" s="430" t="s">
        <v>785</v>
      </c>
      <c r="B90" s="431"/>
      <c r="C90" s="431"/>
      <c r="D90" s="431"/>
      <c r="E90" s="431"/>
      <c r="F90" s="431"/>
      <c r="G90" s="431"/>
      <c r="H90" s="431"/>
      <c r="I90" s="431"/>
      <c r="J90" s="431"/>
      <c r="K90" s="431"/>
      <c r="L90" s="431"/>
      <c r="M90" s="431"/>
      <c r="N90" s="431"/>
      <c r="O90" s="16"/>
      <c r="P90" s="16"/>
      <c r="Q90" s="89"/>
      <c r="R90" s="89"/>
      <c r="S90" s="89"/>
      <c r="T90" s="89"/>
      <c r="U90" s="89"/>
      <c r="V90" s="90"/>
      <c r="W90" s="94"/>
      <c r="X90" s="94"/>
      <c r="Y90" s="94"/>
      <c r="Z90" s="94"/>
      <c r="AA90" s="87"/>
      <c r="AB90" s="87"/>
    </row>
    <row r="91" spans="1:45" s="1" customFormat="1" ht="22.5" customHeight="1" x14ac:dyDescent="0.3">
      <c r="A91" s="34" t="s">
        <v>127</v>
      </c>
      <c r="B91" s="34" t="s">
        <v>128</v>
      </c>
      <c r="C91" s="34" t="s">
        <v>129</v>
      </c>
      <c r="D91" s="34" t="s">
        <v>130</v>
      </c>
      <c r="E91" s="34" t="s">
        <v>131</v>
      </c>
      <c r="F91" s="34" t="s">
        <v>132</v>
      </c>
      <c r="G91" s="34" t="s">
        <v>133</v>
      </c>
      <c r="H91" s="34" t="s">
        <v>134</v>
      </c>
      <c r="I91" s="34" t="s">
        <v>135</v>
      </c>
      <c r="J91" s="34" t="s">
        <v>136</v>
      </c>
      <c r="K91" s="34" t="s">
        <v>138</v>
      </c>
      <c r="L91" s="34" t="s">
        <v>139</v>
      </c>
      <c r="M91" s="34" t="s">
        <v>140</v>
      </c>
      <c r="N91" s="34" t="s">
        <v>146</v>
      </c>
      <c r="O91" s="16"/>
      <c r="P91" s="89"/>
      <c r="Q91" s="89"/>
      <c r="R91" s="89"/>
      <c r="S91" s="89"/>
      <c r="T91" s="89"/>
      <c r="U91" s="89"/>
      <c r="V91" s="90"/>
      <c r="W91" s="94"/>
      <c r="X91" s="94"/>
      <c r="Y91" s="94"/>
      <c r="Z91" s="94"/>
      <c r="AA91" s="87"/>
      <c r="AB91" s="87"/>
      <c r="AC91" s="87"/>
      <c r="AD91" s="87"/>
      <c r="AE91" s="87"/>
      <c r="AF91" s="87"/>
    </row>
    <row r="92" spans="1:45" s="1" customFormat="1" ht="12" x14ac:dyDescent="0.3">
      <c r="A92" s="53" t="s">
        <v>143</v>
      </c>
      <c r="B92" s="185">
        <v>12615.935484</v>
      </c>
      <c r="C92" s="186">
        <v>11921.333333</v>
      </c>
      <c r="D92" s="187">
        <v>11254.290322999999</v>
      </c>
      <c r="E92" s="186">
        <v>10921.333333</v>
      </c>
      <c r="F92" s="187">
        <v>0</v>
      </c>
      <c r="G92" s="186">
        <v>0</v>
      </c>
      <c r="H92" s="186">
        <v>0</v>
      </c>
      <c r="I92" s="187">
        <v>0</v>
      </c>
      <c r="J92" s="186">
        <v>0</v>
      </c>
      <c r="K92" s="187">
        <v>0</v>
      </c>
      <c r="L92" s="187">
        <v>0</v>
      </c>
      <c r="M92" s="186">
        <v>0</v>
      </c>
      <c r="N92" s="187">
        <v>11898.747368</v>
      </c>
      <c r="O92" s="133"/>
      <c r="P92" s="80"/>
      <c r="Q92" s="80"/>
      <c r="R92" s="80"/>
      <c r="S92" s="80"/>
      <c r="T92" s="80"/>
      <c r="U92" s="80"/>
      <c r="V92" s="91"/>
      <c r="W92" s="95"/>
      <c r="X92" s="95"/>
      <c r="Y92" s="95"/>
      <c r="Z92" s="95"/>
      <c r="AA92" s="92"/>
      <c r="AB92" s="92"/>
    </row>
    <row r="93" spans="1:45" s="1" customFormat="1" ht="12" x14ac:dyDescent="0.3">
      <c r="A93" s="55" t="s">
        <v>60</v>
      </c>
      <c r="B93" s="183">
        <v>1063.612903</v>
      </c>
      <c r="C93" s="184">
        <v>1008.166667</v>
      </c>
      <c r="D93" s="184">
        <v>984.51612899999998</v>
      </c>
      <c r="E93" s="184">
        <v>940</v>
      </c>
      <c r="F93" s="184">
        <v>0</v>
      </c>
      <c r="G93" s="184">
        <v>0</v>
      </c>
      <c r="H93" s="184">
        <v>0</v>
      </c>
      <c r="I93" s="184">
        <v>0</v>
      </c>
      <c r="J93" s="184">
        <v>0</v>
      </c>
      <c r="K93" s="184">
        <v>0</v>
      </c>
      <c r="L93" s="184">
        <v>0</v>
      </c>
      <c r="M93" s="184">
        <v>0</v>
      </c>
      <c r="N93" s="184">
        <v>1016.389474</v>
      </c>
      <c r="O93" s="16"/>
      <c r="P93" s="80"/>
      <c r="Q93" s="80"/>
      <c r="R93" s="80"/>
      <c r="S93" s="80"/>
      <c r="T93" s="80"/>
      <c r="U93" s="88"/>
      <c r="V93" s="91"/>
      <c r="W93" s="95"/>
      <c r="X93" s="95"/>
      <c r="Y93" s="95"/>
      <c r="Z93" s="95"/>
      <c r="AA93" s="92"/>
      <c r="AB93" s="92"/>
      <c r="AC93" s="92"/>
      <c r="AD93" s="92"/>
      <c r="AE93" s="92"/>
      <c r="AF93" s="92"/>
      <c r="AG93" s="92"/>
    </row>
    <row r="94" spans="1:45" s="1" customFormat="1" ht="12" x14ac:dyDescent="0.3">
      <c r="A94" s="56" t="s">
        <v>93</v>
      </c>
      <c r="B94" s="183">
        <v>1183.5161290000001</v>
      </c>
      <c r="C94" s="184">
        <v>1352.166667</v>
      </c>
      <c r="D94" s="184">
        <v>1454.967742</v>
      </c>
      <c r="E94" s="184">
        <v>1425</v>
      </c>
      <c r="F94" s="184">
        <v>0</v>
      </c>
      <c r="G94" s="184">
        <v>0</v>
      </c>
      <c r="H94" s="184">
        <v>0</v>
      </c>
      <c r="I94" s="184">
        <v>0</v>
      </c>
      <c r="J94" s="184">
        <v>0</v>
      </c>
      <c r="K94" s="184">
        <v>0</v>
      </c>
      <c r="L94" s="184">
        <v>0</v>
      </c>
      <c r="M94" s="184">
        <v>0</v>
      </c>
      <c r="N94" s="184">
        <v>1332.9789470000001</v>
      </c>
      <c r="O94" s="16"/>
      <c r="P94" s="89"/>
      <c r="Q94" s="89"/>
      <c r="R94" s="89"/>
      <c r="S94" s="89"/>
      <c r="T94" s="89"/>
      <c r="U94" s="89"/>
      <c r="V94" s="90"/>
      <c r="W94" s="94"/>
      <c r="X94" s="94"/>
      <c r="Y94" s="94"/>
      <c r="Z94" s="94"/>
      <c r="AA94" s="92"/>
      <c r="AB94" s="92"/>
      <c r="AC94" s="92"/>
      <c r="AG94" s="92"/>
    </row>
    <row r="95" spans="1:45" s="22" customFormat="1" ht="12" x14ac:dyDescent="0.3">
      <c r="A95" s="56" t="s">
        <v>123</v>
      </c>
      <c r="B95" s="183">
        <v>10368.806452000001</v>
      </c>
      <c r="C95" s="184">
        <v>9561</v>
      </c>
      <c r="D95" s="184">
        <v>8814.8064520000007</v>
      </c>
      <c r="E95" s="184">
        <v>8556.3333330000005</v>
      </c>
      <c r="F95" s="184">
        <v>0</v>
      </c>
      <c r="G95" s="184">
        <v>0</v>
      </c>
      <c r="H95" s="184">
        <v>0</v>
      </c>
      <c r="I95" s="184">
        <v>0</v>
      </c>
      <c r="J95" s="184">
        <v>0</v>
      </c>
      <c r="K95" s="184">
        <v>0</v>
      </c>
      <c r="L95" s="184">
        <v>0</v>
      </c>
      <c r="M95" s="184">
        <v>0</v>
      </c>
      <c r="N95" s="184">
        <v>9549.3789469999992</v>
      </c>
      <c r="O95" s="80"/>
      <c r="P95" s="80"/>
      <c r="Q95" s="80"/>
      <c r="R95" s="80"/>
      <c r="S95" s="80"/>
      <c r="T95" s="80"/>
      <c r="U95" s="80"/>
      <c r="V95" s="91"/>
      <c r="W95" s="96"/>
      <c r="X95" s="96"/>
      <c r="Y95" s="96"/>
      <c r="Z95" s="96"/>
      <c r="AA95" s="96"/>
      <c r="AB95" s="96"/>
      <c r="AC95" s="96"/>
      <c r="AD95" s="96"/>
      <c r="AE95" s="96"/>
      <c r="AF95" s="96"/>
      <c r="AG95" s="96"/>
    </row>
    <row r="96" spans="1:45" s="1" customFormat="1" ht="12" x14ac:dyDescent="0.3">
      <c r="A96" s="53" t="s">
        <v>144</v>
      </c>
      <c r="B96" s="185">
        <v>50575.354839</v>
      </c>
      <c r="C96" s="186">
        <v>54709.1</v>
      </c>
      <c r="D96" s="187">
        <v>58308.451612999997</v>
      </c>
      <c r="E96" s="186">
        <v>58998</v>
      </c>
      <c r="F96" s="187">
        <v>0</v>
      </c>
      <c r="G96" s="186">
        <v>0</v>
      </c>
      <c r="H96" s="186">
        <v>0</v>
      </c>
      <c r="I96" s="187">
        <v>0</v>
      </c>
      <c r="J96" s="186">
        <v>0</v>
      </c>
      <c r="K96" s="187">
        <v>0</v>
      </c>
      <c r="L96" s="187">
        <v>0</v>
      </c>
      <c r="M96" s="186">
        <v>0</v>
      </c>
      <c r="N96" s="187">
        <v>54670.157894999997</v>
      </c>
      <c r="O96" s="16"/>
      <c r="P96" s="80"/>
      <c r="Q96" s="80"/>
      <c r="R96" s="80"/>
      <c r="S96" s="80"/>
      <c r="T96" s="80"/>
      <c r="U96" s="80"/>
      <c r="V96" s="91"/>
      <c r="W96" s="92"/>
      <c r="X96" s="92"/>
      <c r="Y96" s="92"/>
      <c r="Z96" s="92"/>
      <c r="AA96" s="92"/>
      <c r="AB96" s="92"/>
      <c r="AC96" s="92"/>
      <c r="AD96" s="92"/>
      <c r="AE96" s="92"/>
      <c r="AF96" s="92"/>
      <c r="AG96" s="92"/>
    </row>
    <row r="97" spans="1:34" s="1" customFormat="1" ht="12" x14ac:dyDescent="0.3">
      <c r="A97" s="55" t="s">
        <v>60</v>
      </c>
      <c r="B97" s="183">
        <v>16442.16129</v>
      </c>
      <c r="C97" s="184">
        <v>16724.966667000001</v>
      </c>
      <c r="D97" s="184">
        <v>17220.677419</v>
      </c>
      <c r="E97" s="184">
        <v>17052.333332999999</v>
      </c>
      <c r="F97" s="184">
        <v>0</v>
      </c>
      <c r="G97" s="184">
        <v>0</v>
      </c>
      <c r="H97" s="184">
        <v>0</v>
      </c>
      <c r="I97" s="184">
        <v>0</v>
      </c>
      <c r="J97" s="184">
        <v>0</v>
      </c>
      <c r="K97" s="184">
        <v>0</v>
      </c>
      <c r="L97" s="184">
        <v>0</v>
      </c>
      <c r="M97" s="184">
        <v>0</v>
      </c>
      <c r="N97" s="184">
        <v>16804.778946999999</v>
      </c>
      <c r="O97" s="16"/>
      <c r="P97" s="80"/>
      <c r="Q97" s="80"/>
      <c r="R97" s="80"/>
      <c r="S97" s="80"/>
      <c r="T97" s="80"/>
      <c r="U97" s="80"/>
      <c r="V97" s="91"/>
      <c r="W97" s="92"/>
      <c r="X97" s="92"/>
      <c r="Y97" s="92"/>
      <c r="Z97" s="92"/>
      <c r="AA97" s="92"/>
      <c r="AB97" s="92"/>
      <c r="AC97" s="81"/>
      <c r="AD97" s="92"/>
      <c r="AE97" s="92"/>
      <c r="AF97" s="92"/>
      <c r="AG97" s="92"/>
    </row>
    <row r="98" spans="1:34" s="1" customFormat="1" ht="12" x14ac:dyDescent="0.3">
      <c r="A98" s="56" t="s">
        <v>93</v>
      </c>
      <c r="B98" s="183">
        <v>15407.741935</v>
      </c>
      <c r="C98" s="184">
        <v>16065.866667</v>
      </c>
      <c r="D98" s="184">
        <v>16599.032257999999</v>
      </c>
      <c r="E98" s="184">
        <v>16752.333332999999</v>
      </c>
      <c r="F98" s="184">
        <v>0</v>
      </c>
      <c r="G98" s="184">
        <v>0</v>
      </c>
      <c r="H98" s="184">
        <v>0</v>
      </c>
      <c r="I98" s="184">
        <v>0</v>
      </c>
      <c r="J98" s="184">
        <v>0</v>
      </c>
      <c r="K98" s="184">
        <v>0</v>
      </c>
      <c r="L98" s="184">
        <v>0</v>
      </c>
      <c r="M98" s="184">
        <v>0</v>
      </c>
      <c r="N98" s="184">
        <v>16046.768421000001</v>
      </c>
      <c r="O98" s="16"/>
      <c r="P98" s="80"/>
      <c r="Q98" s="80"/>
      <c r="R98" s="80"/>
      <c r="S98" s="80"/>
      <c r="T98" s="88"/>
      <c r="U98" s="80"/>
      <c r="V98" s="91"/>
      <c r="W98" s="92"/>
      <c r="X98" s="92"/>
      <c r="Y98" s="92"/>
      <c r="Z98" s="92"/>
      <c r="AA98" s="92"/>
      <c r="AB98" s="92"/>
      <c r="AC98" s="92"/>
      <c r="AD98" s="92"/>
      <c r="AE98" s="92"/>
      <c r="AF98" s="92"/>
      <c r="AG98" s="92"/>
    </row>
    <row r="99" spans="1:34" s="1" customFormat="1" ht="12" x14ac:dyDescent="0.3">
      <c r="A99" s="56" t="s">
        <v>123</v>
      </c>
      <c r="B99" s="184">
        <v>18725.451613000001</v>
      </c>
      <c r="C99" s="184">
        <v>21918.266667</v>
      </c>
      <c r="D99" s="184">
        <v>24488.741934999998</v>
      </c>
      <c r="E99" s="184">
        <v>25193.333332999999</v>
      </c>
      <c r="F99" s="184">
        <v>0</v>
      </c>
      <c r="G99" s="184">
        <v>0</v>
      </c>
      <c r="H99" s="184">
        <v>0</v>
      </c>
      <c r="I99" s="184">
        <v>0</v>
      </c>
      <c r="J99" s="184">
        <v>0</v>
      </c>
      <c r="K99" s="184">
        <v>0</v>
      </c>
      <c r="L99" s="184">
        <v>0</v>
      </c>
      <c r="M99" s="184">
        <v>0</v>
      </c>
      <c r="N99" s="184">
        <v>21818.610526</v>
      </c>
      <c r="O99" s="16"/>
      <c r="P99" s="80"/>
      <c r="Q99" s="80"/>
      <c r="R99" s="80"/>
      <c r="S99" s="80"/>
      <c r="T99" s="80"/>
      <c r="U99" s="80"/>
      <c r="V99" s="91"/>
      <c r="W99" s="92"/>
      <c r="X99" s="92"/>
      <c r="Y99" s="92"/>
      <c r="Z99" s="81"/>
      <c r="AA99" s="92"/>
      <c r="AB99" s="92"/>
      <c r="AC99" s="92"/>
      <c r="AD99" s="92"/>
      <c r="AG99" s="92"/>
    </row>
    <row r="100" spans="1:34" s="1" customFormat="1" ht="12" x14ac:dyDescent="0.3">
      <c r="A100" s="53" t="s">
        <v>145</v>
      </c>
      <c r="B100" s="185">
        <v>63191.290323000001</v>
      </c>
      <c r="C100" s="186">
        <v>66630.433332999994</v>
      </c>
      <c r="D100" s="187">
        <v>69562.741934999998</v>
      </c>
      <c r="E100" s="186">
        <v>69919.333333000002</v>
      </c>
      <c r="F100" s="187">
        <v>0</v>
      </c>
      <c r="G100" s="186">
        <v>0</v>
      </c>
      <c r="H100" s="186">
        <v>0</v>
      </c>
      <c r="I100" s="187">
        <v>0</v>
      </c>
      <c r="J100" s="186">
        <v>0</v>
      </c>
      <c r="K100" s="187">
        <v>0</v>
      </c>
      <c r="L100" s="187">
        <v>0</v>
      </c>
      <c r="M100" s="186">
        <v>0</v>
      </c>
      <c r="N100" s="187">
        <v>66568.905262999993</v>
      </c>
      <c r="O100" s="16"/>
      <c r="P100" s="80"/>
      <c r="Q100" s="80"/>
      <c r="R100" s="80"/>
      <c r="S100" s="80"/>
      <c r="T100" s="80"/>
      <c r="U100" s="80"/>
      <c r="V100" s="91"/>
      <c r="W100" s="92"/>
      <c r="X100" s="92"/>
      <c r="Y100" s="92"/>
      <c r="Z100" s="92"/>
      <c r="AA100" s="92"/>
      <c r="AB100" s="92"/>
      <c r="AC100" s="92"/>
      <c r="AD100" s="92"/>
      <c r="AG100" s="92"/>
    </row>
    <row r="101" spans="1:34" s="1" customFormat="1" ht="12" x14ac:dyDescent="0.3">
      <c r="A101" s="55" t="s">
        <v>60</v>
      </c>
      <c r="B101" s="183">
        <v>17505.774194000001</v>
      </c>
      <c r="C101" s="184">
        <v>17733.133333000002</v>
      </c>
      <c r="D101" s="184">
        <v>18205.193547999999</v>
      </c>
      <c r="E101" s="184">
        <v>17992.333332999999</v>
      </c>
      <c r="F101" s="184">
        <v>0</v>
      </c>
      <c r="G101" s="184">
        <v>0</v>
      </c>
      <c r="H101" s="184">
        <v>0</v>
      </c>
      <c r="I101" s="184">
        <v>0</v>
      </c>
      <c r="J101" s="184">
        <v>0</v>
      </c>
      <c r="K101" s="184">
        <v>0</v>
      </c>
      <c r="L101" s="184">
        <v>0</v>
      </c>
      <c r="M101" s="184">
        <v>0</v>
      </c>
      <c r="N101" s="184">
        <v>17821.168420999998</v>
      </c>
      <c r="O101" s="16"/>
      <c r="P101" s="80"/>
      <c r="Q101" s="80"/>
      <c r="R101" s="92"/>
      <c r="S101" s="80"/>
      <c r="T101" s="80"/>
      <c r="U101" s="80"/>
      <c r="V101" s="91"/>
      <c r="W101" s="92"/>
      <c r="X101" s="92"/>
      <c r="Y101" s="92"/>
      <c r="Z101" s="92"/>
      <c r="AA101" s="92"/>
      <c r="AB101" s="92"/>
    </row>
    <row r="102" spans="1:34" s="1" customFormat="1" ht="12" x14ac:dyDescent="0.3">
      <c r="A102" s="56" t="s">
        <v>93</v>
      </c>
      <c r="B102" s="183">
        <v>16591.258065000002</v>
      </c>
      <c r="C102" s="184">
        <v>17418.033332999999</v>
      </c>
      <c r="D102" s="184">
        <v>18054</v>
      </c>
      <c r="E102" s="184">
        <v>18177.333332999999</v>
      </c>
      <c r="F102" s="184">
        <v>0</v>
      </c>
      <c r="G102" s="184">
        <v>0</v>
      </c>
      <c r="H102" s="184">
        <v>0</v>
      </c>
      <c r="I102" s="184">
        <v>0</v>
      </c>
      <c r="J102" s="184">
        <v>0</v>
      </c>
      <c r="K102" s="184">
        <v>0</v>
      </c>
      <c r="L102" s="184">
        <v>0</v>
      </c>
      <c r="M102" s="184">
        <v>0</v>
      </c>
      <c r="N102" s="184">
        <v>17379.747368</v>
      </c>
      <c r="O102" s="16"/>
      <c r="P102" s="80"/>
      <c r="Q102" s="80"/>
      <c r="R102" s="88"/>
      <c r="S102" s="80"/>
      <c r="T102" s="80"/>
      <c r="U102" s="80"/>
      <c r="V102" s="91"/>
      <c r="W102" s="92"/>
      <c r="X102" s="92"/>
      <c r="Y102" s="92"/>
      <c r="Z102" s="92"/>
      <c r="AA102" s="92"/>
      <c r="AB102" s="92"/>
    </row>
    <row r="103" spans="1:34" s="1" customFormat="1" ht="12" x14ac:dyDescent="0.3">
      <c r="A103" s="56" t="s">
        <v>123</v>
      </c>
      <c r="B103" s="183">
        <v>29094.258065000002</v>
      </c>
      <c r="C103" s="184">
        <v>31479.266667</v>
      </c>
      <c r="D103" s="184">
        <v>33303.548387000003</v>
      </c>
      <c r="E103" s="184">
        <v>33749.666666999998</v>
      </c>
      <c r="F103" s="184">
        <v>0</v>
      </c>
      <c r="G103" s="184">
        <v>0</v>
      </c>
      <c r="H103" s="184">
        <v>0</v>
      </c>
      <c r="I103" s="184">
        <v>0</v>
      </c>
      <c r="J103" s="184">
        <v>0</v>
      </c>
      <c r="K103" s="184">
        <v>0</v>
      </c>
      <c r="L103" s="184">
        <v>0</v>
      </c>
      <c r="M103" s="184">
        <v>0</v>
      </c>
      <c r="N103" s="184">
        <v>31367.989474000002</v>
      </c>
      <c r="O103" s="16"/>
      <c r="P103" s="80"/>
      <c r="Q103" s="80"/>
      <c r="R103" s="88"/>
      <c r="S103" s="88"/>
      <c r="T103" s="80"/>
      <c r="U103" s="80"/>
      <c r="V103" s="91"/>
      <c r="W103" s="92"/>
      <c r="X103" s="92"/>
      <c r="Y103" s="92"/>
      <c r="Z103" s="92"/>
      <c r="AA103" s="92"/>
      <c r="AB103" s="92"/>
    </row>
    <row r="104" spans="1:34" s="1" customFormat="1" ht="12" x14ac:dyDescent="0.3">
      <c r="A104" s="50"/>
      <c r="F104" s="5"/>
      <c r="G104" s="5"/>
      <c r="H104" s="5"/>
      <c r="I104" s="5"/>
      <c r="J104" s="5"/>
      <c r="K104" s="5"/>
      <c r="L104" s="16"/>
      <c r="M104" s="16"/>
      <c r="N104" s="16"/>
      <c r="O104" s="16"/>
      <c r="P104" s="80"/>
      <c r="Q104" s="80"/>
      <c r="R104" s="80"/>
      <c r="S104" s="88"/>
      <c r="T104" s="80"/>
      <c r="U104" s="80"/>
      <c r="V104" s="91"/>
      <c r="W104" s="92"/>
      <c r="X104" s="92"/>
      <c r="Y104" s="92"/>
      <c r="Z104" s="92"/>
      <c r="AA104" s="92"/>
      <c r="AB104" s="92"/>
    </row>
    <row r="105" spans="1:34" s="1" customFormat="1" ht="12" customHeight="1" x14ac:dyDescent="0.3">
      <c r="A105" s="365"/>
      <c r="B105" s="366"/>
      <c r="C105" s="366"/>
      <c r="D105" s="366"/>
      <c r="E105" s="366"/>
      <c r="F105" s="366"/>
      <c r="G105" s="366"/>
      <c r="H105" s="366"/>
      <c r="I105" s="366"/>
      <c r="J105" s="366"/>
      <c r="K105" s="366"/>
      <c r="L105" s="366"/>
      <c r="M105" s="366"/>
      <c r="N105" s="366"/>
      <c r="O105" s="366"/>
      <c r="P105" s="366"/>
      <c r="Q105" s="366"/>
      <c r="R105" s="366"/>
      <c r="S105" s="366"/>
      <c r="T105" s="366"/>
      <c r="U105" s="366"/>
      <c r="V105" s="367"/>
    </row>
    <row r="106" spans="1:34" s="1" customFormat="1" ht="12" x14ac:dyDescent="0.3">
      <c r="A106" s="50"/>
      <c r="F106" s="5"/>
      <c r="G106" s="5"/>
      <c r="H106" s="5"/>
      <c r="I106" s="5"/>
      <c r="J106" s="5"/>
      <c r="K106" s="5"/>
      <c r="L106" s="16"/>
      <c r="M106" s="16"/>
      <c r="N106" s="16"/>
      <c r="O106" s="16"/>
      <c r="P106" s="16"/>
      <c r="Q106" s="16"/>
      <c r="R106" s="16"/>
      <c r="S106" s="16"/>
      <c r="T106" s="16"/>
      <c r="U106" s="16"/>
      <c r="V106" s="20"/>
      <c r="AA106" s="87"/>
      <c r="AB106" s="87"/>
      <c r="AC106" s="87"/>
      <c r="AD106" s="87"/>
      <c r="AE106" s="87"/>
      <c r="AF106" s="87"/>
      <c r="AG106" s="87"/>
    </row>
    <row r="107" spans="1:34" s="1" customFormat="1" ht="24.75" customHeight="1" x14ac:dyDescent="0.3">
      <c r="A107" s="430" t="s">
        <v>786</v>
      </c>
      <c r="B107" s="431"/>
      <c r="C107" s="431"/>
      <c r="D107" s="431"/>
      <c r="E107" s="431"/>
      <c r="F107" s="431"/>
      <c r="G107" s="431"/>
      <c r="H107" s="431"/>
      <c r="I107" s="431"/>
      <c r="J107" s="431"/>
      <c r="K107" s="431"/>
      <c r="L107" s="431"/>
      <c r="M107" s="431"/>
      <c r="N107" s="431"/>
      <c r="O107" s="16"/>
      <c r="P107" s="16"/>
      <c r="Q107" s="89"/>
      <c r="R107" s="89"/>
      <c r="S107" s="89"/>
      <c r="T107" s="89"/>
      <c r="U107" s="89"/>
      <c r="V107" s="90"/>
      <c r="W107" s="87"/>
      <c r="X107" s="87"/>
      <c r="Y107" s="87"/>
      <c r="Z107" s="87"/>
      <c r="AA107" s="87"/>
      <c r="AB107" s="87"/>
    </row>
    <row r="108" spans="1:34" s="1" customFormat="1" ht="12" x14ac:dyDescent="0.3">
      <c r="A108" s="34" t="s">
        <v>127</v>
      </c>
      <c r="B108" s="34" t="s">
        <v>128</v>
      </c>
      <c r="C108" s="34" t="s">
        <v>129</v>
      </c>
      <c r="D108" s="34" t="s">
        <v>130</v>
      </c>
      <c r="E108" s="34" t="s">
        <v>131</v>
      </c>
      <c r="F108" s="34" t="s">
        <v>132</v>
      </c>
      <c r="G108" s="34" t="s">
        <v>133</v>
      </c>
      <c r="H108" s="34" t="s">
        <v>134</v>
      </c>
      <c r="I108" s="34" t="s">
        <v>135</v>
      </c>
      <c r="J108" s="34" t="s">
        <v>136</v>
      </c>
      <c r="K108" s="34" t="s">
        <v>138</v>
      </c>
      <c r="L108" s="34" t="s">
        <v>139</v>
      </c>
      <c r="M108" s="34" t="s">
        <v>140</v>
      </c>
      <c r="N108" s="34" t="s">
        <v>146</v>
      </c>
      <c r="O108" s="16"/>
      <c r="P108" s="89"/>
      <c r="Q108" s="89"/>
      <c r="R108" s="89"/>
      <c r="S108" s="89"/>
      <c r="T108" s="89"/>
      <c r="U108" s="89"/>
      <c r="V108" s="90"/>
      <c r="W108" s="87"/>
      <c r="X108" s="87"/>
      <c r="Y108" s="87"/>
      <c r="Z108" s="87"/>
      <c r="AA108" s="87"/>
      <c r="AB108" s="87"/>
      <c r="AC108" s="92"/>
      <c r="AD108" s="92"/>
      <c r="AE108" s="92"/>
      <c r="AF108" s="92"/>
      <c r="AG108" s="92"/>
      <c r="AH108" s="92"/>
    </row>
    <row r="109" spans="1:34" s="1" customFormat="1" ht="12.75" customHeight="1" x14ac:dyDescent="0.3">
      <c r="A109" s="53" t="s">
        <v>143</v>
      </c>
      <c r="B109" s="190">
        <v>74.710942876806598</v>
      </c>
      <c r="C109" s="191">
        <v>92.183086312118505</v>
      </c>
      <c r="D109" s="192">
        <v>96.042927228127496</v>
      </c>
      <c r="E109" s="191">
        <v>73.027322404371503</v>
      </c>
      <c r="F109" s="192">
        <v>0</v>
      </c>
      <c r="G109" s="191">
        <v>0</v>
      </c>
      <c r="H109" s="191">
        <v>0</v>
      </c>
      <c r="I109" s="192">
        <v>0</v>
      </c>
      <c r="J109" s="191">
        <v>0</v>
      </c>
      <c r="K109" s="192">
        <v>0</v>
      </c>
      <c r="L109" s="192">
        <v>0</v>
      </c>
      <c r="M109" s="191">
        <v>0</v>
      </c>
      <c r="N109" s="192">
        <v>86.614668820678503</v>
      </c>
      <c r="O109" s="16"/>
      <c r="P109" s="16"/>
      <c r="Q109" s="89"/>
      <c r="R109" s="89"/>
      <c r="S109" s="89"/>
      <c r="T109" s="89"/>
      <c r="U109" s="89"/>
      <c r="V109" s="90"/>
      <c r="W109" s="87"/>
      <c r="X109" s="87"/>
      <c r="Y109" s="87"/>
      <c r="Z109" s="87"/>
      <c r="AA109" s="87"/>
      <c r="AB109" s="87"/>
      <c r="AC109" s="92"/>
      <c r="AD109" s="92"/>
      <c r="AE109" s="92"/>
      <c r="AF109" s="92"/>
      <c r="AG109" s="92"/>
      <c r="AH109" s="92"/>
    </row>
    <row r="110" spans="1:34" s="1" customFormat="1" ht="12" x14ac:dyDescent="0.3">
      <c r="A110" s="55" t="s">
        <v>60</v>
      </c>
      <c r="B110" s="188">
        <v>32.669194312796201</v>
      </c>
      <c r="C110" s="189">
        <v>38.001314060446703</v>
      </c>
      <c r="D110" s="189">
        <v>35.028138528138498</v>
      </c>
      <c r="E110" s="189">
        <v>25.075471698113201</v>
      </c>
      <c r="F110" s="189">
        <v>0</v>
      </c>
      <c r="G110" s="189">
        <v>0</v>
      </c>
      <c r="H110" s="189">
        <v>0</v>
      </c>
      <c r="I110" s="189">
        <v>0</v>
      </c>
      <c r="J110" s="189">
        <v>0</v>
      </c>
      <c r="K110" s="189">
        <v>0</v>
      </c>
      <c r="L110" s="189">
        <v>0</v>
      </c>
      <c r="M110" s="189">
        <v>0</v>
      </c>
      <c r="N110" s="189">
        <v>34.758324382384501</v>
      </c>
      <c r="O110" s="16"/>
      <c r="P110" s="16"/>
      <c r="Q110" s="16"/>
      <c r="R110" s="89"/>
      <c r="S110" s="89"/>
      <c r="T110" s="89"/>
      <c r="U110" s="89"/>
      <c r="V110" s="90"/>
      <c r="W110" s="87"/>
      <c r="X110" s="87"/>
      <c r="Y110" s="87"/>
      <c r="Z110" s="87"/>
      <c r="AA110" s="92"/>
      <c r="AB110" s="92"/>
      <c r="AC110" s="81"/>
      <c r="AD110" s="92"/>
      <c r="AE110" s="92"/>
      <c r="AF110" s="92"/>
      <c r="AH110" s="92"/>
    </row>
    <row r="111" spans="1:34" s="1" customFormat="1" ht="12" x14ac:dyDescent="0.3">
      <c r="A111" s="56" t="s">
        <v>93</v>
      </c>
      <c r="B111" s="188">
        <v>44.574404761904702</v>
      </c>
      <c r="C111" s="189">
        <v>44.804664723031998</v>
      </c>
      <c r="D111" s="189">
        <v>48.431122448979501</v>
      </c>
      <c r="E111" s="189">
        <v>56.589743589743499</v>
      </c>
      <c r="F111" s="189">
        <v>0</v>
      </c>
      <c r="G111" s="189">
        <v>0</v>
      </c>
      <c r="H111" s="189">
        <v>0</v>
      </c>
      <c r="I111" s="189">
        <v>0</v>
      </c>
      <c r="J111" s="189">
        <v>0</v>
      </c>
      <c r="K111" s="189">
        <v>0</v>
      </c>
      <c r="L111" s="189">
        <v>0</v>
      </c>
      <c r="M111" s="189">
        <v>0</v>
      </c>
      <c r="N111" s="189">
        <v>46.248051352590501</v>
      </c>
      <c r="O111" s="16"/>
      <c r="P111" s="16"/>
      <c r="Q111" s="89"/>
      <c r="R111" s="89"/>
      <c r="S111" s="89"/>
      <c r="T111" s="89"/>
      <c r="U111" s="89"/>
      <c r="V111" s="90"/>
      <c r="W111" s="87"/>
      <c r="X111" s="87"/>
      <c r="AA111" s="92"/>
      <c r="AB111" s="92"/>
      <c r="AC111" s="92"/>
      <c r="AD111" s="92"/>
      <c r="AE111" s="92"/>
      <c r="AF111" s="92"/>
      <c r="AG111" s="92"/>
      <c r="AH111" s="92"/>
    </row>
    <row r="112" spans="1:34" s="1" customFormat="1" ht="12" x14ac:dyDescent="0.3">
      <c r="A112" s="56" t="s">
        <v>123</v>
      </c>
      <c r="B112" s="188">
        <v>90.5263157894736</v>
      </c>
      <c r="C112" s="189">
        <v>115.657752308182</v>
      </c>
      <c r="D112" s="189">
        <v>125.472989949748</v>
      </c>
      <c r="E112" s="189">
        <v>108</v>
      </c>
      <c r="F112" s="189">
        <v>0</v>
      </c>
      <c r="G112" s="189">
        <v>0</v>
      </c>
      <c r="H112" s="189">
        <v>0</v>
      </c>
      <c r="I112" s="189">
        <v>0</v>
      </c>
      <c r="J112" s="189">
        <v>0</v>
      </c>
      <c r="K112" s="189">
        <v>0</v>
      </c>
      <c r="L112" s="189">
        <v>0</v>
      </c>
      <c r="M112" s="189">
        <v>0</v>
      </c>
      <c r="N112" s="189">
        <v>108.79106751737901</v>
      </c>
      <c r="O112" s="16"/>
      <c r="P112" s="89"/>
      <c r="Q112" s="89"/>
      <c r="R112" s="89"/>
      <c r="S112" s="89"/>
      <c r="T112" s="89"/>
      <c r="U112" s="89"/>
      <c r="V112" s="90"/>
      <c r="W112" s="87"/>
      <c r="X112" s="87"/>
      <c r="Y112" s="87"/>
      <c r="Z112" s="87"/>
    </row>
    <row r="113" spans="1:33" s="1" customFormat="1" ht="12" x14ac:dyDescent="0.3">
      <c r="A113" s="53" t="s">
        <v>144</v>
      </c>
      <c r="B113" s="190">
        <v>42.332973473164699</v>
      </c>
      <c r="C113" s="191">
        <v>41.219840217156602</v>
      </c>
      <c r="D113" s="192">
        <v>40.246729945595497</v>
      </c>
      <c r="E113" s="191">
        <v>34.337960746768701</v>
      </c>
      <c r="F113" s="192">
        <v>0</v>
      </c>
      <c r="G113" s="191">
        <v>0</v>
      </c>
      <c r="H113" s="191">
        <v>0</v>
      </c>
      <c r="I113" s="192">
        <v>0</v>
      </c>
      <c r="J113" s="191">
        <v>0</v>
      </c>
      <c r="K113" s="192">
        <v>0</v>
      </c>
      <c r="L113" s="192">
        <v>0</v>
      </c>
      <c r="M113" s="191">
        <v>0</v>
      </c>
      <c r="N113" s="192">
        <v>41.1024299396949</v>
      </c>
      <c r="O113" s="16"/>
      <c r="P113" s="89"/>
      <c r="Q113" s="89"/>
      <c r="R113" s="80"/>
      <c r="S113" s="80"/>
      <c r="T113" s="80"/>
      <c r="U113" s="80"/>
      <c r="V113" s="20"/>
      <c r="Z113" s="87"/>
      <c r="AA113" s="87"/>
      <c r="AB113" s="87"/>
      <c r="AC113" s="87"/>
      <c r="AD113" s="87"/>
      <c r="AE113" s="87"/>
      <c r="AF113" s="87"/>
    </row>
    <row r="114" spans="1:33" s="1" customFormat="1" ht="12" x14ac:dyDescent="0.3">
      <c r="A114" s="55" t="s">
        <v>60</v>
      </c>
      <c r="B114" s="188">
        <v>48.336989698588297</v>
      </c>
      <c r="C114" s="189">
        <v>46.995561254685299</v>
      </c>
      <c r="D114" s="189">
        <v>45.023717701503998</v>
      </c>
      <c r="E114" s="189">
        <v>38.649093904448101</v>
      </c>
      <c r="F114" s="189">
        <v>0</v>
      </c>
      <c r="G114" s="189">
        <v>0</v>
      </c>
      <c r="H114" s="189">
        <v>0</v>
      </c>
      <c r="I114" s="189">
        <v>0</v>
      </c>
      <c r="J114" s="189">
        <v>0</v>
      </c>
      <c r="K114" s="189">
        <v>0</v>
      </c>
      <c r="L114" s="189">
        <v>0</v>
      </c>
      <c r="M114" s="189">
        <v>0</v>
      </c>
      <c r="N114" s="189">
        <v>46.633081231606504</v>
      </c>
      <c r="O114" s="16"/>
      <c r="P114" s="89"/>
      <c r="Q114" s="89"/>
      <c r="R114" s="89"/>
      <c r="S114" s="89"/>
      <c r="T114" s="89"/>
      <c r="U114" s="80"/>
      <c r="V114" s="90"/>
      <c r="W114" s="87"/>
      <c r="X114" s="87"/>
      <c r="Y114" s="87"/>
      <c r="Z114" s="87"/>
      <c r="AA114" s="87"/>
      <c r="AB114" s="87"/>
      <c r="AC114" s="87"/>
    </row>
    <row r="115" spans="1:33" s="1" customFormat="1" ht="12" customHeight="1" x14ac:dyDescent="0.3">
      <c r="A115" s="56" t="s">
        <v>93</v>
      </c>
      <c r="B115" s="188">
        <v>46.8988235294117</v>
      </c>
      <c r="C115" s="189">
        <v>47.062661136643797</v>
      </c>
      <c r="D115" s="189">
        <v>46.310478083250501</v>
      </c>
      <c r="E115" s="189">
        <v>32.658901830282801</v>
      </c>
      <c r="F115" s="189">
        <v>0</v>
      </c>
      <c r="G115" s="189">
        <v>0</v>
      </c>
      <c r="H115" s="189">
        <v>0</v>
      </c>
      <c r="I115" s="189">
        <v>0</v>
      </c>
      <c r="J115" s="189">
        <v>0</v>
      </c>
      <c r="K115" s="189">
        <v>0</v>
      </c>
      <c r="L115" s="189">
        <v>0</v>
      </c>
      <c r="M115" s="189">
        <v>0</v>
      </c>
      <c r="N115" s="189">
        <v>46.453936768233703</v>
      </c>
      <c r="O115" s="16"/>
      <c r="P115" s="89"/>
      <c r="Q115" s="89"/>
      <c r="R115" s="80"/>
      <c r="S115" s="80"/>
      <c r="T115" s="80"/>
      <c r="U115" s="80"/>
      <c r="V115" s="90"/>
      <c r="W115" s="87"/>
      <c r="X115" s="87"/>
      <c r="Y115" s="87"/>
      <c r="Z115" s="87"/>
      <c r="AA115" s="87"/>
      <c r="AB115" s="87"/>
    </row>
    <row r="116" spans="1:33" s="1" customFormat="1" ht="12" x14ac:dyDescent="0.3">
      <c r="A116" s="56" t="s">
        <v>123</v>
      </c>
      <c r="B116" s="188">
        <v>33.939774352455103</v>
      </c>
      <c r="C116" s="189">
        <v>32.935553892215502</v>
      </c>
      <c r="D116" s="189">
        <v>33.340781384279701</v>
      </c>
      <c r="E116" s="189">
        <v>32.513053348467601</v>
      </c>
      <c r="F116" s="189">
        <v>0</v>
      </c>
      <c r="G116" s="189">
        <v>0</v>
      </c>
      <c r="H116" s="189">
        <v>0</v>
      </c>
      <c r="I116" s="189">
        <v>0</v>
      </c>
      <c r="J116" s="189">
        <v>0</v>
      </c>
      <c r="K116" s="189">
        <v>0</v>
      </c>
      <c r="L116" s="189">
        <v>0</v>
      </c>
      <c r="M116" s="189">
        <v>0</v>
      </c>
      <c r="N116" s="189">
        <v>33.374052533727401</v>
      </c>
      <c r="O116" s="16"/>
      <c r="P116" s="89"/>
      <c r="Q116" s="89"/>
      <c r="R116" s="89"/>
      <c r="S116" s="89"/>
      <c r="T116" s="89"/>
      <c r="U116" s="89"/>
      <c r="V116" s="90"/>
      <c r="W116" s="87"/>
      <c r="X116" s="87"/>
      <c r="Y116" s="87"/>
      <c r="Z116" s="87"/>
      <c r="AA116" s="87"/>
      <c r="AB116" s="87"/>
    </row>
    <row r="117" spans="1:33" s="1" customFormat="1" ht="12" x14ac:dyDescent="0.3">
      <c r="A117" s="53" t="s">
        <v>145</v>
      </c>
      <c r="B117" s="190">
        <v>47.255048127223198</v>
      </c>
      <c r="C117" s="191">
        <v>47.538087388872299</v>
      </c>
      <c r="D117" s="192">
        <v>47.166092070573903</v>
      </c>
      <c r="E117" s="191">
        <v>37.454225352112601</v>
      </c>
      <c r="F117" s="192">
        <v>0</v>
      </c>
      <c r="G117" s="191">
        <v>0</v>
      </c>
      <c r="H117" s="191">
        <v>0</v>
      </c>
      <c r="I117" s="192">
        <v>0</v>
      </c>
      <c r="J117" s="191">
        <v>0</v>
      </c>
      <c r="K117" s="192">
        <v>0</v>
      </c>
      <c r="L117" s="192">
        <v>0</v>
      </c>
      <c r="M117" s="191">
        <v>0</v>
      </c>
      <c r="N117" s="192">
        <v>47.124214468317902</v>
      </c>
      <c r="O117" s="16"/>
      <c r="P117" s="16"/>
      <c r="Q117" s="16"/>
      <c r="R117" s="16"/>
      <c r="S117" s="16"/>
      <c r="T117" s="16"/>
      <c r="U117" s="16"/>
      <c r="V117" s="20"/>
    </row>
    <row r="118" spans="1:33" s="1" customFormat="1" ht="12" x14ac:dyDescent="0.3">
      <c r="A118" s="55" t="s">
        <v>60</v>
      </c>
      <c r="B118" s="188">
        <v>46.9044977901031</v>
      </c>
      <c r="C118" s="189">
        <v>46.367556656574003</v>
      </c>
      <c r="D118" s="189">
        <v>44.206090651558</v>
      </c>
      <c r="E118" s="189">
        <v>37.559090909090898</v>
      </c>
      <c r="F118" s="189">
        <v>0</v>
      </c>
      <c r="G118" s="189">
        <v>0</v>
      </c>
      <c r="H118" s="189">
        <v>0</v>
      </c>
      <c r="I118" s="189">
        <v>0</v>
      </c>
      <c r="J118" s="189">
        <v>0</v>
      </c>
      <c r="K118" s="189">
        <v>0</v>
      </c>
      <c r="L118" s="189">
        <v>0</v>
      </c>
      <c r="M118" s="189">
        <v>0</v>
      </c>
      <c r="N118" s="189">
        <v>45.6687794382741</v>
      </c>
      <c r="O118" s="16"/>
      <c r="P118" s="16"/>
      <c r="Q118" s="16"/>
      <c r="R118" s="16"/>
      <c r="S118" s="16"/>
      <c r="T118" s="16"/>
      <c r="U118" s="16"/>
      <c r="V118" s="20"/>
    </row>
    <row r="119" spans="1:33" s="1" customFormat="1" ht="12" x14ac:dyDescent="0.3">
      <c r="A119" s="56" t="s">
        <v>93</v>
      </c>
      <c r="B119" s="188">
        <v>46.7429654759529</v>
      </c>
      <c r="C119" s="189">
        <v>46.9014260435099</v>
      </c>
      <c r="D119" s="189">
        <v>46.479422822883798</v>
      </c>
      <c r="E119" s="189">
        <v>34.1171875</v>
      </c>
      <c r="F119" s="189">
        <v>0</v>
      </c>
      <c r="G119" s="189">
        <v>0</v>
      </c>
      <c r="H119" s="189">
        <v>0</v>
      </c>
      <c r="I119" s="189">
        <v>0</v>
      </c>
      <c r="J119" s="189">
        <v>0</v>
      </c>
      <c r="K119" s="189">
        <v>0</v>
      </c>
      <c r="L119" s="189">
        <v>0</v>
      </c>
      <c r="M119" s="189">
        <v>0</v>
      </c>
      <c r="N119" s="189">
        <v>46.439023580205898</v>
      </c>
      <c r="O119" s="16"/>
      <c r="P119" s="16"/>
      <c r="Q119" s="16"/>
      <c r="R119" s="16"/>
      <c r="S119" s="16"/>
      <c r="T119" s="16"/>
      <c r="U119" s="16"/>
      <c r="V119" s="20"/>
    </row>
    <row r="120" spans="1:33" s="1" customFormat="1" ht="12" x14ac:dyDescent="0.3">
      <c r="A120" s="56" t="s">
        <v>123</v>
      </c>
      <c r="B120" s="188">
        <v>47.805530562053796</v>
      </c>
      <c r="C120" s="189">
        <v>48.681898066783802</v>
      </c>
      <c r="D120" s="189">
        <v>49.361149036098503</v>
      </c>
      <c r="E120" s="189">
        <v>39.580246913580197</v>
      </c>
      <c r="F120" s="189">
        <v>0</v>
      </c>
      <c r="G120" s="189">
        <v>0</v>
      </c>
      <c r="H120" s="189">
        <v>0</v>
      </c>
      <c r="I120" s="189">
        <v>0</v>
      </c>
      <c r="J120" s="189">
        <v>0</v>
      </c>
      <c r="K120" s="189">
        <v>0</v>
      </c>
      <c r="L120" s="189">
        <v>0</v>
      </c>
      <c r="M120" s="189">
        <v>0</v>
      </c>
      <c r="N120" s="189">
        <v>48.471832999714003</v>
      </c>
      <c r="O120" s="16"/>
      <c r="P120" s="16"/>
      <c r="Q120" s="16"/>
      <c r="R120" s="16"/>
      <c r="S120" s="16"/>
      <c r="T120" s="16"/>
      <c r="U120" s="16"/>
      <c r="V120" s="20"/>
    </row>
    <row r="121" spans="1:33" s="1" customFormat="1" ht="12" x14ac:dyDescent="0.3">
      <c r="A121" s="50"/>
      <c r="F121" s="5"/>
      <c r="G121" s="5"/>
      <c r="H121" s="5"/>
      <c r="I121" s="5"/>
      <c r="J121" s="5"/>
      <c r="K121" s="5"/>
      <c r="L121" s="16"/>
      <c r="M121" s="16"/>
      <c r="N121" s="16"/>
      <c r="O121" s="16"/>
      <c r="P121" s="16"/>
      <c r="Q121" s="16"/>
      <c r="R121" s="16"/>
      <c r="S121" s="16"/>
      <c r="T121" s="16"/>
      <c r="U121" s="16"/>
      <c r="V121" s="20"/>
    </row>
    <row r="122" spans="1:33" s="1" customFormat="1" ht="12" x14ac:dyDescent="0.3">
      <c r="A122" s="365"/>
      <c r="B122" s="366"/>
      <c r="C122" s="366"/>
      <c r="D122" s="366"/>
      <c r="E122" s="366"/>
      <c r="F122" s="366"/>
      <c r="G122" s="366"/>
      <c r="H122" s="366"/>
      <c r="I122" s="366"/>
      <c r="J122" s="366"/>
      <c r="K122" s="366"/>
      <c r="L122" s="366"/>
      <c r="M122" s="366"/>
      <c r="N122" s="366"/>
      <c r="O122" s="366"/>
      <c r="P122" s="366"/>
      <c r="Q122" s="366"/>
      <c r="R122" s="366"/>
      <c r="S122" s="366"/>
      <c r="T122" s="366"/>
      <c r="U122" s="366"/>
      <c r="V122" s="367"/>
    </row>
    <row r="123" spans="1:33" s="1" customFormat="1" ht="12" x14ac:dyDescent="0.3">
      <c r="A123" s="50"/>
      <c r="F123" s="5"/>
      <c r="G123" s="5"/>
      <c r="H123" s="5"/>
      <c r="I123" s="5"/>
      <c r="J123" s="5"/>
      <c r="K123" s="5"/>
      <c r="L123" s="16"/>
      <c r="M123" s="16"/>
      <c r="N123" s="16"/>
      <c r="O123" s="16"/>
      <c r="P123" s="16"/>
      <c r="Q123" s="16"/>
      <c r="R123" s="16"/>
      <c r="S123" s="89"/>
      <c r="T123" s="89"/>
      <c r="U123" s="89"/>
      <c r="V123" s="90"/>
    </row>
    <row r="124" spans="1:33" s="5" customFormat="1" ht="24.75" customHeight="1" x14ac:dyDescent="0.3">
      <c r="A124" s="398" t="s">
        <v>787</v>
      </c>
      <c r="B124" s="399"/>
      <c r="C124" s="399"/>
      <c r="D124" s="399"/>
      <c r="E124" s="399"/>
      <c r="F124" s="399"/>
      <c r="G124" s="399"/>
      <c r="H124" s="399"/>
      <c r="I124" s="399"/>
      <c r="J124" s="399"/>
      <c r="K124" s="399"/>
      <c r="L124" s="399"/>
      <c r="M124" s="399"/>
      <c r="N124" s="399"/>
      <c r="O124" s="16"/>
      <c r="P124" s="89"/>
      <c r="Q124" s="89"/>
      <c r="R124" s="89"/>
      <c r="S124" s="89"/>
      <c r="T124" s="89"/>
      <c r="U124" s="89"/>
      <c r="V124" s="90"/>
      <c r="W124" s="86"/>
      <c r="X124" s="86"/>
      <c r="Y124" s="86"/>
      <c r="Z124" s="86"/>
      <c r="AA124" s="86"/>
      <c r="AB124" s="86"/>
    </row>
    <row r="125" spans="1:33" s="1" customFormat="1" ht="12" x14ac:dyDescent="0.3">
      <c r="A125" s="11" t="s">
        <v>142</v>
      </c>
      <c r="B125" s="34" t="s">
        <v>128</v>
      </c>
      <c r="C125" s="34" t="s">
        <v>129</v>
      </c>
      <c r="D125" s="34" t="s">
        <v>130</v>
      </c>
      <c r="E125" s="34" t="s">
        <v>131</v>
      </c>
      <c r="F125" s="34" t="s">
        <v>132</v>
      </c>
      <c r="G125" s="34" t="s">
        <v>133</v>
      </c>
      <c r="H125" s="34" t="s">
        <v>134</v>
      </c>
      <c r="I125" s="34" t="s">
        <v>135</v>
      </c>
      <c r="J125" s="34" t="s">
        <v>136</v>
      </c>
      <c r="K125" s="34" t="s">
        <v>138</v>
      </c>
      <c r="L125" s="34" t="s">
        <v>139</v>
      </c>
      <c r="M125" s="34" t="s">
        <v>140</v>
      </c>
      <c r="N125" s="34" t="s">
        <v>146</v>
      </c>
      <c r="O125" s="16"/>
      <c r="P125" s="80"/>
      <c r="Q125" s="89"/>
      <c r="R125" s="89"/>
      <c r="S125" s="89"/>
      <c r="T125" s="89"/>
      <c r="U125" s="89"/>
      <c r="V125" s="90"/>
      <c r="W125" s="87"/>
      <c r="X125" s="87"/>
      <c r="Y125" s="87"/>
      <c r="Z125" s="87"/>
      <c r="AA125" s="87"/>
      <c r="AB125" s="87"/>
      <c r="AC125" s="87"/>
      <c r="AD125" s="87"/>
      <c r="AE125" s="87"/>
      <c r="AF125" s="87"/>
    </row>
    <row r="126" spans="1:33" s="1" customFormat="1" ht="12.75" customHeight="1" thickBot="1" x14ac:dyDescent="0.35">
      <c r="A126" s="46" t="s">
        <v>1</v>
      </c>
      <c r="B126" s="185">
        <v>63191.290323000001</v>
      </c>
      <c r="C126" s="186">
        <v>66630.433332999994</v>
      </c>
      <c r="D126" s="187">
        <v>69562.741934999998</v>
      </c>
      <c r="E126" s="186">
        <v>69919.333333000002</v>
      </c>
      <c r="F126" s="187">
        <v>0</v>
      </c>
      <c r="G126" s="186">
        <v>0</v>
      </c>
      <c r="H126" s="186">
        <v>0</v>
      </c>
      <c r="I126" s="187">
        <v>0</v>
      </c>
      <c r="J126" s="186">
        <v>0</v>
      </c>
      <c r="K126" s="187">
        <v>0</v>
      </c>
      <c r="L126" s="187">
        <v>0</v>
      </c>
      <c r="M126" s="186">
        <v>0</v>
      </c>
      <c r="N126" s="185">
        <v>66568.905262999993</v>
      </c>
      <c r="O126" s="16"/>
      <c r="P126" s="80"/>
      <c r="Q126" s="80"/>
      <c r="R126" s="80"/>
      <c r="S126" s="80"/>
      <c r="T126" s="88"/>
      <c r="U126" s="80"/>
      <c r="V126" s="91"/>
      <c r="W126" s="92"/>
      <c r="X126" s="92"/>
      <c r="Y126" s="92"/>
      <c r="Z126" s="92"/>
      <c r="AA126" s="92"/>
      <c r="AB126" s="92"/>
    </row>
    <row r="127" spans="1:33" s="1" customFormat="1" ht="12.5" thickTop="1" x14ac:dyDescent="0.3">
      <c r="A127" s="47" t="s">
        <v>731</v>
      </c>
      <c r="B127" s="183">
        <v>425.09677399999998</v>
      </c>
      <c r="C127" s="184">
        <v>720.46666700000003</v>
      </c>
      <c r="D127" s="184">
        <v>1123.032258</v>
      </c>
      <c r="E127" s="184">
        <v>1304.333333</v>
      </c>
      <c r="F127" s="184">
        <v>0</v>
      </c>
      <c r="G127" s="184">
        <v>0</v>
      </c>
      <c r="H127" s="184">
        <v>0</v>
      </c>
      <c r="I127" s="184">
        <v>0</v>
      </c>
      <c r="J127" s="184">
        <v>0</v>
      </c>
      <c r="K127" s="184">
        <v>0</v>
      </c>
      <c r="L127" s="184">
        <v>0</v>
      </c>
      <c r="M127" s="184">
        <v>0</v>
      </c>
      <c r="N127" s="184">
        <v>773.88421100000005</v>
      </c>
      <c r="O127" s="16"/>
      <c r="P127" s="80"/>
      <c r="Q127" s="80"/>
      <c r="R127" s="80"/>
      <c r="S127" s="80"/>
      <c r="T127" s="80"/>
      <c r="U127" s="80"/>
      <c r="V127" s="91"/>
      <c r="W127" s="92"/>
      <c r="X127" s="92"/>
      <c r="Y127" s="92"/>
      <c r="Z127" s="92"/>
      <c r="AA127" s="87"/>
      <c r="AB127" s="92"/>
      <c r="AF127" s="92"/>
      <c r="AG127" s="92"/>
    </row>
    <row r="128" spans="1:33" s="1" customFormat="1" ht="12" x14ac:dyDescent="0.3">
      <c r="A128" s="48" t="s">
        <v>117</v>
      </c>
      <c r="B128" s="183">
        <v>62766.193548000003</v>
      </c>
      <c r="C128" s="184">
        <v>65909.966667000001</v>
      </c>
      <c r="D128" s="184">
        <v>68439.709677000006</v>
      </c>
      <c r="E128" s="184">
        <v>68615</v>
      </c>
      <c r="F128" s="184">
        <v>0</v>
      </c>
      <c r="G128" s="184">
        <v>0</v>
      </c>
      <c r="H128" s="184">
        <v>0</v>
      </c>
      <c r="I128" s="184">
        <v>0</v>
      </c>
      <c r="J128" s="184">
        <v>0</v>
      </c>
      <c r="K128" s="184">
        <v>0</v>
      </c>
      <c r="L128" s="184">
        <v>0</v>
      </c>
      <c r="M128" s="184">
        <v>0</v>
      </c>
      <c r="N128" s="183">
        <v>65795.021053000004</v>
      </c>
      <c r="O128" s="16"/>
      <c r="P128" s="80"/>
      <c r="Q128" s="80"/>
      <c r="R128" s="80"/>
      <c r="S128" s="80"/>
      <c r="T128" s="80"/>
      <c r="U128" s="80"/>
      <c r="V128" s="91"/>
      <c r="W128" s="92"/>
      <c r="X128" s="92"/>
      <c r="Y128" s="92"/>
      <c r="Z128" s="92"/>
      <c r="AA128" s="87"/>
      <c r="AB128" s="92"/>
      <c r="AF128" s="92"/>
      <c r="AG128" s="92"/>
    </row>
    <row r="129" spans="1:33" s="3" customFormat="1" ht="23.25" customHeight="1" x14ac:dyDescent="0.3">
      <c r="A129" s="50"/>
      <c r="B129" s="1"/>
      <c r="C129" s="1"/>
      <c r="D129" s="1"/>
      <c r="E129" s="1"/>
      <c r="F129" s="5"/>
      <c r="G129" s="5"/>
      <c r="H129" s="5"/>
      <c r="I129" s="5"/>
      <c r="J129" s="5"/>
      <c r="K129" s="5"/>
      <c r="L129" s="16"/>
      <c r="M129" s="16"/>
      <c r="N129" s="16"/>
      <c r="O129" s="16"/>
      <c r="P129" s="80"/>
      <c r="Q129" s="80"/>
      <c r="R129" s="80"/>
      <c r="S129" s="80"/>
      <c r="T129" s="80"/>
      <c r="U129" s="80"/>
      <c r="V129" s="91"/>
      <c r="W129" s="93"/>
      <c r="X129" s="93"/>
      <c r="Y129" s="93"/>
      <c r="Z129" s="93"/>
      <c r="AA129" s="93"/>
      <c r="AB129" s="93"/>
      <c r="AC129" s="93"/>
      <c r="AD129" s="93"/>
      <c r="AE129" s="93"/>
      <c r="AF129" s="93"/>
      <c r="AG129" s="93"/>
    </row>
    <row r="130" spans="1:33" s="1" customFormat="1" ht="12.75" customHeight="1" x14ac:dyDescent="0.3">
      <c r="A130" s="398" t="s">
        <v>788</v>
      </c>
      <c r="B130" s="399"/>
      <c r="C130" s="399"/>
      <c r="D130" s="399"/>
      <c r="E130" s="399"/>
      <c r="F130" s="399"/>
      <c r="G130" s="399"/>
      <c r="H130" s="399"/>
      <c r="I130" s="399"/>
      <c r="J130" s="399"/>
      <c r="K130" s="399"/>
      <c r="L130" s="399"/>
      <c r="M130" s="399"/>
      <c r="N130" s="399"/>
      <c r="O130" s="16"/>
      <c r="P130" s="16"/>
      <c r="Q130" s="80"/>
      <c r="R130" s="80"/>
      <c r="S130" s="89"/>
      <c r="T130" s="89"/>
      <c r="U130" s="89"/>
      <c r="V130" s="91"/>
      <c r="W130" s="92"/>
      <c r="X130" s="92"/>
      <c r="Y130" s="92"/>
      <c r="Z130" s="92"/>
      <c r="AA130" s="92"/>
    </row>
    <row r="131" spans="1:33" s="1" customFormat="1" ht="12.75" customHeight="1" x14ac:dyDescent="0.3">
      <c r="A131" s="11" t="s">
        <v>142</v>
      </c>
      <c r="B131" s="34" t="s">
        <v>128</v>
      </c>
      <c r="C131" s="34" t="s">
        <v>129</v>
      </c>
      <c r="D131" s="34" t="s">
        <v>130</v>
      </c>
      <c r="E131" s="34" t="s">
        <v>131</v>
      </c>
      <c r="F131" s="34" t="s">
        <v>132</v>
      </c>
      <c r="G131" s="34" t="s">
        <v>133</v>
      </c>
      <c r="H131" s="34" t="s">
        <v>134</v>
      </c>
      <c r="I131" s="34" t="s">
        <v>135</v>
      </c>
      <c r="J131" s="34" t="s">
        <v>136</v>
      </c>
      <c r="K131" s="34" t="s">
        <v>138</v>
      </c>
      <c r="L131" s="34" t="s">
        <v>139</v>
      </c>
      <c r="M131" s="34" t="s">
        <v>140</v>
      </c>
      <c r="N131" s="34" t="s">
        <v>146</v>
      </c>
      <c r="O131" s="16"/>
      <c r="P131" s="89"/>
      <c r="Q131" s="89"/>
      <c r="R131" s="89"/>
      <c r="S131" s="89"/>
      <c r="T131" s="89"/>
      <c r="U131" s="89"/>
      <c r="V131" s="90"/>
      <c r="W131" s="87"/>
      <c r="X131" s="87"/>
      <c r="Y131" s="87"/>
      <c r="Z131" s="87"/>
      <c r="AA131" s="87"/>
      <c r="AB131" s="87"/>
      <c r="AC131" s="87"/>
      <c r="AD131" s="87"/>
      <c r="AE131" s="87"/>
      <c r="AF131" s="87"/>
    </row>
    <row r="132" spans="1:33" s="5" customFormat="1" ht="14.25" customHeight="1" thickBot="1" x14ac:dyDescent="0.35">
      <c r="A132" s="46" t="s">
        <v>1</v>
      </c>
      <c r="B132" s="190">
        <v>47.255048127223198</v>
      </c>
      <c r="C132" s="191">
        <v>47.538087388872299</v>
      </c>
      <c r="D132" s="192">
        <v>47.166092070573903</v>
      </c>
      <c r="E132" s="191">
        <v>37.454225352112601</v>
      </c>
      <c r="F132" s="192">
        <v>0</v>
      </c>
      <c r="G132" s="191">
        <v>0</v>
      </c>
      <c r="H132" s="191">
        <v>0</v>
      </c>
      <c r="I132" s="192">
        <v>0</v>
      </c>
      <c r="J132" s="191">
        <v>0</v>
      </c>
      <c r="K132" s="192">
        <v>0</v>
      </c>
      <c r="L132" s="192">
        <v>0</v>
      </c>
      <c r="M132" s="191">
        <v>0</v>
      </c>
      <c r="N132" s="192">
        <v>47.124214468317902</v>
      </c>
      <c r="P132" s="86"/>
      <c r="Q132" s="86"/>
      <c r="R132" s="86"/>
      <c r="S132" s="86"/>
      <c r="T132" s="86"/>
      <c r="U132" s="86"/>
      <c r="V132" s="134"/>
      <c r="W132" s="86"/>
      <c r="X132" s="86"/>
      <c r="Y132" s="86"/>
      <c r="Z132" s="86"/>
      <c r="AA132" s="135"/>
      <c r="AB132" s="86"/>
    </row>
    <row r="133" spans="1:33" s="1" customFormat="1" ht="12.75" customHeight="1" thickTop="1" x14ac:dyDescent="0.3">
      <c r="A133" s="47" t="s">
        <v>731</v>
      </c>
      <c r="B133" s="188">
        <v>29.5</v>
      </c>
      <c r="C133" s="189">
        <v>11.6666666666666</v>
      </c>
      <c r="D133" s="189">
        <v>23.3888888888888</v>
      </c>
      <c r="E133" s="189">
        <v>0</v>
      </c>
      <c r="F133" s="189">
        <v>0</v>
      </c>
      <c r="G133" s="189">
        <v>0</v>
      </c>
      <c r="H133" s="189">
        <v>0</v>
      </c>
      <c r="I133" s="189">
        <v>0</v>
      </c>
      <c r="J133" s="189">
        <v>0</v>
      </c>
      <c r="K133" s="189">
        <v>0</v>
      </c>
      <c r="L133" s="189">
        <v>0</v>
      </c>
      <c r="M133" s="189">
        <v>0</v>
      </c>
      <c r="N133" s="189">
        <v>22.391304347826001</v>
      </c>
      <c r="O133" s="16"/>
      <c r="P133" s="16"/>
      <c r="Q133" s="16"/>
      <c r="R133" s="89"/>
      <c r="S133" s="89"/>
      <c r="T133" s="89"/>
      <c r="U133" s="89"/>
      <c r="V133" s="137"/>
      <c r="W133" s="87"/>
      <c r="X133" s="87"/>
      <c r="Y133" s="87"/>
      <c r="Z133" s="87"/>
      <c r="AA133" s="87"/>
      <c r="AB133" s="87"/>
      <c r="AC133" s="87"/>
    </row>
    <row r="134" spans="1:33" s="1" customFormat="1" ht="12.75" customHeight="1" x14ac:dyDescent="0.3">
      <c r="A134" s="48" t="s">
        <v>117</v>
      </c>
      <c r="B134" s="188">
        <v>47.255976981428198</v>
      </c>
      <c r="C134" s="189">
        <v>47.540995568046696</v>
      </c>
      <c r="D134" s="189">
        <v>47.176946487446102</v>
      </c>
      <c r="E134" s="189">
        <v>37.454225352112601</v>
      </c>
      <c r="F134" s="189">
        <v>0</v>
      </c>
      <c r="G134" s="189">
        <v>0</v>
      </c>
      <c r="H134" s="189">
        <v>0</v>
      </c>
      <c r="I134" s="189">
        <v>0</v>
      </c>
      <c r="J134" s="189">
        <v>0</v>
      </c>
      <c r="K134" s="189">
        <v>0</v>
      </c>
      <c r="L134" s="189">
        <v>0</v>
      </c>
      <c r="M134" s="189">
        <v>0</v>
      </c>
      <c r="N134" s="189">
        <v>47.129079154409197</v>
      </c>
      <c r="O134" s="16"/>
      <c r="P134" s="16"/>
      <c r="Q134" s="16"/>
      <c r="R134" s="89"/>
      <c r="S134" s="89"/>
      <c r="T134" s="89"/>
      <c r="U134" s="89"/>
      <c r="V134" s="137"/>
      <c r="W134" s="87"/>
      <c r="X134" s="87"/>
      <c r="Y134" s="87"/>
      <c r="Z134" s="87"/>
      <c r="AA134" s="87"/>
      <c r="AB134" s="87"/>
      <c r="AC134" s="87"/>
    </row>
    <row r="135" spans="1:33" s="1" customFormat="1" ht="12.75" customHeight="1" x14ac:dyDescent="0.3">
      <c r="A135" s="49"/>
      <c r="B135" s="138"/>
      <c r="C135" s="138"/>
      <c r="D135" s="138"/>
      <c r="E135" s="138"/>
      <c r="F135" s="138"/>
      <c r="G135" s="138"/>
      <c r="H135" s="138"/>
      <c r="I135" s="138"/>
      <c r="J135" s="138"/>
      <c r="K135" s="138"/>
      <c r="L135" s="138"/>
      <c r="M135" s="138"/>
      <c r="N135" s="138"/>
      <c r="O135" s="16"/>
      <c r="P135" s="16"/>
      <c r="Q135" s="16"/>
      <c r="R135" s="16"/>
      <c r="S135" s="16"/>
      <c r="T135" s="16"/>
      <c r="U135" s="16"/>
      <c r="V135" s="136"/>
    </row>
    <row r="136" spans="1:33" s="1" customFormat="1" ht="12" x14ac:dyDescent="0.3">
      <c r="A136" s="398" t="s">
        <v>789</v>
      </c>
      <c r="B136" s="399"/>
      <c r="C136" s="399"/>
      <c r="D136" s="399"/>
      <c r="E136" s="399"/>
      <c r="F136" s="399"/>
      <c r="G136" s="399"/>
      <c r="H136" s="399"/>
      <c r="I136" s="399"/>
      <c r="J136" s="399"/>
      <c r="K136" s="399"/>
      <c r="L136" s="399"/>
      <c r="M136" s="399"/>
      <c r="N136" s="399"/>
      <c r="O136" s="16"/>
      <c r="P136" s="16"/>
      <c r="Q136" s="16"/>
      <c r="R136" s="89"/>
      <c r="S136" s="89"/>
      <c r="T136" s="89"/>
      <c r="U136" s="89"/>
      <c r="V136" s="137"/>
      <c r="W136" s="87"/>
      <c r="X136" s="87"/>
      <c r="Y136" s="87"/>
      <c r="Z136" s="87"/>
      <c r="AA136" s="87"/>
      <c r="AB136" s="87"/>
      <c r="AC136" s="87"/>
    </row>
    <row r="137" spans="1:33" s="1" customFormat="1" ht="12" x14ac:dyDescent="0.3">
      <c r="A137" s="11" t="s">
        <v>597</v>
      </c>
      <c r="B137" s="34" t="s">
        <v>128</v>
      </c>
      <c r="C137" s="34" t="s">
        <v>129</v>
      </c>
      <c r="D137" s="34" t="s">
        <v>130</v>
      </c>
      <c r="E137" s="34" t="s">
        <v>131</v>
      </c>
      <c r="F137" s="34" t="s">
        <v>132</v>
      </c>
      <c r="G137" s="34" t="s">
        <v>133</v>
      </c>
      <c r="H137" s="34" t="s">
        <v>134</v>
      </c>
      <c r="I137" s="34" t="s">
        <v>135</v>
      </c>
      <c r="J137" s="34" t="s">
        <v>136</v>
      </c>
      <c r="K137" s="34" t="s">
        <v>138</v>
      </c>
      <c r="L137" s="34" t="s">
        <v>139</v>
      </c>
      <c r="M137" s="34" t="s">
        <v>140</v>
      </c>
      <c r="N137" s="34" t="s">
        <v>146</v>
      </c>
      <c r="O137" s="16"/>
      <c r="P137" s="16"/>
      <c r="Q137" s="16"/>
      <c r="R137" s="89"/>
      <c r="S137" s="89"/>
      <c r="T137" s="89"/>
      <c r="U137" s="89"/>
      <c r="V137" s="137"/>
      <c r="W137" s="87"/>
      <c r="X137" s="87"/>
      <c r="Y137" s="87"/>
      <c r="Z137" s="87"/>
      <c r="AA137" s="87"/>
      <c r="AB137" s="87"/>
      <c r="AC137" s="87"/>
    </row>
    <row r="138" spans="1:33" ht="15" thickBot="1" x14ac:dyDescent="0.4">
      <c r="A138" s="46" t="s">
        <v>1</v>
      </c>
      <c r="B138" s="190">
        <v>47.255048127223198</v>
      </c>
      <c r="C138" s="191">
        <v>47.538087388872299</v>
      </c>
      <c r="D138" s="192">
        <v>47.166092070573903</v>
      </c>
      <c r="E138" s="191">
        <v>37.454225352112601</v>
      </c>
      <c r="F138" s="192">
        <v>0</v>
      </c>
      <c r="G138" s="191">
        <v>0</v>
      </c>
      <c r="H138" s="191">
        <v>0</v>
      </c>
      <c r="I138" s="192">
        <v>0</v>
      </c>
      <c r="J138" s="191">
        <v>0</v>
      </c>
      <c r="K138" s="192">
        <v>0</v>
      </c>
      <c r="L138" s="192">
        <v>0</v>
      </c>
      <c r="M138" s="191">
        <v>0</v>
      </c>
      <c r="N138" s="192">
        <v>47.124214468317902</v>
      </c>
      <c r="V138" s="136"/>
    </row>
    <row r="139" spans="1:33" ht="15" thickTop="1" x14ac:dyDescent="0.35">
      <c r="A139" s="47" t="s">
        <v>56</v>
      </c>
      <c r="B139" s="188">
        <v>74.710942876806598</v>
      </c>
      <c r="C139" s="189">
        <v>92.183086312118505</v>
      </c>
      <c r="D139" s="189">
        <v>96.042927228127496</v>
      </c>
      <c r="E139" s="189">
        <v>73.027322404371503</v>
      </c>
      <c r="F139" s="189">
        <v>0</v>
      </c>
      <c r="G139" s="189">
        <v>0</v>
      </c>
      <c r="H139" s="189">
        <v>0</v>
      </c>
      <c r="I139" s="189">
        <v>0</v>
      </c>
      <c r="J139" s="189">
        <v>0</v>
      </c>
      <c r="K139" s="189">
        <v>0</v>
      </c>
      <c r="L139" s="189">
        <v>0</v>
      </c>
      <c r="M139" s="189">
        <v>0</v>
      </c>
      <c r="N139" s="189">
        <v>86.614668820678503</v>
      </c>
      <c r="V139" s="136"/>
    </row>
    <row r="140" spans="1:33" x14ac:dyDescent="0.35">
      <c r="A140" s="48" t="s">
        <v>74</v>
      </c>
      <c r="B140" s="188">
        <v>42.332973473164699</v>
      </c>
      <c r="C140" s="189">
        <v>41.219840217156602</v>
      </c>
      <c r="D140" s="189">
        <v>40.246729945595497</v>
      </c>
      <c r="E140" s="189">
        <v>34.337960746768701</v>
      </c>
      <c r="F140" s="189">
        <v>0</v>
      </c>
      <c r="G140" s="189">
        <v>0</v>
      </c>
      <c r="H140" s="189">
        <v>0</v>
      </c>
      <c r="I140" s="189">
        <v>0</v>
      </c>
      <c r="J140" s="189">
        <v>0</v>
      </c>
      <c r="K140" s="189">
        <v>0</v>
      </c>
      <c r="L140" s="189">
        <v>0</v>
      </c>
      <c r="M140" s="189">
        <v>0</v>
      </c>
      <c r="N140" s="189">
        <v>41.1024299396949</v>
      </c>
      <c r="O140" s="78"/>
      <c r="V140" s="136"/>
    </row>
    <row r="141" spans="1:33" x14ac:dyDescent="0.35">
      <c r="A141" s="18"/>
      <c r="B141" s="138"/>
      <c r="C141" s="138"/>
      <c r="D141" s="138"/>
      <c r="E141" s="138"/>
      <c r="F141" s="138"/>
      <c r="G141" s="138"/>
      <c r="H141" s="138"/>
      <c r="I141" s="138"/>
      <c r="J141" s="138"/>
      <c r="K141" s="159"/>
      <c r="L141" s="138"/>
      <c r="M141" s="138"/>
      <c r="N141" s="160"/>
      <c r="O141" s="78"/>
      <c r="V141" s="136"/>
    </row>
    <row r="142" spans="1:33" x14ac:dyDescent="0.35">
      <c r="A142" s="235" t="s">
        <v>790</v>
      </c>
      <c r="B142" s="138"/>
      <c r="C142" s="138"/>
      <c r="D142" s="138"/>
      <c r="E142" s="138"/>
      <c r="F142" s="138"/>
      <c r="G142" s="138"/>
      <c r="H142" s="138"/>
      <c r="I142" s="138"/>
      <c r="J142" s="138"/>
      <c r="K142" s="159"/>
      <c r="L142" s="138"/>
      <c r="M142" s="138"/>
      <c r="N142" s="160"/>
      <c r="O142" s="78"/>
      <c r="V142" s="136"/>
    </row>
    <row r="143" spans="1:33" x14ac:dyDescent="0.35">
      <c r="A143" s="11" t="s">
        <v>628</v>
      </c>
      <c r="B143" s="161" t="s">
        <v>128</v>
      </c>
      <c r="C143" s="161" t="s">
        <v>129</v>
      </c>
      <c r="D143" s="161" t="s">
        <v>130</v>
      </c>
      <c r="E143" s="161" t="s">
        <v>131</v>
      </c>
      <c r="F143" s="161" t="s">
        <v>132</v>
      </c>
      <c r="G143" s="161" t="s">
        <v>133</v>
      </c>
      <c r="H143" s="161" t="s">
        <v>134</v>
      </c>
      <c r="I143" s="161" t="s">
        <v>135</v>
      </c>
      <c r="J143" s="161" t="s">
        <v>136</v>
      </c>
      <c r="K143" s="161" t="s">
        <v>138</v>
      </c>
      <c r="L143" s="161" t="s">
        <v>139</v>
      </c>
      <c r="M143" s="161" t="s">
        <v>140</v>
      </c>
      <c r="N143" s="161" t="s">
        <v>146</v>
      </c>
      <c r="O143" s="78"/>
      <c r="V143" s="136"/>
      <c r="W143" s="1"/>
    </row>
    <row r="144" spans="1:33" x14ac:dyDescent="0.35">
      <c r="A144" s="167" t="s">
        <v>778</v>
      </c>
      <c r="B144" s="183">
        <v>2</v>
      </c>
      <c r="C144" s="184">
        <v>2</v>
      </c>
      <c r="D144" s="184">
        <v>3</v>
      </c>
      <c r="E144" s="184">
        <v>0</v>
      </c>
      <c r="F144" s="184">
        <v>0</v>
      </c>
      <c r="G144" s="184">
        <v>0</v>
      </c>
      <c r="H144" s="184">
        <v>0</v>
      </c>
      <c r="I144" s="184">
        <v>0</v>
      </c>
      <c r="J144" s="184">
        <v>0</v>
      </c>
      <c r="K144" s="184">
        <v>0</v>
      </c>
      <c r="L144" s="184">
        <v>0</v>
      </c>
      <c r="M144" s="184">
        <v>0</v>
      </c>
      <c r="N144" s="184">
        <f>SUM(B144:M144)</f>
        <v>7</v>
      </c>
      <c r="O144" s="78"/>
      <c r="V144" s="136"/>
      <c r="W144" s="1"/>
    </row>
    <row r="145" spans="1:23" x14ac:dyDescent="0.35">
      <c r="A145" s="167" t="s">
        <v>702</v>
      </c>
      <c r="B145" s="183">
        <v>0</v>
      </c>
      <c r="C145" s="184">
        <v>0</v>
      </c>
      <c r="D145" s="184">
        <v>0</v>
      </c>
      <c r="E145" s="184">
        <v>0</v>
      </c>
      <c r="F145" s="184">
        <v>0</v>
      </c>
      <c r="G145" s="184">
        <v>0</v>
      </c>
      <c r="H145" s="184">
        <v>0</v>
      </c>
      <c r="I145" s="184">
        <v>0</v>
      </c>
      <c r="J145" s="184">
        <v>0</v>
      </c>
      <c r="K145" s="184">
        <v>0</v>
      </c>
      <c r="L145" s="184">
        <v>0</v>
      </c>
      <c r="M145" s="184">
        <v>0</v>
      </c>
      <c r="N145" s="184">
        <f>SUM(B145:M145)</f>
        <v>0</v>
      </c>
      <c r="O145" s="78"/>
      <c r="V145" s="136"/>
      <c r="W145" s="1"/>
    </row>
    <row r="146" spans="1:23" x14ac:dyDescent="0.35">
      <c r="A146" s="169" t="s">
        <v>675</v>
      </c>
      <c r="B146" s="183">
        <v>409</v>
      </c>
      <c r="C146" s="184">
        <v>444</v>
      </c>
      <c r="D146" s="184">
        <v>512</v>
      </c>
      <c r="E146" s="184">
        <v>640</v>
      </c>
      <c r="F146" s="184">
        <v>629</v>
      </c>
      <c r="G146" s="184">
        <v>622</v>
      </c>
      <c r="H146" s="184">
        <v>632</v>
      </c>
      <c r="I146" s="184">
        <v>512</v>
      </c>
      <c r="J146" s="184">
        <v>524</v>
      </c>
      <c r="K146" s="184">
        <v>553</v>
      </c>
      <c r="L146" s="184">
        <v>877</v>
      </c>
      <c r="M146" s="184">
        <v>697</v>
      </c>
      <c r="N146" s="184">
        <f>SUM(B146:M146)</f>
        <v>7051</v>
      </c>
      <c r="O146" s="78"/>
      <c r="V146" s="136"/>
      <c r="W146" s="1"/>
    </row>
    <row r="147" spans="1:23" x14ac:dyDescent="0.35">
      <c r="A147" s="168"/>
      <c r="B147" s="18"/>
      <c r="C147" s="166"/>
      <c r="D147" s="166"/>
      <c r="E147" s="166"/>
      <c r="F147" s="166"/>
      <c r="G147" s="166"/>
      <c r="H147" s="166"/>
      <c r="I147" s="166"/>
      <c r="J147" s="166"/>
      <c r="K147" s="166"/>
      <c r="L147" s="159"/>
      <c r="M147" s="166"/>
      <c r="N147" s="166"/>
      <c r="O147" s="78"/>
      <c r="P147" s="78"/>
      <c r="V147" s="136"/>
      <c r="W147" s="1"/>
    </row>
    <row r="148" spans="1:23" x14ac:dyDescent="0.35">
      <c r="A148" s="235" t="s">
        <v>791</v>
      </c>
      <c r="B148" s="138"/>
      <c r="C148" s="138"/>
      <c r="D148" s="138"/>
      <c r="E148" s="138"/>
      <c r="F148" s="138"/>
      <c r="G148" s="138"/>
      <c r="H148" s="138"/>
      <c r="I148" s="138"/>
      <c r="J148" s="138"/>
      <c r="K148" s="159"/>
      <c r="L148" s="138"/>
      <c r="M148" s="138"/>
      <c r="N148" s="160"/>
      <c r="O148" s="78"/>
      <c r="V148" s="136"/>
    </row>
    <row r="149" spans="1:23" x14ac:dyDescent="0.35">
      <c r="A149" s="11" t="s">
        <v>628</v>
      </c>
      <c r="B149" s="11" t="s">
        <v>626</v>
      </c>
      <c r="C149" s="161" t="s">
        <v>128</v>
      </c>
      <c r="D149" s="161" t="s">
        <v>129</v>
      </c>
      <c r="E149" s="161" t="s">
        <v>130</v>
      </c>
      <c r="F149" s="161" t="s">
        <v>131</v>
      </c>
      <c r="G149" s="161" t="s">
        <v>132</v>
      </c>
      <c r="H149" s="161" t="s">
        <v>133</v>
      </c>
      <c r="I149" s="161" t="s">
        <v>134</v>
      </c>
      <c r="J149" s="161" t="s">
        <v>135</v>
      </c>
      <c r="K149" s="161" t="s">
        <v>136</v>
      </c>
      <c r="L149" s="161" t="s">
        <v>138</v>
      </c>
      <c r="M149" s="161" t="s">
        <v>139</v>
      </c>
      <c r="N149" s="161" t="s">
        <v>140</v>
      </c>
      <c r="O149" s="161" t="s">
        <v>146</v>
      </c>
      <c r="P149" s="78"/>
      <c r="V149" s="136"/>
    </row>
    <row r="150" spans="1:23" x14ac:dyDescent="0.35">
      <c r="A150" s="428" t="s">
        <v>778</v>
      </c>
      <c r="B150" s="32" t="s">
        <v>627</v>
      </c>
      <c r="C150" s="183">
        <v>0</v>
      </c>
      <c r="D150" s="184">
        <v>0</v>
      </c>
      <c r="E150" s="184">
        <v>0</v>
      </c>
      <c r="F150" s="184">
        <v>0</v>
      </c>
      <c r="G150" s="184">
        <v>0</v>
      </c>
      <c r="H150" s="184">
        <v>0</v>
      </c>
      <c r="I150" s="184">
        <v>0</v>
      </c>
      <c r="J150" s="184">
        <v>0</v>
      </c>
      <c r="K150" s="184">
        <v>0</v>
      </c>
      <c r="L150" s="184">
        <v>0</v>
      </c>
      <c r="M150" s="184">
        <v>0</v>
      </c>
      <c r="N150" s="184">
        <v>0</v>
      </c>
      <c r="O150" s="162">
        <f t="shared" ref="O150:O155" si="16">SUM(C150:N150)</f>
        <v>0</v>
      </c>
      <c r="P150" s="78"/>
      <c r="V150" s="136"/>
    </row>
    <row r="151" spans="1:23" x14ac:dyDescent="0.35">
      <c r="A151" s="429"/>
      <c r="B151" s="32" t="s">
        <v>634</v>
      </c>
      <c r="C151" s="183">
        <v>1</v>
      </c>
      <c r="D151" s="184">
        <v>3</v>
      </c>
      <c r="E151" s="184">
        <v>2</v>
      </c>
      <c r="F151" s="184">
        <v>0</v>
      </c>
      <c r="G151" s="184">
        <v>0</v>
      </c>
      <c r="H151" s="184">
        <v>0</v>
      </c>
      <c r="I151" s="184">
        <v>0</v>
      </c>
      <c r="J151" s="184">
        <v>0</v>
      </c>
      <c r="K151" s="184">
        <v>0</v>
      </c>
      <c r="L151" s="184">
        <v>0</v>
      </c>
      <c r="M151" s="184">
        <v>0</v>
      </c>
      <c r="N151" s="184">
        <v>0</v>
      </c>
      <c r="O151" s="162">
        <f t="shared" si="16"/>
        <v>6</v>
      </c>
      <c r="P151" s="78"/>
      <c r="V151" s="136"/>
    </row>
    <row r="152" spans="1:23" x14ac:dyDescent="0.35">
      <c r="A152" s="428" t="s">
        <v>702</v>
      </c>
      <c r="B152" s="32" t="s">
        <v>627</v>
      </c>
      <c r="C152" s="183">
        <v>0</v>
      </c>
      <c r="D152" s="184">
        <v>0</v>
      </c>
      <c r="E152" s="184">
        <v>0</v>
      </c>
      <c r="F152" s="184">
        <v>0</v>
      </c>
      <c r="G152" s="184">
        <v>0</v>
      </c>
      <c r="H152" s="184">
        <v>0</v>
      </c>
      <c r="I152" s="184">
        <v>0</v>
      </c>
      <c r="J152" s="184">
        <v>0</v>
      </c>
      <c r="K152" s="184">
        <v>0</v>
      </c>
      <c r="L152" s="184">
        <v>0</v>
      </c>
      <c r="M152" s="184">
        <v>0</v>
      </c>
      <c r="N152" s="184">
        <v>0</v>
      </c>
      <c r="O152" s="162">
        <f t="shared" si="16"/>
        <v>0</v>
      </c>
      <c r="P152" s="78"/>
      <c r="V152" s="136"/>
    </row>
    <row r="153" spans="1:23" x14ac:dyDescent="0.35">
      <c r="A153" s="429"/>
      <c r="B153" s="32" t="s">
        <v>634</v>
      </c>
      <c r="C153" s="183">
        <v>0</v>
      </c>
      <c r="D153" s="184">
        <v>0</v>
      </c>
      <c r="E153" s="184">
        <v>0</v>
      </c>
      <c r="F153" s="184">
        <v>0</v>
      </c>
      <c r="G153" s="184">
        <v>0</v>
      </c>
      <c r="H153" s="184">
        <v>0</v>
      </c>
      <c r="I153" s="184">
        <v>0</v>
      </c>
      <c r="J153" s="184">
        <v>0</v>
      </c>
      <c r="K153" s="184">
        <v>0</v>
      </c>
      <c r="L153" s="184">
        <v>0</v>
      </c>
      <c r="M153" s="184">
        <v>0</v>
      </c>
      <c r="N153" s="184">
        <v>0</v>
      </c>
      <c r="O153" s="162">
        <f t="shared" si="16"/>
        <v>0</v>
      </c>
      <c r="P153" s="78"/>
      <c r="V153" s="136"/>
    </row>
    <row r="154" spans="1:23" x14ac:dyDescent="0.35">
      <c r="A154" s="428" t="s">
        <v>675</v>
      </c>
      <c r="B154" s="32" t="s">
        <v>627</v>
      </c>
      <c r="C154" s="183">
        <v>322</v>
      </c>
      <c r="D154" s="184">
        <v>355</v>
      </c>
      <c r="E154" s="184">
        <v>351</v>
      </c>
      <c r="F154" s="184">
        <v>388</v>
      </c>
      <c r="G154" s="184">
        <v>376</v>
      </c>
      <c r="H154" s="184">
        <v>452</v>
      </c>
      <c r="I154" s="184">
        <v>434</v>
      </c>
      <c r="J154" s="184">
        <v>332</v>
      </c>
      <c r="K154" s="184">
        <v>354</v>
      </c>
      <c r="L154" s="184">
        <v>323</v>
      </c>
      <c r="M154" s="184">
        <v>575</v>
      </c>
      <c r="N154" s="184">
        <v>409</v>
      </c>
      <c r="O154" s="162">
        <f t="shared" si="16"/>
        <v>4671</v>
      </c>
      <c r="P154" s="78"/>
      <c r="V154" s="136"/>
    </row>
    <row r="155" spans="1:23" x14ac:dyDescent="0.35">
      <c r="A155" s="429"/>
      <c r="B155" s="32" t="s">
        <v>634</v>
      </c>
      <c r="C155" s="183">
        <v>54</v>
      </c>
      <c r="D155" s="184">
        <v>66</v>
      </c>
      <c r="E155" s="184">
        <v>54</v>
      </c>
      <c r="F155" s="184">
        <v>71</v>
      </c>
      <c r="G155" s="184">
        <v>101</v>
      </c>
      <c r="H155" s="184">
        <v>79</v>
      </c>
      <c r="I155" s="184">
        <v>123</v>
      </c>
      <c r="J155" s="184">
        <v>115</v>
      </c>
      <c r="K155" s="184">
        <v>112</v>
      </c>
      <c r="L155" s="184">
        <v>167</v>
      </c>
      <c r="M155" s="184">
        <v>196</v>
      </c>
      <c r="N155" s="184">
        <v>222</v>
      </c>
      <c r="O155" s="162">
        <f t="shared" si="16"/>
        <v>1360</v>
      </c>
      <c r="P155" s="78"/>
      <c r="V155" s="136"/>
    </row>
    <row r="156" spans="1:23" x14ac:dyDescent="0.35">
      <c r="B156" s="78"/>
      <c r="C156" s="78"/>
      <c r="D156" s="78"/>
      <c r="E156" s="78"/>
      <c r="F156" s="78"/>
      <c r="G156" s="78"/>
      <c r="H156" s="78"/>
      <c r="I156" s="78"/>
      <c r="J156" s="78"/>
      <c r="K156" s="78"/>
      <c r="L156" s="78"/>
      <c r="M156" s="78"/>
      <c r="V156" s="136"/>
    </row>
    <row r="157" spans="1:23" ht="15" thickBot="1" x14ac:dyDescent="0.4">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5"/>
    </row>
    <row r="158" spans="1:23" x14ac:dyDescent="0.35">
      <c r="B158" s="79"/>
      <c r="C158" s="79"/>
      <c r="D158" s="79"/>
      <c r="E158" s="79"/>
      <c r="F158" s="79"/>
      <c r="G158" s="79"/>
      <c r="H158" s="79"/>
      <c r="I158" s="79"/>
      <c r="J158" s="79"/>
      <c r="K158" s="79"/>
      <c r="L158" s="79"/>
      <c r="M158" s="79"/>
      <c r="P158" s="79"/>
    </row>
    <row r="159" spans="1:23" ht="15" thickBot="1" x14ac:dyDescent="0.4">
      <c r="A159" s="399" t="s">
        <v>708</v>
      </c>
      <c r="B159" s="399"/>
      <c r="C159" s="399"/>
      <c r="D159" s="399"/>
      <c r="E159" s="399"/>
      <c r="F159" s="399"/>
      <c r="G159" s="399"/>
      <c r="H159" s="399"/>
      <c r="I159" s="399"/>
      <c r="J159" s="399"/>
      <c r="K159" s="399"/>
      <c r="L159" s="399"/>
      <c r="M159" s="399"/>
      <c r="N159" s="399"/>
    </row>
    <row r="160" spans="1:23" x14ac:dyDescent="0.35">
      <c r="A160" s="226" t="s">
        <v>681</v>
      </c>
      <c r="B160" s="227" t="s">
        <v>682</v>
      </c>
      <c r="C160" s="225" t="s">
        <v>1</v>
      </c>
      <c r="D160" s="79"/>
      <c r="E160" s="79"/>
      <c r="F160" s="79"/>
      <c r="G160" s="79"/>
      <c r="H160" s="79"/>
      <c r="I160" s="79"/>
      <c r="J160" s="79"/>
      <c r="K160" s="79"/>
      <c r="L160" s="79"/>
      <c r="M160" s="78"/>
      <c r="P160" s="79"/>
    </row>
    <row r="161" spans="1:9" ht="15" thickBot="1" x14ac:dyDescent="0.4">
      <c r="A161" s="229" t="s">
        <v>1</v>
      </c>
      <c r="B161" s="230"/>
      <c r="C161" s="231">
        <f>SUM(C162:C211)</f>
        <v>89</v>
      </c>
      <c r="D161" s="79"/>
      <c r="E161" s="79"/>
      <c r="F161" s="79"/>
      <c r="G161" s="79"/>
      <c r="H161" s="78"/>
      <c r="I161" s="78"/>
    </row>
    <row r="162" spans="1:9" ht="15" thickTop="1" x14ac:dyDescent="0.35">
      <c r="A162" s="228" t="s">
        <v>805</v>
      </c>
      <c r="B162" s="196" t="s">
        <v>695</v>
      </c>
      <c r="C162" s="232">
        <v>2</v>
      </c>
      <c r="D162" s="78"/>
      <c r="E162" s="79"/>
      <c r="F162" s="78"/>
    </row>
    <row r="163" spans="1:9" x14ac:dyDescent="0.35">
      <c r="A163" s="233" t="s">
        <v>748</v>
      </c>
      <c r="B163" s="197" t="s">
        <v>749</v>
      </c>
      <c r="C163" s="234">
        <v>3</v>
      </c>
    </row>
    <row r="164" spans="1:9" x14ac:dyDescent="0.35">
      <c r="A164" s="233" t="s">
        <v>806</v>
      </c>
      <c r="B164" s="197" t="s">
        <v>807</v>
      </c>
      <c r="C164" s="234">
        <v>1</v>
      </c>
    </row>
    <row r="165" spans="1:9" x14ac:dyDescent="0.35">
      <c r="A165" s="233" t="s">
        <v>724</v>
      </c>
      <c r="B165" s="197" t="s">
        <v>725</v>
      </c>
      <c r="C165" s="234">
        <v>1</v>
      </c>
    </row>
    <row r="166" spans="1:9" x14ac:dyDescent="0.35">
      <c r="A166" s="233" t="s">
        <v>808</v>
      </c>
      <c r="B166" s="197" t="s">
        <v>809</v>
      </c>
      <c r="C166" s="234">
        <v>1</v>
      </c>
    </row>
    <row r="167" spans="1:9" x14ac:dyDescent="0.35">
      <c r="A167" s="233" t="s">
        <v>763</v>
      </c>
      <c r="B167" s="197" t="s">
        <v>764</v>
      </c>
      <c r="C167" s="234">
        <v>2</v>
      </c>
    </row>
    <row r="168" spans="1:9" x14ac:dyDescent="0.35">
      <c r="A168" s="233" t="s">
        <v>720</v>
      </c>
      <c r="B168" s="197" t="s">
        <v>721</v>
      </c>
      <c r="C168" s="234">
        <v>1</v>
      </c>
    </row>
    <row r="169" spans="1:9" x14ac:dyDescent="0.35">
      <c r="A169" s="233" t="s">
        <v>842</v>
      </c>
      <c r="B169" s="197" t="s">
        <v>810</v>
      </c>
      <c r="C169" s="234">
        <v>2</v>
      </c>
    </row>
    <row r="170" spans="1:9" x14ac:dyDescent="0.35">
      <c r="A170" s="233" t="s">
        <v>301</v>
      </c>
      <c r="B170" s="197" t="s">
        <v>694</v>
      </c>
      <c r="C170" s="234">
        <v>1</v>
      </c>
    </row>
    <row r="171" spans="1:9" x14ac:dyDescent="0.35">
      <c r="A171" s="233" t="s">
        <v>726</v>
      </c>
      <c r="B171" s="197" t="s">
        <v>727</v>
      </c>
      <c r="C171" s="234">
        <v>3</v>
      </c>
    </row>
    <row r="172" spans="1:9" x14ac:dyDescent="0.35">
      <c r="A172" s="233" t="s">
        <v>579</v>
      </c>
      <c r="B172" s="197" t="s">
        <v>750</v>
      </c>
      <c r="C172" s="234">
        <v>2</v>
      </c>
    </row>
    <row r="173" spans="1:9" x14ac:dyDescent="0.35">
      <c r="A173" s="233" t="s">
        <v>732</v>
      </c>
      <c r="B173" s="197" t="s">
        <v>733</v>
      </c>
      <c r="C173" s="234">
        <v>1</v>
      </c>
    </row>
    <row r="174" spans="1:9" x14ac:dyDescent="0.35">
      <c r="A174" s="233" t="s">
        <v>834</v>
      </c>
      <c r="B174" s="197" t="s">
        <v>835</v>
      </c>
      <c r="C174" s="234">
        <v>1</v>
      </c>
    </row>
    <row r="175" spans="1:9" x14ac:dyDescent="0.35">
      <c r="A175" s="233" t="s">
        <v>255</v>
      </c>
      <c r="B175" s="197" t="s">
        <v>693</v>
      </c>
      <c r="C175" s="234">
        <v>1</v>
      </c>
    </row>
    <row r="176" spans="1:9" x14ac:dyDescent="0.35">
      <c r="A176" s="233" t="s">
        <v>843</v>
      </c>
      <c r="B176" s="197" t="s">
        <v>844</v>
      </c>
      <c r="C176" s="234">
        <v>2</v>
      </c>
    </row>
    <row r="177" spans="1:3" x14ac:dyDescent="0.35">
      <c r="A177" s="233" t="s">
        <v>772</v>
      </c>
      <c r="B177" s="197" t="s">
        <v>773</v>
      </c>
      <c r="C177" s="234">
        <v>1</v>
      </c>
    </row>
    <row r="178" spans="1:3" x14ac:dyDescent="0.35">
      <c r="A178" s="233" t="s">
        <v>722</v>
      </c>
      <c r="B178" s="197" t="s">
        <v>723</v>
      </c>
      <c r="C178" s="234">
        <v>6</v>
      </c>
    </row>
    <row r="179" spans="1:3" x14ac:dyDescent="0.35">
      <c r="A179" s="233" t="s">
        <v>8</v>
      </c>
      <c r="B179" s="197" t="s">
        <v>845</v>
      </c>
      <c r="C179" s="234">
        <v>1</v>
      </c>
    </row>
    <row r="180" spans="1:3" x14ac:dyDescent="0.35">
      <c r="A180" s="233" t="s">
        <v>698</v>
      </c>
      <c r="B180" s="197" t="s">
        <v>699</v>
      </c>
      <c r="C180" s="234">
        <v>2</v>
      </c>
    </row>
    <row r="181" spans="1:3" x14ac:dyDescent="0.35">
      <c r="A181" s="233" t="s">
        <v>759</v>
      </c>
      <c r="B181" s="197" t="s">
        <v>760</v>
      </c>
      <c r="C181" s="234">
        <v>1</v>
      </c>
    </row>
    <row r="182" spans="1:3" x14ac:dyDescent="0.35">
      <c r="A182" s="233" t="s">
        <v>811</v>
      </c>
      <c r="B182" s="197" t="s">
        <v>812</v>
      </c>
      <c r="C182" s="234">
        <v>1</v>
      </c>
    </row>
    <row r="183" spans="1:3" x14ac:dyDescent="0.35">
      <c r="A183" s="233" t="s">
        <v>757</v>
      </c>
      <c r="B183" s="197" t="s">
        <v>758</v>
      </c>
      <c r="C183" s="234">
        <v>1</v>
      </c>
    </row>
    <row r="184" spans="1:3" x14ac:dyDescent="0.35">
      <c r="A184" s="233" t="s">
        <v>14</v>
      </c>
      <c r="B184" s="197" t="s">
        <v>765</v>
      </c>
      <c r="C184" s="234">
        <v>3</v>
      </c>
    </row>
    <row r="185" spans="1:3" x14ac:dyDescent="0.35">
      <c r="A185" s="233" t="s">
        <v>830</v>
      </c>
      <c r="B185" s="197" t="s">
        <v>831</v>
      </c>
      <c r="C185" s="234">
        <v>1</v>
      </c>
    </row>
    <row r="186" spans="1:3" x14ac:dyDescent="0.35">
      <c r="A186" s="233" t="s">
        <v>696</v>
      </c>
      <c r="B186" s="197" t="s">
        <v>697</v>
      </c>
      <c r="C186" s="234">
        <v>3</v>
      </c>
    </row>
    <row r="187" spans="1:3" x14ac:dyDescent="0.35">
      <c r="A187" s="233" t="s">
        <v>766</v>
      </c>
      <c r="B187" s="197" t="s">
        <v>767</v>
      </c>
      <c r="C187" s="234">
        <v>1</v>
      </c>
    </row>
    <row r="188" spans="1:3" x14ac:dyDescent="0.35">
      <c r="A188" s="233" t="s">
        <v>17</v>
      </c>
      <c r="B188" s="197" t="s">
        <v>813</v>
      </c>
      <c r="C188" s="234">
        <v>1</v>
      </c>
    </row>
    <row r="189" spans="1:3" x14ac:dyDescent="0.35">
      <c r="A189" s="233" t="s">
        <v>814</v>
      </c>
      <c r="B189" s="197" t="s">
        <v>815</v>
      </c>
      <c r="C189" s="234">
        <v>3</v>
      </c>
    </row>
    <row r="190" spans="1:3" x14ac:dyDescent="0.35">
      <c r="A190" s="233" t="s">
        <v>816</v>
      </c>
      <c r="B190" s="197" t="s">
        <v>817</v>
      </c>
      <c r="C190" s="234">
        <v>1</v>
      </c>
    </row>
    <row r="191" spans="1:3" x14ac:dyDescent="0.35">
      <c r="A191" s="233" t="s">
        <v>700</v>
      </c>
      <c r="B191" s="197" t="s">
        <v>701</v>
      </c>
      <c r="C191" s="234">
        <v>2</v>
      </c>
    </row>
    <row r="192" spans="1:3" x14ac:dyDescent="0.35">
      <c r="A192" s="233" t="s">
        <v>768</v>
      </c>
      <c r="B192" s="197" t="s">
        <v>769</v>
      </c>
      <c r="C192" s="234">
        <v>4</v>
      </c>
    </row>
    <row r="193" spans="1:3" x14ac:dyDescent="0.35">
      <c r="A193" s="233" t="s">
        <v>818</v>
      </c>
      <c r="B193" s="197" t="s">
        <v>819</v>
      </c>
      <c r="C193" s="234">
        <v>1</v>
      </c>
    </row>
    <row r="194" spans="1:3" x14ac:dyDescent="0.35">
      <c r="A194" s="233" t="s">
        <v>832</v>
      </c>
      <c r="B194" s="197" t="s">
        <v>833</v>
      </c>
      <c r="C194" s="234">
        <v>1</v>
      </c>
    </row>
    <row r="195" spans="1:3" x14ac:dyDescent="0.35">
      <c r="A195" s="233" t="s">
        <v>820</v>
      </c>
      <c r="B195" s="197" t="s">
        <v>821</v>
      </c>
      <c r="C195" s="234">
        <v>1</v>
      </c>
    </row>
    <row r="196" spans="1:3" x14ac:dyDescent="0.35">
      <c r="A196" s="233" t="s">
        <v>770</v>
      </c>
      <c r="B196" s="197" t="s">
        <v>771</v>
      </c>
      <c r="C196" s="234">
        <v>1</v>
      </c>
    </row>
    <row r="197" spans="1:3" x14ac:dyDescent="0.35">
      <c r="A197" s="233" t="s">
        <v>745</v>
      </c>
      <c r="B197" s="197" t="s">
        <v>746</v>
      </c>
      <c r="C197" s="234">
        <v>2</v>
      </c>
    </row>
    <row r="198" spans="1:3" x14ac:dyDescent="0.35">
      <c r="A198" s="233" t="s">
        <v>751</v>
      </c>
      <c r="B198" s="197" t="s">
        <v>752</v>
      </c>
      <c r="C198" s="234">
        <v>2</v>
      </c>
    </row>
    <row r="199" spans="1:3" x14ac:dyDescent="0.35">
      <c r="A199" s="233" t="s">
        <v>734</v>
      </c>
      <c r="B199" s="197" t="s">
        <v>735</v>
      </c>
      <c r="C199" s="234">
        <v>2</v>
      </c>
    </row>
    <row r="200" spans="1:3" x14ac:dyDescent="0.35">
      <c r="A200" s="233" t="s">
        <v>774</v>
      </c>
      <c r="B200" s="197" t="s">
        <v>775</v>
      </c>
      <c r="C200" s="234">
        <v>1</v>
      </c>
    </row>
    <row r="201" spans="1:3" x14ac:dyDescent="0.35">
      <c r="A201" s="233" t="s">
        <v>846</v>
      </c>
      <c r="B201" s="197" t="s">
        <v>847</v>
      </c>
      <c r="C201" s="234">
        <v>2</v>
      </c>
    </row>
    <row r="202" spans="1:3" x14ac:dyDescent="0.35">
      <c r="A202" s="233" t="s">
        <v>32</v>
      </c>
      <c r="B202" s="197" t="s">
        <v>744</v>
      </c>
      <c r="C202" s="234">
        <v>6</v>
      </c>
    </row>
    <row r="203" spans="1:3" x14ac:dyDescent="0.35">
      <c r="A203" s="233" t="s">
        <v>728</v>
      </c>
      <c r="B203" s="197" t="s">
        <v>729</v>
      </c>
      <c r="C203" s="234">
        <v>4</v>
      </c>
    </row>
    <row r="204" spans="1:3" x14ac:dyDescent="0.35">
      <c r="A204" s="233" t="s">
        <v>691</v>
      </c>
      <c r="B204" s="197" t="s">
        <v>692</v>
      </c>
      <c r="C204" s="234">
        <v>2</v>
      </c>
    </row>
    <row r="205" spans="1:3" x14ac:dyDescent="0.35">
      <c r="A205" s="233" t="s">
        <v>761</v>
      </c>
      <c r="B205" s="197" t="s">
        <v>762</v>
      </c>
      <c r="C205" s="234">
        <v>1</v>
      </c>
    </row>
    <row r="206" spans="1:3" x14ac:dyDescent="0.35">
      <c r="A206" s="233" t="s">
        <v>848</v>
      </c>
      <c r="B206" s="197" t="s">
        <v>849</v>
      </c>
      <c r="C206" s="234">
        <v>1</v>
      </c>
    </row>
    <row r="207" spans="1:3" x14ac:dyDescent="0.35">
      <c r="A207" s="233" t="s">
        <v>15</v>
      </c>
      <c r="B207" s="197" t="s">
        <v>747</v>
      </c>
      <c r="C207" s="234">
        <v>1</v>
      </c>
    </row>
    <row r="208" spans="1:3" x14ac:dyDescent="0.35">
      <c r="A208" s="233" t="s">
        <v>836</v>
      </c>
      <c r="B208" s="197" t="s">
        <v>837</v>
      </c>
      <c r="C208" s="234">
        <v>1</v>
      </c>
    </row>
    <row r="209" spans="1:3" x14ac:dyDescent="0.35">
      <c r="A209" s="233" t="s">
        <v>177</v>
      </c>
      <c r="B209" s="197" t="s">
        <v>753</v>
      </c>
      <c r="C209" s="234">
        <v>1</v>
      </c>
    </row>
    <row r="210" spans="1:3" x14ac:dyDescent="0.35">
      <c r="A210" s="233" t="s">
        <v>754</v>
      </c>
      <c r="B210" s="197" t="s">
        <v>755</v>
      </c>
      <c r="C210" s="234">
        <v>1</v>
      </c>
    </row>
    <row r="211" spans="1:3" ht="15" thickBot="1" x14ac:dyDescent="0.4">
      <c r="A211" s="261" t="s">
        <v>189</v>
      </c>
      <c r="B211" s="262" t="s">
        <v>683</v>
      </c>
      <c r="C211" s="263">
        <v>2</v>
      </c>
    </row>
  </sheetData>
  <mergeCells count="46">
    <mergeCell ref="A3:D3"/>
    <mergeCell ref="A1:D1"/>
    <mergeCell ref="A2:D2"/>
    <mergeCell ref="E2:H2"/>
    <mergeCell ref="I2:L2"/>
    <mergeCell ref="M2:P2"/>
    <mergeCell ref="A18:F18"/>
    <mergeCell ref="I18:V18"/>
    <mergeCell ref="A25:V25"/>
    <mergeCell ref="A27:E27"/>
    <mergeCell ref="H27:L27"/>
    <mergeCell ref="N27:R27"/>
    <mergeCell ref="A16:V16"/>
    <mergeCell ref="A4:V4"/>
    <mergeCell ref="A6:V6"/>
    <mergeCell ref="A8:D8"/>
    <mergeCell ref="G8:K8"/>
    <mergeCell ref="N8:R8"/>
    <mergeCell ref="G9:H9"/>
    <mergeCell ref="N9:O9"/>
    <mergeCell ref="G10:H10"/>
    <mergeCell ref="N10:O10"/>
    <mergeCell ref="F11:G11"/>
    <mergeCell ref="N11:O11"/>
    <mergeCell ref="N12:O12"/>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B035-4450-4FD7-B575-4BD5B17E3138}">
  <dimension ref="A1:BU48"/>
  <sheetViews>
    <sheetView showGridLines="0" topLeftCell="A13" zoomScale="90" zoomScaleNormal="90" workbookViewId="0">
      <pane xSplit="1" topLeftCell="BO1" activePane="topRight" state="frozen"/>
      <selection pane="topRight" activeCell="BQ35" sqref="BQ35"/>
    </sheetView>
  </sheetViews>
  <sheetFormatPr defaultColWidth="9.1796875" defaultRowHeight="15.5" x14ac:dyDescent="0.35"/>
  <cols>
    <col min="1" max="1" width="71.1796875" style="140" customWidth="1"/>
    <col min="2" max="43" width="9.1796875" style="140"/>
    <col min="44" max="51" width="8.81640625" style="140" customWidth="1"/>
    <col min="52" max="16384" width="9.1796875" style="140"/>
  </cols>
  <sheetData>
    <row r="1" spans="1:73" x14ac:dyDescent="0.35">
      <c r="A1" s="139" t="s">
        <v>598</v>
      </c>
    </row>
    <row r="2" spans="1:73" x14ac:dyDescent="0.35">
      <c r="A2" s="139"/>
    </row>
    <row r="3" spans="1:73" x14ac:dyDescent="0.35">
      <c r="A3" s="139"/>
    </row>
    <row r="4" spans="1:73" x14ac:dyDescent="0.35">
      <c r="A4" s="455" t="s">
        <v>599</v>
      </c>
      <c r="B4" s="210">
        <v>2023</v>
      </c>
      <c r="C4" s="211"/>
      <c r="D4" s="211"/>
      <c r="E4" s="211"/>
      <c r="F4" s="211"/>
      <c r="G4" s="211"/>
      <c r="H4" s="211"/>
      <c r="I4" s="211"/>
      <c r="J4" s="211"/>
      <c r="K4" s="211"/>
      <c r="L4" s="211"/>
      <c r="M4" s="211"/>
      <c r="N4" s="211"/>
      <c r="O4" s="211"/>
      <c r="P4" s="211"/>
      <c r="Q4" s="211"/>
      <c r="R4" s="211"/>
      <c r="S4" s="211"/>
      <c r="T4" s="211"/>
      <c r="U4" s="211"/>
      <c r="V4" s="211"/>
      <c r="W4" s="211"/>
      <c r="X4" s="211"/>
      <c r="Y4" s="213"/>
      <c r="Z4" s="222">
        <v>2024</v>
      </c>
      <c r="AA4" s="222"/>
      <c r="AB4" s="222"/>
      <c r="AC4" s="222"/>
      <c r="AD4" s="222"/>
      <c r="AE4" s="222"/>
      <c r="AF4" s="222"/>
      <c r="AG4" s="222"/>
      <c r="AH4" s="222"/>
      <c r="AI4" s="222"/>
      <c r="AJ4" s="222"/>
      <c r="AK4" s="222"/>
      <c r="AL4" s="222"/>
      <c r="AM4" s="222"/>
      <c r="AN4" s="222"/>
      <c r="AO4" s="222"/>
      <c r="AP4" s="222"/>
      <c r="AQ4" s="222"/>
      <c r="AR4" s="222"/>
      <c r="AS4" s="222"/>
      <c r="AT4" s="222"/>
      <c r="AU4" s="222"/>
      <c r="AV4" s="222"/>
      <c r="AW4" s="223"/>
      <c r="AX4" s="236">
        <v>2025</v>
      </c>
      <c r="AY4" s="236"/>
      <c r="AZ4" s="236"/>
      <c r="BA4" s="236"/>
      <c r="BB4" s="236"/>
      <c r="BC4" s="236"/>
      <c r="BD4" s="236"/>
      <c r="BE4" s="236"/>
      <c r="BF4" s="236"/>
      <c r="BG4" s="236"/>
      <c r="BH4" s="236"/>
      <c r="BI4" s="236"/>
      <c r="BJ4" s="236"/>
      <c r="BK4" s="236"/>
      <c r="BL4" s="236"/>
      <c r="BM4" s="236"/>
      <c r="BN4" s="236"/>
      <c r="BO4" s="236"/>
      <c r="BP4" s="236"/>
      <c r="BQ4" s="236"/>
      <c r="BR4" s="236"/>
      <c r="BS4" s="236"/>
      <c r="BT4" s="236"/>
      <c r="BU4" s="237"/>
    </row>
    <row r="5" spans="1:73" x14ac:dyDescent="0.35">
      <c r="A5" s="455"/>
      <c r="B5" s="452" t="s">
        <v>605</v>
      </c>
      <c r="C5" s="453"/>
      <c r="D5" s="452" t="s">
        <v>606</v>
      </c>
      <c r="E5" s="453"/>
      <c r="F5" s="452" t="s">
        <v>607</v>
      </c>
      <c r="G5" s="453"/>
      <c r="H5" s="452" t="s">
        <v>608</v>
      </c>
      <c r="I5" s="453"/>
      <c r="J5" s="452" t="s">
        <v>135</v>
      </c>
      <c r="K5" s="453"/>
      <c r="L5" s="452" t="s">
        <v>609</v>
      </c>
      <c r="M5" s="453"/>
      <c r="N5" s="452" t="s">
        <v>600</v>
      </c>
      <c r="O5" s="453"/>
      <c r="P5" s="452" t="s">
        <v>601</v>
      </c>
      <c r="Q5" s="453"/>
      <c r="R5" s="452" t="s">
        <v>602</v>
      </c>
      <c r="S5" s="453"/>
      <c r="T5" s="452" t="s">
        <v>603</v>
      </c>
      <c r="U5" s="453"/>
      <c r="V5" s="452" t="s">
        <v>604</v>
      </c>
      <c r="W5" s="453"/>
      <c r="X5" s="452" t="s">
        <v>677</v>
      </c>
      <c r="Y5" s="453"/>
      <c r="Z5" s="450" t="s">
        <v>605</v>
      </c>
      <c r="AA5" s="451"/>
      <c r="AB5" s="450" t="s">
        <v>606</v>
      </c>
      <c r="AC5" s="451"/>
      <c r="AD5" s="450" t="s">
        <v>607</v>
      </c>
      <c r="AE5" s="451"/>
      <c r="AF5" s="450" t="s">
        <v>608</v>
      </c>
      <c r="AG5" s="451"/>
      <c r="AH5" s="450" t="s">
        <v>135</v>
      </c>
      <c r="AI5" s="451"/>
      <c r="AJ5" s="450" t="s">
        <v>609</v>
      </c>
      <c r="AK5" s="451"/>
      <c r="AL5" s="450" t="s">
        <v>600</v>
      </c>
      <c r="AM5" s="451"/>
      <c r="AN5" s="450" t="s">
        <v>601</v>
      </c>
      <c r="AO5" s="451"/>
      <c r="AP5" s="450" t="s">
        <v>602</v>
      </c>
      <c r="AQ5" s="451"/>
      <c r="AR5" s="450" t="s">
        <v>603</v>
      </c>
      <c r="AS5" s="451"/>
      <c r="AT5" s="450" t="s">
        <v>604</v>
      </c>
      <c r="AU5" s="451"/>
      <c r="AV5" s="450" t="s">
        <v>677</v>
      </c>
      <c r="AW5" s="451"/>
      <c r="AX5" s="448" t="s">
        <v>605</v>
      </c>
      <c r="AY5" s="449"/>
      <c r="AZ5" s="448" t="s">
        <v>606</v>
      </c>
      <c r="BA5" s="449"/>
      <c r="BB5" s="448" t="s">
        <v>607</v>
      </c>
      <c r="BC5" s="449"/>
      <c r="BD5" s="448" t="s">
        <v>608</v>
      </c>
      <c r="BE5" s="449"/>
      <c r="BF5" s="448" t="s">
        <v>135</v>
      </c>
      <c r="BG5" s="449"/>
      <c r="BH5" s="448" t="s">
        <v>609</v>
      </c>
      <c r="BI5" s="449"/>
      <c r="BJ5" s="448" t="s">
        <v>600</v>
      </c>
      <c r="BK5" s="449"/>
      <c r="BL5" s="448" t="s">
        <v>601</v>
      </c>
      <c r="BM5" s="449"/>
      <c r="BN5" s="448" t="s">
        <v>602</v>
      </c>
      <c r="BO5" s="449"/>
      <c r="BP5" s="448" t="s">
        <v>603</v>
      </c>
      <c r="BQ5" s="449"/>
      <c r="BR5" s="448" t="s">
        <v>604</v>
      </c>
      <c r="BS5" s="449"/>
      <c r="BT5" s="448" t="s">
        <v>677</v>
      </c>
      <c r="BU5" s="449"/>
    </row>
    <row r="6" spans="1:73" x14ac:dyDescent="0.35">
      <c r="A6" s="455"/>
      <c r="B6" s="212" t="s">
        <v>610</v>
      </c>
      <c r="C6" s="212" t="s">
        <v>611</v>
      </c>
      <c r="D6" s="212" t="s">
        <v>610</v>
      </c>
      <c r="E6" s="212" t="s">
        <v>611</v>
      </c>
      <c r="F6" s="212" t="s">
        <v>610</v>
      </c>
      <c r="G6" s="212" t="s">
        <v>611</v>
      </c>
      <c r="H6" s="212" t="s">
        <v>610</v>
      </c>
      <c r="I6" s="212" t="s">
        <v>611</v>
      </c>
      <c r="J6" s="212" t="s">
        <v>610</v>
      </c>
      <c r="K6" s="212" t="s">
        <v>611</v>
      </c>
      <c r="L6" s="212" t="s">
        <v>610</v>
      </c>
      <c r="M6" s="212" t="s">
        <v>611</v>
      </c>
      <c r="N6" s="212" t="s">
        <v>610</v>
      </c>
      <c r="O6" s="212" t="s">
        <v>611</v>
      </c>
      <c r="P6" s="212" t="s">
        <v>610</v>
      </c>
      <c r="Q6" s="212" t="s">
        <v>611</v>
      </c>
      <c r="R6" s="212" t="s">
        <v>610</v>
      </c>
      <c r="S6" s="212" t="s">
        <v>611</v>
      </c>
      <c r="T6" s="212" t="s">
        <v>610</v>
      </c>
      <c r="U6" s="212" t="s">
        <v>611</v>
      </c>
      <c r="V6" s="212" t="s">
        <v>610</v>
      </c>
      <c r="W6" s="212" t="s">
        <v>611</v>
      </c>
      <c r="X6" s="212" t="s">
        <v>610</v>
      </c>
      <c r="Y6" s="212" t="s">
        <v>611</v>
      </c>
      <c r="Z6" s="224" t="s">
        <v>610</v>
      </c>
      <c r="AA6" s="224" t="s">
        <v>611</v>
      </c>
      <c r="AB6" s="224" t="s">
        <v>610</v>
      </c>
      <c r="AC6" s="224" t="s">
        <v>611</v>
      </c>
      <c r="AD6" s="224" t="s">
        <v>610</v>
      </c>
      <c r="AE6" s="224" t="s">
        <v>611</v>
      </c>
      <c r="AF6" s="224" t="s">
        <v>610</v>
      </c>
      <c r="AG6" s="224" t="s">
        <v>611</v>
      </c>
      <c r="AH6" s="224" t="s">
        <v>610</v>
      </c>
      <c r="AI6" s="224" t="s">
        <v>611</v>
      </c>
      <c r="AJ6" s="224" t="s">
        <v>610</v>
      </c>
      <c r="AK6" s="224" t="s">
        <v>611</v>
      </c>
      <c r="AL6" s="224" t="s">
        <v>610</v>
      </c>
      <c r="AM6" s="224" t="s">
        <v>611</v>
      </c>
      <c r="AN6" s="224" t="s">
        <v>610</v>
      </c>
      <c r="AO6" s="224" t="s">
        <v>611</v>
      </c>
      <c r="AP6" s="224" t="s">
        <v>610</v>
      </c>
      <c r="AQ6" s="224" t="s">
        <v>611</v>
      </c>
      <c r="AR6" s="224" t="s">
        <v>610</v>
      </c>
      <c r="AS6" s="224" t="s">
        <v>611</v>
      </c>
      <c r="AT6" s="224" t="s">
        <v>610</v>
      </c>
      <c r="AU6" s="224" t="s">
        <v>611</v>
      </c>
      <c r="AV6" s="224" t="s">
        <v>610</v>
      </c>
      <c r="AW6" s="224" t="s">
        <v>611</v>
      </c>
      <c r="AX6" s="238" t="s">
        <v>610</v>
      </c>
      <c r="AY6" s="238" t="s">
        <v>611</v>
      </c>
      <c r="AZ6" s="238" t="s">
        <v>610</v>
      </c>
      <c r="BA6" s="238" t="s">
        <v>611</v>
      </c>
      <c r="BB6" s="238" t="s">
        <v>610</v>
      </c>
      <c r="BC6" s="238" t="s">
        <v>611</v>
      </c>
      <c r="BD6" s="238" t="s">
        <v>610</v>
      </c>
      <c r="BE6" s="238" t="s">
        <v>611</v>
      </c>
      <c r="BF6" s="238" t="s">
        <v>610</v>
      </c>
      <c r="BG6" s="238" t="s">
        <v>611</v>
      </c>
      <c r="BH6" s="238" t="s">
        <v>610</v>
      </c>
      <c r="BI6" s="238" t="s">
        <v>611</v>
      </c>
      <c r="BJ6" s="238" t="s">
        <v>610</v>
      </c>
      <c r="BK6" s="238" t="s">
        <v>611</v>
      </c>
      <c r="BL6" s="238" t="s">
        <v>610</v>
      </c>
      <c r="BM6" s="238" t="s">
        <v>611</v>
      </c>
      <c r="BN6" s="238" t="s">
        <v>610</v>
      </c>
      <c r="BO6" s="238" t="s">
        <v>611</v>
      </c>
      <c r="BP6" s="238" t="s">
        <v>610</v>
      </c>
      <c r="BQ6" s="238" t="s">
        <v>611</v>
      </c>
      <c r="BR6" s="238" t="s">
        <v>610</v>
      </c>
      <c r="BS6" s="238" t="s">
        <v>611</v>
      </c>
      <c r="BT6" s="238" t="s">
        <v>610</v>
      </c>
      <c r="BU6" s="238" t="s">
        <v>611</v>
      </c>
    </row>
    <row r="7" spans="1:73" x14ac:dyDescent="0.35">
      <c r="A7" s="141" t="s">
        <v>709</v>
      </c>
      <c r="B7" s="142">
        <v>50.077658426273302</v>
      </c>
      <c r="C7" s="142">
        <v>43.682359565160901</v>
      </c>
      <c r="D7" s="142">
        <v>42.8849597689292</v>
      </c>
      <c r="E7" s="142">
        <v>42.793431428339098</v>
      </c>
      <c r="F7" s="142">
        <v>43.019862114248198</v>
      </c>
      <c r="G7" s="142">
        <v>45.321667390360403</v>
      </c>
      <c r="H7" s="142">
        <v>48.512544145301099</v>
      </c>
      <c r="I7" s="142">
        <v>50.272072432594697</v>
      </c>
      <c r="J7" s="142">
        <v>43.268614947011102</v>
      </c>
      <c r="K7" s="142">
        <v>35.515960701047199</v>
      </c>
      <c r="L7" s="142">
        <v>38.078070847470002</v>
      </c>
      <c r="M7" s="142">
        <v>39.270787586005</v>
      </c>
      <c r="N7" s="142">
        <v>42.1362040288302</v>
      </c>
      <c r="O7" s="142">
        <v>42.786277168932997</v>
      </c>
      <c r="P7" s="142">
        <v>39.808013122535201</v>
      </c>
      <c r="Q7" s="142">
        <v>38.775142406590902</v>
      </c>
      <c r="R7" s="142">
        <v>39.5924269346241</v>
      </c>
      <c r="S7" s="142">
        <v>41.875955231963403</v>
      </c>
      <c r="T7" s="142">
        <v>42.9138738536613</v>
      </c>
      <c r="U7" s="142">
        <v>43.546961036236802</v>
      </c>
      <c r="V7" s="142">
        <v>45.120786661849003</v>
      </c>
      <c r="W7" s="142">
        <v>49.731165088513798</v>
      </c>
      <c r="X7" s="142">
        <v>47.522367040371101</v>
      </c>
      <c r="Y7" s="142">
        <v>51.771931276026599</v>
      </c>
      <c r="Z7" s="142">
        <v>52.979935818612603</v>
      </c>
      <c r="AA7" s="142">
        <v>50.791533546325901</v>
      </c>
      <c r="AB7" s="142">
        <v>49.791127167630002</v>
      </c>
      <c r="AC7" s="142">
        <v>49.976735015772903</v>
      </c>
      <c r="AD7" s="142">
        <v>52.243794608027301</v>
      </c>
      <c r="AE7" s="142">
        <v>57.474983343380202</v>
      </c>
      <c r="AF7" s="142">
        <v>57.4653049351992</v>
      </c>
      <c r="AG7" s="142">
        <v>53.038229128129203</v>
      </c>
      <c r="AH7" s="142">
        <v>51.096821369944799</v>
      </c>
      <c r="AI7" s="142">
        <v>48.689999422932701</v>
      </c>
      <c r="AJ7" s="142">
        <v>48.943587243317701</v>
      </c>
      <c r="AK7" s="142">
        <v>51.507137204326298</v>
      </c>
      <c r="AL7" s="142">
        <v>53.008566818248497</v>
      </c>
      <c r="AM7" s="142">
        <v>53.8983598707051</v>
      </c>
      <c r="AN7" s="142">
        <v>54.131327732104701</v>
      </c>
      <c r="AO7" s="142">
        <v>53.920766255958299</v>
      </c>
      <c r="AP7" s="142">
        <v>54.472243985955103</v>
      </c>
      <c r="AQ7" s="142">
        <v>56.155186841725602</v>
      </c>
      <c r="AR7" s="142">
        <v>0</v>
      </c>
      <c r="AS7" s="142">
        <v>0</v>
      </c>
      <c r="AT7" s="142">
        <v>0</v>
      </c>
      <c r="AU7" s="142">
        <v>0</v>
      </c>
      <c r="AV7" s="142">
        <v>0</v>
      </c>
      <c r="AW7" s="142">
        <v>0</v>
      </c>
      <c r="AX7" s="142">
        <v>0</v>
      </c>
      <c r="AY7" s="142">
        <v>0</v>
      </c>
      <c r="AZ7" s="142">
        <v>0</v>
      </c>
      <c r="BA7" s="142">
        <v>0</v>
      </c>
      <c r="BB7" s="142">
        <v>0</v>
      </c>
      <c r="BC7" s="142">
        <v>0</v>
      </c>
      <c r="BD7" s="142">
        <v>0</v>
      </c>
      <c r="BE7" s="142">
        <v>0</v>
      </c>
      <c r="BF7" s="142">
        <v>0</v>
      </c>
      <c r="BG7" s="142">
        <v>0</v>
      </c>
      <c r="BH7" s="142">
        <v>0</v>
      </c>
      <c r="BI7" s="142">
        <v>0</v>
      </c>
      <c r="BJ7" s="142">
        <v>0</v>
      </c>
      <c r="BK7" s="142">
        <v>0</v>
      </c>
      <c r="BL7" s="142">
        <v>0</v>
      </c>
      <c r="BM7" s="142">
        <v>0</v>
      </c>
      <c r="BN7" s="142">
        <v>0</v>
      </c>
      <c r="BO7" s="142">
        <v>0</v>
      </c>
      <c r="BP7" s="142">
        <v>68.023461562637493</v>
      </c>
      <c r="BQ7" s="142">
        <v>66.514269354790102</v>
      </c>
      <c r="BR7" s="142">
        <v>66.906869859699995</v>
      </c>
      <c r="BS7" s="142">
        <v>68.529137175853606</v>
      </c>
      <c r="BT7" s="142">
        <v>64.552573152681305</v>
      </c>
      <c r="BU7" s="142">
        <v>70.102874014602705</v>
      </c>
    </row>
    <row r="8" spans="1:73" x14ac:dyDescent="0.35">
      <c r="A8" s="141" t="s">
        <v>736</v>
      </c>
      <c r="B8" s="142">
        <v>0</v>
      </c>
      <c r="C8" s="142">
        <v>0</v>
      </c>
      <c r="D8" s="142">
        <v>0</v>
      </c>
      <c r="E8" s="142">
        <v>0</v>
      </c>
      <c r="F8" s="142">
        <v>0</v>
      </c>
      <c r="G8" s="142">
        <v>0</v>
      </c>
      <c r="H8" s="142">
        <v>0</v>
      </c>
      <c r="I8" s="142">
        <v>0</v>
      </c>
      <c r="J8" s="142">
        <v>0</v>
      </c>
      <c r="K8" s="142">
        <v>0</v>
      </c>
      <c r="L8" s="142">
        <v>0</v>
      </c>
      <c r="M8" s="142">
        <v>0</v>
      </c>
      <c r="N8" s="142">
        <v>0</v>
      </c>
      <c r="O8" s="142">
        <v>0</v>
      </c>
      <c r="P8" s="142">
        <v>0</v>
      </c>
      <c r="Q8" s="142">
        <v>0</v>
      </c>
      <c r="R8" s="142">
        <v>0</v>
      </c>
      <c r="S8" s="142">
        <v>0</v>
      </c>
      <c r="T8" s="142">
        <v>0</v>
      </c>
      <c r="U8" s="142">
        <v>0</v>
      </c>
      <c r="V8" s="142">
        <v>0</v>
      </c>
      <c r="W8" s="142">
        <v>0</v>
      </c>
      <c r="X8" s="142">
        <v>0</v>
      </c>
      <c r="Y8" s="142">
        <v>0</v>
      </c>
      <c r="Z8" s="142">
        <v>0</v>
      </c>
      <c r="AA8" s="142">
        <v>0</v>
      </c>
      <c r="AB8" s="142">
        <v>0</v>
      </c>
      <c r="AC8" s="142">
        <v>0</v>
      </c>
      <c r="AD8" s="142">
        <v>0</v>
      </c>
      <c r="AE8" s="142">
        <v>0</v>
      </c>
      <c r="AF8" s="142">
        <v>0</v>
      </c>
      <c r="AG8" s="142">
        <v>0</v>
      </c>
      <c r="AH8" s="142">
        <v>0</v>
      </c>
      <c r="AI8" s="142">
        <v>0</v>
      </c>
      <c r="AJ8" s="142">
        <v>0</v>
      </c>
      <c r="AK8" s="142">
        <v>0</v>
      </c>
      <c r="AL8" s="142">
        <v>0</v>
      </c>
      <c r="AM8" s="142">
        <v>0</v>
      </c>
      <c r="AN8" s="142">
        <v>0</v>
      </c>
      <c r="AO8" s="142">
        <v>0</v>
      </c>
      <c r="AP8" s="142">
        <v>0</v>
      </c>
      <c r="AQ8" s="142">
        <v>0</v>
      </c>
      <c r="AR8" s="142">
        <v>0</v>
      </c>
      <c r="AS8" s="142">
        <v>0</v>
      </c>
      <c r="AT8" s="142">
        <v>0</v>
      </c>
      <c r="AU8" s="142">
        <v>0</v>
      </c>
      <c r="AV8" s="142">
        <v>0</v>
      </c>
      <c r="AW8" s="142">
        <v>0</v>
      </c>
      <c r="AX8" s="142">
        <v>0</v>
      </c>
      <c r="AY8" s="142">
        <v>0</v>
      </c>
      <c r="AZ8" s="142">
        <v>0</v>
      </c>
      <c r="BA8" s="142">
        <v>0</v>
      </c>
      <c r="BB8" s="142">
        <v>0</v>
      </c>
      <c r="BC8" s="142">
        <v>0</v>
      </c>
      <c r="BD8" s="142">
        <v>0</v>
      </c>
      <c r="BE8" s="142">
        <v>0</v>
      </c>
      <c r="BF8" s="142">
        <v>0</v>
      </c>
      <c r="BG8" s="142">
        <v>0</v>
      </c>
      <c r="BH8" s="142">
        <v>0</v>
      </c>
      <c r="BI8" s="142">
        <v>0</v>
      </c>
      <c r="BJ8" s="142">
        <v>0</v>
      </c>
      <c r="BK8" s="142">
        <v>0</v>
      </c>
      <c r="BL8" s="142">
        <v>0</v>
      </c>
      <c r="BM8" s="142">
        <v>0</v>
      </c>
      <c r="BN8" s="142">
        <v>0</v>
      </c>
      <c r="BO8" s="142">
        <v>0</v>
      </c>
      <c r="BP8" s="142">
        <v>15.880102040816301</v>
      </c>
      <c r="BQ8" s="142">
        <v>12.4433734939759</v>
      </c>
      <c r="BR8" s="142">
        <v>13.926517571884901</v>
      </c>
      <c r="BS8" s="142">
        <v>20.309669522643802</v>
      </c>
      <c r="BT8" s="142">
        <v>23.711632453567901</v>
      </c>
      <c r="BU8" s="142">
        <v>29.905790838375101</v>
      </c>
    </row>
    <row r="9" spans="1:73" x14ac:dyDescent="0.35">
      <c r="A9" s="141" t="s">
        <v>672</v>
      </c>
      <c r="B9" s="142">
        <v>71.904302019315196</v>
      </c>
      <c r="C9" s="142">
        <v>59.022913256955803</v>
      </c>
      <c r="D9" s="142">
        <v>58.804856115107903</v>
      </c>
      <c r="E9" s="142">
        <v>56.031290074377999</v>
      </c>
      <c r="F9" s="142">
        <v>52.507682593138298</v>
      </c>
      <c r="G9" s="142">
        <v>53.2716579959285</v>
      </c>
      <c r="H9" s="142">
        <v>55.766170368562399</v>
      </c>
      <c r="I9" s="142">
        <v>61.291329479768798</v>
      </c>
      <c r="J9" s="142">
        <v>62.604145077720197</v>
      </c>
      <c r="K9" s="142">
        <v>53.525115473441097</v>
      </c>
      <c r="L9" s="142">
        <v>51.425330341560702</v>
      </c>
      <c r="M9" s="142">
        <v>55.124661912957897</v>
      </c>
      <c r="N9" s="142">
        <v>56.2574047954866</v>
      </c>
      <c r="O9" s="142">
        <v>59.815751093826002</v>
      </c>
      <c r="P9" s="142">
        <v>62.833025586916399</v>
      </c>
      <c r="Q9" s="142">
        <v>64.755285412262197</v>
      </c>
      <c r="R9" s="142">
        <v>68.187044534412905</v>
      </c>
      <c r="S9" s="142">
        <v>68.341557440246703</v>
      </c>
      <c r="T9" s="142">
        <v>74.314603536794095</v>
      </c>
      <c r="U9" s="142">
        <v>92.067290392227406</v>
      </c>
      <c r="V9" s="142">
        <v>97.720650910499799</v>
      </c>
      <c r="W9" s="142">
        <v>113.121052631579</v>
      </c>
      <c r="X9" s="142">
        <v>129.61562306261601</v>
      </c>
      <c r="Y9" s="142">
        <v>146.55374351371401</v>
      </c>
      <c r="Z9" s="142">
        <v>77.981526404179903</v>
      </c>
      <c r="AA9" s="142">
        <v>75.938209331651905</v>
      </c>
      <c r="AB9" s="142">
        <v>76.470211291998595</v>
      </c>
      <c r="AC9" s="142">
        <v>81.219173135945098</v>
      </c>
      <c r="AD9" s="142">
        <v>84.981841763942896</v>
      </c>
      <c r="AE9" s="142">
        <v>85.947713679336303</v>
      </c>
      <c r="AF9" s="142">
        <v>87.7138511458122</v>
      </c>
      <c r="AG9" s="142">
        <v>86.285536159600994</v>
      </c>
      <c r="AH9" s="142">
        <v>83.976139294926895</v>
      </c>
      <c r="AI9" s="142">
        <v>83.456290941947103</v>
      </c>
      <c r="AJ9" s="142">
        <v>83.823098724610304</v>
      </c>
      <c r="AK9" s="142">
        <v>83.342960288808698</v>
      </c>
      <c r="AL9" s="142">
        <v>81.917795422699697</v>
      </c>
      <c r="AM9" s="142">
        <v>80.867273151387906</v>
      </c>
      <c r="AN9" s="142">
        <v>79.539192949907203</v>
      </c>
      <c r="AO9" s="142">
        <v>80.371352785145902</v>
      </c>
      <c r="AP9" s="142">
        <v>80.3619439071567</v>
      </c>
      <c r="AQ9" s="142">
        <v>79.239981785063705</v>
      </c>
      <c r="AR9" s="142">
        <v>0</v>
      </c>
      <c r="AS9" s="142">
        <v>0</v>
      </c>
      <c r="AT9" s="142">
        <v>0</v>
      </c>
      <c r="AU9" s="142">
        <v>0</v>
      </c>
      <c r="AV9" s="142">
        <v>0</v>
      </c>
      <c r="AW9" s="142">
        <v>0</v>
      </c>
      <c r="AX9" s="142">
        <v>0</v>
      </c>
      <c r="AY9" s="142">
        <v>0</v>
      </c>
      <c r="AZ9" s="142">
        <v>0</v>
      </c>
      <c r="BA9" s="142">
        <v>0</v>
      </c>
      <c r="BB9" s="142">
        <v>0</v>
      </c>
      <c r="BC9" s="142">
        <v>0</v>
      </c>
      <c r="BD9" s="142">
        <v>0</v>
      </c>
      <c r="BE9" s="142">
        <v>0</v>
      </c>
      <c r="BF9" s="142">
        <v>0</v>
      </c>
      <c r="BG9" s="142">
        <v>0</v>
      </c>
      <c r="BH9" s="142">
        <v>0</v>
      </c>
      <c r="BI9" s="142">
        <v>0</v>
      </c>
      <c r="BJ9" s="142">
        <v>0</v>
      </c>
      <c r="BK9" s="142">
        <v>0</v>
      </c>
      <c r="BL9" s="142">
        <v>0</v>
      </c>
      <c r="BM9" s="142">
        <v>0</v>
      </c>
      <c r="BN9" s="142">
        <v>0</v>
      </c>
      <c r="BO9" s="142">
        <v>0</v>
      </c>
      <c r="BP9" s="142">
        <v>145.93632075471601</v>
      </c>
      <c r="BQ9" s="142">
        <v>148.921269095182</v>
      </c>
      <c r="BR9" s="142">
        <v>157.367346938775</v>
      </c>
      <c r="BS9" s="142">
        <v>163.159705159705</v>
      </c>
      <c r="BT9" s="142">
        <v>168.48046875</v>
      </c>
      <c r="BU9" s="142">
        <v>177.36543535620001</v>
      </c>
    </row>
    <row r="10" spans="1:73" x14ac:dyDescent="0.35">
      <c r="A10" s="244" t="s">
        <v>737</v>
      </c>
      <c r="B10" s="144">
        <v>0</v>
      </c>
      <c r="C10" s="144">
        <v>0</v>
      </c>
      <c r="D10" s="144">
        <v>0</v>
      </c>
      <c r="E10" s="144">
        <v>0</v>
      </c>
      <c r="F10" s="144">
        <v>0</v>
      </c>
      <c r="G10" s="144">
        <v>0</v>
      </c>
      <c r="H10" s="144">
        <v>0</v>
      </c>
      <c r="I10" s="144">
        <v>0</v>
      </c>
      <c r="J10" s="144">
        <v>0</v>
      </c>
      <c r="K10" s="144">
        <v>0</v>
      </c>
      <c r="L10" s="144">
        <v>0</v>
      </c>
      <c r="M10" s="144">
        <v>0</v>
      </c>
      <c r="N10" s="144">
        <v>0</v>
      </c>
      <c r="O10" s="144">
        <v>0</v>
      </c>
      <c r="P10" s="144">
        <v>0</v>
      </c>
      <c r="Q10" s="144">
        <v>0</v>
      </c>
      <c r="R10" s="144">
        <v>0</v>
      </c>
      <c r="S10" s="144">
        <v>0</v>
      </c>
      <c r="T10" s="144">
        <v>0</v>
      </c>
      <c r="U10" s="144">
        <v>0</v>
      </c>
      <c r="V10" s="144">
        <v>0</v>
      </c>
      <c r="W10" s="144">
        <v>0</v>
      </c>
      <c r="X10" s="144">
        <v>0</v>
      </c>
      <c r="Y10" s="144">
        <v>0</v>
      </c>
      <c r="Z10" s="144">
        <v>0</v>
      </c>
      <c r="AA10" s="144">
        <v>0</v>
      </c>
      <c r="AB10" s="144">
        <v>0</v>
      </c>
      <c r="AC10" s="144">
        <v>0</v>
      </c>
      <c r="AD10" s="144">
        <v>0</v>
      </c>
      <c r="AE10" s="144">
        <v>0</v>
      </c>
      <c r="AF10" s="144">
        <v>0</v>
      </c>
      <c r="AG10" s="144">
        <v>0</v>
      </c>
      <c r="AH10" s="144">
        <v>0</v>
      </c>
      <c r="AI10" s="144">
        <v>0</v>
      </c>
      <c r="AJ10" s="144">
        <v>0</v>
      </c>
      <c r="AK10" s="144">
        <v>0</v>
      </c>
      <c r="AL10" s="144">
        <v>0</v>
      </c>
      <c r="AM10" s="144">
        <v>0</v>
      </c>
      <c r="AN10" s="144">
        <v>0</v>
      </c>
      <c r="AO10" s="144">
        <v>0</v>
      </c>
      <c r="AP10" s="144">
        <v>0</v>
      </c>
      <c r="AQ10" s="144">
        <v>0</v>
      </c>
      <c r="AR10" s="144">
        <v>0</v>
      </c>
      <c r="AS10" s="144">
        <v>0</v>
      </c>
      <c r="AT10" s="144">
        <v>0</v>
      </c>
      <c r="AU10" s="144">
        <v>0</v>
      </c>
      <c r="AV10" s="144">
        <v>0</v>
      </c>
      <c r="AW10" s="144">
        <v>0</v>
      </c>
      <c r="AX10" s="144">
        <v>0</v>
      </c>
      <c r="AY10" s="144">
        <v>0</v>
      </c>
      <c r="AZ10" s="144">
        <v>0</v>
      </c>
      <c r="BA10" s="144">
        <v>0</v>
      </c>
      <c r="BB10" s="144">
        <v>0</v>
      </c>
      <c r="BC10" s="144">
        <v>0</v>
      </c>
      <c r="BD10" s="144">
        <v>0</v>
      </c>
      <c r="BE10" s="144">
        <v>0</v>
      </c>
      <c r="BF10" s="144">
        <v>0</v>
      </c>
      <c r="BG10" s="144">
        <v>0</v>
      </c>
      <c r="BH10" s="144">
        <v>0</v>
      </c>
      <c r="BI10" s="144">
        <v>0</v>
      </c>
      <c r="BJ10" s="144">
        <v>0</v>
      </c>
      <c r="BK10" s="144">
        <v>0</v>
      </c>
      <c r="BL10" s="144">
        <v>0</v>
      </c>
      <c r="BM10" s="144">
        <v>0</v>
      </c>
      <c r="BN10" s="144">
        <v>0</v>
      </c>
      <c r="BO10" s="144">
        <v>0</v>
      </c>
      <c r="BP10" s="144">
        <v>11.6</v>
      </c>
      <c r="BQ10" s="144">
        <v>20.467532467532401</v>
      </c>
      <c r="BR10" s="144">
        <v>31.030612244897899</v>
      </c>
      <c r="BS10" s="144">
        <v>40.9652173913043</v>
      </c>
      <c r="BT10" s="144">
        <v>49.464566929133802</v>
      </c>
      <c r="BU10" s="144">
        <v>57.735294117647001</v>
      </c>
    </row>
    <row r="11" spans="1:73" x14ac:dyDescent="0.35">
      <c r="A11" s="143" t="s">
        <v>1</v>
      </c>
      <c r="B11" s="144">
        <v>52.365263400045997</v>
      </c>
      <c r="C11" s="144">
        <v>45.474946450428398</v>
      </c>
      <c r="D11" s="144">
        <v>44.8112146820935</v>
      </c>
      <c r="E11" s="144">
        <v>44.604399845619398</v>
      </c>
      <c r="F11" s="144">
        <v>44.567876644115501</v>
      </c>
      <c r="G11" s="144">
        <v>46.602018141415599</v>
      </c>
      <c r="H11" s="144">
        <v>49.659961389961403</v>
      </c>
      <c r="I11" s="144">
        <v>51.897872158969797</v>
      </c>
      <c r="J11" s="144">
        <v>45.535598574437103</v>
      </c>
      <c r="K11" s="144">
        <v>37.512175610380503</v>
      </c>
      <c r="L11" s="144">
        <v>39.781840748520104</v>
      </c>
      <c r="M11" s="144">
        <v>41.324806473192901</v>
      </c>
      <c r="N11" s="144">
        <v>44.054872400907101</v>
      </c>
      <c r="O11" s="144">
        <v>45.017676848106497</v>
      </c>
      <c r="P11" s="144">
        <v>42.498428060658398</v>
      </c>
      <c r="Q11" s="144">
        <v>41.5954901454514</v>
      </c>
      <c r="R11" s="144">
        <v>42.507194541502699</v>
      </c>
      <c r="S11" s="144">
        <v>44.649465377467699</v>
      </c>
      <c r="T11" s="144">
        <v>45.724969997191202</v>
      </c>
      <c r="U11" s="144">
        <v>46.842363809663503</v>
      </c>
      <c r="V11" s="144">
        <v>48.4058121808987</v>
      </c>
      <c r="W11" s="144">
        <v>53.170097339389997</v>
      </c>
      <c r="X11" s="144">
        <v>51.022946572553998</v>
      </c>
      <c r="Y11" s="144">
        <v>55.171576708322199</v>
      </c>
      <c r="Z11" s="144">
        <v>56.4418634695881</v>
      </c>
      <c r="AA11" s="144">
        <v>54.338457629272</v>
      </c>
      <c r="AB11" s="144">
        <v>53.606578491108102</v>
      </c>
      <c r="AC11" s="144">
        <v>54.193090173720201</v>
      </c>
      <c r="AD11" s="144">
        <v>56.660533946605298</v>
      </c>
      <c r="AE11" s="144">
        <v>61.495858536319503</v>
      </c>
      <c r="AF11" s="144">
        <v>61.623299509366603</v>
      </c>
      <c r="AG11" s="144">
        <v>57.333387027491398</v>
      </c>
      <c r="AH11" s="144">
        <v>55.105380402023201</v>
      </c>
      <c r="AI11" s="144">
        <v>52.627836766022803</v>
      </c>
      <c r="AJ11" s="144">
        <v>52.720372359470097</v>
      </c>
      <c r="AK11" s="144">
        <v>54.963393603678902</v>
      </c>
      <c r="AL11" s="144">
        <v>56.235019678369397</v>
      </c>
      <c r="AM11" s="144">
        <v>56.9651714899599</v>
      </c>
      <c r="AN11" s="144">
        <v>57.0514139502652</v>
      </c>
      <c r="AO11" s="144">
        <v>56.845536476109203</v>
      </c>
      <c r="AP11" s="144">
        <v>57.246547659144497</v>
      </c>
      <c r="AQ11" s="144">
        <v>58.751760698645199</v>
      </c>
      <c r="AR11" s="144">
        <v>0</v>
      </c>
      <c r="AS11" s="144">
        <v>0</v>
      </c>
      <c r="AT11" s="144">
        <v>0</v>
      </c>
      <c r="AU11" s="144">
        <v>0</v>
      </c>
      <c r="AV11" s="144">
        <v>0</v>
      </c>
      <c r="AW11" s="144">
        <v>0</v>
      </c>
      <c r="AX11" s="144">
        <v>0</v>
      </c>
      <c r="AY11" s="144">
        <v>0</v>
      </c>
      <c r="AZ11" s="144">
        <v>0</v>
      </c>
      <c r="BA11" s="144">
        <v>0</v>
      </c>
      <c r="BB11" s="144">
        <v>0</v>
      </c>
      <c r="BC11" s="144">
        <v>0</v>
      </c>
      <c r="BD11" s="144">
        <v>0</v>
      </c>
      <c r="BE11" s="144">
        <v>0</v>
      </c>
      <c r="BF11" s="144">
        <v>0</v>
      </c>
      <c r="BG11" s="144">
        <v>0</v>
      </c>
      <c r="BH11" s="144">
        <v>0</v>
      </c>
      <c r="BI11" s="144">
        <v>0</v>
      </c>
      <c r="BJ11" s="144">
        <v>0</v>
      </c>
      <c r="BK11" s="144">
        <v>0</v>
      </c>
      <c r="BL11" s="144">
        <v>0</v>
      </c>
      <c r="BM11" s="144">
        <v>0</v>
      </c>
      <c r="BN11" s="144">
        <v>0</v>
      </c>
      <c r="BO11" s="144">
        <v>0</v>
      </c>
      <c r="BP11" s="144">
        <v>68.674017494148003</v>
      </c>
      <c r="BQ11" s="144">
        <v>67.166226055620299</v>
      </c>
      <c r="BR11" s="144">
        <v>67.478087472858604</v>
      </c>
      <c r="BS11" s="144">
        <v>69.038005522169797</v>
      </c>
      <c r="BT11" s="144">
        <v>65.052977196530904</v>
      </c>
      <c r="BU11" s="144">
        <v>70.570567050349496</v>
      </c>
    </row>
    <row r="13" spans="1:73" x14ac:dyDescent="0.35">
      <c r="A13" s="139" t="s">
        <v>612</v>
      </c>
    </row>
    <row r="14" spans="1:73" x14ac:dyDescent="0.35">
      <c r="A14" s="145"/>
    </row>
    <row r="15" spans="1:73" x14ac:dyDescent="0.35">
      <c r="A15" s="145"/>
    </row>
    <row r="16" spans="1:73" x14ac:dyDescent="0.35">
      <c r="A16" s="454" t="s">
        <v>599</v>
      </c>
      <c r="B16" s="210">
        <v>2023</v>
      </c>
      <c r="C16" s="211"/>
      <c r="D16" s="211"/>
      <c r="E16" s="211"/>
      <c r="F16" s="211"/>
      <c r="G16" s="211"/>
      <c r="H16" s="211"/>
      <c r="I16" s="211"/>
      <c r="J16" s="211"/>
      <c r="K16" s="211"/>
      <c r="L16" s="211"/>
      <c r="M16" s="211"/>
      <c r="N16" s="211"/>
      <c r="O16" s="211"/>
      <c r="P16" s="211"/>
      <c r="Q16" s="211"/>
      <c r="R16" s="211"/>
      <c r="S16" s="211"/>
      <c r="T16" s="211"/>
      <c r="U16" s="211"/>
      <c r="V16" s="211"/>
      <c r="W16" s="211"/>
      <c r="X16" s="211"/>
      <c r="Y16" s="213"/>
      <c r="Z16" s="222">
        <v>2024</v>
      </c>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3"/>
      <c r="AX16" s="236">
        <v>2025</v>
      </c>
      <c r="AY16" s="236"/>
      <c r="AZ16" s="236"/>
      <c r="BA16" s="236"/>
      <c r="BB16" s="236"/>
      <c r="BC16" s="236"/>
      <c r="BD16" s="236"/>
      <c r="BE16" s="236"/>
      <c r="BF16" s="236"/>
      <c r="BG16" s="236"/>
      <c r="BH16" s="236"/>
      <c r="BI16" s="236"/>
      <c r="BJ16" s="236"/>
      <c r="BK16" s="236"/>
      <c r="BL16" s="236"/>
      <c r="BM16" s="236"/>
      <c r="BN16" s="236"/>
      <c r="BO16" s="236"/>
      <c r="BP16" s="236"/>
      <c r="BQ16" s="236"/>
      <c r="BR16" s="236"/>
      <c r="BS16" s="236"/>
      <c r="BT16" s="236"/>
      <c r="BU16" s="237"/>
    </row>
    <row r="17" spans="1:73" x14ac:dyDescent="0.35">
      <c r="A17" s="454"/>
      <c r="B17" s="452" t="s">
        <v>605</v>
      </c>
      <c r="C17" s="453"/>
      <c r="D17" s="452" t="s">
        <v>606</v>
      </c>
      <c r="E17" s="453"/>
      <c r="F17" s="452" t="s">
        <v>607</v>
      </c>
      <c r="G17" s="453"/>
      <c r="H17" s="452" t="s">
        <v>608</v>
      </c>
      <c r="I17" s="453"/>
      <c r="J17" s="452" t="s">
        <v>135</v>
      </c>
      <c r="K17" s="453"/>
      <c r="L17" s="452" t="s">
        <v>609</v>
      </c>
      <c r="M17" s="453"/>
      <c r="N17" s="452" t="s">
        <v>600</v>
      </c>
      <c r="O17" s="453"/>
      <c r="P17" s="452" t="s">
        <v>601</v>
      </c>
      <c r="Q17" s="453"/>
      <c r="R17" s="452" t="s">
        <v>602</v>
      </c>
      <c r="S17" s="453"/>
      <c r="T17" s="452" t="s">
        <v>603</v>
      </c>
      <c r="U17" s="453"/>
      <c r="V17" s="452" t="s">
        <v>604</v>
      </c>
      <c r="W17" s="453"/>
      <c r="X17" s="452" t="s">
        <v>677</v>
      </c>
      <c r="Y17" s="453"/>
      <c r="Z17" s="450" t="s">
        <v>605</v>
      </c>
      <c r="AA17" s="451"/>
      <c r="AB17" s="450" t="s">
        <v>606</v>
      </c>
      <c r="AC17" s="451"/>
      <c r="AD17" s="450" t="s">
        <v>607</v>
      </c>
      <c r="AE17" s="451"/>
      <c r="AF17" s="450" t="s">
        <v>608</v>
      </c>
      <c r="AG17" s="451"/>
      <c r="AH17" s="450" t="s">
        <v>135</v>
      </c>
      <c r="AI17" s="451"/>
      <c r="AJ17" s="450" t="s">
        <v>609</v>
      </c>
      <c r="AK17" s="451"/>
      <c r="AL17" s="450" t="s">
        <v>600</v>
      </c>
      <c r="AM17" s="451"/>
      <c r="AN17" s="450" t="s">
        <v>601</v>
      </c>
      <c r="AO17" s="451"/>
      <c r="AP17" s="450" t="s">
        <v>602</v>
      </c>
      <c r="AQ17" s="451"/>
      <c r="AR17" s="450" t="s">
        <v>603</v>
      </c>
      <c r="AS17" s="451"/>
      <c r="AT17" s="450" t="s">
        <v>604</v>
      </c>
      <c r="AU17" s="451"/>
      <c r="AV17" s="450" t="s">
        <v>677</v>
      </c>
      <c r="AW17" s="451"/>
      <c r="AX17" s="448" t="s">
        <v>605</v>
      </c>
      <c r="AY17" s="449"/>
      <c r="AZ17" s="448" t="s">
        <v>606</v>
      </c>
      <c r="BA17" s="449"/>
      <c r="BB17" s="448" t="s">
        <v>607</v>
      </c>
      <c r="BC17" s="449"/>
      <c r="BD17" s="448" t="s">
        <v>608</v>
      </c>
      <c r="BE17" s="449"/>
      <c r="BF17" s="448" t="s">
        <v>135</v>
      </c>
      <c r="BG17" s="449"/>
      <c r="BH17" s="448" t="s">
        <v>609</v>
      </c>
      <c r="BI17" s="449"/>
      <c r="BJ17" s="448" t="s">
        <v>600</v>
      </c>
      <c r="BK17" s="449"/>
      <c r="BL17" s="448" t="s">
        <v>601</v>
      </c>
      <c r="BM17" s="449"/>
      <c r="BN17" s="448" t="s">
        <v>602</v>
      </c>
      <c r="BO17" s="449"/>
      <c r="BP17" s="448" t="s">
        <v>603</v>
      </c>
      <c r="BQ17" s="449"/>
      <c r="BR17" s="448" t="s">
        <v>604</v>
      </c>
      <c r="BS17" s="449"/>
      <c r="BT17" s="448" t="s">
        <v>677</v>
      </c>
      <c r="BU17" s="449"/>
    </row>
    <row r="18" spans="1:73" x14ac:dyDescent="0.35">
      <c r="A18" s="454"/>
      <c r="B18" s="212" t="s">
        <v>610</v>
      </c>
      <c r="C18" s="212" t="s">
        <v>611</v>
      </c>
      <c r="D18" s="212" t="s">
        <v>610</v>
      </c>
      <c r="E18" s="212" t="s">
        <v>611</v>
      </c>
      <c r="F18" s="212" t="s">
        <v>610</v>
      </c>
      <c r="G18" s="212" t="s">
        <v>611</v>
      </c>
      <c r="H18" s="212" t="s">
        <v>610</v>
      </c>
      <c r="I18" s="212" t="s">
        <v>611</v>
      </c>
      <c r="J18" s="212" t="s">
        <v>610</v>
      </c>
      <c r="K18" s="212" t="s">
        <v>611</v>
      </c>
      <c r="L18" s="212" t="s">
        <v>610</v>
      </c>
      <c r="M18" s="212" t="s">
        <v>611</v>
      </c>
      <c r="N18" s="212" t="s">
        <v>610</v>
      </c>
      <c r="O18" s="212" t="s">
        <v>611</v>
      </c>
      <c r="P18" s="212" t="s">
        <v>610</v>
      </c>
      <c r="Q18" s="212" t="s">
        <v>611</v>
      </c>
      <c r="R18" s="212" t="s">
        <v>610</v>
      </c>
      <c r="S18" s="212" t="s">
        <v>611</v>
      </c>
      <c r="T18" s="212" t="s">
        <v>610</v>
      </c>
      <c r="U18" s="212" t="s">
        <v>611</v>
      </c>
      <c r="V18" s="212" t="s">
        <v>610</v>
      </c>
      <c r="W18" s="212" t="s">
        <v>611</v>
      </c>
      <c r="X18" s="212" t="s">
        <v>610</v>
      </c>
      <c r="Y18" s="212" t="s">
        <v>611</v>
      </c>
      <c r="Z18" s="224" t="s">
        <v>610</v>
      </c>
      <c r="AA18" s="224" t="s">
        <v>611</v>
      </c>
      <c r="AB18" s="224" t="s">
        <v>610</v>
      </c>
      <c r="AC18" s="224" t="s">
        <v>611</v>
      </c>
      <c r="AD18" s="224" t="s">
        <v>610</v>
      </c>
      <c r="AE18" s="224" t="s">
        <v>611</v>
      </c>
      <c r="AF18" s="224" t="s">
        <v>610</v>
      </c>
      <c r="AG18" s="224" t="s">
        <v>611</v>
      </c>
      <c r="AH18" s="224" t="s">
        <v>610</v>
      </c>
      <c r="AI18" s="224" t="s">
        <v>611</v>
      </c>
      <c r="AJ18" s="224" t="s">
        <v>610</v>
      </c>
      <c r="AK18" s="224" t="s">
        <v>611</v>
      </c>
      <c r="AL18" s="224" t="s">
        <v>610</v>
      </c>
      <c r="AM18" s="224" t="s">
        <v>611</v>
      </c>
      <c r="AN18" s="224" t="s">
        <v>610</v>
      </c>
      <c r="AO18" s="224" t="s">
        <v>611</v>
      </c>
      <c r="AP18" s="224" t="s">
        <v>610</v>
      </c>
      <c r="AQ18" s="224" t="s">
        <v>611</v>
      </c>
      <c r="AR18" s="224" t="s">
        <v>610</v>
      </c>
      <c r="AS18" s="224" t="s">
        <v>611</v>
      </c>
      <c r="AT18" s="224" t="s">
        <v>610</v>
      </c>
      <c r="AU18" s="224" t="s">
        <v>611</v>
      </c>
      <c r="AV18" s="224" t="s">
        <v>610</v>
      </c>
      <c r="AW18" s="224" t="s">
        <v>611</v>
      </c>
      <c r="AX18" s="238" t="s">
        <v>610</v>
      </c>
      <c r="AY18" s="238" t="s">
        <v>611</v>
      </c>
      <c r="AZ18" s="238" t="s">
        <v>610</v>
      </c>
      <c r="BA18" s="238" t="s">
        <v>611</v>
      </c>
      <c r="BB18" s="238" t="s">
        <v>610</v>
      </c>
      <c r="BC18" s="238" t="s">
        <v>611</v>
      </c>
      <c r="BD18" s="238" t="s">
        <v>610</v>
      </c>
      <c r="BE18" s="238" t="s">
        <v>611</v>
      </c>
      <c r="BF18" s="238" t="s">
        <v>610</v>
      </c>
      <c r="BG18" s="238" t="s">
        <v>611</v>
      </c>
      <c r="BH18" s="238" t="s">
        <v>610</v>
      </c>
      <c r="BI18" s="238" t="s">
        <v>611</v>
      </c>
      <c r="BJ18" s="238" t="s">
        <v>610</v>
      </c>
      <c r="BK18" s="238" t="s">
        <v>611</v>
      </c>
      <c r="BL18" s="238" t="s">
        <v>610</v>
      </c>
      <c r="BM18" s="238" t="s">
        <v>611</v>
      </c>
      <c r="BN18" s="238" t="s">
        <v>610</v>
      </c>
      <c r="BO18" s="238" t="s">
        <v>611</v>
      </c>
      <c r="BP18" s="238" t="s">
        <v>610</v>
      </c>
      <c r="BQ18" s="238" t="s">
        <v>611</v>
      </c>
      <c r="BR18" s="238" t="s">
        <v>610</v>
      </c>
      <c r="BS18" s="238" t="s">
        <v>611</v>
      </c>
      <c r="BT18" s="238" t="s">
        <v>610</v>
      </c>
      <c r="BU18" s="238" t="s">
        <v>611</v>
      </c>
    </row>
    <row r="19" spans="1:73" x14ac:dyDescent="0.35">
      <c r="A19" s="146" t="s">
        <v>709</v>
      </c>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row>
    <row r="20" spans="1:73" x14ac:dyDescent="0.35">
      <c r="A20" s="148" t="s">
        <v>613</v>
      </c>
      <c r="B20" s="148">
        <v>18356</v>
      </c>
      <c r="C20" s="148">
        <v>22026</v>
      </c>
      <c r="D20" s="148">
        <v>23176</v>
      </c>
      <c r="E20" s="148">
        <v>23562</v>
      </c>
      <c r="F20" s="148">
        <v>23326</v>
      </c>
      <c r="G20" s="148">
        <v>21987</v>
      </c>
      <c r="H20" s="148">
        <v>20755</v>
      </c>
      <c r="I20" s="148">
        <v>18911</v>
      </c>
      <c r="J20" s="148">
        <v>20705</v>
      </c>
      <c r="K20" s="148">
        <v>26752</v>
      </c>
      <c r="L20" s="148">
        <v>26400</v>
      </c>
      <c r="M20" s="148">
        <v>26307</v>
      </c>
      <c r="N20" s="148">
        <v>25999</v>
      </c>
      <c r="O20" s="148">
        <v>26225</v>
      </c>
      <c r="P20" s="148">
        <v>27603</v>
      </c>
      <c r="Q20" s="148">
        <v>29998</v>
      </c>
      <c r="R20" s="148">
        <v>31502</v>
      </c>
      <c r="S20" s="148">
        <v>32067</v>
      </c>
      <c r="T20" s="148">
        <v>34446</v>
      </c>
      <c r="U20" s="148">
        <v>36891</v>
      </c>
      <c r="V20" s="148">
        <v>37429</v>
      </c>
      <c r="W20" s="148">
        <v>35089</v>
      </c>
      <c r="X20" s="148">
        <v>34834</v>
      </c>
      <c r="Y20" s="148">
        <v>34821</v>
      </c>
      <c r="Z20" s="148">
        <v>31681</v>
      </c>
      <c r="AA20" s="148">
        <v>32131</v>
      </c>
      <c r="AB20" s="148">
        <v>32888</v>
      </c>
      <c r="AC20" s="148">
        <v>33774</v>
      </c>
      <c r="AD20" s="148">
        <v>32724</v>
      </c>
      <c r="AE20" s="148">
        <v>29535</v>
      </c>
      <c r="AF20" s="148">
        <v>28840</v>
      </c>
      <c r="AG20" s="148">
        <v>30296</v>
      </c>
      <c r="AH20" s="148">
        <v>31358</v>
      </c>
      <c r="AI20" s="148">
        <v>32608</v>
      </c>
      <c r="AJ20" s="148">
        <v>32753</v>
      </c>
      <c r="AK20" s="148">
        <v>31971</v>
      </c>
      <c r="AL20" s="148">
        <v>31833</v>
      </c>
      <c r="AM20" s="148">
        <v>31076</v>
      </c>
      <c r="AN20" s="148">
        <v>30828</v>
      </c>
      <c r="AO20" s="148">
        <v>31066</v>
      </c>
      <c r="AP20" s="148">
        <v>32121</v>
      </c>
      <c r="AQ20" s="148">
        <v>32277</v>
      </c>
      <c r="AR20" s="148">
        <v>0</v>
      </c>
      <c r="AS20" s="148">
        <v>0</v>
      </c>
      <c r="AT20" s="148">
        <v>0</v>
      </c>
      <c r="AU20" s="148">
        <v>0</v>
      </c>
      <c r="AV20" s="148">
        <v>0</v>
      </c>
      <c r="AW20" s="148">
        <v>0</v>
      </c>
      <c r="AX20" s="148">
        <v>0</v>
      </c>
      <c r="AY20" s="148">
        <v>0</v>
      </c>
      <c r="AZ20" s="148">
        <v>0</v>
      </c>
      <c r="BA20" s="148">
        <v>0</v>
      </c>
      <c r="BB20" s="148">
        <v>0</v>
      </c>
      <c r="BC20" s="148">
        <v>0</v>
      </c>
      <c r="BD20" s="148">
        <v>0</v>
      </c>
      <c r="BE20" s="148">
        <v>0</v>
      </c>
      <c r="BF20" s="148">
        <v>0</v>
      </c>
      <c r="BG20" s="148">
        <v>0</v>
      </c>
      <c r="BH20" s="148">
        <v>0</v>
      </c>
      <c r="BI20" s="148">
        <v>0</v>
      </c>
      <c r="BJ20" s="148">
        <v>0</v>
      </c>
      <c r="BK20" s="148">
        <v>0</v>
      </c>
      <c r="BL20" s="148">
        <v>0</v>
      </c>
      <c r="BM20" s="148">
        <v>0</v>
      </c>
      <c r="BN20" s="148">
        <v>0</v>
      </c>
      <c r="BO20" s="148">
        <v>0</v>
      </c>
      <c r="BP20" s="148">
        <v>56455</v>
      </c>
      <c r="BQ20" s="148">
        <v>59523</v>
      </c>
      <c r="BR20" s="148">
        <v>59585</v>
      </c>
      <c r="BS20" s="148">
        <v>59538</v>
      </c>
      <c r="BT20" s="148">
        <v>63774</v>
      </c>
      <c r="BU20" s="148">
        <v>61980</v>
      </c>
    </row>
    <row r="21" spans="1:73" x14ac:dyDescent="0.35">
      <c r="A21" s="148" t="s">
        <v>614</v>
      </c>
      <c r="B21" s="148">
        <v>801</v>
      </c>
      <c r="C21" s="148">
        <v>769</v>
      </c>
      <c r="D21" s="148">
        <v>773</v>
      </c>
      <c r="E21" s="148">
        <v>766</v>
      </c>
      <c r="F21" s="148">
        <v>782</v>
      </c>
      <c r="G21" s="148">
        <v>794</v>
      </c>
      <c r="H21" s="148">
        <v>791</v>
      </c>
      <c r="I21" s="148">
        <v>820</v>
      </c>
      <c r="J21" s="148">
        <v>822</v>
      </c>
      <c r="K21" s="148">
        <v>779</v>
      </c>
      <c r="L21" s="148">
        <v>753</v>
      </c>
      <c r="M21" s="148">
        <v>757</v>
      </c>
      <c r="N21" s="148">
        <v>795</v>
      </c>
      <c r="O21" s="148">
        <v>803</v>
      </c>
      <c r="P21" s="148">
        <v>804</v>
      </c>
      <c r="Q21" s="148">
        <v>839</v>
      </c>
      <c r="R21" s="148">
        <v>887</v>
      </c>
      <c r="S21" s="148">
        <v>917</v>
      </c>
      <c r="T21" s="148">
        <v>931</v>
      </c>
      <c r="U21" s="148">
        <v>958</v>
      </c>
      <c r="V21" s="148">
        <v>1018</v>
      </c>
      <c r="W21" s="148">
        <v>1053</v>
      </c>
      <c r="X21" s="148">
        <v>1098</v>
      </c>
      <c r="Y21" s="148">
        <v>1161</v>
      </c>
      <c r="Z21" s="148">
        <v>1345</v>
      </c>
      <c r="AA21" s="148">
        <v>1354</v>
      </c>
      <c r="AB21" s="148">
        <v>1384</v>
      </c>
      <c r="AC21" s="148">
        <v>1396</v>
      </c>
      <c r="AD21" s="148">
        <v>1540</v>
      </c>
      <c r="AE21" s="148">
        <v>1611</v>
      </c>
      <c r="AF21" s="148">
        <v>1718</v>
      </c>
      <c r="AG21" s="148">
        <v>1763</v>
      </c>
      <c r="AH21" s="148">
        <v>1750</v>
      </c>
      <c r="AI21" s="148">
        <v>1639</v>
      </c>
      <c r="AJ21" s="148">
        <v>1683</v>
      </c>
      <c r="AK21" s="148">
        <v>1712</v>
      </c>
      <c r="AL21" s="148">
        <v>1787</v>
      </c>
      <c r="AM21" s="148">
        <v>1879</v>
      </c>
      <c r="AN21" s="148">
        <v>1912</v>
      </c>
      <c r="AO21" s="148">
        <v>1827</v>
      </c>
      <c r="AP21" s="148">
        <v>1859</v>
      </c>
      <c r="AQ21" s="148">
        <v>1886</v>
      </c>
      <c r="AR21" s="148">
        <v>0</v>
      </c>
      <c r="AS21" s="148">
        <v>0</v>
      </c>
      <c r="AT21" s="148">
        <v>0</v>
      </c>
      <c r="AU21" s="148">
        <v>0</v>
      </c>
      <c r="AV21" s="148">
        <v>0</v>
      </c>
      <c r="AW21" s="148">
        <v>0</v>
      </c>
      <c r="AX21" s="148">
        <v>0</v>
      </c>
      <c r="AY21" s="148">
        <v>0</v>
      </c>
      <c r="AZ21" s="148">
        <v>0</v>
      </c>
      <c r="BA21" s="148">
        <v>0</v>
      </c>
      <c r="BB21" s="148">
        <v>0</v>
      </c>
      <c r="BC21" s="148">
        <v>0</v>
      </c>
      <c r="BD21" s="148">
        <v>0</v>
      </c>
      <c r="BE21" s="148">
        <v>0</v>
      </c>
      <c r="BF21" s="148">
        <v>0</v>
      </c>
      <c r="BG21" s="148">
        <v>0</v>
      </c>
      <c r="BH21" s="148">
        <v>0</v>
      </c>
      <c r="BI21" s="148">
        <v>0</v>
      </c>
      <c r="BJ21" s="148">
        <v>0</v>
      </c>
      <c r="BK21" s="148">
        <v>0</v>
      </c>
      <c r="BL21" s="148">
        <v>0</v>
      </c>
      <c r="BM21" s="148">
        <v>0</v>
      </c>
      <c r="BN21" s="148">
        <v>0</v>
      </c>
      <c r="BO21" s="148">
        <v>0</v>
      </c>
      <c r="BP21" s="148">
        <v>6203</v>
      </c>
      <c r="BQ21" s="148">
        <v>5837</v>
      </c>
      <c r="BR21" s="148">
        <v>5472</v>
      </c>
      <c r="BS21" s="148">
        <v>5288</v>
      </c>
      <c r="BT21" s="148">
        <v>5187</v>
      </c>
      <c r="BU21" s="148">
        <v>5162</v>
      </c>
    </row>
    <row r="22" spans="1:73" x14ac:dyDescent="0.35">
      <c r="A22" s="148" t="s">
        <v>615</v>
      </c>
      <c r="B22" s="148">
        <v>227</v>
      </c>
      <c r="C22" s="148">
        <v>219</v>
      </c>
      <c r="D22" s="148">
        <v>217</v>
      </c>
      <c r="E22" s="148">
        <v>207</v>
      </c>
      <c r="F22" s="148">
        <v>198</v>
      </c>
      <c r="G22" s="148">
        <v>189</v>
      </c>
      <c r="H22" s="148">
        <v>200</v>
      </c>
      <c r="I22" s="148">
        <v>204</v>
      </c>
      <c r="J22" s="148">
        <v>213</v>
      </c>
      <c r="K22" s="148">
        <v>202</v>
      </c>
      <c r="L22" s="148">
        <v>202</v>
      </c>
      <c r="M22" s="148">
        <v>209</v>
      </c>
      <c r="N22" s="148">
        <v>207</v>
      </c>
      <c r="O22" s="148">
        <v>200</v>
      </c>
      <c r="P22" s="148">
        <v>191</v>
      </c>
      <c r="Q22" s="148">
        <v>185</v>
      </c>
      <c r="R22" s="148">
        <v>201</v>
      </c>
      <c r="S22" s="148">
        <v>201</v>
      </c>
      <c r="T22" s="148">
        <v>217</v>
      </c>
      <c r="U22" s="148">
        <v>230</v>
      </c>
      <c r="V22" s="148">
        <v>244</v>
      </c>
      <c r="W22" s="148">
        <v>238</v>
      </c>
      <c r="X22" s="148">
        <v>229</v>
      </c>
      <c r="Y22" s="148">
        <v>226</v>
      </c>
      <c r="Z22" s="148">
        <v>256</v>
      </c>
      <c r="AA22" s="148">
        <v>262</v>
      </c>
      <c r="AB22" s="148">
        <v>272</v>
      </c>
      <c r="AC22" s="148">
        <v>278</v>
      </c>
      <c r="AD22" s="148">
        <v>287</v>
      </c>
      <c r="AE22" s="148">
        <v>318</v>
      </c>
      <c r="AF22" s="148">
        <v>327</v>
      </c>
      <c r="AG22" s="148">
        <v>322</v>
      </c>
      <c r="AH22" s="148">
        <v>339</v>
      </c>
      <c r="AI22" s="148">
        <v>354</v>
      </c>
      <c r="AJ22" s="148">
        <v>374</v>
      </c>
      <c r="AK22" s="148">
        <v>377</v>
      </c>
      <c r="AL22" s="148">
        <v>409</v>
      </c>
      <c r="AM22" s="148">
        <v>400</v>
      </c>
      <c r="AN22" s="148">
        <v>411</v>
      </c>
      <c r="AO22" s="148">
        <v>404</v>
      </c>
      <c r="AP22" s="148">
        <v>419</v>
      </c>
      <c r="AQ22" s="148">
        <v>433</v>
      </c>
      <c r="AR22" s="148">
        <v>0</v>
      </c>
      <c r="AS22" s="148">
        <v>0</v>
      </c>
      <c r="AT22" s="148">
        <v>0</v>
      </c>
      <c r="AU22" s="148">
        <v>0</v>
      </c>
      <c r="AV22" s="148">
        <v>0</v>
      </c>
      <c r="AW22" s="148">
        <v>0</v>
      </c>
      <c r="AX22" s="148">
        <v>0</v>
      </c>
      <c r="AY22" s="148">
        <v>0</v>
      </c>
      <c r="AZ22" s="148">
        <v>0</v>
      </c>
      <c r="BA22" s="148">
        <v>0</v>
      </c>
      <c r="BB22" s="148">
        <v>0</v>
      </c>
      <c r="BC22" s="148">
        <v>0</v>
      </c>
      <c r="BD22" s="148">
        <v>0</v>
      </c>
      <c r="BE22" s="148">
        <v>0</v>
      </c>
      <c r="BF22" s="148">
        <v>0</v>
      </c>
      <c r="BG22" s="148">
        <v>0</v>
      </c>
      <c r="BH22" s="148">
        <v>0</v>
      </c>
      <c r="BI22" s="148">
        <v>0</v>
      </c>
      <c r="BJ22" s="148">
        <v>0</v>
      </c>
      <c r="BK22" s="148">
        <v>0</v>
      </c>
      <c r="BL22" s="148">
        <v>0</v>
      </c>
      <c r="BM22" s="148">
        <v>0</v>
      </c>
      <c r="BN22" s="148">
        <v>0</v>
      </c>
      <c r="BO22" s="148">
        <v>0</v>
      </c>
      <c r="BP22" s="148">
        <v>910</v>
      </c>
      <c r="BQ22" s="148">
        <v>936</v>
      </c>
      <c r="BR22" s="148">
        <v>1011</v>
      </c>
      <c r="BS22" s="148">
        <v>1080</v>
      </c>
      <c r="BT22" s="148">
        <v>1223</v>
      </c>
      <c r="BU22" s="148">
        <v>1539</v>
      </c>
    </row>
    <row r="23" spans="1:73" ht="16" thickBot="1" x14ac:dyDescent="0.4">
      <c r="A23" s="149" t="s">
        <v>616</v>
      </c>
      <c r="B23" s="149">
        <v>73</v>
      </c>
      <c r="C23" s="149">
        <v>75</v>
      </c>
      <c r="D23" s="149">
        <v>69</v>
      </c>
      <c r="E23" s="149">
        <v>67</v>
      </c>
      <c r="F23" s="149">
        <v>62</v>
      </c>
      <c r="G23" s="149">
        <v>60</v>
      </c>
      <c r="H23" s="149">
        <v>57</v>
      </c>
      <c r="I23" s="149">
        <v>56</v>
      </c>
      <c r="J23" s="149">
        <v>57</v>
      </c>
      <c r="K23" s="149">
        <v>54</v>
      </c>
      <c r="L23" s="149">
        <v>56</v>
      </c>
      <c r="M23" s="149">
        <v>51</v>
      </c>
      <c r="N23" s="149">
        <v>54</v>
      </c>
      <c r="O23" s="149">
        <v>55</v>
      </c>
      <c r="P23" s="149">
        <v>55</v>
      </c>
      <c r="Q23" s="149">
        <v>51</v>
      </c>
      <c r="R23" s="149">
        <v>52</v>
      </c>
      <c r="S23" s="149">
        <v>53</v>
      </c>
      <c r="T23" s="149">
        <v>63</v>
      </c>
      <c r="U23" s="149">
        <v>59</v>
      </c>
      <c r="V23" s="149">
        <v>55</v>
      </c>
      <c r="W23" s="149">
        <v>55</v>
      </c>
      <c r="X23" s="149">
        <v>53</v>
      </c>
      <c r="Y23" s="149">
        <v>53</v>
      </c>
      <c r="Z23" s="149">
        <v>61</v>
      </c>
      <c r="AA23" s="149">
        <v>57</v>
      </c>
      <c r="AB23" s="149">
        <v>56</v>
      </c>
      <c r="AC23" s="149">
        <v>56</v>
      </c>
      <c r="AD23" s="149">
        <v>56</v>
      </c>
      <c r="AE23" s="149">
        <v>55</v>
      </c>
      <c r="AF23" s="149">
        <v>56</v>
      </c>
      <c r="AG23" s="149">
        <v>55</v>
      </c>
      <c r="AH23" s="149">
        <v>58</v>
      </c>
      <c r="AI23" s="149">
        <v>57</v>
      </c>
      <c r="AJ23" s="149">
        <v>58</v>
      </c>
      <c r="AK23" s="149">
        <v>57</v>
      </c>
      <c r="AL23" s="149">
        <v>56</v>
      </c>
      <c r="AM23" s="149">
        <v>57</v>
      </c>
      <c r="AN23" s="149">
        <v>56</v>
      </c>
      <c r="AO23" s="149">
        <v>60</v>
      </c>
      <c r="AP23" s="149">
        <v>62</v>
      </c>
      <c r="AQ23" s="149">
        <v>59</v>
      </c>
      <c r="AR23" s="149">
        <v>0</v>
      </c>
      <c r="AS23" s="149">
        <v>0</v>
      </c>
      <c r="AT23" s="149">
        <v>0</v>
      </c>
      <c r="AU23" s="149">
        <v>0</v>
      </c>
      <c r="AV23" s="149">
        <v>0</v>
      </c>
      <c r="AW23" s="149">
        <v>0</v>
      </c>
      <c r="AX23" s="149">
        <v>0</v>
      </c>
      <c r="AY23" s="149">
        <v>0</v>
      </c>
      <c r="AZ23" s="149">
        <v>0</v>
      </c>
      <c r="BA23" s="149">
        <v>0</v>
      </c>
      <c r="BB23" s="149">
        <v>0</v>
      </c>
      <c r="BC23" s="149">
        <v>0</v>
      </c>
      <c r="BD23" s="149">
        <v>0</v>
      </c>
      <c r="BE23" s="149">
        <v>0</v>
      </c>
      <c r="BF23" s="149">
        <v>0</v>
      </c>
      <c r="BG23" s="149">
        <v>0</v>
      </c>
      <c r="BH23" s="149">
        <v>0</v>
      </c>
      <c r="BI23" s="149">
        <v>0</v>
      </c>
      <c r="BJ23" s="149">
        <v>0</v>
      </c>
      <c r="BK23" s="149">
        <v>0</v>
      </c>
      <c r="BL23" s="149">
        <v>0</v>
      </c>
      <c r="BM23" s="149">
        <v>0</v>
      </c>
      <c r="BN23" s="149">
        <v>0</v>
      </c>
      <c r="BO23" s="149">
        <v>0</v>
      </c>
      <c r="BP23" s="149">
        <v>68</v>
      </c>
      <c r="BQ23" s="149">
        <v>70</v>
      </c>
      <c r="BR23" s="149">
        <v>76</v>
      </c>
      <c r="BS23" s="149">
        <v>75</v>
      </c>
      <c r="BT23" s="149">
        <v>80</v>
      </c>
      <c r="BU23" s="149">
        <v>73</v>
      </c>
    </row>
    <row r="24" spans="1:73" x14ac:dyDescent="0.35">
      <c r="A24" s="150" t="s">
        <v>1</v>
      </c>
      <c r="B24" s="150">
        <v>19457</v>
      </c>
      <c r="C24" s="150">
        <v>23089</v>
      </c>
      <c r="D24" s="150">
        <v>24235</v>
      </c>
      <c r="E24" s="150">
        <v>24602</v>
      </c>
      <c r="F24" s="150">
        <v>24368</v>
      </c>
      <c r="G24" s="150">
        <v>23030</v>
      </c>
      <c r="H24" s="150">
        <v>21803</v>
      </c>
      <c r="I24" s="150">
        <v>19991</v>
      </c>
      <c r="J24" s="150">
        <v>21797</v>
      </c>
      <c r="K24" s="150">
        <v>27787</v>
      </c>
      <c r="L24" s="150">
        <v>27411</v>
      </c>
      <c r="M24" s="150">
        <v>27324</v>
      </c>
      <c r="N24" s="150">
        <v>27055</v>
      </c>
      <c r="O24" s="150">
        <v>27283</v>
      </c>
      <c r="P24" s="150">
        <v>28653</v>
      </c>
      <c r="Q24" s="150">
        <v>31073</v>
      </c>
      <c r="R24" s="150">
        <v>32642</v>
      </c>
      <c r="S24" s="150">
        <v>33238</v>
      </c>
      <c r="T24" s="150">
        <v>35657</v>
      </c>
      <c r="U24" s="150">
        <v>38138</v>
      </c>
      <c r="V24" s="150">
        <v>38746</v>
      </c>
      <c r="W24" s="150">
        <v>36435</v>
      </c>
      <c r="X24" s="150">
        <v>36214</v>
      </c>
      <c r="Y24" s="150">
        <v>36261</v>
      </c>
      <c r="Z24" s="150">
        <v>33343</v>
      </c>
      <c r="AA24" s="150">
        <v>33804</v>
      </c>
      <c r="AB24" s="150">
        <v>34600</v>
      </c>
      <c r="AC24" s="150">
        <v>35504</v>
      </c>
      <c r="AD24" s="150">
        <v>34607</v>
      </c>
      <c r="AE24" s="150">
        <v>31519</v>
      </c>
      <c r="AF24" s="150">
        <v>30941</v>
      </c>
      <c r="AG24" s="150">
        <v>32436</v>
      </c>
      <c r="AH24" s="150">
        <v>33505</v>
      </c>
      <c r="AI24" s="150">
        <v>34658</v>
      </c>
      <c r="AJ24" s="150">
        <v>34868</v>
      </c>
      <c r="AK24" s="150">
        <v>34117</v>
      </c>
      <c r="AL24" s="150">
        <v>34085</v>
      </c>
      <c r="AM24" s="150">
        <v>33412</v>
      </c>
      <c r="AN24" s="150">
        <v>33207</v>
      </c>
      <c r="AO24" s="150">
        <v>33357</v>
      </c>
      <c r="AP24" s="150">
        <v>34461</v>
      </c>
      <c r="AQ24" s="150">
        <v>34655</v>
      </c>
      <c r="AR24" s="150">
        <v>0</v>
      </c>
      <c r="AS24" s="150">
        <v>0</v>
      </c>
      <c r="AT24" s="150">
        <v>0</v>
      </c>
      <c r="AU24" s="150">
        <v>0</v>
      </c>
      <c r="AV24" s="150">
        <v>0</v>
      </c>
      <c r="AW24" s="150">
        <v>0</v>
      </c>
      <c r="AX24" s="150">
        <v>0</v>
      </c>
      <c r="AY24" s="150">
        <v>0</v>
      </c>
      <c r="AZ24" s="150">
        <v>0</v>
      </c>
      <c r="BA24" s="150">
        <v>0</v>
      </c>
      <c r="BB24" s="150">
        <v>0</v>
      </c>
      <c r="BC24" s="150">
        <v>0</v>
      </c>
      <c r="BD24" s="150">
        <v>0</v>
      </c>
      <c r="BE24" s="150">
        <v>0</v>
      </c>
      <c r="BF24" s="150">
        <v>0</v>
      </c>
      <c r="BG24" s="150">
        <v>0</v>
      </c>
      <c r="BH24" s="150">
        <v>0</v>
      </c>
      <c r="BI24" s="150">
        <v>0</v>
      </c>
      <c r="BJ24" s="150">
        <v>0</v>
      </c>
      <c r="BK24" s="150">
        <v>0</v>
      </c>
      <c r="BL24" s="150">
        <v>0</v>
      </c>
      <c r="BM24" s="150">
        <v>0</v>
      </c>
      <c r="BN24" s="150">
        <v>0</v>
      </c>
      <c r="BO24" s="150">
        <v>0</v>
      </c>
      <c r="BP24" s="150">
        <v>63636</v>
      </c>
      <c r="BQ24" s="150">
        <v>66366</v>
      </c>
      <c r="BR24" s="150">
        <v>66144</v>
      </c>
      <c r="BS24" s="150">
        <v>65981</v>
      </c>
      <c r="BT24" s="150">
        <v>70264</v>
      </c>
      <c r="BU24" s="150">
        <v>68754</v>
      </c>
    </row>
    <row r="25" spans="1:73" x14ac:dyDescent="0.35">
      <c r="A25" s="146" t="s">
        <v>736</v>
      </c>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row>
    <row r="26" spans="1:73" x14ac:dyDescent="0.35">
      <c r="A26" s="148" t="s">
        <v>613</v>
      </c>
      <c r="B26" s="148">
        <v>0</v>
      </c>
      <c r="C26" s="148">
        <v>0</v>
      </c>
      <c r="D26" s="148">
        <v>0</v>
      </c>
      <c r="E26" s="148">
        <v>0</v>
      </c>
      <c r="F26" s="148">
        <v>0</v>
      </c>
      <c r="G26" s="148">
        <v>0</v>
      </c>
      <c r="H26" s="148">
        <v>0</v>
      </c>
      <c r="I26" s="148">
        <v>0</v>
      </c>
      <c r="J26" s="148">
        <v>0</v>
      </c>
      <c r="K26" s="148">
        <v>0</v>
      </c>
      <c r="L26" s="148">
        <v>0</v>
      </c>
      <c r="M26" s="148">
        <v>0</v>
      </c>
      <c r="N26" s="148">
        <v>0</v>
      </c>
      <c r="O26" s="148">
        <v>0</v>
      </c>
      <c r="P26" s="148">
        <v>0</v>
      </c>
      <c r="Q26" s="148">
        <v>0</v>
      </c>
      <c r="R26" s="148">
        <v>0</v>
      </c>
      <c r="S26" s="148">
        <v>0</v>
      </c>
      <c r="T26" s="148">
        <v>0</v>
      </c>
      <c r="U26" s="148">
        <v>0</v>
      </c>
      <c r="V26" s="148">
        <v>0</v>
      </c>
      <c r="W26" s="148">
        <v>0</v>
      </c>
      <c r="X26" s="148">
        <v>0</v>
      </c>
      <c r="Y26" s="148">
        <v>0</v>
      </c>
      <c r="Z26" s="148">
        <v>0</v>
      </c>
      <c r="AA26" s="148">
        <v>0</v>
      </c>
      <c r="AB26" s="148">
        <v>0</v>
      </c>
      <c r="AC26" s="148">
        <v>0</v>
      </c>
      <c r="AD26" s="148">
        <v>0</v>
      </c>
      <c r="AE26" s="148">
        <v>0</v>
      </c>
      <c r="AF26" s="148">
        <v>0</v>
      </c>
      <c r="AG26" s="148">
        <v>0</v>
      </c>
      <c r="AH26" s="148">
        <v>0</v>
      </c>
      <c r="AI26" s="148">
        <v>0</v>
      </c>
      <c r="AJ26" s="148">
        <v>0</v>
      </c>
      <c r="AK26" s="148">
        <v>0</v>
      </c>
      <c r="AL26" s="148">
        <v>0</v>
      </c>
      <c r="AM26" s="148">
        <v>0</v>
      </c>
      <c r="AN26" s="148">
        <v>0</v>
      </c>
      <c r="AO26" s="148">
        <v>0</v>
      </c>
      <c r="AP26" s="148">
        <v>0</v>
      </c>
      <c r="AQ26" s="148">
        <v>0</v>
      </c>
      <c r="AR26" s="148">
        <v>0</v>
      </c>
      <c r="AS26" s="148">
        <v>0</v>
      </c>
      <c r="AT26" s="148">
        <v>0</v>
      </c>
      <c r="AU26" s="148">
        <v>0</v>
      </c>
      <c r="AV26" s="148">
        <v>0</v>
      </c>
      <c r="AW26" s="148">
        <v>0</v>
      </c>
      <c r="AX26" s="148">
        <v>0</v>
      </c>
      <c r="AY26" s="148">
        <v>0</v>
      </c>
      <c r="AZ26" s="148">
        <v>0</v>
      </c>
      <c r="BA26" s="148">
        <v>0</v>
      </c>
      <c r="BB26" s="148">
        <v>0</v>
      </c>
      <c r="BC26" s="148">
        <v>0</v>
      </c>
      <c r="BD26" s="148">
        <v>0</v>
      </c>
      <c r="BE26" s="148">
        <v>0</v>
      </c>
      <c r="BF26" s="148">
        <v>0</v>
      </c>
      <c r="BG26" s="148">
        <v>0</v>
      </c>
      <c r="BH26" s="148">
        <v>0</v>
      </c>
      <c r="BI26" s="148">
        <v>0</v>
      </c>
      <c r="BJ26" s="148">
        <v>0</v>
      </c>
      <c r="BK26" s="148">
        <v>0</v>
      </c>
      <c r="BL26" s="148">
        <v>0</v>
      </c>
      <c r="BM26" s="148">
        <v>0</v>
      </c>
      <c r="BN26" s="148">
        <v>0</v>
      </c>
      <c r="BO26" s="148">
        <v>0</v>
      </c>
      <c r="BP26" s="148">
        <v>392</v>
      </c>
      <c r="BQ26" s="148">
        <v>415</v>
      </c>
      <c r="BR26" s="148">
        <v>626</v>
      </c>
      <c r="BS26" s="148">
        <v>817</v>
      </c>
      <c r="BT26" s="148">
        <v>1017</v>
      </c>
      <c r="BU26" s="148">
        <v>1151</v>
      </c>
    </row>
    <row r="27" spans="1:73" x14ac:dyDescent="0.35">
      <c r="A27" s="148" t="s">
        <v>614</v>
      </c>
      <c r="B27" s="148">
        <v>0</v>
      </c>
      <c r="C27" s="148">
        <v>0</v>
      </c>
      <c r="D27" s="148">
        <v>0</v>
      </c>
      <c r="E27" s="148">
        <v>0</v>
      </c>
      <c r="F27" s="148">
        <v>0</v>
      </c>
      <c r="G27" s="148">
        <v>0</v>
      </c>
      <c r="H27" s="148">
        <v>0</v>
      </c>
      <c r="I27" s="148">
        <v>0</v>
      </c>
      <c r="J27" s="148">
        <v>0</v>
      </c>
      <c r="K27" s="148">
        <v>0</v>
      </c>
      <c r="L27" s="148">
        <v>0</v>
      </c>
      <c r="M27" s="148">
        <v>0</v>
      </c>
      <c r="N27" s="148">
        <v>0</v>
      </c>
      <c r="O27" s="148">
        <v>0</v>
      </c>
      <c r="P27" s="148">
        <v>0</v>
      </c>
      <c r="Q27" s="148">
        <v>0</v>
      </c>
      <c r="R27" s="148">
        <v>0</v>
      </c>
      <c r="S27" s="148">
        <v>0</v>
      </c>
      <c r="T27" s="148">
        <v>0</v>
      </c>
      <c r="U27" s="148">
        <v>0</v>
      </c>
      <c r="V27" s="148">
        <v>0</v>
      </c>
      <c r="W27" s="148">
        <v>0</v>
      </c>
      <c r="X27" s="148">
        <v>0</v>
      </c>
      <c r="Y27" s="148">
        <v>0</v>
      </c>
      <c r="Z27" s="148">
        <v>0</v>
      </c>
      <c r="AA27" s="148">
        <v>0</v>
      </c>
      <c r="AB27" s="148">
        <v>0</v>
      </c>
      <c r="AC27" s="148">
        <v>0</v>
      </c>
      <c r="AD27" s="148">
        <v>0</v>
      </c>
      <c r="AE27" s="148">
        <v>0</v>
      </c>
      <c r="AF27" s="148">
        <v>0</v>
      </c>
      <c r="AG27" s="148">
        <v>0</v>
      </c>
      <c r="AH27" s="148">
        <v>0</v>
      </c>
      <c r="AI27" s="148">
        <v>0</v>
      </c>
      <c r="AJ27" s="148">
        <v>0</v>
      </c>
      <c r="AK27" s="148">
        <v>0</v>
      </c>
      <c r="AL27" s="148">
        <v>0</v>
      </c>
      <c r="AM27" s="148">
        <v>0</v>
      </c>
      <c r="AN27" s="148">
        <v>0</v>
      </c>
      <c r="AO27" s="148">
        <v>0</v>
      </c>
      <c r="AP27" s="148">
        <v>0</v>
      </c>
      <c r="AQ27" s="148">
        <v>0</v>
      </c>
      <c r="AR27" s="148">
        <v>0</v>
      </c>
      <c r="AS27" s="148">
        <v>0</v>
      </c>
      <c r="AT27" s="148">
        <v>0</v>
      </c>
      <c r="AU27" s="148">
        <v>0</v>
      </c>
      <c r="AV27" s="148">
        <v>0</v>
      </c>
      <c r="AW27" s="148">
        <v>0</v>
      </c>
      <c r="AX27" s="148">
        <v>0</v>
      </c>
      <c r="AY27" s="148">
        <v>0</v>
      </c>
      <c r="AZ27" s="148">
        <v>0</v>
      </c>
      <c r="BA27" s="148">
        <v>0</v>
      </c>
      <c r="BB27" s="148">
        <v>0</v>
      </c>
      <c r="BC27" s="148">
        <v>0</v>
      </c>
      <c r="BD27" s="148">
        <v>0</v>
      </c>
      <c r="BE27" s="148">
        <v>0</v>
      </c>
      <c r="BF27" s="148">
        <v>0</v>
      </c>
      <c r="BG27" s="148">
        <v>0</v>
      </c>
      <c r="BH27" s="148">
        <v>0</v>
      </c>
      <c r="BI27" s="148">
        <v>0</v>
      </c>
      <c r="BJ27" s="148">
        <v>0</v>
      </c>
      <c r="BK27" s="148">
        <v>0</v>
      </c>
      <c r="BL27" s="148">
        <v>0</v>
      </c>
      <c r="BM27" s="148">
        <v>0</v>
      </c>
      <c r="BN27" s="148">
        <v>0</v>
      </c>
      <c r="BO27" s="148">
        <v>0</v>
      </c>
      <c r="BP27" s="148">
        <v>0</v>
      </c>
      <c r="BQ27" s="148">
        <v>0</v>
      </c>
      <c r="BR27" s="148">
        <v>0</v>
      </c>
      <c r="BS27" s="148">
        <v>0</v>
      </c>
      <c r="BT27" s="148">
        <v>6</v>
      </c>
      <c r="BU27" s="148">
        <v>6</v>
      </c>
    </row>
    <row r="28" spans="1:73" x14ac:dyDescent="0.35">
      <c r="A28" s="148" t="s">
        <v>615</v>
      </c>
      <c r="B28" s="148">
        <v>0</v>
      </c>
      <c r="C28" s="148">
        <v>0</v>
      </c>
      <c r="D28" s="148">
        <v>0</v>
      </c>
      <c r="E28" s="148">
        <v>0</v>
      </c>
      <c r="F28" s="148">
        <v>0</v>
      </c>
      <c r="G28" s="148">
        <v>0</v>
      </c>
      <c r="H28" s="148">
        <v>0</v>
      </c>
      <c r="I28" s="148">
        <v>0</v>
      </c>
      <c r="J28" s="148">
        <v>0</v>
      </c>
      <c r="K28" s="148">
        <v>0</v>
      </c>
      <c r="L28" s="148">
        <v>0</v>
      </c>
      <c r="M28" s="148">
        <v>0</v>
      </c>
      <c r="N28" s="148">
        <v>0</v>
      </c>
      <c r="O28" s="148">
        <v>0</v>
      </c>
      <c r="P28" s="148">
        <v>0</v>
      </c>
      <c r="Q28" s="148">
        <v>0</v>
      </c>
      <c r="R28" s="148">
        <v>0</v>
      </c>
      <c r="S28" s="148">
        <v>0</v>
      </c>
      <c r="T28" s="148">
        <v>0</v>
      </c>
      <c r="U28" s="148">
        <v>0</v>
      </c>
      <c r="V28" s="148">
        <v>0</v>
      </c>
      <c r="W28" s="148">
        <v>0</v>
      </c>
      <c r="X28" s="148">
        <v>0</v>
      </c>
      <c r="Y28" s="148">
        <v>0</v>
      </c>
      <c r="Z28" s="148">
        <v>0</v>
      </c>
      <c r="AA28" s="148">
        <v>0</v>
      </c>
      <c r="AB28" s="148">
        <v>0</v>
      </c>
      <c r="AC28" s="148">
        <v>0</v>
      </c>
      <c r="AD28" s="148">
        <v>0</v>
      </c>
      <c r="AE28" s="148">
        <v>0</v>
      </c>
      <c r="AF28" s="148">
        <v>0</v>
      </c>
      <c r="AG28" s="148">
        <v>0</v>
      </c>
      <c r="AH28" s="148">
        <v>0</v>
      </c>
      <c r="AI28" s="148">
        <v>0</v>
      </c>
      <c r="AJ28" s="148">
        <v>0</v>
      </c>
      <c r="AK28" s="148">
        <v>0</v>
      </c>
      <c r="AL28" s="148">
        <v>0</v>
      </c>
      <c r="AM28" s="148">
        <v>0</v>
      </c>
      <c r="AN28" s="148">
        <v>0</v>
      </c>
      <c r="AO28" s="148">
        <v>0</v>
      </c>
      <c r="AP28" s="148">
        <v>0</v>
      </c>
      <c r="AQ28" s="148">
        <v>0</v>
      </c>
      <c r="AR28" s="148">
        <v>0</v>
      </c>
      <c r="AS28" s="148">
        <v>0</v>
      </c>
      <c r="AT28" s="148">
        <v>0</v>
      </c>
      <c r="AU28" s="148">
        <v>0</v>
      </c>
      <c r="AV28" s="148">
        <v>0</v>
      </c>
      <c r="AW28" s="148">
        <v>0</v>
      </c>
      <c r="AX28" s="148">
        <v>0</v>
      </c>
      <c r="AY28" s="148">
        <v>0</v>
      </c>
      <c r="AZ28" s="148">
        <v>0</v>
      </c>
      <c r="BA28" s="148">
        <v>0</v>
      </c>
      <c r="BB28" s="148">
        <v>0</v>
      </c>
      <c r="BC28" s="148">
        <v>0</v>
      </c>
      <c r="BD28" s="148">
        <v>0</v>
      </c>
      <c r="BE28" s="148">
        <v>0</v>
      </c>
      <c r="BF28" s="148">
        <v>0</v>
      </c>
      <c r="BG28" s="148">
        <v>0</v>
      </c>
      <c r="BH28" s="148">
        <v>0</v>
      </c>
      <c r="BI28" s="148">
        <v>0</v>
      </c>
      <c r="BJ28" s="148">
        <v>0</v>
      </c>
      <c r="BK28" s="148">
        <v>0</v>
      </c>
      <c r="BL28" s="148">
        <v>0</v>
      </c>
      <c r="BM28" s="148">
        <v>0</v>
      </c>
      <c r="BN28" s="148">
        <v>0</v>
      </c>
      <c r="BO28" s="148">
        <v>0</v>
      </c>
      <c r="BP28" s="148">
        <v>0</v>
      </c>
      <c r="BQ28" s="148">
        <v>0</v>
      </c>
      <c r="BR28" s="148">
        <v>0</v>
      </c>
      <c r="BS28" s="148">
        <v>0</v>
      </c>
      <c r="BT28" s="148">
        <v>0</v>
      </c>
      <c r="BU28" s="148">
        <v>0</v>
      </c>
    </row>
    <row r="29" spans="1:73" ht="16" thickBot="1" x14ac:dyDescent="0.4">
      <c r="A29" s="149" t="s">
        <v>616</v>
      </c>
      <c r="B29" s="149">
        <v>0</v>
      </c>
      <c r="C29" s="149">
        <v>0</v>
      </c>
      <c r="D29" s="149">
        <v>0</v>
      </c>
      <c r="E29" s="149">
        <v>0</v>
      </c>
      <c r="F29" s="149">
        <v>0</v>
      </c>
      <c r="G29" s="149">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0</v>
      </c>
      <c r="AB29" s="149">
        <v>0</v>
      </c>
      <c r="AC29" s="149">
        <v>0</v>
      </c>
      <c r="AD29" s="149">
        <v>0</v>
      </c>
      <c r="AE29" s="149">
        <v>0</v>
      </c>
      <c r="AF29" s="149">
        <v>0</v>
      </c>
      <c r="AG29" s="149">
        <v>0</v>
      </c>
      <c r="AH29" s="149">
        <v>0</v>
      </c>
      <c r="AI29" s="149">
        <v>0</v>
      </c>
      <c r="AJ29" s="149">
        <v>0</v>
      </c>
      <c r="AK29" s="149">
        <v>0</v>
      </c>
      <c r="AL29" s="149">
        <v>0</v>
      </c>
      <c r="AM29" s="149">
        <v>0</v>
      </c>
      <c r="AN29" s="149">
        <v>0</v>
      </c>
      <c r="AO29" s="149">
        <v>0</v>
      </c>
      <c r="AP29" s="149">
        <v>0</v>
      </c>
      <c r="AQ29" s="149">
        <v>0</v>
      </c>
      <c r="AR29" s="149">
        <v>0</v>
      </c>
      <c r="AS29" s="149">
        <v>0</v>
      </c>
      <c r="AT29" s="149">
        <v>0</v>
      </c>
      <c r="AU29" s="149">
        <v>0</v>
      </c>
      <c r="AV29" s="149">
        <v>0</v>
      </c>
      <c r="AW29" s="149">
        <v>0</v>
      </c>
      <c r="AX29" s="149">
        <v>0</v>
      </c>
      <c r="AY29" s="149">
        <v>0</v>
      </c>
      <c r="AZ29" s="149">
        <v>0</v>
      </c>
      <c r="BA29" s="149">
        <v>0</v>
      </c>
      <c r="BB29" s="149">
        <v>0</v>
      </c>
      <c r="BC29" s="149">
        <v>0</v>
      </c>
      <c r="BD29" s="149">
        <v>0</v>
      </c>
      <c r="BE29" s="149">
        <v>0</v>
      </c>
      <c r="BF29" s="149">
        <v>0</v>
      </c>
      <c r="BG29" s="149">
        <v>0</v>
      </c>
      <c r="BH29" s="149">
        <v>0</v>
      </c>
      <c r="BI29" s="149">
        <v>0</v>
      </c>
      <c r="BJ29" s="149">
        <v>0</v>
      </c>
      <c r="BK29" s="149">
        <v>0</v>
      </c>
      <c r="BL29" s="149">
        <v>0</v>
      </c>
      <c r="BM29" s="149">
        <v>0</v>
      </c>
      <c r="BN29" s="149">
        <v>0</v>
      </c>
      <c r="BO29" s="149">
        <v>0</v>
      </c>
      <c r="BP29" s="149">
        <v>0</v>
      </c>
      <c r="BQ29" s="149">
        <v>0</v>
      </c>
      <c r="BR29" s="149">
        <v>0</v>
      </c>
      <c r="BS29" s="149">
        <v>0</v>
      </c>
      <c r="BT29" s="149">
        <v>0</v>
      </c>
      <c r="BU29" s="149">
        <v>0</v>
      </c>
    </row>
    <row r="30" spans="1:73" x14ac:dyDescent="0.35">
      <c r="A30" s="150" t="s">
        <v>1</v>
      </c>
      <c r="B30" s="150">
        <v>0</v>
      </c>
      <c r="C30" s="150">
        <v>0</v>
      </c>
      <c r="D30" s="150">
        <v>0</v>
      </c>
      <c r="E30" s="150">
        <v>0</v>
      </c>
      <c r="F30" s="150">
        <v>0</v>
      </c>
      <c r="G30" s="150">
        <v>0</v>
      </c>
      <c r="H30" s="150">
        <v>0</v>
      </c>
      <c r="I30" s="150">
        <v>0</v>
      </c>
      <c r="J30" s="150">
        <v>0</v>
      </c>
      <c r="K30" s="150">
        <v>0</v>
      </c>
      <c r="L30" s="150">
        <v>0</v>
      </c>
      <c r="M30" s="150">
        <v>0</v>
      </c>
      <c r="N30" s="150">
        <v>0</v>
      </c>
      <c r="O30" s="150">
        <v>0</v>
      </c>
      <c r="P30" s="150">
        <v>0</v>
      </c>
      <c r="Q30" s="150">
        <v>0</v>
      </c>
      <c r="R30" s="150">
        <v>0</v>
      </c>
      <c r="S30" s="150">
        <v>0</v>
      </c>
      <c r="T30" s="150">
        <v>0</v>
      </c>
      <c r="U30" s="150">
        <v>0</v>
      </c>
      <c r="V30" s="150">
        <v>0</v>
      </c>
      <c r="W30" s="150">
        <v>0</v>
      </c>
      <c r="X30" s="150">
        <v>0</v>
      </c>
      <c r="Y30" s="150">
        <v>0</v>
      </c>
      <c r="Z30" s="150">
        <v>0</v>
      </c>
      <c r="AA30" s="150">
        <v>0</v>
      </c>
      <c r="AB30" s="150">
        <v>0</v>
      </c>
      <c r="AC30" s="150">
        <v>0</v>
      </c>
      <c r="AD30" s="150">
        <v>0</v>
      </c>
      <c r="AE30" s="150">
        <v>0</v>
      </c>
      <c r="AF30" s="150">
        <v>0</v>
      </c>
      <c r="AG30" s="150">
        <v>0</v>
      </c>
      <c r="AH30" s="150">
        <v>0</v>
      </c>
      <c r="AI30" s="150">
        <v>0</v>
      </c>
      <c r="AJ30" s="150">
        <v>0</v>
      </c>
      <c r="AK30" s="150">
        <v>0</v>
      </c>
      <c r="AL30" s="150">
        <v>0</v>
      </c>
      <c r="AM30" s="150">
        <v>0</v>
      </c>
      <c r="AN30" s="150">
        <v>0</v>
      </c>
      <c r="AO30" s="150">
        <v>0</v>
      </c>
      <c r="AP30" s="150">
        <v>0</v>
      </c>
      <c r="AQ30" s="150">
        <v>0</v>
      </c>
      <c r="AR30" s="150">
        <v>0</v>
      </c>
      <c r="AS30" s="150">
        <v>0</v>
      </c>
      <c r="AT30" s="150">
        <v>0</v>
      </c>
      <c r="AU30" s="150">
        <v>0</v>
      </c>
      <c r="AV30" s="150">
        <v>0</v>
      </c>
      <c r="AW30" s="150">
        <v>0</v>
      </c>
      <c r="AX30" s="150">
        <v>0</v>
      </c>
      <c r="AY30" s="150">
        <v>0</v>
      </c>
      <c r="AZ30" s="150">
        <v>0</v>
      </c>
      <c r="BA30" s="150">
        <v>0</v>
      </c>
      <c r="BB30" s="150">
        <v>0</v>
      </c>
      <c r="BC30" s="150">
        <v>0</v>
      </c>
      <c r="BD30" s="150">
        <v>0</v>
      </c>
      <c r="BE30" s="150">
        <v>0</v>
      </c>
      <c r="BF30" s="150">
        <v>0</v>
      </c>
      <c r="BG30" s="150">
        <v>0</v>
      </c>
      <c r="BH30" s="150">
        <v>0</v>
      </c>
      <c r="BI30" s="150">
        <v>0</v>
      </c>
      <c r="BJ30" s="150">
        <v>0</v>
      </c>
      <c r="BK30" s="150">
        <v>0</v>
      </c>
      <c r="BL30" s="150">
        <v>0</v>
      </c>
      <c r="BM30" s="150">
        <v>0</v>
      </c>
      <c r="BN30" s="150">
        <v>0</v>
      </c>
      <c r="BO30" s="150">
        <v>0</v>
      </c>
      <c r="BP30" s="150">
        <v>392</v>
      </c>
      <c r="BQ30" s="150">
        <v>415</v>
      </c>
      <c r="BR30" s="150">
        <v>626</v>
      </c>
      <c r="BS30" s="150">
        <v>817</v>
      </c>
      <c r="BT30" s="150">
        <v>1023</v>
      </c>
      <c r="BU30" s="150">
        <v>1157</v>
      </c>
    </row>
    <row r="31" spans="1:73" x14ac:dyDescent="0.35">
      <c r="A31" s="146" t="s">
        <v>672</v>
      </c>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row>
    <row r="32" spans="1:73" x14ac:dyDescent="0.35">
      <c r="A32" s="148" t="s">
        <v>613</v>
      </c>
      <c r="B32" s="148">
        <v>2089</v>
      </c>
      <c r="C32" s="148">
        <v>2861</v>
      </c>
      <c r="D32" s="148">
        <v>3122</v>
      </c>
      <c r="E32" s="148">
        <v>3678</v>
      </c>
      <c r="F32" s="148">
        <v>4536</v>
      </c>
      <c r="G32" s="148">
        <v>4211</v>
      </c>
      <c r="H32" s="148">
        <v>3888</v>
      </c>
      <c r="I32" s="148">
        <v>3252</v>
      </c>
      <c r="J32" s="148">
        <v>2737</v>
      </c>
      <c r="K32" s="148">
        <v>3312</v>
      </c>
      <c r="L32" s="148">
        <v>3855</v>
      </c>
      <c r="M32" s="148">
        <v>3889</v>
      </c>
      <c r="N32" s="148">
        <v>4048</v>
      </c>
      <c r="O32" s="148">
        <v>3905</v>
      </c>
      <c r="P32" s="148">
        <v>3590</v>
      </c>
      <c r="Q32" s="148">
        <v>3576</v>
      </c>
      <c r="R32" s="148">
        <v>3476</v>
      </c>
      <c r="S32" s="148">
        <v>3669</v>
      </c>
      <c r="T32" s="148">
        <v>3272</v>
      </c>
      <c r="U32" s="148">
        <v>2536</v>
      </c>
      <c r="V32" s="148">
        <v>2338</v>
      </c>
      <c r="W32" s="148">
        <v>1844</v>
      </c>
      <c r="X32" s="148">
        <v>1360</v>
      </c>
      <c r="Y32" s="148">
        <v>1060</v>
      </c>
      <c r="Z32" s="148">
        <v>5065</v>
      </c>
      <c r="AA32" s="148">
        <v>5236</v>
      </c>
      <c r="AB32" s="148">
        <v>5427</v>
      </c>
      <c r="AC32" s="148">
        <v>5166</v>
      </c>
      <c r="AD32" s="148">
        <v>4991</v>
      </c>
      <c r="AE32" s="148">
        <v>4728</v>
      </c>
      <c r="AF32" s="148">
        <v>4397</v>
      </c>
      <c r="AG32" s="148">
        <v>4289</v>
      </c>
      <c r="AH32" s="148">
        <v>4095</v>
      </c>
      <c r="AI32" s="148">
        <v>3882</v>
      </c>
      <c r="AJ32" s="148">
        <v>3648</v>
      </c>
      <c r="AK32" s="148">
        <v>3595</v>
      </c>
      <c r="AL32" s="148">
        <v>3741</v>
      </c>
      <c r="AM32" s="148">
        <v>3782</v>
      </c>
      <c r="AN32" s="148">
        <v>3849</v>
      </c>
      <c r="AO32" s="148">
        <v>3712</v>
      </c>
      <c r="AP32" s="148">
        <v>3730</v>
      </c>
      <c r="AQ32" s="148">
        <v>3995</v>
      </c>
      <c r="AR32" s="148">
        <v>0</v>
      </c>
      <c r="AS32" s="148">
        <v>0</v>
      </c>
      <c r="AT32" s="148">
        <v>0</v>
      </c>
      <c r="AU32" s="148">
        <v>0</v>
      </c>
      <c r="AV32" s="148">
        <v>0</v>
      </c>
      <c r="AW32" s="148">
        <v>0</v>
      </c>
      <c r="AX32" s="148">
        <v>0</v>
      </c>
      <c r="AY32" s="148">
        <v>0</v>
      </c>
      <c r="AZ32" s="148">
        <v>0</v>
      </c>
      <c r="BA32" s="148">
        <v>0</v>
      </c>
      <c r="BB32" s="148">
        <v>0</v>
      </c>
      <c r="BC32" s="148">
        <v>0</v>
      </c>
      <c r="BD32" s="148">
        <v>0</v>
      </c>
      <c r="BE32" s="148">
        <v>0</v>
      </c>
      <c r="BF32" s="148">
        <v>0</v>
      </c>
      <c r="BG32" s="148">
        <v>0</v>
      </c>
      <c r="BH32" s="148">
        <v>0</v>
      </c>
      <c r="BI32" s="148">
        <v>0</v>
      </c>
      <c r="BJ32" s="148">
        <v>0</v>
      </c>
      <c r="BK32" s="148">
        <v>0</v>
      </c>
      <c r="BL32" s="148">
        <v>0</v>
      </c>
      <c r="BM32" s="148">
        <v>0</v>
      </c>
      <c r="BN32" s="148">
        <v>0</v>
      </c>
      <c r="BO32" s="148">
        <v>0</v>
      </c>
      <c r="BP32" s="148">
        <v>654</v>
      </c>
      <c r="BQ32" s="148">
        <v>667</v>
      </c>
      <c r="BR32" s="148">
        <v>650</v>
      </c>
      <c r="BS32" s="148">
        <v>594</v>
      </c>
      <c r="BT32" s="148">
        <v>507</v>
      </c>
      <c r="BU32" s="148">
        <v>463</v>
      </c>
    </row>
    <row r="33" spans="1:73" x14ac:dyDescent="0.35">
      <c r="A33" s="148" t="s">
        <v>614</v>
      </c>
      <c r="B33" s="148">
        <v>153</v>
      </c>
      <c r="C33" s="148">
        <v>157</v>
      </c>
      <c r="D33" s="148">
        <v>175</v>
      </c>
      <c r="E33" s="148">
        <v>183</v>
      </c>
      <c r="F33" s="148">
        <v>180</v>
      </c>
      <c r="G33" s="148">
        <v>172</v>
      </c>
      <c r="H33" s="148">
        <v>166</v>
      </c>
      <c r="I33" s="148">
        <v>164</v>
      </c>
      <c r="J33" s="148">
        <v>118</v>
      </c>
      <c r="K33" s="148">
        <v>115</v>
      </c>
      <c r="L33" s="148">
        <v>117</v>
      </c>
      <c r="M33" s="148">
        <v>136</v>
      </c>
      <c r="N33" s="148">
        <v>165</v>
      </c>
      <c r="O33" s="148">
        <v>170</v>
      </c>
      <c r="P33" s="148">
        <v>162</v>
      </c>
      <c r="Q33" s="148">
        <v>166</v>
      </c>
      <c r="R33" s="148">
        <v>189</v>
      </c>
      <c r="S33" s="148">
        <v>177</v>
      </c>
      <c r="T33" s="148">
        <v>193</v>
      </c>
      <c r="U33" s="148">
        <v>206</v>
      </c>
      <c r="V33" s="148">
        <v>208</v>
      </c>
      <c r="W33" s="148">
        <v>209</v>
      </c>
      <c r="X33" s="148">
        <v>217</v>
      </c>
      <c r="Y33" s="148">
        <v>249</v>
      </c>
      <c r="Z33" s="148">
        <v>268</v>
      </c>
      <c r="AA33" s="148">
        <v>284</v>
      </c>
      <c r="AB33" s="148">
        <v>314</v>
      </c>
      <c r="AC33" s="148">
        <v>330</v>
      </c>
      <c r="AD33" s="148">
        <v>366</v>
      </c>
      <c r="AE33" s="148">
        <v>416</v>
      </c>
      <c r="AF33" s="148">
        <v>491</v>
      </c>
      <c r="AG33" s="148">
        <v>474</v>
      </c>
      <c r="AH33" s="148">
        <v>508</v>
      </c>
      <c r="AI33" s="148">
        <v>503</v>
      </c>
      <c r="AJ33" s="148">
        <v>542</v>
      </c>
      <c r="AK33" s="148">
        <v>513</v>
      </c>
      <c r="AL33" s="148">
        <v>487</v>
      </c>
      <c r="AM33" s="148">
        <v>443</v>
      </c>
      <c r="AN33" s="148">
        <v>397</v>
      </c>
      <c r="AO33" s="148">
        <v>370</v>
      </c>
      <c r="AP33" s="148">
        <v>340</v>
      </c>
      <c r="AQ33" s="148">
        <v>328</v>
      </c>
      <c r="AR33" s="148">
        <v>0</v>
      </c>
      <c r="AS33" s="148">
        <v>0</v>
      </c>
      <c r="AT33" s="148">
        <v>0</v>
      </c>
      <c r="AU33" s="148">
        <v>0</v>
      </c>
      <c r="AV33" s="148">
        <v>0</v>
      </c>
      <c r="AW33" s="148">
        <v>0</v>
      </c>
      <c r="AX33" s="148">
        <v>0</v>
      </c>
      <c r="AY33" s="148">
        <v>0</v>
      </c>
      <c r="AZ33" s="148">
        <v>0</v>
      </c>
      <c r="BA33" s="148">
        <v>0</v>
      </c>
      <c r="BB33" s="148">
        <v>0</v>
      </c>
      <c r="BC33" s="148">
        <v>0</v>
      </c>
      <c r="BD33" s="148">
        <v>0</v>
      </c>
      <c r="BE33" s="148">
        <v>0</v>
      </c>
      <c r="BF33" s="148">
        <v>0</v>
      </c>
      <c r="BG33" s="148">
        <v>0</v>
      </c>
      <c r="BH33" s="148">
        <v>0</v>
      </c>
      <c r="BI33" s="148">
        <v>0</v>
      </c>
      <c r="BJ33" s="148">
        <v>0</v>
      </c>
      <c r="BK33" s="148">
        <v>0</v>
      </c>
      <c r="BL33" s="148">
        <v>0</v>
      </c>
      <c r="BM33" s="148">
        <v>0</v>
      </c>
      <c r="BN33" s="148">
        <v>0</v>
      </c>
      <c r="BO33" s="148">
        <v>0</v>
      </c>
      <c r="BP33" s="148">
        <v>129</v>
      </c>
      <c r="BQ33" s="148">
        <v>121</v>
      </c>
      <c r="BR33" s="148">
        <v>115</v>
      </c>
      <c r="BS33" s="148">
        <v>157</v>
      </c>
      <c r="BT33" s="148">
        <v>200</v>
      </c>
      <c r="BU33" s="148">
        <v>231</v>
      </c>
    </row>
    <row r="34" spans="1:73" x14ac:dyDescent="0.35">
      <c r="A34" s="148" t="s">
        <v>615</v>
      </c>
      <c r="B34" s="148">
        <v>30</v>
      </c>
      <c r="C34" s="148">
        <v>31</v>
      </c>
      <c r="D34" s="148">
        <v>33</v>
      </c>
      <c r="E34" s="148">
        <v>32</v>
      </c>
      <c r="F34" s="148">
        <v>29</v>
      </c>
      <c r="G34" s="148">
        <v>32</v>
      </c>
      <c r="H34" s="148">
        <v>38</v>
      </c>
      <c r="I34" s="148">
        <v>39</v>
      </c>
      <c r="J34" s="148">
        <v>35</v>
      </c>
      <c r="K34" s="148">
        <v>32</v>
      </c>
      <c r="L34" s="148">
        <v>34</v>
      </c>
      <c r="M34" s="148">
        <v>37</v>
      </c>
      <c r="N34" s="148">
        <v>35</v>
      </c>
      <c r="O34" s="148">
        <v>32</v>
      </c>
      <c r="P34" s="148">
        <v>32</v>
      </c>
      <c r="Q34" s="148">
        <v>35</v>
      </c>
      <c r="R34" s="148">
        <v>34</v>
      </c>
      <c r="S34" s="148">
        <v>37</v>
      </c>
      <c r="T34" s="148">
        <v>39</v>
      </c>
      <c r="U34" s="148">
        <v>35</v>
      </c>
      <c r="V34" s="148">
        <v>34</v>
      </c>
      <c r="W34" s="148">
        <v>36</v>
      </c>
      <c r="X34" s="148">
        <v>35</v>
      </c>
      <c r="Y34" s="148">
        <v>38</v>
      </c>
      <c r="Z34" s="148">
        <v>26</v>
      </c>
      <c r="AA34" s="148">
        <v>31</v>
      </c>
      <c r="AB34" s="148">
        <v>33</v>
      </c>
      <c r="AC34" s="148">
        <v>43</v>
      </c>
      <c r="AD34" s="148">
        <v>40</v>
      </c>
      <c r="AE34" s="148">
        <v>39</v>
      </c>
      <c r="AF34" s="148">
        <v>43</v>
      </c>
      <c r="AG34" s="148">
        <v>49</v>
      </c>
      <c r="AH34" s="148">
        <v>49</v>
      </c>
      <c r="AI34" s="148">
        <v>42</v>
      </c>
      <c r="AJ34" s="148">
        <v>44</v>
      </c>
      <c r="AK34" s="148">
        <v>47</v>
      </c>
      <c r="AL34" s="148">
        <v>54</v>
      </c>
      <c r="AM34" s="148">
        <v>62</v>
      </c>
      <c r="AN34" s="148">
        <v>66</v>
      </c>
      <c r="AO34" s="148">
        <v>65</v>
      </c>
      <c r="AP34" s="148">
        <v>66</v>
      </c>
      <c r="AQ34" s="148">
        <v>69</v>
      </c>
      <c r="AR34" s="148">
        <v>0</v>
      </c>
      <c r="AS34" s="148">
        <v>0</v>
      </c>
      <c r="AT34" s="148">
        <v>0</v>
      </c>
      <c r="AU34" s="148">
        <v>0</v>
      </c>
      <c r="AV34" s="148">
        <v>0</v>
      </c>
      <c r="AW34" s="148">
        <v>0</v>
      </c>
      <c r="AX34" s="148">
        <v>0</v>
      </c>
      <c r="AY34" s="148">
        <v>0</v>
      </c>
      <c r="AZ34" s="148">
        <v>0</v>
      </c>
      <c r="BA34" s="148">
        <v>0</v>
      </c>
      <c r="BB34" s="148">
        <v>0</v>
      </c>
      <c r="BC34" s="148">
        <v>0</v>
      </c>
      <c r="BD34" s="148">
        <v>0</v>
      </c>
      <c r="BE34" s="148">
        <v>0</v>
      </c>
      <c r="BF34" s="148">
        <v>0</v>
      </c>
      <c r="BG34" s="148">
        <v>0</v>
      </c>
      <c r="BH34" s="148">
        <v>0</v>
      </c>
      <c r="BI34" s="148">
        <v>0</v>
      </c>
      <c r="BJ34" s="148">
        <v>0</v>
      </c>
      <c r="BK34" s="148">
        <v>0</v>
      </c>
      <c r="BL34" s="148">
        <v>0</v>
      </c>
      <c r="BM34" s="148">
        <v>0</v>
      </c>
      <c r="BN34" s="148">
        <v>0</v>
      </c>
      <c r="BO34" s="148">
        <v>0</v>
      </c>
      <c r="BP34" s="148">
        <v>63</v>
      </c>
      <c r="BQ34" s="148">
        <v>59</v>
      </c>
      <c r="BR34" s="148">
        <v>64</v>
      </c>
      <c r="BS34" s="148">
        <v>58</v>
      </c>
      <c r="BT34" s="148">
        <v>54</v>
      </c>
      <c r="BU34" s="148">
        <v>57</v>
      </c>
    </row>
    <row r="35" spans="1:73" ht="16" thickBot="1" x14ac:dyDescent="0.4">
      <c r="A35" s="149" t="s">
        <v>616</v>
      </c>
      <c r="B35" s="149">
        <v>6</v>
      </c>
      <c r="C35" s="149">
        <v>6</v>
      </c>
      <c r="D35" s="149">
        <v>6</v>
      </c>
      <c r="E35" s="149">
        <v>6</v>
      </c>
      <c r="F35" s="149">
        <v>6</v>
      </c>
      <c r="G35" s="149">
        <v>6</v>
      </c>
      <c r="H35" s="149">
        <v>5</v>
      </c>
      <c r="I35" s="149">
        <v>5</v>
      </c>
      <c r="J35" s="149">
        <v>5</v>
      </c>
      <c r="K35" s="149">
        <v>5</v>
      </c>
      <c r="L35" s="149">
        <v>5</v>
      </c>
      <c r="M35" s="149">
        <v>5</v>
      </c>
      <c r="N35" s="149">
        <v>6</v>
      </c>
      <c r="O35" s="149">
        <v>7</v>
      </c>
      <c r="P35" s="149">
        <v>7</v>
      </c>
      <c r="Q35" s="149">
        <v>7</v>
      </c>
      <c r="R35" s="149">
        <v>6</v>
      </c>
      <c r="S35" s="149">
        <v>8</v>
      </c>
      <c r="T35" s="149">
        <v>2</v>
      </c>
      <c r="U35" s="149">
        <v>2</v>
      </c>
      <c r="V35" s="149">
        <v>1</v>
      </c>
      <c r="W35" s="149">
        <v>1</v>
      </c>
      <c r="X35" s="149">
        <v>1</v>
      </c>
      <c r="Y35" s="149">
        <v>2</v>
      </c>
      <c r="Z35" s="149">
        <v>0</v>
      </c>
      <c r="AA35" s="149">
        <v>0</v>
      </c>
      <c r="AB35" s="149">
        <v>0</v>
      </c>
      <c r="AC35" s="149">
        <v>0</v>
      </c>
      <c r="AD35" s="149">
        <v>0</v>
      </c>
      <c r="AE35" s="149">
        <v>0</v>
      </c>
      <c r="AF35" s="149">
        <v>0</v>
      </c>
      <c r="AG35" s="149">
        <v>0</v>
      </c>
      <c r="AH35" s="149">
        <v>0</v>
      </c>
      <c r="AI35" s="149">
        <v>0</v>
      </c>
      <c r="AJ35" s="149">
        <v>0</v>
      </c>
      <c r="AK35" s="149">
        <v>0</v>
      </c>
      <c r="AL35" s="149">
        <v>0</v>
      </c>
      <c r="AM35" s="149">
        <v>0</v>
      </c>
      <c r="AN35" s="149">
        <v>0</v>
      </c>
      <c r="AO35" s="149">
        <v>0</v>
      </c>
      <c r="AP35" s="149">
        <v>0</v>
      </c>
      <c r="AQ35" s="149">
        <v>0</v>
      </c>
      <c r="AR35" s="149">
        <v>0</v>
      </c>
      <c r="AS35" s="149">
        <v>0</v>
      </c>
      <c r="AT35" s="149">
        <v>0</v>
      </c>
      <c r="AU35" s="149">
        <v>0</v>
      </c>
      <c r="AV35" s="149">
        <v>0</v>
      </c>
      <c r="AW35" s="149">
        <v>0</v>
      </c>
      <c r="AX35" s="149">
        <v>0</v>
      </c>
      <c r="AY35" s="149">
        <v>0</v>
      </c>
      <c r="AZ35" s="149">
        <v>0</v>
      </c>
      <c r="BA35" s="149">
        <v>0</v>
      </c>
      <c r="BB35" s="149">
        <v>0</v>
      </c>
      <c r="BC35" s="149">
        <v>0</v>
      </c>
      <c r="BD35" s="149">
        <v>0</v>
      </c>
      <c r="BE35" s="149">
        <v>0</v>
      </c>
      <c r="BF35" s="149">
        <v>0</v>
      </c>
      <c r="BG35" s="149">
        <v>0</v>
      </c>
      <c r="BH35" s="149">
        <v>0</v>
      </c>
      <c r="BI35" s="149">
        <v>0</v>
      </c>
      <c r="BJ35" s="149">
        <v>0</v>
      </c>
      <c r="BK35" s="149">
        <v>0</v>
      </c>
      <c r="BL35" s="149">
        <v>0</v>
      </c>
      <c r="BM35" s="149">
        <v>0</v>
      </c>
      <c r="BN35" s="149">
        <v>0</v>
      </c>
      <c r="BO35" s="149">
        <v>0</v>
      </c>
      <c r="BP35" s="149">
        <v>2</v>
      </c>
      <c r="BQ35" s="149">
        <v>4</v>
      </c>
      <c r="BR35" s="149">
        <v>4</v>
      </c>
      <c r="BS35" s="149">
        <v>5</v>
      </c>
      <c r="BT35" s="149">
        <v>7</v>
      </c>
      <c r="BU35" s="149">
        <v>7</v>
      </c>
    </row>
    <row r="36" spans="1:73" x14ac:dyDescent="0.35">
      <c r="A36" s="150" t="s">
        <v>1</v>
      </c>
      <c r="B36" s="150">
        <v>2278</v>
      </c>
      <c r="C36" s="150">
        <v>3055</v>
      </c>
      <c r="D36" s="150">
        <v>3336</v>
      </c>
      <c r="E36" s="150">
        <v>3899</v>
      </c>
      <c r="F36" s="150">
        <v>4751</v>
      </c>
      <c r="G36" s="150">
        <v>4421</v>
      </c>
      <c r="H36" s="150">
        <v>4097</v>
      </c>
      <c r="I36" s="150">
        <v>3460</v>
      </c>
      <c r="J36" s="150">
        <v>2895</v>
      </c>
      <c r="K36" s="150">
        <v>3464</v>
      </c>
      <c r="L36" s="150">
        <v>4011</v>
      </c>
      <c r="M36" s="150">
        <v>4067</v>
      </c>
      <c r="N36" s="150">
        <v>4254</v>
      </c>
      <c r="O36" s="150">
        <v>4114</v>
      </c>
      <c r="P36" s="150">
        <v>3791</v>
      </c>
      <c r="Q36" s="150">
        <v>3784</v>
      </c>
      <c r="R36" s="150">
        <v>3705</v>
      </c>
      <c r="S36" s="150">
        <v>3891</v>
      </c>
      <c r="T36" s="150">
        <v>3506</v>
      </c>
      <c r="U36" s="150">
        <v>2779</v>
      </c>
      <c r="V36" s="150">
        <v>2581</v>
      </c>
      <c r="W36" s="150">
        <v>2090</v>
      </c>
      <c r="X36" s="150">
        <v>1613</v>
      </c>
      <c r="Y36" s="150">
        <v>1349</v>
      </c>
      <c r="Z36" s="150">
        <v>5359</v>
      </c>
      <c r="AA36" s="150">
        <v>5551</v>
      </c>
      <c r="AB36" s="150">
        <v>5774</v>
      </c>
      <c r="AC36" s="150">
        <v>5539</v>
      </c>
      <c r="AD36" s="150">
        <v>5397</v>
      </c>
      <c r="AE36" s="150">
        <v>5183</v>
      </c>
      <c r="AF36" s="150">
        <v>4931</v>
      </c>
      <c r="AG36" s="150">
        <v>4812</v>
      </c>
      <c r="AH36" s="150">
        <v>4652</v>
      </c>
      <c r="AI36" s="150">
        <v>4427</v>
      </c>
      <c r="AJ36" s="150">
        <v>4234</v>
      </c>
      <c r="AK36" s="150">
        <v>4155</v>
      </c>
      <c r="AL36" s="150">
        <v>4282</v>
      </c>
      <c r="AM36" s="150">
        <v>4287</v>
      </c>
      <c r="AN36" s="150">
        <v>4312</v>
      </c>
      <c r="AO36" s="150">
        <v>4147</v>
      </c>
      <c r="AP36" s="150">
        <v>4136</v>
      </c>
      <c r="AQ36" s="150">
        <v>4392</v>
      </c>
      <c r="AR36" s="150">
        <v>0</v>
      </c>
      <c r="AS36" s="150">
        <v>0</v>
      </c>
      <c r="AT36" s="150">
        <v>0</v>
      </c>
      <c r="AU36" s="150">
        <v>0</v>
      </c>
      <c r="AV36" s="150">
        <v>0</v>
      </c>
      <c r="AW36" s="150">
        <v>0</v>
      </c>
      <c r="AX36" s="150">
        <v>0</v>
      </c>
      <c r="AY36" s="150">
        <v>0</v>
      </c>
      <c r="AZ36" s="150">
        <v>0</v>
      </c>
      <c r="BA36" s="150">
        <v>0</v>
      </c>
      <c r="BB36" s="150">
        <v>0</v>
      </c>
      <c r="BC36" s="150">
        <v>0</v>
      </c>
      <c r="BD36" s="150">
        <v>0</v>
      </c>
      <c r="BE36" s="150">
        <v>0</v>
      </c>
      <c r="BF36" s="150">
        <v>0</v>
      </c>
      <c r="BG36" s="150">
        <v>0</v>
      </c>
      <c r="BH36" s="150">
        <v>0</v>
      </c>
      <c r="BI36" s="150">
        <v>0</v>
      </c>
      <c r="BJ36" s="150">
        <v>0</v>
      </c>
      <c r="BK36" s="150">
        <v>0</v>
      </c>
      <c r="BL36" s="150">
        <v>0</v>
      </c>
      <c r="BM36" s="150">
        <v>0</v>
      </c>
      <c r="BN36" s="150">
        <v>0</v>
      </c>
      <c r="BO36" s="150">
        <v>0</v>
      </c>
      <c r="BP36" s="150">
        <v>848</v>
      </c>
      <c r="BQ36" s="150">
        <v>851</v>
      </c>
      <c r="BR36" s="150">
        <v>833</v>
      </c>
      <c r="BS36" s="150">
        <v>814</v>
      </c>
      <c r="BT36" s="150">
        <v>768</v>
      </c>
      <c r="BU36" s="150">
        <v>758</v>
      </c>
    </row>
    <row r="37" spans="1:73" x14ac:dyDescent="0.35">
      <c r="A37" s="146" t="s">
        <v>737</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7"/>
      <c r="BU37" s="147"/>
    </row>
    <row r="38" spans="1:73" x14ac:dyDescent="0.35">
      <c r="A38" s="148" t="s">
        <v>613</v>
      </c>
      <c r="B38" s="148">
        <v>0</v>
      </c>
      <c r="C38" s="148">
        <v>0</v>
      </c>
      <c r="D38" s="148">
        <v>0</v>
      </c>
      <c r="E38" s="148">
        <v>0</v>
      </c>
      <c r="F38" s="148">
        <v>0</v>
      </c>
      <c r="G38" s="148">
        <v>0</v>
      </c>
      <c r="H38" s="148">
        <v>0</v>
      </c>
      <c r="I38" s="148">
        <v>0</v>
      </c>
      <c r="J38" s="148">
        <v>0</v>
      </c>
      <c r="K38" s="148">
        <v>0</v>
      </c>
      <c r="L38" s="148">
        <v>0</v>
      </c>
      <c r="M38" s="148">
        <v>0</v>
      </c>
      <c r="N38" s="148">
        <v>0</v>
      </c>
      <c r="O38" s="148">
        <v>0</v>
      </c>
      <c r="P38" s="148">
        <v>0</v>
      </c>
      <c r="Q38" s="148">
        <v>0</v>
      </c>
      <c r="R38" s="148">
        <v>0</v>
      </c>
      <c r="S38" s="148">
        <v>0</v>
      </c>
      <c r="T38" s="148">
        <v>0</v>
      </c>
      <c r="U38" s="148">
        <v>0</v>
      </c>
      <c r="V38" s="148">
        <v>0</v>
      </c>
      <c r="W38" s="148">
        <v>0</v>
      </c>
      <c r="X38" s="148">
        <v>0</v>
      </c>
      <c r="Y38" s="148">
        <v>0</v>
      </c>
      <c r="Z38" s="148">
        <v>0</v>
      </c>
      <c r="AA38" s="148">
        <v>0</v>
      </c>
      <c r="AB38" s="148">
        <v>0</v>
      </c>
      <c r="AC38" s="148">
        <v>0</v>
      </c>
      <c r="AD38" s="148">
        <v>0</v>
      </c>
      <c r="AE38" s="148">
        <v>0</v>
      </c>
      <c r="AF38" s="148">
        <v>0</v>
      </c>
      <c r="AG38" s="148">
        <v>0</v>
      </c>
      <c r="AH38" s="148">
        <v>0</v>
      </c>
      <c r="AI38" s="148">
        <v>0</v>
      </c>
      <c r="AJ38" s="148">
        <v>0</v>
      </c>
      <c r="AK38" s="148">
        <v>0</v>
      </c>
      <c r="AL38" s="148">
        <v>0</v>
      </c>
      <c r="AM38" s="148">
        <v>0</v>
      </c>
      <c r="AN38" s="148">
        <v>0</v>
      </c>
      <c r="AO38" s="148">
        <v>0</v>
      </c>
      <c r="AP38" s="148">
        <v>0</v>
      </c>
      <c r="AQ38" s="148">
        <v>0</v>
      </c>
      <c r="AR38" s="148">
        <v>0</v>
      </c>
      <c r="AS38" s="148">
        <v>0</v>
      </c>
      <c r="AT38" s="148">
        <v>0</v>
      </c>
      <c r="AU38" s="148">
        <v>0</v>
      </c>
      <c r="AV38" s="148">
        <v>0</v>
      </c>
      <c r="AW38" s="148">
        <v>0</v>
      </c>
      <c r="AX38" s="148">
        <v>0</v>
      </c>
      <c r="AY38" s="148">
        <v>0</v>
      </c>
      <c r="AZ38" s="148">
        <v>0</v>
      </c>
      <c r="BA38" s="148">
        <v>0</v>
      </c>
      <c r="BB38" s="148">
        <v>0</v>
      </c>
      <c r="BC38" s="148">
        <v>0</v>
      </c>
      <c r="BD38" s="148">
        <v>0</v>
      </c>
      <c r="BE38" s="148">
        <v>0</v>
      </c>
      <c r="BF38" s="148">
        <v>0</v>
      </c>
      <c r="BG38" s="148">
        <v>0</v>
      </c>
      <c r="BH38" s="148">
        <v>0</v>
      </c>
      <c r="BI38" s="148">
        <v>0</v>
      </c>
      <c r="BJ38" s="148">
        <v>0</v>
      </c>
      <c r="BK38" s="148">
        <v>0</v>
      </c>
      <c r="BL38" s="148">
        <v>0</v>
      </c>
      <c r="BM38" s="148">
        <v>0</v>
      </c>
      <c r="BN38" s="148">
        <v>0</v>
      </c>
      <c r="BO38" s="148">
        <v>0</v>
      </c>
      <c r="BP38" s="148">
        <v>60</v>
      </c>
      <c r="BQ38" s="148">
        <v>77</v>
      </c>
      <c r="BR38" s="148">
        <v>98</v>
      </c>
      <c r="BS38" s="148">
        <v>115</v>
      </c>
      <c r="BT38" s="148">
        <v>127</v>
      </c>
      <c r="BU38" s="148">
        <v>136</v>
      </c>
    </row>
    <row r="39" spans="1:73" x14ac:dyDescent="0.35">
      <c r="A39" s="148" t="s">
        <v>614</v>
      </c>
      <c r="B39" s="148">
        <v>0</v>
      </c>
      <c r="C39" s="148">
        <v>0</v>
      </c>
      <c r="D39" s="148">
        <v>0</v>
      </c>
      <c r="E39" s="148">
        <v>0</v>
      </c>
      <c r="F39" s="148">
        <v>0</v>
      </c>
      <c r="G39" s="148">
        <v>0</v>
      </c>
      <c r="H39" s="148">
        <v>0</v>
      </c>
      <c r="I39" s="148">
        <v>0</v>
      </c>
      <c r="J39" s="148">
        <v>0</v>
      </c>
      <c r="K39" s="148">
        <v>0</v>
      </c>
      <c r="L39" s="148">
        <v>0</v>
      </c>
      <c r="M39" s="148">
        <v>0</v>
      </c>
      <c r="N39" s="148">
        <v>0</v>
      </c>
      <c r="O39" s="148">
        <v>0</v>
      </c>
      <c r="P39" s="148">
        <v>0</v>
      </c>
      <c r="Q39" s="148">
        <v>0</v>
      </c>
      <c r="R39" s="148">
        <v>0</v>
      </c>
      <c r="S39" s="148">
        <v>0</v>
      </c>
      <c r="T39" s="148">
        <v>0</v>
      </c>
      <c r="U39" s="148">
        <v>0</v>
      </c>
      <c r="V39" s="148">
        <v>0</v>
      </c>
      <c r="W39" s="148">
        <v>0</v>
      </c>
      <c r="X39" s="148">
        <v>0</v>
      </c>
      <c r="Y39" s="148">
        <v>0</v>
      </c>
      <c r="Z39" s="148">
        <v>0</v>
      </c>
      <c r="AA39" s="148">
        <v>0</v>
      </c>
      <c r="AB39" s="148">
        <v>0</v>
      </c>
      <c r="AC39" s="148">
        <v>0</v>
      </c>
      <c r="AD39" s="148">
        <v>0</v>
      </c>
      <c r="AE39" s="148">
        <v>0</v>
      </c>
      <c r="AF39" s="148">
        <v>0</v>
      </c>
      <c r="AG39" s="148">
        <v>0</v>
      </c>
      <c r="AH39" s="148">
        <v>0</v>
      </c>
      <c r="AI39" s="148">
        <v>0</v>
      </c>
      <c r="AJ39" s="148">
        <v>0</v>
      </c>
      <c r="AK39" s="148">
        <v>0</v>
      </c>
      <c r="AL39" s="148">
        <v>0</v>
      </c>
      <c r="AM39" s="148">
        <v>0</v>
      </c>
      <c r="AN39" s="148">
        <v>0</v>
      </c>
      <c r="AO39" s="148">
        <v>0</v>
      </c>
      <c r="AP39" s="148">
        <v>0</v>
      </c>
      <c r="AQ39" s="148">
        <v>0</v>
      </c>
      <c r="AR39" s="148">
        <v>0</v>
      </c>
      <c r="AS39" s="148">
        <v>0</v>
      </c>
      <c r="AT39" s="148">
        <v>0</v>
      </c>
      <c r="AU39" s="148">
        <v>0</v>
      </c>
      <c r="AV39" s="148">
        <v>0</v>
      </c>
      <c r="AW39" s="148">
        <v>0</v>
      </c>
      <c r="AX39" s="148">
        <v>0</v>
      </c>
      <c r="AY39" s="148">
        <v>0</v>
      </c>
      <c r="AZ39" s="148">
        <v>0</v>
      </c>
      <c r="BA39" s="148">
        <v>0</v>
      </c>
      <c r="BB39" s="148">
        <v>0</v>
      </c>
      <c r="BC39" s="148">
        <v>0</v>
      </c>
      <c r="BD39" s="148">
        <v>0</v>
      </c>
      <c r="BE39" s="148">
        <v>0</v>
      </c>
      <c r="BF39" s="148">
        <v>0</v>
      </c>
      <c r="BG39" s="148">
        <v>0</v>
      </c>
      <c r="BH39" s="148">
        <v>0</v>
      </c>
      <c r="BI39" s="148">
        <v>0</v>
      </c>
      <c r="BJ39" s="148">
        <v>0</v>
      </c>
      <c r="BK39" s="148">
        <v>0</v>
      </c>
      <c r="BL39" s="148">
        <v>0</v>
      </c>
      <c r="BM39" s="148">
        <v>0</v>
      </c>
      <c r="BN39" s="148">
        <v>0</v>
      </c>
      <c r="BO39" s="148">
        <v>0</v>
      </c>
      <c r="BP39" s="148">
        <v>0</v>
      </c>
      <c r="BQ39" s="148">
        <v>0</v>
      </c>
      <c r="BR39" s="148">
        <v>0</v>
      </c>
      <c r="BS39" s="148">
        <v>0</v>
      </c>
      <c r="BT39" s="148">
        <v>0</v>
      </c>
      <c r="BU39" s="148">
        <v>0</v>
      </c>
    </row>
    <row r="40" spans="1:73" x14ac:dyDescent="0.35">
      <c r="A40" s="148" t="s">
        <v>615</v>
      </c>
      <c r="B40" s="148">
        <v>0</v>
      </c>
      <c r="C40" s="148">
        <v>0</v>
      </c>
      <c r="D40" s="148">
        <v>0</v>
      </c>
      <c r="E40" s="148">
        <v>0</v>
      </c>
      <c r="F40" s="148">
        <v>0</v>
      </c>
      <c r="G40" s="148">
        <v>0</v>
      </c>
      <c r="H40" s="148">
        <v>0</v>
      </c>
      <c r="I40" s="148">
        <v>0</v>
      </c>
      <c r="J40" s="148">
        <v>0</v>
      </c>
      <c r="K40" s="148">
        <v>0</v>
      </c>
      <c r="L40" s="148">
        <v>0</v>
      </c>
      <c r="M40" s="148">
        <v>0</v>
      </c>
      <c r="N40" s="148">
        <v>0</v>
      </c>
      <c r="O40" s="148">
        <v>0</v>
      </c>
      <c r="P40" s="148">
        <v>0</v>
      </c>
      <c r="Q40" s="148">
        <v>0</v>
      </c>
      <c r="R40" s="148">
        <v>0</v>
      </c>
      <c r="S40" s="148">
        <v>0</v>
      </c>
      <c r="T40" s="148">
        <v>0</v>
      </c>
      <c r="U40" s="148">
        <v>0</v>
      </c>
      <c r="V40" s="148">
        <v>0</v>
      </c>
      <c r="W40" s="148">
        <v>0</v>
      </c>
      <c r="X40" s="148">
        <v>0</v>
      </c>
      <c r="Y40" s="148">
        <v>0</v>
      </c>
      <c r="Z40" s="148">
        <v>0</v>
      </c>
      <c r="AA40" s="148">
        <v>0</v>
      </c>
      <c r="AB40" s="148">
        <v>0</v>
      </c>
      <c r="AC40" s="148">
        <v>0</v>
      </c>
      <c r="AD40" s="148">
        <v>0</v>
      </c>
      <c r="AE40" s="148">
        <v>0</v>
      </c>
      <c r="AF40" s="148">
        <v>0</v>
      </c>
      <c r="AG40" s="148">
        <v>0</v>
      </c>
      <c r="AH40" s="148">
        <v>0</v>
      </c>
      <c r="AI40" s="148">
        <v>0</v>
      </c>
      <c r="AJ40" s="148">
        <v>0</v>
      </c>
      <c r="AK40" s="148">
        <v>0</v>
      </c>
      <c r="AL40" s="148">
        <v>0</v>
      </c>
      <c r="AM40" s="148">
        <v>0</v>
      </c>
      <c r="AN40" s="148">
        <v>0</v>
      </c>
      <c r="AO40" s="148">
        <v>0</v>
      </c>
      <c r="AP40" s="148">
        <v>0</v>
      </c>
      <c r="AQ40" s="148">
        <v>0</v>
      </c>
      <c r="AR40" s="148">
        <v>0</v>
      </c>
      <c r="AS40" s="148">
        <v>0</v>
      </c>
      <c r="AT40" s="148">
        <v>0</v>
      </c>
      <c r="AU40" s="148">
        <v>0</v>
      </c>
      <c r="AV40" s="148">
        <v>0</v>
      </c>
      <c r="AW40" s="148">
        <v>0</v>
      </c>
      <c r="AX40" s="148">
        <v>0</v>
      </c>
      <c r="AY40" s="148">
        <v>0</v>
      </c>
      <c r="AZ40" s="148">
        <v>0</v>
      </c>
      <c r="BA40" s="148">
        <v>0</v>
      </c>
      <c r="BB40" s="148">
        <v>0</v>
      </c>
      <c r="BC40" s="148">
        <v>0</v>
      </c>
      <c r="BD40" s="148">
        <v>0</v>
      </c>
      <c r="BE40" s="148">
        <v>0</v>
      </c>
      <c r="BF40" s="148">
        <v>0</v>
      </c>
      <c r="BG40" s="148">
        <v>0</v>
      </c>
      <c r="BH40" s="148">
        <v>0</v>
      </c>
      <c r="BI40" s="148">
        <v>0</v>
      </c>
      <c r="BJ40" s="148">
        <v>0</v>
      </c>
      <c r="BK40" s="148">
        <v>0</v>
      </c>
      <c r="BL40" s="148">
        <v>0</v>
      </c>
      <c r="BM40" s="148">
        <v>0</v>
      </c>
      <c r="BN40" s="148">
        <v>0</v>
      </c>
      <c r="BO40" s="148">
        <v>0</v>
      </c>
      <c r="BP40" s="148">
        <v>0</v>
      </c>
      <c r="BQ40" s="148">
        <v>0</v>
      </c>
      <c r="BR40" s="148">
        <v>0</v>
      </c>
      <c r="BS40" s="148">
        <v>0</v>
      </c>
      <c r="BT40" s="148">
        <v>0</v>
      </c>
      <c r="BU40" s="148">
        <v>0</v>
      </c>
    </row>
    <row r="41" spans="1:73" ht="16" thickBot="1" x14ac:dyDescent="0.4">
      <c r="A41" s="149" t="s">
        <v>616</v>
      </c>
      <c r="B41" s="149">
        <v>0</v>
      </c>
      <c r="C41" s="149">
        <v>0</v>
      </c>
      <c r="D41" s="149">
        <v>0</v>
      </c>
      <c r="E41" s="149">
        <v>0</v>
      </c>
      <c r="F41" s="149">
        <v>0</v>
      </c>
      <c r="G41" s="149">
        <v>0</v>
      </c>
      <c r="H41" s="149">
        <v>0</v>
      </c>
      <c r="I41" s="149">
        <v>0</v>
      </c>
      <c r="J41" s="149">
        <v>0</v>
      </c>
      <c r="K41" s="149">
        <v>0</v>
      </c>
      <c r="L41" s="149">
        <v>0</v>
      </c>
      <c r="M41" s="149">
        <v>0</v>
      </c>
      <c r="N41" s="149">
        <v>0</v>
      </c>
      <c r="O41" s="149">
        <v>0</v>
      </c>
      <c r="P41" s="149">
        <v>0</v>
      </c>
      <c r="Q41" s="149">
        <v>0</v>
      </c>
      <c r="R41" s="149">
        <v>0</v>
      </c>
      <c r="S41" s="149">
        <v>0</v>
      </c>
      <c r="T41" s="149">
        <v>0</v>
      </c>
      <c r="U41" s="149">
        <v>0</v>
      </c>
      <c r="V41" s="149">
        <v>0</v>
      </c>
      <c r="W41" s="149">
        <v>0</v>
      </c>
      <c r="X41" s="149">
        <v>0</v>
      </c>
      <c r="Y41" s="149">
        <v>0</v>
      </c>
      <c r="Z41" s="149">
        <v>0</v>
      </c>
      <c r="AA41" s="149">
        <v>0</v>
      </c>
      <c r="AB41" s="149">
        <v>0</v>
      </c>
      <c r="AC41" s="149">
        <v>0</v>
      </c>
      <c r="AD41" s="149">
        <v>0</v>
      </c>
      <c r="AE41" s="149">
        <v>0</v>
      </c>
      <c r="AF41" s="149">
        <v>0</v>
      </c>
      <c r="AG41" s="149">
        <v>0</v>
      </c>
      <c r="AH41" s="149">
        <v>0</v>
      </c>
      <c r="AI41" s="149">
        <v>0</v>
      </c>
      <c r="AJ41" s="149">
        <v>0</v>
      </c>
      <c r="AK41" s="149">
        <v>0</v>
      </c>
      <c r="AL41" s="149">
        <v>0</v>
      </c>
      <c r="AM41" s="149">
        <v>0</v>
      </c>
      <c r="AN41" s="149">
        <v>0</v>
      </c>
      <c r="AO41" s="149">
        <v>0</v>
      </c>
      <c r="AP41" s="149">
        <v>0</v>
      </c>
      <c r="AQ41" s="149">
        <v>0</v>
      </c>
      <c r="AR41" s="149">
        <v>0</v>
      </c>
      <c r="AS41" s="149">
        <v>0</v>
      </c>
      <c r="AT41" s="149">
        <v>0</v>
      </c>
      <c r="AU41" s="149">
        <v>0</v>
      </c>
      <c r="AV41" s="149">
        <v>0</v>
      </c>
      <c r="AW41" s="149">
        <v>0</v>
      </c>
      <c r="AX41" s="149">
        <v>0</v>
      </c>
      <c r="AY41" s="149">
        <v>0</v>
      </c>
      <c r="AZ41" s="149">
        <v>0</v>
      </c>
      <c r="BA41" s="149">
        <v>0</v>
      </c>
      <c r="BB41" s="149">
        <v>0</v>
      </c>
      <c r="BC41" s="149">
        <v>0</v>
      </c>
      <c r="BD41" s="149">
        <v>0</v>
      </c>
      <c r="BE41" s="149">
        <v>0</v>
      </c>
      <c r="BF41" s="149">
        <v>0</v>
      </c>
      <c r="BG41" s="149">
        <v>0</v>
      </c>
      <c r="BH41" s="149">
        <v>0</v>
      </c>
      <c r="BI41" s="149">
        <v>0</v>
      </c>
      <c r="BJ41" s="149">
        <v>0</v>
      </c>
      <c r="BK41" s="149">
        <v>0</v>
      </c>
      <c r="BL41" s="149">
        <v>0</v>
      </c>
      <c r="BM41" s="149">
        <v>0</v>
      </c>
      <c r="BN41" s="149">
        <v>0</v>
      </c>
      <c r="BO41" s="149">
        <v>0</v>
      </c>
      <c r="BP41" s="149">
        <v>0</v>
      </c>
      <c r="BQ41" s="149">
        <v>0</v>
      </c>
      <c r="BR41" s="149">
        <v>0</v>
      </c>
      <c r="BS41" s="149">
        <v>0</v>
      </c>
      <c r="BT41" s="149">
        <v>0</v>
      </c>
      <c r="BU41" s="149">
        <v>0</v>
      </c>
    </row>
    <row r="42" spans="1:73" x14ac:dyDescent="0.35">
      <c r="A42" s="150" t="s">
        <v>1</v>
      </c>
      <c r="B42" s="150">
        <v>0</v>
      </c>
      <c r="C42" s="150">
        <v>0</v>
      </c>
      <c r="D42" s="150">
        <v>0</v>
      </c>
      <c r="E42" s="150">
        <v>0</v>
      </c>
      <c r="F42" s="150">
        <v>0</v>
      </c>
      <c r="G42" s="150">
        <v>0</v>
      </c>
      <c r="H42" s="150">
        <v>0</v>
      </c>
      <c r="I42" s="150">
        <v>0</v>
      </c>
      <c r="J42" s="150">
        <v>0</v>
      </c>
      <c r="K42" s="150">
        <v>0</v>
      </c>
      <c r="L42" s="150">
        <v>0</v>
      </c>
      <c r="M42" s="150">
        <v>0</v>
      </c>
      <c r="N42" s="150">
        <v>0</v>
      </c>
      <c r="O42" s="150">
        <v>0</v>
      </c>
      <c r="P42" s="150">
        <v>0</v>
      </c>
      <c r="Q42" s="150">
        <v>0</v>
      </c>
      <c r="R42" s="150">
        <v>0</v>
      </c>
      <c r="S42" s="150">
        <v>0</v>
      </c>
      <c r="T42" s="150">
        <v>0</v>
      </c>
      <c r="U42" s="150">
        <v>0</v>
      </c>
      <c r="V42" s="150">
        <v>0</v>
      </c>
      <c r="W42" s="150">
        <v>0</v>
      </c>
      <c r="X42" s="150">
        <v>0</v>
      </c>
      <c r="Y42" s="150">
        <v>0</v>
      </c>
      <c r="Z42" s="150">
        <v>0</v>
      </c>
      <c r="AA42" s="150">
        <v>0</v>
      </c>
      <c r="AB42" s="150">
        <v>0</v>
      </c>
      <c r="AC42" s="150">
        <v>0</v>
      </c>
      <c r="AD42" s="150">
        <v>0</v>
      </c>
      <c r="AE42" s="150">
        <v>0</v>
      </c>
      <c r="AF42" s="150">
        <v>0</v>
      </c>
      <c r="AG42" s="150">
        <v>0</v>
      </c>
      <c r="AH42" s="150">
        <v>0</v>
      </c>
      <c r="AI42" s="150">
        <v>0</v>
      </c>
      <c r="AJ42" s="150">
        <v>0</v>
      </c>
      <c r="AK42" s="150">
        <v>0</v>
      </c>
      <c r="AL42" s="150">
        <v>0</v>
      </c>
      <c r="AM42" s="150">
        <v>0</v>
      </c>
      <c r="AN42" s="150">
        <v>0</v>
      </c>
      <c r="AO42" s="150">
        <v>0</v>
      </c>
      <c r="AP42" s="150">
        <v>0</v>
      </c>
      <c r="AQ42" s="150">
        <v>0</v>
      </c>
      <c r="AR42" s="150">
        <v>0</v>
      </c>
      <c r="AS42" s="150">
        <v>0</v>
      </c>
      <c r="AT42" s="150">
        <v>0</v>
      </c>
      <c r="AU42" s="150">
        <v>0</v>
      </c>
      <c r="AV42" s="150">
        <v>0</v>
      </c>
      <c r="AW42" s="150">
        <v>0</v>
      </c>
      <c r="AX42" s="150">
        <v>0</v>
      </c>
      <c r="AY42" s="150">
        <v>0</v>
      </c>
      <c r="AZ42" s="150">
        <v>0</v>
      </c>
      <c r="BA42" s="150">
        <v>0</v>
      </c>
      <c r="BB42" s="150">
        <v>0</v>
      </c>
      <c r="BC42" s="150">
        <v>0</v>
      </c>
      <c r="BD42" s="150">
        <v>0</v>
      </c>
      <c r="BE42" s="150">
        <v>0</v>
      </c>
      <c r="BF42" s="150">
        <v>0</v>
      </c>
      <c r="BG42" s="150">
        <v>0</v>
      </c>
      <c r="BH42" s="150">
        <v>0</v>
      </c>
      <c r="BI42" s="150">
        <v>0</v>
      </c>
      <c r="BJ42" s="150">
        <v>0</v>
      </c>
      <c r="BK42" s="150">
        <v>0</v>
      </c>
      <c r="BL42" s="150">
        <v>0</v>
      </c>
      <c r="BM42" s="150">
        <v>0</v>
      </c>
      <c r="BN42" s="150">
        <v>0</v>
      </c>
      <c r="BO42" s="150">
        <v>0</v>
      </c>
      <c r="BP42" s="150">
        <v>60</v>
      </c>
      <c r="BQ42" s="150">
        <v>77</v>
      </c>
      <c r="BR42" s="150">
        <v>98</v>
      </c>
      <c r="BS42" s="150">
        <v>115</v>
      </c>
      <c r="BT42" s="150">
        <v>127</v>
      </c>
      <c r="BU42" s="150">
        <v>136</v>
      </c>
    </row>
    <row r="43" spans="1:73" x14ac:dyDescent="0.35">
      <c r="A43" s="146" t="s">
        <v>1</v>
      </c>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row>
    <row r="44" spans="1:73" x14ac:dyDescent="0.35">
      <c r="A44" s="148" t="s">
        <v>613</v>
      </c>
      <c r="B44" s="148">
        <f>SUM(B20,B26,B32,B38)</f>
        <v>20445</v>
      </c>
      <c r="C44" s="148">
        <f t="shared" ref="C44:BC47" si="0">SUM(C20,C26,C32,C38)</f>
        <v>24887</v>
      </c>
      <c r="D44" s="148">
        <f t="shared" si="0"/>
        <v>26298</v>
      </c>
      <c r="E44" s="148">
        <f t="shared" si="0"/>
        <v>27240</v>
      </c>
      <c r="F44" s="148">
        <f t="shared" si="0"/>
        <v>27862</v>
      </c>
      <c r="G44" s="148">
        <f t="shared" si="0"/>
        <v>26198</v>
      </c>
      <c r="H44" s="148">
        <f t="shared" si="0"/>
        <v>24643</v>
      </c>
      <c r="I44" s="148">
        <f t="shared" si="0"/>
        <v>22163</v>
      </c>
      <c r="J44" s="148">
        <f t="shared" si="0"/>
        <v>23442</v>
      </c>
      <c r="K44" s="148">
        <f t="shared" si="0"/>
        <v>30064</v>
      </c>
      <c r="L44" s="148">
        <f t="shared" si="0"/>
        <v>30255</v>
      </c>
      <c r="M44" s="148">
        <f t="shared" si="0"/>
        <v>30196</v>
      </c>
      <c r="N44" s="148">
        <f t="shared" si="0"/>
        <v>30047</v>
      </c>
      <c r="O44" s="148">
        <f t="shared" si="0"/>
        <v>30130</v>
      </c>
      <c r="P44" s="148">
        <f t="shared" si="0"/>
        <v>31193</v>
      </c>
      <c r="Q44" s="148">
        <f t="shared" si="0"/>
        <v>33574</v>
      </c>
      <c r="R44" s="148">
        <f t="shared" si="0"/>
        <v>34978</v>
      </c>
      <c r="S44" s="148">
        <f t="shared" si="0"/>
        <v>35736</v>
      </c>
      <c r="T44" s="148">
        <f t="shared" si="0"/>
        <v>37718</v>
      </c>
      <c r="U44" s="148">
        <f t="shared" si="0"/>
        <v>39427</v>
      </c>
      <c r="V44" s="148">
        <f t="shared" si="0"/>
        <v>39767</v>
      </c>
      <c r="W44" s="148">
        <f t="shared" si="0"/>
        <v>36933</v>
      </c>
      <c r="X44" s="148">
        <f t="shared" si="0"/>
        <v>36194</v>
      </c>
      <c r="Y44" s="148">
        <f t="shared" si="0"/>
        <v>35881</v>
      </c>
      <c r="Z44" s="148">
        <f t="shared" si="0"/>
        <v>36746</v>
      </c>
      <c r="AA44" s="148">
        <f t="shared" si="0"/>
        <v>37367</v>
      </c>
      <c r="AB44" s="148">
        <f t="shared" si="0"/>
        <v>38315</v>
      </c>
      <c r="AC44" s="148">
        <f t="shared" si="0"/>
        <v>38940</v>
      </c>
      <c r="AD44" s="148">
        <f t="shared" si="0"/>
        <v>37715</v>
      </c>
      <c r="AE44" s="148">
        <f t="shared" si="0"/>
        <v>34263</v>
      </c>
      <c r="AF44" s="148">
        <f t="shared" si="0"/>
        <v>33237</v>
      </c>
      <c r="AG44" s="148">
        <f t="shared" si="0"/>
        <v>34585</v>
      </c>
      <c r="AH44" s="148">
        <f t="shared" si="0"/>
        <v>35453</v>
      </c>
      <c r="AI44" s="148">
        <f t="shared" si="0"/>
        <v>36490</v>
      </c>
      <c r="AJ44" s="148">
        <f t="shared" si="0"/>
        <v>36401</v>
      </c>
      <c r="AK44" s="148">
        <f t="shared" si="0"/>
        <v>35566</v>
      </c>
      <c r="AL44" s="148">
        <f t="shared" si="0"/>
        <v>35574</v>
      </c>
      <c r="AM44" s="148">
        <f t="shared" si="0"/>
        <v>34858</v>
      </c>
      <c r="AN44" s="148">
        <f t="shared" si="0"/>
        <v>34677</v>
      </c>
      <c r="AO44" s="148">
        <f t="shared" si="0"/>
        <v>34778</v>
      </c>
      <c r="AP44" s="148">
        <f t="shared" si="0"/>
        <v>35851</v>
      </c>
      <c r="AQ44" s="148">
        <f t="shared" si="0"/>
        <v>36272</v>
      </c>
      <c r="AR44" s="148">
        <f t="shared" si="0"/>
        <v>0</v>
      </c>
      <c r="AS44" s="148">
        <f t="shared" si="0"/>
        <v>0</v>
      </c>
      <c r="AT44" s="148">
        <f t="shared" si="0"/>
        <v>0</v>
      </c>
      <c r="AU44" s="148">
        <f t="shared" si="0"/>
        <v>0</v>
      </c>
      <c r="AV44" s="148">
        <f t="shared" si="0"/>
        <v>0</v>
      </c>
      <c r="AW44" s="148">
        <f t="shared" si="0"/>
        <v>0</v>
      </c>
      <c r="AX44" s="148">
        <f t="shared" si="0"/>
        <v>0</v>
      </c>
      <c r="AY44" s="148">
        <f t="shared" si="0"/>
        <v>0</v>
      </c>
      <c r="AZ44" s="148">
        <f t="shared" si="0"/>
        <v>0</v>
      </c>
      <c r="BA44" s="148">
        <f t="shared" si="0"/>
        <v>0</v>
      </c>
      <c r="BB44" s="148">
        <f t="shared" si="0"/>
        <v>0</v>
      </c>
      <c r="BC44" s="148">
        <f t="shared" si="0"/>
        <v>0</v>
      </c>
      <c r="BD44" s="148">
        <f t="shared" ref="BD44:BE44" si="1">SUM(BD20,BD26,BD32,BD38)</f>
        <v>0</v>
      </c>
      <c r="BE44" s="148">
        <f t="shared" si="1"/>
        <v>0</v>
      </c>
      <c r="BF44" s="148">
        <f t="shared" ref="BF44:BG44" si="2">SUM(BF20,BF26,BF32,BF38)</f>
        <v>0</v>
      </c>
      <c r="BG44" s="148">
        <f t="shared" si="2"/>
        <v>0</v>
      </c>
      <c r="BH44" s="148">
        <f t="shared" ref="BH44:BI44" si="3">SUM(BH20,BH26,BH32,BH38)</f>
        <v>0</v>
      </c>
      <c r="BI44" s="148">
        <f t="shared" si="3"/>
        <v>0</v>
      </c>
      <c r="BJ44" s="148">
        <f t="shared" ref="BJ44:BK44" si="4">SUM(BJ20,BJ26,BJ32,BJ38)</f>
        <v>0</v>
      </c>
      <c r="BK44" s="148">
        <f t="shared" si="4"/>
        <v>0</v>
      </c>
      <c r="BL44" s="148">
        <f t="shared" ref="BL44:BM44" si="5">SUM(BL20,BL26,BL32,BL38)</f>
        <v>0</v>
      </c>
      <c r="BM44" s="148">
        <f t="shared" si="5"/>
        <v>0</v>
      </c>
      <c r="BN44" s="148">
        <f t="shared" ref="BN44:BO44" si="6">SUM(BN20,BN26,BN32,BN38)</f>
        <v>0</v>
      </c>
      <c r="BO44" s="148">
        <f t="shared" si="6"/>
        <v>0</v>
      </c>
      <c r="BP44" s="148">
        <v>57561</v>
      </c>
      <c r="BQ44" s="148">
        <v>60682</v>
      </c>
      <c r="BR44" s="148">
        <v>60959</v>
      </c>
      <c r="BS44" s="148">
        <v>61064</v>
      </c>
      <c r="BT44" s="148">
        <v>65425</v>
      </c>
      <c r="BU44" s="148">
        <v>63730</v>
      </c>
    </row>
    <row r="45" spans="1:73" x14ac:dyDescent="0.35">
      <c r="A45" s="148" t="s">
        <v>614</v>
      </c>
      <c r="B45" s="148">
        <f t="shared" ref="B45:Q47" si="7">SUM(B21,B27,B33,B39)</f>
        <v>954</v>
      </c>
      <c r="C45" s="148">
        <f t="shared" si="7"/>
        <v>926</v>
      </c>
      <c r="D45" s="148">
        <f t="shared" si="7"/>
        <v>948</v>
      </c>
      <c r="E45" s="148">
        <f t="shared" si="7"/>
        <v>949</v>
      </c>
      <c r="F45" s="148">
        <f t="shared" si="7"/>
        <v>962</v>
      </c>
      <c r="G45" s="148">
        <f t="shared" si="7"/>
        <v>966</v>
      </c>
      <c r="H45" s="148">
        <f t="shared" si="7"/>
        <v>957</v>
      </c>
      <c r="I45" s="148">
        <f t="shared" si="7"/>
        <v>984</v>
      </c>
      <c r="J45" s="148">
        <f t="shared" si="7"/>
        <v>940</v>
      </c>
      <c r="K45" s="148">
        <f t="shared" si="7"/>
        <v>894</v>
      </c>
      <c r="L45" s="148">
        <f t="shared" si="7"/>
        <v>870</v>
      </c>
      <c r="M45" s="148">
        <f t="shared" si="7"/>
        <v>893</v>
      </c>
      <c r="N45" s="148">
        <f t="shared" si="7"/>
        <v>960</v>
      </c>
      <c r="O45" s="148">
        <f t="shared" si="7"/>
        <v>973</v>
      </c>
      <c r="P45" s="148">
        <f t="shared" si="7"/>
        <v>966</v>
      </c>
      <c r="Q45" s="148">
        <f t="shared" si="7"/>
        <v>1005</v>
      </c>
      <c r="R45" s="148">
        <f t="shared" si="0"/>
        <v>1076</v>
      </c>
      <c r="S45" s="148">
        <f t="shared" si="0"/>
        <v>1094</v>
      </c>
      <c r="T45" s="148">
        <f t="shared" si="0"/>
        <v>1124</v>
      </c>
      <c r="U45" s="148">
        <f t="shared" si="0"/>
        <v>1164</v>
      </c>
      <c r="V45" s="148">
        <f t="shared" si="0"/>
        <v>1226</v>
      </c>
      <c r="W45" s="148">
        <f t="shared" si="0"/>
        <v>1262</v>
      </c>
      <c r="X45" s="148">
        <f t="shared" si="0"/>
        <v>1315</v>
      </c>
      <c r="Y45" s="148">
        <f t="shared" si="0"/>
        <v>1410</v>
      </c>
      <c r="Z45" s="148">
        <f t="shared" si="0"/>
        <v>1613</v>
      </c>
      <c r="AA45" s="148">
        <f t="shared" si="0"/>
        <v>1638</v>
      </c>
      <c r="AB45" s="148">
        <f t="shared" si="0"/>
        <v>1698</v>
      </c>
      <c r="AC45" s="148">
        <f t="shared" si="0"/>
        <v>1726</v>
      </c>
      <c r="AD45" s="148">
        <f t="shared" si="0"/>
        <v>1906</v>
      </c>
      <c r="AE45" s="148">
        <f t="shared" si="0"/>
        <v>2027</v>
      </c>
      <c r="AF45" s="148">
        <f t="shared" si="0"/>
        <v>2209</v>
      </c>
      <c r="AG45" s="148">
        <f t="shared" si="0"/>
        <v>2237</v>
      </c>
      <c r="AH45" s="148">
        <f t="shared" si="0"/>
        <v>2258</v>
      </c>
      <c r="AI45" s="148">
        <f t="shared" si="0"/>
        <v>2142</v>
      </c>
      <c r="AJ45" s="148">
        <f t="shared" si="0"/>
        <v>2225</v>
      </c>
      <c r="AK45" s="148">
        <f t="shared" si="0"/>
        <v>2225</v>
      </c>
      <c r="AL45" s="148">
        <f t="shared" si="0"/>
        <v>2274</v>
      </c>
      <c r="AM45" s="148">
        <f t="shared" si="0"/>
        <v>2322</v>
      </c>
      <c r="AN45" s="148">
        <f t="shared" si="0"/>
        <v>2309</v>
      </c>
      <c r="AO45" s="148">
        <f t="shared" si="0"/>
        <v>2197</v>
      </c>
      <c r="AP45" s="148">
        <f t="shared" si="0"/>
        <v>2199</v>
      </c>
      <c r="AQ45" s="148">
        <f t="shared" si="0"/>
        <v>2214</v>
      </c>
      <c r="AR45" s="148">
        <f t="shared" si="0"/>
        <v>0</v>
      </c>
      <c r="AS45" s="148">
        <f t="shared" si="0"/>
        <v>0</v>
      </c>
      <c r="AT45" s="148">
        <f t="shared" si="0"/>
        <v>0</v>
      </c>
      <c r="AU45" s="148">
        <f t="shared" si="0"/>
        <v>0</v>
      </c>
      <c r="AV45" s="148">
        <f t="shared" si="0"/>
        <v>0</v>
      </c>
      <c r="AW45" s="148">
        <f t="shared" si="0"/>
        <v>0</v>
      </c>
      <c r="AX45" s="148">
        <f t="shared" si="0"/>
        <v>0</v>
      </c>
      <c r="AY45" s="148">
        <f t="shared" si="0"/>
        <v>0</v>
      </c>
      <c r="AZ45" s="148">
        <f t="shared" si="0"/>
        <v>0</v>
      </c>
      <c r="BA45" s="148">
        <f t="shared" si="0"/>
        <v>0</v>
      </c>
      <c r="BB45" s="148">
        <f t="shared" si="0"/>
        <v>0</v>
      </c>
      <c r="BC45" s="148">
        <f t="shared" si="0"/>
        <v>0</v>
      </c>
      <c r="BD45" s="148">
        <f t="shared" ref="BD45:BE45" si="8">SUM(BD21,BD27,BD33,BD39)</f>
        <v>0</v>
      </c>
      <c r="BE45" s="148">
        <f t="shared" si="8"/>
        <v>0</v>
      </c>
      <c r="BF45" s="148">
        <f t="shared" ref="BF45:BG45" si="9">SUM(BF21,BF27,BF33,BF39)</f>
        <v>0</v>
      </c>
      <c r="BG45" s="148">
        <f t="shared" si="9"/>
        <v>0</v>
      </c>
      <c r="BH45" s="148">
        <f t="shared" ref="BH45:BI45" si="10">SUM(BH21,BH27,BH33,BH39)</f>
        <v>0</v>
      </c>
      <c r="BI45" s="148">
        <f t="shared" si="10"/>
        <v>0</v>
      </c>
      <c r="BJ45" s="148">
        <f t="shared" ref="BJ45:BK45" si="11">SUM(BJ21,BJ27,BJ33,BJ39)</f>
        <v>0</v>
      </c>
      <c r="BK45" s="148">
        <f t="shared" si="11"/>
        <v>0</v>
      </c>
      <c r="BL45" s="148">
        <f t="shared" ref="BL45:BM45" si="12">SUM(BL21,BL27,BL33,BL39)</f>
        <v>0</v>
      </c>
      <c r="BM45" s="148">
        <f t="shared" si="12"/>
        <v>0</v>
      </c>
      <c r="BN45" s="148">
        <f t="shared" ref="BN45:BO45" si="13">SUM(BN21,BN27,BN33,BN39)</f>
        <v>0</v>
      </c>
      <c r="BO45" s="148">
        <f t="shared" si="13"/>
        <v>0</v>
      </c>
      <c r="BP45" s="148">
        <v>6332</v>
      </c>
      <c r="BQ45" s="148">
        <v>5958</v>
      </c>
      <c r="BR45" s="148">
        <v>5587</v>
      </c>
      <c r="BS45" s="148">
        <v>5445</v>
      </c>
      <c r="BT45" s="148">
        <v>5393</v>
      </c>
      <c r="BU45" s="148">
        <v>5399</v>
      </c>
    </row>
    <row r="46" spans="1:73" x14ac:dyDescent="0.35">
      <c r="A46" s="148" t="s">
        <v>615</v>
      </c>
      <c r="B46" s="148">
        <f t="shared" si="7"/>
        <v>257</v>
      </c>
      <c r="C46" s="148">
        <f t="shared" si="0"/>
        <v>250</v>
      </c>
      <c r="D46" s="148">
        <f t="shared" si="0"/>
        <v>250</v>
      </c>
      <c r="E46" s="148">
        <f t="shared" si="0"/>
        <v>239</v>
      </c>
      <c r="F46" s="148">
        <f t="shared" si="0"/>
        <v>227</v>
      </c>
      <c r="G46" s="148">
        <f t="shared" si="0"/>
        <v>221</v>
      </c>
      <c r="H46" s="148">
        <f t="shared" si="0"/>
        <v>238</v>
      </c>
      <c r="I46" s="148">
        <f t="shared" si="0"/>
        <v>243</v>
      </c>
      <c r="J46" s="148">
        <f t="shared" si="0"/>
        <v>248</v>
      </c>
      <c r="K46" s="148">
        <f t="shared" si="0"/>
        <v>234</v>
      </c>
      <c r="L46" s="148">
        <f t="shared" si="0"/>
        <v>236</v>
      </c>
      <c r="M46" s="148">
        <f t="shared" si="0"/>
        <v>246</v>
      </c>
      <c r="N46" s="148">
        <f t="shared" si="0"/>
        <v>242</v>
      </c>
      <c r="O46" s="148">
        <f t="shared" si="0"/>
        <v>232</v>
      </c>
      <c r="P46" s="148">
        <f t="shared" si="0"/>
        <v>223</v>
      </c>
      <c r="Q46" s="148">
        <f t="shared" si="0"/>
        <v>220</v>
      </c>
      <c r="R46" s="148">
        <f t="shared" si="0"/>
        <v>235</v>
      </c>
      <c r="S46" s="148">
        <f t="shared" si="0"/>
        <v>238</v>
      </c>
      <c r="T46" s="148">
        <f t="shared" si="0"/>
        <v>256</v>
      </c>
      <c r="U46" s="148">
        <f t="shared" si="0"/>
        <v>265</v>
      </c>
      <c r="V46" s="148">
        <f t="shared" si="0"/>
        <v>278</v>
      </c>
      <c r="W46" s="148">
        <f t="shared" si="0"/>
        <v>274</v>
      </c>
      <c r="X46" s="148">
        <f t="shared" si="0"/>
        <v>264</v>
      </c>
      <c r="Y46" s="148">
        <f t="shared" si="0"/>
        <v>264</v>
      </c>
      <c r="Z46" s="148">
        <f t="shared" si="0"/>
        <v>282</v>
      </c>
      <c r="AA46" s="148">
        <f t="shared" si="0"/>
        <v>293</v>
      </c>
      <c r="AB46" s="148">
        <f t="shared" si="0"/>
        <v>305</v>
      </c>
      <c r="AC46" s="148">
        <f t="shared" si="0"/>
        <v>321</v>
      </c>
      <c r="AD46" s="148">
        <f t="shared" si="0"/>
        <v>327</v>
      </c>
      <c r="AE46" s="148">
        <f t="shared" si="0"/>
        <v>357</v>
      </c>
      <c r="AF46" s="148">
        <f t="shared" si="0"/>
        <v>370</v>
      </c>
      <c r="AG46" s="148">
        <f t="shared" si="0"/>
        <v>371</v>
      </c>
      <c r="AH46" s="148">
        <f t="shared" si="0"/>
        <v>388</v>
      </c>
      <c r="AI46" s="148">
        <f t="shared" si="0"/>
        <v>396</v>
      </c>
      <c r="AJ46" s="148">
        <f t="shared" si="0"/>
        <v>418</v>
      </c>
      <c r="AK46" s="148">
        <f t="shared" si="0"/>
        <v>424</v>
      </c>
      <c r="AL46" s="148">
        <f t="shared" si="0"/>
        <v>463</v>
      </c>
      <c r="AM46" s="148">
        <f t="shared" si="0"/>
        <v>462</v>
      </c>
      <c r="AN46" s="148">
        <f t="shared" si="0"/>
        <v>477</v>
      </c>
      <c r="AO46" s="148">
        <f t="shared" si="0"/>
        <v>469</v>
      </c>
      <c r="AP46" s="148">
        <f t="shared" si="0"/>
        <v>485</v>
      </c>
      <c r="AQ46" s="148">
        <f t="shared" si="0"/>
        <v>502</v>
      </c>
      <c r="AR46" s="148">
        <f t="shared" si="0"/>
        <v>0</v>
      </c>
      <c r="AS46" s="148">
        <f t="shared" si="0"/>
        <v>0</v>
      </c>
      <c r="AT46" s="148">
        <f t="shared" si="0"/>
        <v>0</v>
      </c>
      <c r="AU46" s="148">
        <f t="shared" si="0"/>
        <v>0</v>
      </c>
      <c r="AV46" s="148">
        <f t="shared" si="0"/>
        <v>0</v>
      </c>
      <c r="AW46" s="148">
        <f t="shared" si="0"/>
        <v>0</v>
      </c>
      <c r="AX46" s="148">
        <f t="shared" si="0"/>
        <v>0</v>
      </c>
      <c r="AY46" s="148">
        <f t="shared" si="0"/>
        <v>0</v>
      </c>
      <c r="AZ46" s="148">
        <f t="shared" si="0"/>
        <v>0</v>
      </c>
      <c r="BA46" s="148">
        <f t="shared" si="0"/>
        <v>0</v>
      </c>
      <c r="BB46" s="148">
        <f t="shared" si="0"/>
        <v>0</v>
      </c>
      <c r="BC46" s="148">
        <f t="shared" si="0"/>
        <v>0</v>
      </c>
      <c r="BD46" s="148">
        <f t="shared" ref="BD46:BE46" si="14">SUM(BD22,BD28,BD34,BD40)</f>
        <v>0</v>
      </c>
      <c r="BE46" s="148">
        <f t="shared" si="14"/>
        <v>0</v>
      </c>
      <c r="BF46" s="148">
        <f t="shared" ref="BF46:BG46" si="15">SUM(BF22,BF28,BF34,BF40)</f>
        <v>0</v>
      </c>
      <c r="BG46" s="148">
        <f t="shared" si="15"/>
        <v>0</v>
      </c>
      <c r="BH46" s="148">
        <f t="shared" ref="BH46:BI46" si="16">SUM(BH22,BH28,BH34,BH40)</f>
        <v>0</v>
      </c>
      <c r="BI46" s="148">
        <f t="shared" si="16"/>
        <v>0</v>
      </c>
      <c r="BJ46" s="148">
        <f t="shared" ref="BJ46:BK46" si="17">SUM(BJ22,BJ28,BJ34,BJ40)</f>
        <v>0</v>
      </c>
      <c r="BK46" s="148">
        <f t="shared" si="17"/>
        <v>0</v>
      </c>
      <c r="BL46" s="148">
        <f t="shared" ref="BL46:BM46" si="18">SUM(BL22,BL28,BL34,BL40)</f>
        <v>0</v>
      </c>
      <c r="BM46" s="148">
        <f t="shared" si="18"/>
        <v>0</v>
      </c>
      <c r="BN46" s="148">
        <f t="shared" ref="BN46:BO46" si="19">SUM(BN22,BN28,BN34,BN40)</f>
        <v>0</v>
      </c>
      <c r="BO46" s="148">
        <f t="shared" si="19"/>
        <v>0</v>
      </c>
      <c r="BP46" s="148">
        <v>973</v>
      </c>
      <c r="BQ46" s="148">
        <v>995</v>
      </c>
      <c r="BR46" s="148">
        <v>1075</v>
      </c>
      <c r="BS46" s="148">
        <v>1138</v>
      </c>
      <c r="BT46" s="148">
        <v>1277</v>
      </c>
      <c r="BU46" s="148">
        <v>1596</v>
      </c>
    </row>
    <row r="47" spans="1:73" ht="16" thickBot="1" x14ac:dyDescent="0.4">
      <c r="A47" s="149" t="s">
        <v>616</v>
      </c>
      <c r="B47" s="148">
        <f t="shared" si="7"/>
        <v>79</v>
      </c>
      <c r="C47" s="148">
        <f t="shared" si="0"/>
        <v>81</v>
      </c>
      <c r="D47" s="148">
        <f t="shared" si="0"/>
        <v>75</v>
      </c>
      <c r="E47" s="148">
        <f t="shared" si="0"/>
        <v>73</v>
      </c>
      <c r="F47" s="148">
        <f t="shared" si="0"/>
        <v>68</v>
      </c>
      <c r="G47" s="148">
        <f t="shared" si="0"/>
        <v>66</v>
      </c>
      <c r="H47" s="148">
        <f t="shared" si="0"/>
        <v>62</v>
      </c>
      <c r="I47" s="148">
        <f t="shared" si="0"/>
        <v>61</v>
      </c>
      <c r="J47" s="148">
        <f t="shared" si="0"/>
        <v>62</v>
      </c>
      <c r="K47" s="148">
        <f t="shared" si="0"/>
        <v>59</v>
      </c>
      <c r="L47" s="148">
        <f t="shared" si="0"/>
        <v>61</v>
      </c>
      <c r="M47" s="148">
        <f t="shared" si="0"/>
        <v>56</v>
      </c>
      <c r="N47" s="148">
        <f t="shared" si="0"/>
        <v>60</v>
      </c>
      <c r="O47" s="148">
        <f t="shared" si="0"/>
        <v>62</v>
      </c>
      <c r="P47" s="148">
        <f t="shared" si="0"/>
        <v>62</v>
      </c>
      <c r="Q47" s="148">
        <f t="shared" si="0"/>
        <v>58</v>
      </c>
      <c r="R47" s="148">
        <f t="shared" si="0"/>
        <v>58</v>
      </c>
      <c r="S47" s="148">
        <f t="shared" si="0"/>
        <v>61</v>
      </c>
      <c r="T47" s="148">
        <f t="shared" si="0"/>
        <v>65</v>
      </c>
      <c r="U47" s="148">
        <f t="shared" si="0"/>
        <v>61</v>
      </c>
      <c r="V47" s="148">
        <f t="shared" si="0"/>
        <v>56</v>
      </c>
      <c r="W47" s="148">
        <f t="shared" si="0"/>
        <v>56</v>
      </c>
      <c r="X47" s="148">
        <f t="shared" si="0"/>
        <v>54</v>
      </c>
      <c r="Y47" s="148">
        <f t="shared" si="0"/>
        <v>55</v>
      </c>
      <c r="Z47" s="148">
        <f t="shared" si="0"/>
        <v>61</v>
      </c>
      <c r="AA47" s="148">
        <f t="shared" si="0"/>
        <v>57</v>
      </c>
      <c r="AB47" s="148">
        <f t="shared" si="0"/>
        <v>56</v>
      </c>
      <c r="AC47" s="148">
        <f t="shared" si="0"/>
        <v>56</v>
      </c>
      <c r="AD47" s="148">
        <f t="shared" si="0"/>
        <v>56</v>
      </c>
      <c r="AE47" s="148">
        <f t="shared" si="0"/>
        <v>55</v>
      </c>
      <c r="AF47" s="148">
        <f t="shared" si="0"/>
        <v>56</v>
      </c>
      <c r="AG47" s="148">
        <f t="shared" si="0"/>
        <v>55</v>
      </c>
      <c r="AH47" s="148">
        <f t="shared" si="0"/>
        <v>58</v>
      </c>
      <c r="AI47" s="148">
        <f t="shared" si="0"/>
        <v>57</v>
      </c>
      <c r="AJ47" s="148">
        <f t="shared" si="0"/>
        <v>58</v>
      </c>
      <c r="AK47" s="148">
        <f t="shared" si="0"/>
        <v>57</v>
      </c>
      <c r="AL47" s="148">
        <f t="shared" si="0"/>
        <v>56</v>
      </c>
      <c r="AM47" s="148">
        <f t="shared" si="0"/>
        <v>57</v>
      </c>
      <c r="AN47" s="148">
        <f t="shared" si="0"/>
        <v>56</v>
      </c>
      <c r="AO47" s="148">
        <f t="shared" si="0"/>
        <v>60</v>
      </c>
      <c r="AP47" s="148">
        <f t="shared" si="0"/>
        <v>62</v>
      </c>
      <c r="AQ47" s="148">
        <f t="shared" si="0"/>
        <v>59</v>
      </c>
      <c r="AR47" s="148">
        <f t="shared" si="0"/>
        <v>0</v>
      </c>
      <c r="AS47" s="148">
        <f t="shared" si="0"/>
        <v>0</v>
      </c>
      <c r="AT47" s="148">
        <f t="shared" si="0"/>
        <v>0</v>
      </c>
      <c r="AU47" s="148">
        <f t="shared" si="0"/>
        <v>0</v>
      </c>
      <c r="AV47" s="148">
        <f t="shared" si="0"/>
        <v>0</v>
      </c>
      <c r="AW47" s="148">
        <f t="shared" si="0"/>
        <v>0</v>
      </c>
      <c r="AX47" s="148">
        <f t="shared" si="0"/>
        <v>0</v>
      </c>
      <c r="AY47" s="148">
        <f t="shared" si="0"/>
        <v>0</v>
      </c>
      <c r="AZ47" s="148">
        <f t="shared" si="0"/>
        <v>0</v>
      </c>
      <c r="BA47" s="148">
        <f t="shared" si="0"/>
        <v>0</v>
      </c>
      <c r="BB47" s="148">
        <f t="shared" si="0"/>
        <v>0</v>
      </c>
      <c r="BC47" s="148">
        <f t="shared" si="0"/>
        <v>0</v>
      </c>
      <c r="BD47" s="148">
        <f t="shared" ref="BD47:BE47" si="20">SUM(BD23,BD29,BD35,BD41)</f>
        <v>0</v>
      </c>
      <c r="BE47" s="148">
        <f t="shared" si="20"/>
        <v>0</v>
      </c>
      <c r="BF47" s="148">
        <f t="shared" ref="BF47:BG47" si="21">SUM(BF23,BF29,BF35,BF41)</f>
        <v>0</v>
      </c>
      <c r="BG47" s="148">
        <f t="shared" si="21"/>
        <v>0</v>
      </c>
      <c r="BH47" s="148">
        <f t="shared" ref="BH47:BI47" si="22">SUM(BH23,BH29,BH35,BH41)</f>
        <v>0</v>
      </c>
      <c r="BI47" s="148">
        <f t="shared" si="22"/>
        <v>0</v>
      </c>
      <c r="BJ47" s="148">
        <f t="shared" ref="BJ47:BK47" si="23">SUM(BJ23,BJ29,BJ35,BJ41)</f>
        <v>0</v>
      </c>
      <c r="BK47" s="148">
        <f t="shared" si="23"/>
        <v>0</v>
      </c>
      <c r="BL47" s="148">
        <f t="shared" ref="BL47:BM47" si="24">SUM(BL23,BL29,BL35,BL41)</f>
        <v>0</v>
      </c>
      <c r="BM47" s="148">
        <f t="shared" si="24"/>
        <v>0</v>
      </c>
      <c r="BN47" s="148">
        <f t="shared" ref="BN47:BO47" si="25">SUM(BN23,BN29,BN35,BN41)</f>
        <v>0</v>
      </c>
      <c r="BO47" s="148">
        <f t="shared" si="25"/>
        <v>0</v>
      </c>
      <c r="BP47" s="148">
        <v>70</v>
      </c>
      <c r="BQ47" s="148">
        <v>74</v>
      </c>
      <c r="BR47" s="148">
        <v>80</v>
      </c>
      <c r="BS47" s="148">
        <v>80</v>
      </c>
      <c r="BT47" s="148">
        <v>87</v>
      </c>
      <c r="BU47" s="148">
        <v>80</v>
      </c>
    </row>
    <row r="48" spans="1:73" x14ac:dyDescent="0.35">
      <c r="A48" s="150" t="s">
        <v>1</v>
      </c>
      <c r="B48" s="150">
        <f>SUM(B44:B47)</f>
        <v>21735</v>
      </c>
      <c r="C48" s="150">
        <f t="shared" ref="C48:BC48" si="26">SUM(C44:C47)</f>
        <v>26144</v>
      </c>
      <c r="D48" s="150">
        <f t="shared" si="26"/>
        <v>27571</v>
      </c>
      <c r="E48" s="150">
        <f t="shared" si="26"/>
        <v>28501</v>
      </c>
      <c r="F48" s="150">
        <f t="shared" si="26"/>
        <v>29119</v>
      </c>
      <c r="G48" s="150">
        <f t="shared" si="26"/>
        <v>27451</v>
      </c>
      <c r="H48" s="150">
        <f t="shared" si="26"/>
        <v>25900</v>
      </c>
      <c r="I48" s="150">
        <f t="shared" si="26"/>
        <v>23451</v>
      </c>
      <c r="J48" s="150">
        <f t="shared" si="26"/>
        <v>24692</v>
      </c>
      <c r="K48" s="150">
        <f t="shared" si="26"/>
        <v>31251</v>
      </c>
      <c r="L48" s="150">
        <f t="shared" si="26"/>
        <v>31422</v>
      </c>
      <c r="M48" s="150">
        <f t="shared" si="26"/>
        <v>31391</v>
      </c>
      <c r="N48" s="150">
        <f t="shared" si="26"/>
        <v>31309</v>
      </c>
      <c r="O48" s="150">
        <f t="shared" si="26"/>
        <v>31397</v>
      </c>
      <c r="P48" s="150">
        <f t="shared" si="26"/>
        <v>32444</v>
      </c>
      <c r="Q48" s="150">
        <f t="shared" si="26"/>
        <v>34857</v>
      </c>
      <c r="R48" s="150">
        <f t="shared" si="26"/>
        <v>36347</v>
      </c>
      <c r="S48" s="150">
        <f t="shared" si="26"/>
        <v>37129</v>
      </c>
      <c r="T48" s="150">
        <f t="shared" si="26"/>
        <v>39163</v>
      </c>
      <c r="U48" s="150">
        <f t="shared" si="26"/>
        <v>40917</v>
      </c>
      <c r="V48" s="150">
        <f t="shared" si="26"/>
        <v>41327</v>
      </c>
      <c r="W48" s="150">
        <f t="shared" si="26"/>
        <v>38525</v>
      </c>
      <c r="X48" s="150">
        <f t="shared" si="26"/>
        <v>37827</v>
      </c>
      <c r="Y48" s="150">
        <f t="shared" si="26"/>
        <v>37610</v>
      </c>
      <c r="Z48" s="150">
        <f t="shared" si="26"/>
        <v>38702</v>
      </c>
      <c r="AA48" s="150">
        <f t="shared" si="26"/>
        <v>39355</v>
      </c>
      <c r="AB48" s="150">
        <f t="shared" si="26"/>
        <v>40374</v>
      </c>
      <c r="AC48" s="150">
        <f t="shared" si="26"/>
        <v>41043</v>
      </c>
      <c r="AD48" s="150">
        <f t="shared" si="26"/>
        <v>40004</v>
      </c>
      <c r="AE48" s="150">
        <f t="shared" si="26"/>
        <v>36702</v>
      </c>
      <c r="AF48" s="150">
        <f t="shared" si="26"/>
        <v>35872</v>
      </c>
      <c r="AG48" s="150">
        <f t="shared" si="26"/>
        <v>37248</v>
      </c>
      <c r="AH48" s="150">
        <f>SUM(AH44:AH47)</f>
        <v>38157</v>
      </c>
      <c r="AI48" s="150">
        <f t="shared" si="26"/>
        <v>39085</v>
      </c>
      <c r="AJ48" s="150">
        <f t="shared" si="26"/>
        <v>39102</v>
      </c>
      <c r="AK48" s="150">
        <f t="shared" si="26"/>
        <v>38272</v>
      </c>
      <c r="AL48" s="150">
        <f t="shared" si="26"/>
        <v>38367</v>
      </c>
      <c r="AM48" s="150">
        <f t="shared" si="26"/>
        <v>37699</v>
      </c>
      <c r="AN48" s="150">
        <f t="shared" si="26"/>
        <v>37519</v>
      </c>
      <c r="AO48" s="150">
        <f t="shared" si="26"/>
        <v>37504</v>
      </c>
      <c r="AP48" s="150">
        <f t="shared" si="26"/>
        <v>38597</v>
      </c>
      <c r="AQ48" s="150">
        <f t="shared" si="26"/>
        <v>39047</v>
      </c>
      <c r="AR48" s="150">
        <f t="shared" si="26"/>
        <v>0</v>
      </c>
      <c r="AS48" s="150">
        <f t="shared" si="26"/>
        <v>0</v>
      </c>
      <c r="AT48" s="150">
        <f t="shared" si="26"/>
        <v>0</v>
      </c>
      <c r="AU48" s="150">
        <f t="shared" si="26"/>
        <v>0</v>
      </c>
      <c r="AV48" s="150">
        <f t="shared" si="26"/>
        <v>0</v>
      </c>
      <c r="AW48" s="150">
        <f t="shared" si="26"/>
        <v>0</v>
      </c>
      <c r="AX48" s="150">
        <f t="shared" si="26"/>
        <v>0</v>
      </c>
      <c r="AY48" s="150">
        <f t="shared" si="26"/>
        <v>0</v>
      </c>
      <c r="AZ48" s="150">
        <f t="shared" si="26"/>
        <v>0</v>
      </c>
      <c r="BA48" s="150">
        <f t="shared" si="26"/>
        <v>0</v>
      </c>
      <c r="BB48" s="150">
        <f t="shared" si="26"/>
        <v>0</v>
      </c>
      <c r="BC48" s="150">
        <f t="shared" si="26"/>
        <v>0</v>
      </c>
      <c r="BD48" s="150">
        <f t="shared" ref="BD48:BE48" si="27">SUM(BD44:BD47)</f>
        <v>0</v>
      </c>
      <c r="BE48" s="150">
        <f t="shared" si="27"/>
        <v>0</v>
      </c>
      <c r="BF48" s="150">
        <f t="shared" ref="BF48:BG48" si="28">SUM(BF44:BF47)</f>
        <v>0</v>
      </c>
      <c r="BG48" s="150">
        <f t="shared" si="28"/>
        <v>0</v>
      </c>
      <c r="BH48" s="150">
        <f t="shared" ref="BH48:BI48" si="29">SUM(BH44:BH47)</f>
        <v>0</v>
      </c>
      <c r="BI48" s="150">
        <f t="shared" si="29"/>
        <v>0</v>
      </c>
      <c r="BJ48" s="150">
        <f t="shared" ref="BJ48:BK48" si="30">SUM(BJ44:BJ47)</f>
        <v>0</v>
      </c>
      <c r="BK48" s="150">
        <f t="shared" si="30"/>
        <v>0</v>
      </c>
      <c r="BL48" s="150">
        <f t="shared" ref="BL48:BM48" si="31">SUM(BL44:BL47)</f>
        <v>0</v>
      </c>
      <c r="BM48" s="150">
        <f t="shared" si="31"/>
        <v>0</v>
      </c>
      <c r="BN48" s="150">
        <f t="shared" ref="BN48:BO48" si="32">SUM(BN44:BN47)</f>
        <v>0</v>
      </c>
      <c r="BO48" s="150">
        <f t="shared" si="32"/>
        <v>0</v>
      </c>
      <c r="BP48" s="150">
        <v>64936</v>
      </c>
      <c r="BQ48" s="150">
        <v>67709</v>
      </c>
      <c r="BR48" s="150">
        <v>67701</v>
      </c>
      <c r="BS48" s="150">
        <v>67727</v>
      </c>
      <c r="BT48" s="150">
        <v>72182</v>
      </c>
      <c r="BU48" s="150">
        <v>70805</v>
      </c>
    </row>
  </sheetData>
  <mergeCells count="74">
    <mergeCell ref="L17:M17"/>
    <mergeCell ref="N17:O17"/>
    <mergeCell ref="P17:Q17"/>
    <mergeCell ref="R17:S17"/>
    <mergeCell ref="AP5:AQ5"/>
    <mergeCell ref="X5:Y5"/>
    <mergeCell ref="Z5:AA5"/>
    <mergeCell ref="AB5:AC5"/>
    <mergeCell ref="AD5:AE5"/>
    <mergeCell ref="AF5:AG5"/>
    <mergeCell ref="AH5:AI5"/>
    <mergeCell ref="AN5:AO5"/>
    <mergeCell ref="L5:M5"/>
    <mergeCell ref="N5:O5"/>
    <mergeCell ref="P5:Q5"/>
    <mergeCell ref="R5:S5"/>
    <mergeCell ref="T5:U5"/>
    <mergeCell ref="V5:W5"/>
    <mergeCell ref="AR5:AS5"/>
    <mergeCell ref="AT5:AU5"/>
    <mergeCell ref="A16:A18"/>
    <mergeCell ref="B17:C17"/>
    <mergeCell ref="D17:E17"/>
    <mergeCell ref="F17:G17"/>
    <mergeCell ref="H17:I17"/>
    <mergeCell ref="A4:A6"/>
    <mergeCell ref="B5:C5"/>
    <mergeCell ref="D5:E5"/>
    <mergeCell ref="F5:G5"/>
    <mergeCell ref="H5:I5"/>
    <mergeCell ref="J5:K5"/>
    <mergeCell ref="J17:K17"/>
    <mergeCell ref="AJ5:AK5"/>
    <mergeCell ref="AL5:AM5"/>
    <mergeCell ref="AT17:AU17"/>
    <mergeCell ref="X17:Y17"/>
    <mergeCell ref="Z17:AA17"/>
    <mergeCell ref="AB17:AC17"/>
    <mergeCell ref="AD17:AE17"/>
    <mergeCell ref="AF17:AG17"/>
    <mergeCell ref="AH17:AI17"/>
    <mergeCell ref="AJ17:AK17"/>
    <mergeCell ref="T17:U17"/>
    <mergeCell ref="AL17:AM17"/>
    <mergeCell ref="AN17:AO17"/>
    <mergeCell ref="AP17:AQ17"/>
    <mergeCell ref="AR17:AS17"/>
    <mergeCell ref="V17:W17"/>
    <mergeCell ref="AV17:AW17"/>
    <mergeCell ref="BH17:BI17"/>
    <mergeCell ref="BH5:BI5"/>
    <mergeCell ref="BF5:BG5"/>
    <mergeCell ref="BF17:BG17"/>
    <mergeCell ref="AX17:AY17"/>
    <mergeCell ref="AZ17:BA17"/>
    <mergeCell ref="BB17:BC17"/>
    <mergeCell ref="BD5:BE5"/>
    <mergeCell ref="BD17:BE17"/>
    <mergeCell ref="AV5:AW5"/>
    <mergeCell ref="AX5:AY5"/>
    <mergeCell ref="AZ5:BA5"/>
    <mergeCell ref="BB5:BC5"/>
    <mergeCell ref="BJ5:BK5"/>
    <mergeCell ref="BJ17:BK17"/>
    <mergeCell ref="BN5:BO5"/>
    <mergeCell ref="BN17:BO17"/>
    <mergeCell ref="BL5:BM5"/>
    <mergeCell ref="BL17:BM17"/>
    <mergeCell ref="BT5:BU5"/>
    <mergeCell ref="BT17:BU17"/>
    <mergeCell ref="BP5:BQ5"/>
    <mergeCell ref="BP17:BQ17"/>
    <mergeCell ref="BR5:BS5"/>
    <mergeCell ref="BR17:BS17"/>
  </mergeCells>
  <phoneticPr fontId="3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0CAF-8C0A-4C17-8EB5-86EA3C53BCF3}">
  <dimension ref="A1:L160"/>
  <sheetViews>
    <sheetView showGridLines="0" zoomScale="80" zoomScaleNormal="80" workbookViewId="0">
      <selection activeCell="B56" sqref="B56"/>
    </sheetView>
  </sheetViews>
  <sheetFormatPr defaultRowHeight="14.5" x14ac:dyDescent="0.35"/>
  <cols>
    <col min="1" max="1" width="35.81640625" customWidth="1"/>
    <col min="2" max="2" width="11.1796875" customWidth="1"/>
    <col min="3" max="3" width="10.81640625" customWidth="1"/>
  </cols>
  <sheetData>
    <row r="1" spans="1:12" ht="71.5" customHeight="1" x14ac:dyDescent="0.35">
      <c r="A1" s="456" t="s">
        <v>829</v>
      </c>
      <c r="B1" s="457"/>
      <c r="C1" s="457"/>
      <c r="D1" s="457"/>
      <c r="E1" s="457"/>
      <c r="F1" s="457"/>
      <c r="G1" s="457"/>
      <c r="H1" s="457"/>
      <c r="I1" s="457"/>
      <c r="J1" s="457"/>
      <c r="K1" s="457"/>
      <c r="L1" s="457"/>
    </row>
    <row r="2" spans="1:12" ht="12.65" customHeight="1" x14ac:dyDescent="0.35"/>
    <row r="3" spans="1:12" ht="16" thickBot="1" x14ac:dyDescent="0.4">
      <c r="A3" s="139" t="s">
        <v>792</v>
      </c>
      <c r="B3" s="140"/>
      <c r="C3" s="140"/>
    </row>
    <row r="4" spans="1:12" ht="15" x14ac:dyDescent="0.35">
      <c r="A4" s="30" t="s">
        <v>628</v>
      </c>
      <c r="B4" s="171" t="s">
        <v>644</v>
      </c>
    </row>
    <row r="5" spans="1:12" ht="15.5" x14ac:dyDescent="0.35">
      <c r="A5" s="152" t="s">
        <v>645</v>
      </c>
      <c r="B5" s="158">
        <v>15</v>
      </c>
    </row>
    <row r="6" spans="1:12" ht="15.5" x14ac:dyDescent="0.35">
      <c r="A6" s="152" t="s">
        <v>646</v>
      </c>
      <c r="B6" s="158">
        <v>9</v>
      </c>
    </row>
    <row r="7" spans="1:12" ht="15.5" x14ac:dyDescent="0.35">
      <c r="A7" s="152" t="s">
        <v>119</v>
      </c>
      <c r="B7" s="158">
        <v>10</v>
      </c>
    </row>
    <row r="8" spans="1:12" ht="15.5" x14ac:dyDescent="0.35">
      <c r="A8" s="152" t="s">
        <v>629</v>
      </c>
      <c r="B8" s="158">
        <v>25</v>
      </c>
    </row>
    <row r="9" spans="1:12" ht="15.5" x14ac:dyDescent="0.35">
      <c r="A9" s="152" t="s">
        <v>662</v>
      </c>
      <c r="B9" s="158">
        <v>17</v>
      </c>
    </row>
    <row r="10" spans="1:12" ht="15.5" x14ac:dyDescent="0.35">
      <c r="A10" s="152" t="s">
        <v>661</v>
      </c>
      <c r="B10" s="158">
        <v>25</v>
      </c>
    </row>
    <row r="11" spans="1:12" ht="15.5" x14ac:dyDescent="0.35">
      <c r="A11" s="152" t="s">
        <v>675</v>
      </c>
      <c r="B11" s="158">
        <v>24</v>
      </c>
    </row>
    <row r="12" spans="1:12" ht="16" thickBot="1" x14ac:dyDescent="0.4">
      <c r="A12" s="153" t="s">
        <v>702</v>
      </c>
      <c r="B12" s="174">
        <v>0</v>
      </c>
    </row>
    <row r="14" spans="1:12" ht="16" thickBot="1" x14ac:dyDescent="0.4">
      <c r="A14" s="139" t="s">
        <v>793</v>
      </c>
      <c r="B14" s="140"/>
    </row>
    <row r="15" spans="1:12" ht="15" x14ac:dyDescent="0.35">
      <c r="A15" s="249" t="s">
        <v>628</v>
      </c>
      <c r="B15" s="250" t="s">
        <v>647</v>
      </c>
    </row>
    <row r="16" spans="1:12" ht="15.5" x14ac:dyDescent="0.35">
      <c r="A16" s="251" t="s">
        <v>645</v>
      </c>
      <c r="B16" s="252">
        <v>22</v>
      </c>
    </row>
    <row r="17" spans="1:2" ht="15.5" x14ac:dyDescent="0.35">
      <c r="A17" s="251" t="s">
        <v>646</v>
      </c>
      <c r="B17" s="252">
        <v>21</v>
      </c>
    </row>
    <row r="18" spans="1:2" ht="15.5" x14ac:dyDescent="0.35">
      <c r="A18" s="251" t="s">
        <v>119</v>
      </c>
      <c r="B18" s="252">
        <v>19</v>
      </c>
    </row>
    <row r="19" spans="1:2" ht="15.5" x14ac:dyDescent="0.35">
      <c r="A19" s="251" t="s">
        <v>629</v>
      </c>
      <c r="B19" s="252">
        <v>19</v>
      </c>
    </row>
    <row r="20" spans="1:2" ht="15.5" x14ac:dyDescent="0.35">
      <c r="A20" s="251" t="s">
        <v>662</v>
      </c>
      <c r="B20" s="252">
        <v>19</v>
      </c>
    </row>
    <row r="21" spans="1:2" ht="15.5" x14ac:dyDescent="0.35">
      <c r="A21" s="251" t="s">
        <v>661</v>
      </c>
      <c r="B21" s="252">
        <v>20</v>
      </c>
    </row>
    <row r="22" spans="1:2" ht="15.5" x14ac:dyDescent="0.35">
      <c r="A22" s="251" t="s">
        <v>675</v>
      </c>
      <c r="B22" s="252">
        <v>22</v>
      </c>
    </row>
    <row r="23" spans="1:2" ht="16" thickBot="1" x14ac:dyDescent="0.4">
      <c r="A23" s="253" t="s">
        <v>702</v>
      </c>
      <c r="B23" s="174">
        <v>0</v>
      </c>
    </row>
    <row r="24" spans="1:2" ht="15.5" x14ac:dyDescent="0.35">
      <c r="B24" s="172"/>
    </row>
    <row r="25" spans="1:2" ht="16" thickBot="1" x14ac:dyDescent="0.4">
      <c r="A25" s="139" t="s">
        <v>794</v>
      </c>
      <c r="B25" s="140"/>
    </row>
    <row r="26" spans="1:2" ht="15" x14ac:dyDescent="0.35">
      <c r="A26" s="30" t="s">
        <v>628</v>
      </c>
      <c r="B26" s="171" t="s">
        <v>137</v>
      </c>
    </row>
    <row r="27" spans="1:2" ht="15.5" x14ac:dyDescent="0.35">
      <c r="A27" s="152" t="s">
        <v>645</v>
      </c>
      <c r="B27" s="173">
        <v>12</v>
      </c>
    </row>
    <row r="28" spans="1:2" ht="15.5" x14ac:dyDescent="0.35">
      <c r="A28" s="152" t="s">
        <v>646</v>
      </c>
      <c r="B28" s="173">
        <v>3</v>
      </c>
    </row>
    <row r="29" spans="1:2" ht="15.5" x14ac:dyDescent="0.35">
      <c r="A29" s="152" t="s">
        <v>119</v>
      </c>
      <c r="B29" s="173">
        <v>9</v>
      </c>
    </row>
    <row r="30" spans="1:2" ht="15.5" x14ac:dyDescent="0.35">
      <c r="A30" s="152" t="s">
        <v>629</v>
      </c>
      <c r="B30" s="173">
        <v>11</v>
      </c>
    </row>
    <row r="31" spans="1:2" ht="15.5" x14ac:dyDescent="0.35">
      <c r="A31" s="152" t="s">
        <v>662</v>
      </c>
      <c r="B31" s="173">
        <v>8</v>
      </c>
    </row>
    <row r="32" spans="1:2" ht="15.5" x14ac:dyDescent="0.35">
      <c r="A32" s="152" t="s">
        <v>661</v>
      </c>
      <c r="B32" s="173">
        <v>14</v>
      </c>
    </row>
    <row r="33" spans="1:2" ht="15.5" x14ac:dyDescent="0.35">
      <c r="A33" s="152" t="s">
        <v>675</v>
      </c>
      <c r="B33" s="158">
        <v>11</v>
      </c>
    </row>
    <row r="34" spans="1:2" ht="16" thickBot="1" x14ac:dyDescent="0.4">
      <c r="A34" s="153" t="s">
        <v>702</v>
      </c>
      <c r="B34" s="174">
        <v>0</v>
      </c>
    </row>
    <row r="35" spans="1:2" ht="15.5" x14ac:dyDescent="0.35">
      <c r="B35" s="172"/>
    </row>
    <row r="36" spans="1:2" ht="16" thickBot="1" x14ac:dyDescent="0.4">
      <c r="A36" s="139" t="s">
        <v>795</v>
      </c>
      <c r="B36" s="140"/>
    </row>
    <row r="37" spans="1:2" ht="15" x14ac:dyDescent="0.35">
      <c r="A37" s="30" t="s">
        <v>628</v>
      </c>
      <c r="B37" s="171" t="s">
        <v>644</v>
      </c>
    </row>
    <row r="38" spans="1:2" ht="15.5" x14ac:dyDescent="0.35">
      <c r="A38" s="152" t="s">
        <v>645</v>
      </c>
      <c r="B38" s="173">
        <v>30</v>
      </c>
    </row>
    <row r="39" spans="1:2" ht="15.5" x14ac:dyDescent="0.35">
      <c r="A39" s="152" t="s">
        <v>646</v>
      </c>
      <c r="B39" s="173">
        <v>12</v>
      </c>
    </row>
    <row r="40" spans="1:2" ht="15.5" x14ac:dyDescent="0.35">
      <c r="A40" s="152" t="s">
        <v>119</v>
      </c>
      <c r="B40" s="173">
        <v>11</v>
      </c>
    </row>
    <row r="41" spans="1:2" ht="15.5" x14ac:dyDescent="0.35">
      <c r="A41" s="152" t="s">
        <v>629</v>
      </c>
      <c r="B41" s="173">
        <v>6</v>
      </c>
    </row>
    <row r="42" spans="1:2" ht="15.5" x14ac:dyDescent="0.35">
      <c r="A42" s="152" t="s">
        <v>596</v>
      </c>
      <c r="B42" s="173">
        <v>1</v>
      </c>
    </row>
    <row r="43" spans="1:2" ht="15.5" x14ac:dyDescent="0.35">
      <c r="A43" s="152" t="s">
        <v>661</v>
      </c>
      <c r="B43" s="173">
        <v>7</v>
      </c>
    </row>
    <row r="44" spans="1:2" ht="15.5" x14ac:dyDescent="0.35">
      <c r="A44" s="152" t="s">
        <v>675</v>
      </c>
      <c r="B44" s="158">
        <v>13</v>
      </c>
    </row>
    <row r="45" spans="1:2" ht="16" thickBot="1" x14ac:dyDescent="0.4">
      <c r="A45" s="153" t="s">
        <v>702</v>
      </c>
      <c r="B45" s="174">
        <v>0</v>
      </c>
    </row>
    <row r="47" spans="1:2" ht="16" thickBot="1" x14ac:dyDescent="0.4">
      <c r="A47" s="139" t="s">
        <v>796</v>
      </c>
      <c r="B47" s="140"/>
    </row>
    <row r="48" spans="1:2" ht="15" x14ac:dyDescent="0.35">
      <c r="A48" s="30" t="s">
        <v>628</v>
      </c>
      <c r="B48" s="171" t="s">
        <v>647</v>
      </c>
    </row>
    <row r="49" spans="1:2" ht="15.5" x14ac:dyDescent="0.35">
      <c r="A49" s="152" t="s">
        <v>645</v>
      </c>
      <c r="B49" s="173">
        <v>19</v>
      </c>
    </row>
    <row r="50" spans="1:2" ht="15.5" x14ac:dyDescent="0.35">
      <c r="A50" s="152" t="s">
        <v>646</v>
      </c>
      <c r="B50" s="173">
        <v>8</v>
      </c>
    </row>
    <row r="51" spans="1:2" ht="15.5" x14ac:dyDescent="0.35">
      <c r="A51" s="152" t="s">
        <v>119</v>
      </c>
      <c r="B51" s="173">
        <v>9</v>
      </c>
    </row>
    <row r="52" spans="1:2" ht="15.5" x14ac:dyDescent="0.35">
      <c r="A52" s="152" t="s">
        <v>629</v>
      </c>
      <c r="B52" s="173">
        <v>4</v>
      </c>
    </row>
    <row r="53" spans="1:2" ht="15.5" x14ac:dyDescent="0.35">
      <c r="A53" s="152" t="s">
        <v>596</v>
      </c>
      <c r="B53" s="173">
        <v>1</v>
      </c>
    </row>
    <row r="54" spans="1:2" ht="15.5" x14ac:dyDescent="0.35">
      <c r="A54" s="152" t="s">
        <v>661</v>
      </c>
      <c r="B54" s="173">
        <v>4</v>
      </c>
    </row>
    <row r="55" spans="1:2" ht="15.5" x14ac:dyDescent="0.35">
      <c r="A55" s="152" t="s">
        <v>675</v>
      </c>
      <c r="B55" s="158">
        <v>7</v>
      </c>
    </row>
    <row r="56" spans="1:2" ht="16" thickBot="1" x14ac:dyDescent="0.4">
      <c r="A56" s="153" t="s">
        <v>702</v>
      </c>
      <c r="B56" s="174">
        <v>0</v>
      </c>
    </row>
    <row r="57" spans="1:2" ht="15.5" x14ac:dyDescent="0.35">
      <c r="B57" s="172"/>
    </row>
    <row r="58" spans="1:2" ht="16" thickBot="1" x14ac:dyDescent="0.4">
      <c r="A58" s="139" t="s">
        <v>797</v>
      </c>
      <c r="B58" s="140"/>
    </row>
    <row r="59" spans="1:2" ht="15" x14ac:dyDescent="0.35">
      <c r="A59" s="30" t="s">
        <v>628</v>
      </c>
      <c r="B59" s="171" t="s">
        <v>137</v>
      </c>
    </row>
    <row r="60" spans="1:2" ht="15.5" x14ac:dyDescent="0.35">
      <c r="A60" s="152" t="s">
        <v>645</v>
      </c>
      <c r="B60" s="173">
        <v>2</v>
      </c>
    </row>
    <row r="61" spans="1:2" ht="15.5" x14ac:dyDescent="0.35">
      <c r="A61" s="152" t="s">
        <v>646</v>
      </c>
      <c r="B61" s="173">
        <v>1</v>
      </c>
    </row>
    <row r="62" spans="1:2" ht="15.5" x14ac:dyDescent="0.35">
      <c r="A62" s="152" t="s">
        <v>119</v>
      </c>
      <c r="B62" s="173">
        <v>0</v>
      </c>
    </row>
    <row r="63" spans="1:2" ht="15.5" x14ac:dyDescent="0.35">
      <c r="A63" s="152" t="s">
        <v>629</v>
      </c>
      <c r="B63" s="173">
        <v>0</v>
      </c>
    </row>
    <row r="64" spans="1:2" ht="15.5" x14ac:dyDescent="0.35">
      <c r="A64" s="152" t="s">
        <v>662</v>
      </c>
      <c r="B64" s="173">
        <v>0</v>
      </c>
    </row>
    <row r="65" spans="1:2" ht="15.5" x14ac:dyDescent="0.35">
      <c r="A65" s="152" t="s">
        <v>661</v>
      </c>
      <c r="B65" s="173">
        <v>0</v>
      </c>
    </row>
    <row r="66" spans="1:2" ht="15.5" x14ac:dyDescent="0.35">
      <c r="A66" s="152" t="s">
        <v>675</v>
      </c>
      <c r="B66" s="173">
        <v>0</v>
      </c>
    </row>
    <row r="67" spans="1:2" ht="16" thickBot="1" x14ac:dyDescent="0.4">
      <c r="A67" s="153" t="s">
        <v>702</v>
      </c>
      <c r="B67" s="174">
        <v>0</v>
      </c>
    </row>
    <row r="68" spans="1:2" ht="15.5" x14ac:dyDescent="0.35">
      <c r="B68" s="172"/>
    </row>
    <row r="69" spans="1:2" ht="16" thickBot="1" x14ac:dyDescent="0.4">
      <c r="A69" s="139" t="s">
        <v>798</v>
      </c>
      <c r="B69" s="140"/>
    </row>
    <row r="70" spans="1:2" ht="15" x14ac:dyDescent="0.35">
      <c r="A70" s="30" t="s">
        <v>628</v>
      </c>
      <c r="B70" s="171" t="s">
        <v>644</v>
      </c>
    </row>
    <row r="71" spans="1:2" ht="15.5" x14ac:dyDescent="0.35">
      <c r="A71" s="152" t="s">
        <v>645</v>
      </c>
      <c r="B71" s="173">
        <v>24545</v>
      </c>
    </row>
    <row r="72" spans="1:2" ht="15.5" x14ac:dyDescent="0.35">
      <c r="A72" s="152" t="s">
        <v>646</v>
      </c>
      <c r="B72" s="173">
        <v>22976</v>
      </c>
    </row>
    <row r="73" spans="1:2" ht="15.5" x14ac:dyDescent="0.35">
      <c r="A73" s="152" t="s">
        <v>119</v>
      </c>
      <c r="B73" s="173">
        <v>16174</v>
      </c>
    </row>
    <row r="74" spans="1:2" ht="15.5" x14ac:dyDescent="0.35">
      <c r="A74" s="152" t="s">
        <v>629</v>
      </c>
      <c r="B74" s="173">
        <v>6941</v>
      </c>
    </row>
    <row r="75" spans="1:2" ht="15.5" x14ac:dyDescent="0.35">
      <c r="A75" s="152" t="s">
        <v>662</v>
      </c>
      <c r="B75" s="173">
        <v>5977</v>
      </c>
    </row>
    <row r="76" spans="1:2" ht="15.5" x14ac:dyDescent="0.35">
      <c r="A76" s="152" t="s">
        <v>661</v>
      </c>
      <c r="B76" s="173">
        <v>9042</v>
      </c>
    </row>
    <row r="77" spans="1:2" ht="15.5" x14ac:dyDescent="0.35">
      <c r="A77" s="152" t="s">
        <v>675</v>
      </c>
      <c r="B77" s="173">
        <v>9739</v>
      </c>
    </row>
    <row r="78" spans="1:2" ht="16" thickBot="1" x14ac:dyDescent="0.4">
      <c r="A78" s="153" t="s">
        <v>702</v>
      </c>
      <c r="B78" s="174">
        <v>0</v>
      </c>
    </row>
    <row r="80" spans="1:2" ht="16" thickBot="1" x14ac:dyDescent="0.4">
      <c r="A80" s="139" t="s">
        <v>799</v>
      </c>
      <c r="B80" s="140"/>
    </row>
    <row r="81" spans="1:2" ht="15" x14ac:dyDescent="0.35">
      <c r="A81" s="30" t="s">
        <v>628</v>
      </c>
      <c r="B81" s="171" t="s">
        <v>647</v>
      </c>
    </row>
    <row r="82" spans="1:2" ht="15.5" x14ac:dyDescent="0.35">
      <c r="A82" s="152" t="s">
        <v>645</v>
      </c>
      <c r="B82" s="173">
        <v>25793</v>
      </c>
    </row>
    <row r="83" spans="1:2" ht="15.5" x14ac:dyDescent="0.35">
      <c r="A83" s="152" t="s">
        <v>646</v>
      </c>
      <c r="B83" s="173">
        <v>24371</v>
      </c>
    </row>
    <row r="84" spans="1:2" ht="15.5" x14ac:dyDescent="0.35">
      <c r="A84" s="152" t="s">
        <v>119</v>
      </c>
      <c r="B84" s="173">
        <v>17657</v>
      </c>
    </row>
    <row r="85" spans="1:2" ht="15.5" x14ac:dyDescent="0.35">
      <c r="A85" s="152" t="s">
        <v>629</v>
      </c>
      <c r="B85" s="173">
        <v>7422</v>
      </c>
    </row>
    <row r="86" spans="1:2" ht="15.5" x14ac:dyDescent="0.35">
      <c r="A86" s="152" t="s">
        <v>662</v>
      </c>
      <c r="B86" s="173">
        <v>6468</v>
      </c>
    </row>
    <row r="87" spans="1:2" ht="15.5" x14ac:dyDescent="0.35">
      <c r="A87" s="152" t="s">
        <v>661</v>
      </c>
      <c r="B87" s="173">
        <v>9470</v>
      </c>
    </row>
    <row r="88" spans="1:2" ht="15.5" x14ac:dyDescent="0.35">
      <c r="A88" s="152" t="s">
        <v>675</v>
      </c>
      <c r="B88" s="173">
        <v>9977</v>
      </c>
    </row>
    <row r="89" spans="1:2" ht="16" thickBot="1" x14ac:dyDescent="0.4">
      <c r="A89" s="153" t="s">
        <v>702</v>
      </c>
      <c r="B89" s="174">
        <v>18277</v>
      </c>
    </row>
    <row r="90" spans="1:2" ht="15.5" x14ac:dyDescent="0.35">
      <c r="B90" s="172"/>
    </row>
    <row r="91" spans="1:2" ht="16" thickBot="1" x14ac:dyDescent="0.4">
      <c r="A91" s="139" t="s">
        <v>800</v>
      </c>
      <c r="B91" s="140"/>
    </row>
    <row r="92" spans="1:2" ht="15" x14ac:dyDescent="0.35">
      <c r="A92" s="30" t="s">
        <v>628</v>
      </c>
      <c r="B92" s="171" t="s">
        <v>137</v>
      </c>
    </row>
    <row r="93" spans="1:2" ht="15.5" x14ac:dyDescent="0.35">
      <c r="A93" s="152" t="s">
        <v>645</v>
      </c>
      <c r="B93" s="173">
        <v>13632</v>
      </c>
    </row>
    <row r="94" spans="1:2" ht="15.5" x14ac:dyDescent="0.35">
      <c r="A94" s="152" t="s">
        <v>646</v>
      </c>
      <c r="B94" s="173">
        <v>13203</v>
      </c>
    </row>
    <row r="95" spans="1:2" ht="15.5" x14ac:dyDescent="0.35">
      <c r="A95" s="152" t="s">
        <v>119</v>
      </c>
      <c r="B95" s="173">
        <v>10998</v>
      </c>
    </row>
    <row r="96" spans="1:2" ht="15.5" x14ac:dyDescent="0.35">
      <c r="A96" s="152" t="s">
        <v>629</v>
      </c>
      <c r="B96" s="173">
        <v>64</v>
      </c>
    </row>
    <row r="97" spans="1:9" ht="15.5" x14ac:dyDescent="0.35">
      <c r="A97" s="152" t="s">
        <v>662</v>
      </c>
      <c r="B97" s="173">
        <v>4065</v>
      </c>
    </row>
    <row r="98" spans="1:9" ht="15.5" x14ac:dyDescent="0.35">
      <c r="A98" s="152" t="s">
        <v>661</v>
      </c>
      <c r="B98" s="173">
        <v>5801</v>
      </c>
    </row>
    <row r="99" spans="1:9" ht="15.5" x14ac:dyDescent="0.35">
      <c r="A99" s="152" t="s">
        <v>675</v>
      </c>
      <c r="B99" s="173">
        <v>6458</v>
      </c>
    </row>
    <row r="100" spans="1:9" ht="16" thickBot="1" x14ac:dyDescent="0.4">
      <c r="A100" s="153" t="s">
        <v>702</v>
      </c>
      <c r="B100" s="174">
        <v>0</v>
      </c>
    </row>
    <row r="101" spans="1:9" ht="15.5" x14ac:dyDescent="0.35">
      <c r="B101" s="172"/>
    </row>
    <row r="102" spans="1:9" ht="16" thickBot="1" x14ac:dyDescent="0.4">
      <c r="A102" s="139" t="s">
        <v>801</v>
      </c>
      <c r="B102" s="140"/>
    </row>
    <row r="103" spans="1:9" ht="15" x14ac:dyDescent="0.35">
      <c r="A103" s="30" t="s">
        <v>648</v>
      </c>
      <c r="B103" s="151" t="s">
        <v>645</v>
      </c>
      <c r="C103" s="151" t="s">
        <v>646</v>
      </c>
      <c r="D103" s="151" t="s">
        <v>119</v>
      </c>
      <c r="E103" s="151" t="s">
        <v>629</v>
      </c>
      <c r="F103" s="151" t="s">
        <v>596</v>
      </c>
      <c r="G103" s="151" t="s">
        <v>661</v>
      </c>
      <c r="H103" s="151" t="s">
        <v>675</v>
      </c>
      <c r="I103" s="171" t="s">
        <v>702</v>
      </c>
    </row>
    <row r="104" spans="1:9" ht="15.5" x14ac:dyDescent="0.35">
      <c r="A104" s="152" t="s">
        <v>663</v>
      </c>
      <c r="B104" s="175"/>
      <c r="C104" s="175"/>
      <c r="D104" s="175"/>
      <c r="E104" s="175"/>
      <c r="F104" s="176">
        <v>23</v>
      </c>
      <c r="G104" s="176">
        <v>123</v>
      </c>
      <c r="H104" s="176">
        <v>70</v>
      </c>
      <c r="I104" s="173">
        <v>0</v>
      </c>
    </row>
    <row r="105" spans="1:9" ht="15.5" x14ac:dyDescent="0.35">
      <c r="A105" s="152" t="s">
        <v>649</v>
      </c>
      <c r="B105" s="175">
        <v>0</v>
      </c>
      <c r="C105" s="175">
        <v>0</v>
      </c>
      <c r="D105" s="175">
        <v>0</v>
      </c>
      <c r="E105" s="176">
        <v>10</v>
      </c>
      <c r="F105" s="176">
        <v>37</v>
      </c>
      <c r="G105" s="176">
        <v>69</v>
      </c>
      <c r="H105" s="176">
        <v>56</v>
      </c>
      <c r="I105" s="173">
        <v>0</v>
      </c>
    </row>
    <row r="106" spans="1:9" ht="15.5" x14ac:dyDescent="0.35">
      <c r="A106" s="152" t="s">
        <v>664</v>
      </c>
      <c r="B106" s="175"/>
      <c r="C106" s="175"/>
      <c r="D106" s="175"/>
      <c r="E106" s="175"/>
      <c r="F106" s="176">
        <v>54</v>
      </c>
      <c r="G106" s="176">
        <v>129</v>
      </c>
      <c r="H106" s="176">
        <v>70</v>
      </c>
      <c r="I106" s="173">
        <v>0</v>
      </c>
    </row>
    <row r="107" spans="1:9" ht="15.5" x14ac:dyDescent="0.35">
      <c r="A107" s="152" t="s">
        <v>650</v>
      </c>
      <c r="B107" s="176">
        <v>10119</v>
      </c>
      <c r="C107" s="176">
        <v>9164</v>
      </c>
      <c r="D107" s="176">
        <v>6123</v>
      </c>
      <c r="E107" s="176">
        <v>5270</v>
      </c>
      <c r="F107" s="176">
        <v>6607</v>
      </c>
      <c r="G107" s="176">
        <v>5089</v>
      </c>
      <c r="H107" s="176">
        <v>4958</v>
      </c>
      <c r="I107" s="173">
        <v>0</v>
      </c>
    </row>
    <row r="108" spans="1:9" ht="15.5" x14ac:dyDescent="0.35">
      <c r="A108" s="152" t="s">
        <v>673</v>
      </c>
      <c r="B108" s="175"/>
      <c r="C108" s="175"/>
      <c r="D108" s="175"/>
      <c r="E108" s="175"/>
      <c r="F108" s="175"/>
      <c r="G108" s="176">
        <v>39</v>
      </c>
      <c r="H108" s="176">
        <v>34</v>
      </c>
      <c r="I108" s="173">
        <v>0</v>
      </c>
    </row>
    <row r="109" spans="1:9" ht="15.5" x14ac:dyDescent="0.35">
      <c r="A109" s="152" t="s">
        <v>651</v>
      </c>
      <c r="B109" s="175">
        <v>0</v>
      </c>
      <c r="C109" s="175">
        <v>0</v>
      </c>
      <c r="D109" s="175">
        <v>0</v>
      </c>
      <c r="E109" s="176">
        <v>1303</v>
      </c>
      <c r="F109" s="176">
        <v>4296</v>
      </c>
      <c r="G109" s="176">
        <v>1008</v>
      </c>
      <c r="H109" s="176">
        <v>551</v>
      </c>
      <c r="I109" s="173">
        <v>0</v>
      </c>
    </row>
    <row r="110" spans="1:9" ht="15.5" x14ac:dyDescent="0.35">
      <c r="A110" s="152" t="s">
        <v>652</v>
      </c>
      <c r="B110" s="176">
        <v>13597</v>
      </c>
      <c r="C110" s="176">
        <v>13716</v>
      </c>
      <c r="D110" s="176">
        <v>9950</v>
      </c>
      <c r="E110" s="176">
        <v>10790</v>
      </c>
      <c r="F110" s="176">
        <v>16487</v>
      </c>
      <c r="G110" s="176">
        <v>11532</v>
      </c>
      <c r="H110" s="176">
        <v>12273</v>
      </c>
      <c r="I110" s="173">
        <v>0</v>
      </c>
    </row>
    <row r="111" spans="1:9" ht="15.5" x14ac:dyDescent="0.35">
      <c r="A111" s="152" t="s">
        <v>738</v>
      </c>
      <c r="B111" s="175"/>
      <c r="C111" s="175"/>
      <c r="D111" s="175"/>
      <c r="E111" s="175"/>
      <c r="F111" s="175"/>
      <c r="G111" s="175"/>
      <c r="H111" s="175"/>
      <c r="I111" s="245">
        <v>0</v>
      </c>
    </row>
    <row r="112" spans="1:9" ht="15.5" x14ac:dyDescent="0.35">
      <c r="A112" s="152" t="s">
        <v>653</v>
      </c>
      <c r="B112" s="176">
        <v>53</v>
      </c>
      <c r="C112" s="176">
        <v>34</v>
      </c>
      <c r="D112" s="176">
        <v>36</v>
      </c>
      <c r="E112" s="176">
        <v>11</v>
      </c>
      <c r="F112" s="176">
        <v>30</v>
      </c>
      <c r="G112" s="176">
        <v>58</v>
      </c>
      <c r="H112" s="176">
        <v>35</v>
      </c>
      <c r="I112" s="173">
        <v>0</v>
      </c>
    </row>
    <row r="113" spans="1:9" ht="15.5" x14ac:dyDescent="0.35">
      <c r="A113" s="152" t="s">
        <v>654</v>
      </c>
      <c r="B113" s="176">
        <v>637</v>
      </c>
      <c r="C113" s="176">
        <v>823</v>
      </c>
      <c r="D113" s="176">
        <v>543</v>
      </c>
      <c r="E113" s="176">
        <v>2222</v>
      </c>
      <c r="F113" s="176">
        <v>10858</v>
      </c>
      <c r="G113" s="176">
        <v>21525</v>
      </c>
      <c r="H113" s="176">
        <v>8651</v>
      </c>
      <c r="I113" s="173">
        <v>0</v>
      </c>
    </row>
    <row r="114" spans="1:9" ht="15.5" x14ac:dyDescent="0.35">
      <c r="A114" s="152" t="s">
        <v>655</v>
      </c>
      <c r="B114" s="176">
        <v>236</v>
      </c>
      <c r="C114" s="176">
        <v>132</v>
      </c>
      <c r="D114" s="176">
        <v>105</v>
      </c>
      <c r="E114" s="176">
        <v>52</v>
      </c>
      <c r="F114" s="176">
        <v>88</v>
      </c>
      <c r="G114" s="176">
        <v>194</v>
      </c>
      <c r="H114" s="176">
        <v>68</v>
      </c>
      <c r="I114" s="173">
        <v>0</v>
      </c>
    </row>
    <row r="115" spans="1:9" ht="15.5" x14ac:dyDescent="0.35">
      <c r="A115" s="152" t="s">
        <v>656</v>
      </c>
      <c r="B115" s="176">
        <v>81</v>
      </c>
      <c r="C115" s="176">
        <v>40</v>
      </c>
      <c r="D115" s="176">
        <v>29</v>
      </c>
      <c r="E115" s="176">
        <v>12</v>
      </c>
      <c r="F115" s="176">
        <v>5</v>
      </c>
      <c r="G115" s="176">
        <v>8</v>
      </c>
      <c r="H115" s="176">
        <v>4</v>
      </c>
      <c r="I115" s="173">
        <v>0</v>
      </c>
    </row>
    <row r="116" spans="1:9" ht="15.5" x14ac:dyDescent="0.35">
      <c r="A116" s="152" t="s">
        <v>657</v>
      </c>
      <c r="B116" s="176">
        <v>134</v>
      </c>
      <c r="C116" s="176">
        <v>82</v>
      </c>
      <c r="D116" s="176">
        <v>72</v>
      </c>
      <c r="E116" s="176">
        <v>29</v>
      </c>
      <c r="F116" s="176">
        <v>26</v>
      </c>
      <c r="G116" s="176">
        <v>38</v>
      </c>
      <c r="H116" s="176">
        <v>58</v>
      </c>
      <c r="I116" s="173">
        <v>0</v>
      </c>
    </row>
    <row r="117" spans="1:9" ht="15.5" x14ac:dyDescent="0.35">
      <c r="A117" s="152" t="s">
        <v>658</v>
      </c>
      <c r="B117" s="176">
        <v>27</v>
      </c>
      <c r="C117" s="176">
        <v>19</v>
      </c>
      <c r="D117" s="176">
        <v>17</v>
      </c>
      <c r="E117" s="176">
        <v>7</v>
      </c>
      <c r="F117" s="176">
        <v>12</v>
      </c>
      <c r="G117" s="176">
        <v>25</v>
      </c>
      <c r="H117" s="176">
        <v>40</v>
      </c>
      <c r="I117" s="173">
        <v>0</v>
      </c>
    </row>
    <row r="118" spans="1:9" ht="15.5" x14ac:dyDescent="0.35">
      <c r="A118" s="152" t="s">
        <v>665</v>
      </c>
      <c r="B118" s="175"/>
      <c r="C118" s="175"/>
      <c r="D118" s="175"/>
      <c r="E118" s="175"/>
      <c r="F118" s="176">
        <v>86</v>
      </c>
      <c r="G118" s="176">
        <v>199</v>
      </c>
      <c r="H118" s="176">
        <v>38</v>
      </c>
      <c r="I118" s="173">
        <v>0</v>
      </c>
    </row>
    <row r="119" spans="1:9" ht="15.5" x14ac:dyDescent="0.35">
      <c r="A119" s="152" t="s">
        <v>659</v>
      </c>
      <c r="B119" s="175">
        <v>0</v>
      </c>
      <c r="C119" s="175">
        <v>0</v>
      </c>
      <c r="D119" s="175">
        <v>0</v>
      </c>
      <c r="E119" s="176">
        <v>2452</v>
      </c>
      <c r="F119" s="176">
        <v>17061</v>
      </c>
      <c r="G119" s="176">
        <v>17048</v>
      </c>
      <c r="H119" s="176">
        <v>4979</v>
      </c>
      <c r="I119" s="173">
        <v>0</v>
      </c>
    </row>
    <row r="120" spans="1:9" ht="16" thickBot="1" x14ac:dyDescent="0.4">
      <c r="A120" s="153" t="s">
        <v>660</v>
      </c>
      <c r="B120" s="177">
        <v>51</v>
      </c>
      <c r="C120" s="177">
        <v>32</v>
      </c>
      <c r="D120" s="177">
        <v>14</v>
      </c>
      <c r="E120" s="177">
        <v>5</v>
      </c>
      <c r="F120" s="177">
        <v>24</v>
      </c>
      <c r="G120" s="177">
        <v>9</v>
      </c>
      <c r="H120" s="177">
        <v>11</v>
      </c>
      <c r="I120" s="174">
        <v>0</v>
      </c>
    </row>
    <row r="122" spans="1:9" ht="16" thickBot="1" x14ac:dyDescent="0.4">
      <c r="A122" s="139" t="s">
        <v>802</v>
      </c>
      <c r="B122" s="140"/>
    </row>
    <row r="123" spans="1:9" ht="15" x14ac:dyDescent="0.35">
      <c r="A123" s="30" t="s">
        <v>648</v>
      </c>
      <c r="B123" s="151" t="s">
        <v>645</v>
      </c>
      <c r="C123" s="151" t="s">
        <v>646</v>
      </c>
      <c r="D123" s="151" t="s">
        <v>119</v>
      </c>
      <c r="E123" s="151" t="s">
        <v>629</v>
      </c>
      <c r="F123" s="151" t="s">
        <v>596</v>
      </c>
      <c r="G123" s="151" t="s">
        <v>661</v>
      </c>
      <c r="H123" s="151" t="s">
        <v>675</v>
      </c>
      <c r="I123" s="171" t="s">
        <v>702</v>
      </c>
    </row>
    <row r="124" spans="1:9" ht="15.5" x14ac:dyDescent="0.35">
      <c r="A124" s="152" t="s">
        <v>663</v>
      </c>
      <c r="B124" s="175"/>
      <c r="C124" s="175"/>
      <c r="D124" s="175"/>
      <c r="E124" s="175"/>
      <c r="F124" s="176">
        <v>173</v>
      </c>
      <c r="G124" s="176">
        <v>649</v>
      </c>
      <c r="H124" s="176">
        <v>491</v>
      </c>
      <c r="I124" s="173">
        <v>0</v>
      </c>
    </row>
    <row r="125" spans="1:9" ht="15.5" x14ac:dyDescent="0.35">
      <c r="A125" s="152" t="s">
        <v>649</v>
      </c>
      <c r="B125" s="175">
        <v>0</v>
      </c>
      <c r="C125" s="175">
        <v>0</v>
      </c>
      <c r="D125" s="175">
        <v>0</v>
      </c>
      <c r="E125" s="176">
        <v>10</v>
      </c>
      <c r="F125" s="176">
        <v>36</v>
      </c>
      <c r="G125" s="176">
        <v>49</v>
      </c>
      <c r="H125" s="176">
        <v>55</v>
      </c>
      <c r="I125" s="173">
        <v>0</v>
      </c>
    </row>
    <row r="126" spans="1:9" ht="15.5" x14ac:dyDescent="0.35">
      <c r="A126" s="152" t="s">
        <v>664</v>
      </c>
      <c r="B126" s="175"/>
      <c r="C126" s="175"/>
      <c r="D126" s="175"/>
      <c r="E126" s="175"/>
      <c r="F126" s="176">
        <v>108</v>
      </c>
      <c r="G126" s="176">
        <v>689</v>
      </c>
      <c r="H126" s="176">
        <v>551</v>
      </c>
      <c r="I126" s="173">
        <v>0</v>
      </c>
    </row>
    <row r="127" spans="1:9" ht="15.5" x14ac:dyDescent="0.35">
      <c r="A127" s="152" t="s">
        <v>650</v>
      </c>
      <c r="B127" s="176">
        <v>33169</v>
      </c>
      <c r="C127" s="176">
        <v>43408</v>
      </c>
      <c r="D127" s="176">
        <v>11108</v>
      </c>
      <c r="E127" s="176">
        <v>5137</v>
      </c>
      <c r="F127" s="176">
        <v>5367</v>
      </c>
      <c r="G127" s="176">
        <v>8904</v>
      </c>
      <c r="H127" s="176">
        <v>10786</v>
      </c>
      <c r="I127" s="173">
        <v>0</v>
      </c>
    </row>
    <row r="128" spans="1:9" ht="15.5" x14ac:dyDescent="0.35">
      <c r="A128" s="152" t="s">
        <v>673</v>
      </c>
      <c r="B128" s="175"/>
      <c r="C128" s="175"/>
      <c r="D128" s="175"/>
      <c r="E128" s="175"/>
      <c r="F128" s="175"/>
      <c r="G128" s="176">
        <v>200</v>
      </c>
      <c r="H128" s="176">
        <v>282</v>
      </c>
      <c r="I128" s="173">
        <v>0</v>
      </c>
    </row>
    <row r="129" spans="1:9" ht="15.5" x14ac:dyDescent="0.35">
      <c r="A129" s="152" t="s">
        <v>651</v>
      </c>
      <c r="B129" s="175">
        <v>0</v>
      </c>
      <c r="C129" s="175">
        <v>0</v>
      </c>
      <c r="D129" s="175">
        <v>0</v>
      </c>
      <c r="E129" s="176">
        <v>12331</v>
      </c>
      <c r="F129" s="176">
        <v>3926</v>
      </c>
      <c r="G129" s="176">
        <v>1684</v>
      </c>
      <c r="H129" s="176">
        <v>2239</v>
      </c>
      <c r="I129" s="173">
        <v>0</v>
      </c>
    </row>
    <row r="130" spans="1:9" ht="15.5" x14ac:dyDescent="0.35">
      <c r="A130" s="152" t="s">
        <v>652</v>
      </c>
      <c r="B130" s="176">
        <v>62461</v>
      </c>
      <c r="C130" s="176">
        <v>104166</v>
      </c>
      <c r="D130" s="176">
        <v>16860</v>
      </c>
      <c r="E130" s="176">
        <v>13106</v>
      </c>
      <c r="F130" s="176">
        <v>11239</v>
      </c>
      <c r="G130" s="176">
        <v>21610</v>
      </c>
      <c r="H130" s="176">
        <v>27895</v>
      </c>
      <c r="I130" s="173">
        <v>0</v>
      </c>
    </row>
    <row r="131" spans="1:9" ht="15.5" x14ac:dyDescent="0.35">
      <c r="A131" s="152" t="s">
        <v>738</v>
      </c>
      <c r="B131" s="175"/>
      <c r="C131" s="175"/>
      <c r="D131" s="175"/>
      <c r="E131" s="175"/>
      <c r="F131" s="175"/>
      <c r="G131" s="175"/>
      <c r="H131" s="175"/>
      <c r="I131" s="245">
        <v>0</v>
      </c>
    </row>
    <row r="132" spans="1:9" ht="15.5" x14ac:dyDescent="0.35">
      <c r="A132" s="152" t="s">
        <v>653</v>
      </c>
      <c r="B132" s="176">
        <v>777</v>
      </c>
      <c r="C132" s="176">
        <v>371</v>
      </c>
      <c r="D132" s="176">
        <v>152</v>
      </c>
      <c r="E132" s="176">
        <v>384</v>
      </c>
      <c r="F132" s="176">
        <v>962</v>
      </c>
      <c r="G132" s="176">
        <v>835</v>
      </c>
      <c r="H132" s="176">
        <v>693</v>
      </c>
      <c r="I132" s="173">
        <v>0</v>
      </c>
    </row>
    <row r="133" spans="1:9" ht="15.5" x14ac:dyDescent="0.35">
      <c r="A133" s="152" t="s">
        <v>654</v>
      </c>
      <c r="B133" s="176">
        <v>3428</v>
      </c>
      <c r="C133" s="176">
        <v>7893</v>
      </c>
      <c r="D133" s="176">
        <v>1467</v>
      </c>
      <c r="E133" s="176">
        <v>26920</v>
      </c>
      <c r="F133" s="176">
        <v>48045</v>
      </c>
      <c r="G133" s="176">
        <v>4448</v>
      </c>
      <c r="H133" s="176">
        <v>10335</v>
      </c>
      <c r="I133" s="173">
        <v>0</v>
      </c>
    </row>
    <row r="134" spans="1:9" ht="15.5" x14ac:dyDescent="0.35">
      <c r="A134" s="152" t="s">
        <v>655</v>
      </c>
      <c r="B134" s="176">
        <v>290</v>
      </c>
      <c r="C134" s="176">
        <v>155</v>
      </c>
      <c r="D134" s="176">
        <v>129</v>
      </c>
      <c r="E134" s="176">
        <v>106</v>
      </c>
      <c r="F134" s="176">
        <v>502</v>
      </c>
      <c r="G134" s="176">
        <v>496</v>
      </c>
      <c r="H134" s="176">
        <v>191</v>
      </c>
      <c r="I134" s="173">
        <v>0</v>
      </c>
    </row>
    <row r="135" spans="1:9" ht="15.5" x14ac:dyDescent="0.35">
      <c r="A135" s="152" t="s">
        <v>656</v>
      </c>
      <c r="B135" s="176">
        <v>113</v>
      </c>
      <c r="C135" s="176">
        <v>61</v>
      </c>
      <c r="D135" s="176">
        <v>39</v>
      </c>
      <c r="E135" s="176">
        <v>15</v>
      </c>
      <c r="F135" s="176">
        <v>9</v>
      </c>
      <c r="G135" s="176">
        <v>11</v>
      </c>
      <c r="H135" s="176">
        <v>7</v>
      </c>
      <c r="I135" s="173">
        <v>0</v>
      </c>
    </row>
    <row r="136" spans="1:9" ht="15.5" x14ac:dyDescent="0.35">
      <c r="A136" s="152" t="s">
        <v>657</v>
      </c>
      <c r="B136" s="176">
        <v>121</v>
      </c>
      <c r="C136" s="176">
        <v>73</v>
      </c>
      <c r="D136" s="176">
        <v>68</v>
      </c>
      <c r="E136" s="176">
        <v>46</v>
      </c>
      <c r="F136" s="176">
        <v>58</v>
      </c>
      <c r="G136" s="176">
        <v>125</v>
      </c>
      <c r="H136" s="176">
        <v>508</v>
      </c>
      <c r="I136" s="173">
        <v>0</v>
      </c>
    </row>
    <row r="137" spans="1:9" ht="15.5" x14ac:dyDescent="0.35">
      <c r="A137" s="152" t="s">
        <v>658</v>
      </c>
      <c r="B137" s="176">
        <v>41</v>
      </c>
      <c r="C137" s="176">
        <v>31</v>
      </c>
      <c r="D137" s="176">
        <v>21</v>
      </c>
      <c r="E137" s="176">
        <v>19</v>
      </c>
      <c r="F137" s="176">
        <v>107</v>
      </c>
      <c r="G137" s="176">
        <v>192</v>
      </c>
      <c r="H137" s="176">
        <v>269</v>
      </c>
      <c r="I137" s="173">
        <v>0</v>
      </c>
    </row>
    <row r="138" spans="1:9" ht="15.5" x14ac:dyDescent="0.35">
      <c r="A138" s="152" t="s">
        <v>665</v>
      </c>
      <c r="B138" s="175"/>
      <c r="C138" s="175"/>
      <c r="D138" s="175"/>
      <c r="E138" s="175"/>
      <c r="F138" s="176">
        <v>75</v>
      </c>
      <c r="G138" s="176">
        <v>105</v>
      </c>
      <c r="H138" s="176">
        <v>106</v>
      </c>
      <c r="I138" s="173">
        <v>0</v>
      </c>
    </row>
    <row r="139" spans="1:9" ht="15.5" x14ac:dyDescent="0.35">
      <c r="A139" s="152" t="s">
        <v>659</v>
      </c>
      <c r="B139" s="175">
        <v>0</v>
      </c>
      <c r="C139" s="175">
        <v>0</v>
      </c>
      <c r="D139" s="175">
        <v>0</v>
      </c>
      <c r="E139" s="176">
        <v>3823</v>
      </c>
      <c r="F139" s="176">
        <v>36644</v>
      </c>
      <c r="G139" s="176">
        <v>14918</v>
      </c>
      <c r="H139" s="176">
        <v>18343</v>
      </c>
      <c r="I139" s="173">
        <v>0</v>
      </c>
    </row>
    <row r="140" spans="1:9" ht="16" thickBot="1" x14ac:dyDescent="0.4">
      <c r="A140" s="153" t="s">
        <v>660</v>
      </c>
      <c r="B140" s="177">
        <v>99</v>
      </c>
      <c r="C140" s="177">
        <v>83</v>
      </c>
      <c r="D140" s="177">
        <v>37</v>
      </c>
      <c r="E140" s="177">
        <v>43</v>
      </c>
      <c r="F140" s="177">
        <v>75</v>
      </c>
      <c r="G140" s="177">
        <v>42</v>
      </c>
      <c r="H140" s="177">
        <v>96</v>
      </c>
      <c r="I140" s="174">
        <v>0</v>
      </c>
    </row>
    <row r="141" spans="1:9" ht="15.5" x14ac:dyDescent="0.35">
      <c r="A141" s="207"/>
      <c r="B141" s="208"/>
      <c r="C141" s="208"/>
      <c r="D141" s="208"/>
      <c r="E141" s="208"/>
      <c r="F141" s="208"/>
    </row>
    <row r="142" spans="1:9" ht="16" thickBot="1" x14ac:dyDescent="0.4">
      <c r="A142" s="139" t="s">
        <v>803</v>
      </c>
      <c r="B142" s="140"/>
    </row>
    <row r="143" spans="1:9" ht="15" x14ac:dyDescent="0.35">
      <c r="A143" s="30" t="s">
        <v>648</v>
      </c>
      <c r="B143" s="151" t="s">
        <v>645</v>
      </c>
      <c r="C143" s="151" t="s">
        <v>646</v>
      </c>
      <c r="D143" s="151" t="s">
        <v>119</v>
      </c>
      <c r="E143" s="151" t="s">
        <v>629</v>
      </c>
      <c r="F143" s="151" t="s">
        <v>596</v>
      </c>
      <c r="G143" s="151" t="s">
        <v>661</v>
      </c>
      <c r="H143" s="151" t="s">
        <v>675</v>
      </c>
      <c r="I143" s="171" t="s">
        <v>702</v>
      </c>
    </row>
    <row r="144" spans="1:9" ht="15.5" x14ac:dyDescent="0.35">
      <c r="A144" s="152" t="s">
        <v>663</v>
      </c>
      <c r="B144" s="175"/>
      <c r="C144" s="175"/>
      <c r="D144" s="175"/>
      <c r="E144" s="175"/>
      <c r="F144" s="176">
        <v>8</v>
      </c>
      <c r="G144" s="176">
        <v>47</v>
      </c>
      <c r="H144" s="176">
        <v>122</v>
      </c>
      <c r="I144" s="173">
        <v>0</v>
      </c>
    </row>
    <row r="145" spans="1:9" ht="15.5" x14ac:dyDescent="0.35">
      <c r="A145" s="152" t="s">
        <v>649</v>
      </c>
      <c r="B145" s="175">
        <v>0</v>
      </c>
      <c r="C145" s="175">
        <v>0</v>
      </c>
      <c r="D145" s="175">
        <v>0</v>
      </c>
      <c r="E145" s="176">
        <v>0</v>
      </c>
      <c r="F145" s="176">
        <v>1</v>
      </c>
      <c r="G145" s="176">
        <v>2</v>
      </c>
      <c r="H145" s="176">
        <v>1</v>
      </c>
      <c r="I145" s="173">
        <v>0</v>
      </c>
    </row>
    <row r="146" spans="1:9" ht="15.5" x14ac:dyDescent="0.35">
      <c r="A146" s="152" t="s">
        <v>664</v>
      </c>
      <c r="B146" s="175"/>
      <c r="C146" s="175"/>
      <c r="D146" s="175"/>
      <c r="E146" s="175"/>
      <c r="F146" s="176">
        <v>5</v>
      </c>
      <c r="G146" s="176">
        <v>42</v>
      </c>
      <c r="H146" s="176">
        <v>24</v>
      </c>
      <c r="I146" s="173">
        <v>0</v>
      </c>
    </row>
    <row r="147" spans="1:9" ht="15.5" x14ac:dyDescent="0.35">
      <c r="A147" s="152" t="s">
        <v>650</v>
      </c>
      <c r="B147" s="176">
        <v>15445</v>
      </c>
      <c r="C147" s="176">
        <v>18981</v>
      </c>
      <c r="D147" s="176">
        <v>12590</v>
      </c>
      <c r="E147" s="176">
        <v>2872</v>
      </c>
      <c r="F147" s="176">
        <v>7376</v>
      </c>
      <c r="G147" s="176">
        <v>8600</v>
      </c>
      <c r="H147" s="176">
        <v>15255</v>
      </c>
      <c r="I147" s="173">
        <v>0</v>
      </c>
    </row>
    <row r="148" spans="1:9" ht="15.5" x14ac:dyDescent="0.35">
      <c r="A148" s="152" t="s">
        <v>673</v>
      </c>
      <c r="B148" s="175"/>
      <c r="C148" s="175"/>
      <c r="D148" s="175"/>
      <c r="E148" s="175"/>
      <c r="F148" s="175"/>
      <c r="G148" s="176">
        <v>37</v>
      </c>
      <c r="H148" s="176">
        <v>27</v>
      </c>
      <c r="I148" s="173">
        <v>0</v>
      </c>
    </row>
    <row r="149" spans="1:9" ht="15.5" x14ac:dyDescent="0.35">
      <c r="A149" s="152" t="s">
        <v>651</v>
      </c>
      <c r="B149" s="175">
        <v>0</v>
      </c>
      <c r="C149" s="175">
        <v>0</v>
      </c>
      <c r="D149" s="175">
        <v>0</v>
      </c>
      <c r="E149" s="176">
        <v>16</v>
      </c>
      <c r="F149" s="176">
        <v>1612</v>
      </c>
      <c r="G149" s="176">
        <v>1115</v>
      </c>
      <c r="H149" s="176">
        <v>767</v>
      </c>
      <c r="I149" s="173">
        <v>0</v>
      </c>
    </row>
    <row r="150" spans="1:9" ht="15.5" x14ac:dyDescent="0.35">
      <c r="A150" s="152" t="s">
        <v>652</v>
      </c>
      <c r="B150" s="176">
        <v>28894</v>
      </c>
      <c r="C150" s="176">
        <v>41800</v>
      </c>
      <c r="D150" s="176">
        <v>21139</v>
      </c>
      <c r="E150" s="176">
        <v>4904</v>
      </c>
      <c r="F150" s="176">
        <v>6541</v>
      </c>
      <c r="G150" s="176">
        <v>22631</v>
      </c>
      <c r="H150" s="176">
        <v>45535</v>
      </c>
      <c r="I150" s="173">
        <v>0</v>
      </c>
    </row>
    <row r="151" spans="1:9" ht="15.5" x14ac:dyDescent="0.35">
      <c r="A151" s="152" t="s">
        <v>738</v>
      </c>
      <c r="B151" s="175"/>
      <c r="C151" s="175"/>
      <c r="D151" s="175"/>
      <c r="E151" s="175"/>
      <c r="F151" s="175"/>
      <c r="G151" s="175"/>
      <c r="H151" s="175"/>
      <c r="I151" s="245">
        <v>0</v>
      </c>
    </row>
    <row r="152" spans="1:9" ht="15.5" x14ac:dyDescent="0.35">
      <c r="A152" s="152" t="s">
        <v>653</v>
      </c>
      <c r="B152" s="176">
        <v>45</v>
      </c>
      <c r="C152" s="176">
        <v>162</v>
      </c>
      <c r="D152" s="176">
        <v>97</v>
      </c>
      <c r="E152" s="176">
        <v>23</v>
      </c>
      <c r="F152" s="176">
        <v>32</v>
      </c>
      <c r="G152" s="176">
        <v>26</v>
      </c>
      <c r="H152" s="176">
        <v>57</v>
      </c>
      <c r="I152" s="173">
        <v>0</v>
      </c>
    </row>
    <row r="153" spans="1:9" ht="15.5" x14ac:dyDescent="0.35">
      <c r="A153" s="152" t="s">
        <v>654</v>
      </c>
      <c r="B153" s="176">
        <v>879</v>
      </c>
      <c r="C153" s="176">
        <v>2240</v>
      </c>
      <c r="D153" s="176">
        <v>1416</v>
      </c>
      <c r="E153" s="176">
        <v>964</v>
      </c>
      <c r="F153" s="176">
        <v>2605</v>
      </c>
      <c r="G153" s="176">
        <v>2408</v>
      </c>
      <c r="H153" s="176">
        <v>3857</v>
      </c>
      <c r="I153" s="173">
        <v>0</v>
      </c>
    </row>
    <row r="154" spans="1:9" ht="15.5" x14ac:dyDescent="0.35">
      <c r="A154" s="152" t="s">
        <v>655</v>
      </c>
      <c r="B154" s="176">
        <v>229</v>
      </c>
      <c r="C154" s="176">
        <v>151</v>
      </c>
      <c r="D154" s="176">
        <v>112</v>
      </c>
      <c r="E154" s="176">
        <v>47</v>
      </c>
      <c r="F154" s="176">
        <v>23</v>
      </c>
      <c r="G154" s="176">
        <v>47</v>
      </c>
      <c r="H154" s="176">
        <v>63</v>
      </c>
      <c r="I154" s="173">
        <v>0</v>
      </c>
    </row>
    <row r="155" spans="1:9" ht="15.5" x14ac:dyDescent="0.35">
      <c r="A155" s="152" t="s">
        <v>656</v>
      </c>
      <c r="B155" s="176">
        <v>61</v>
      </c>
      <c r="C155" s="176">
        <v>65</v>
      </c>
      <c r="D155" s="176">
        <v>41</v>
      </c>
      <c r="E155" s="176">
        <v>22</v>
      </c>
      <c r="F155" s="176">
        <v>0</v>
      </c>
      <c r="G155" s="176">
        <v>4</v>
      </c>
      <c r="H155" s="176">
        <v>0</v>
      </c>
      <c r="I155" s="173">
        <v>0</v>
      </c>
    </row>
    <row r="156" spans="1:9" ht="15.5" x14ac:dyDescent="0.35">
      <c r="A156" s="152" t="s">
        <v>657</v>
      </c>
      <c r="B156" s="176">
        <v>42</v>
      </c>
      <c r="C156" s="176">
        <v>18</v>
      </c>
      <c r="D156" s="176">
        <v>17</v>
      </c>
      <c r="E156" s="176">
        <v>4</v>
      </c>
      <c r="F156" s="176">
        <v>9</v>
      </c>
      <c r="G156" s="176">
        <v>15</v>
      </c>
      <c r="H156" s="176">
        <v>5</v>
      </c>
      <c r="I156" s="173">
        <v>0</v>
      </c>
    </row>
    <row r="157" spans="1:9" ht="15.5" x14ac:dyDescent="0.35">
      <c r="A157" s="152" t="s">
        <v>658</v>
      </c>
      <c r="B157" s="176">
        <v>7</v>
      </c>
      <c r="C157" s="176">
        <v>9</v>
      </c>
      <c r="D157" s="176">
        <v>2</v>
      </c>
      <c r="E157" s="176">
        <v>0</v>
      </c>
      <c r="F157" s="176">
        <v>6</v>
      </c>
      <c r="G157" s="176">
        <v>19</v>
      </c>
      <c r="H157" s="176">
        <v>10</v>
      </c>
      <c r="I157" s="173">
        <v>0</v>
      </c>
    </row>
    <row r="158" spans="1:9" ht="15.5" x14ac:dyDescent="0.35">
      <c r="A158" s="152" t="s">
        <v>665</v>
      </c>
      <c r="B158" s="175"/>
      <c r="C158" s="175"/>
      <c r="D158" s="175"/>
      <c r="E158" s="175"/>
      <c r="F158" s="176">
        <v>10</v>
      </c>
      <c r="G158" s="176">
        <v>41</v>
      </c>
      <c r="H158" s="176">
        <v>53</v>
      </c>
      <c r="I158" s="173">
        <v>0</v>
      </c>
    </row>
    <row r="159" spans="1:9" ht="15.5" x14ac:dyDescent="0.35">
      <c r="A159" s="152" t="s">
        <v>659</v>
      </c>
      <c r="B159" s="175">
        <v>0</v>
      </c>
      <c r="C159" s="175">
        <v>0</v>
      </c>
      <c r="D159" s="175">
        <v>0</v>
      </c>
      <c r="E159" s="176">
        <v>18</v>
      </c>
      <c r="F159" s="176">
        <v>197</v>
      </c>
      <c r="G159" s="176">
        <v>894</v>
      </c>
      <c r="H159" s="176">
        <v>3249</v>
      </c>
      <c r="I159" s="173">
        <v>0</v>
      </c>
    </row>
    <row r="160" spans="1:9" ht="16" thickBot="1" x14ac:dyDescent="0.4">
      <c r="A160" s="153" t="s">
        <v>660</v>
      </c>
      <c r="B160" s="177">
        <v>24</v>
      </c>
      <c r="C160" s="177">
        <v>46</v>
      </c>
      <c r="D160" s="177">
        <v>14</v>
      </c>
      <c r="E160" s="177">
        <v>6</v>
      </c>
      <c r="F160" s="177">
        <v>17</v>
      </c>
      <c r="G160" s="177">
        <v>12</v>
      </c>
      <c r="H160" s="177">
        <v>11</v>
      </c>
      <c r="I160" s="174">
        <v>0</v>
      </c>
    </row>
  </sheetData>
  <mergeCells count="1">
    <mergeCell ref="A1:L1"/>
  </mergeCells>
  <phoneticPr fontId="30"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331B-170A-4EB4-8248-DE72E5BC3AF2}">
  <dimension ref="A1:P8"/>
  <sheetViews>
    <sheetView showGridLines="0" zoomScale="80" zoomScaleNormal="80" workbookViewId="0"/>
  </sheetViews>
  <sheetFormatPr defaultColWidth="8.81640625" defaultRowHeight="15.5" x14ac:dyDescent="0.35"/>
  <cols>
    <col min="1" max="1" width="64" style="140" customWidth="1"/>
    <col min="2" max="2" width="10.1796875" style="140" bestFit="1" customWidth="1"/>
    <col min="3" max="3" width="13.54296875" style="140" customWidth="1"/>
    <col min="4" max="4" width="11.81640625" style="140" customWidth="1"/>
    <col min="5" max="5" width="13.81640625" style="140" customWidth="1"/>
    <col min="6" max="6" width="13.54296875" style="140" customWidth="1"/>
    <col min="7" max="7" width="15.1796875" style="140" customWidth="1"/>
    <col min="8" max="8" width="13.453125" style="140" customWidth="1"/>
    <col min="9" max="9" width="12.81640625" style="140" customWidth="1"/>
    <col min="10" max="10" width="10.1796875" style="140" bestFit="1" customWidth="1"/>
    <col min="11" max="11" width="14.54296875" style="140" customWidth="1"/>
    <col min="12" max="12" width="10.54296875" style="140" customWidth="1"/>
    <col min="13" max="13" width="11.453125" style="140" customWidth="1"/>
    <col min="14" max="15" width="11.54296875" style="140" customWidth="1"/>
    <col min="16" max="16" width="13.54296875" style="140" customWidth="1"/>
    <col min="17" max="16384" width="8.81640625" style="140"/>
  </cols>
  <sheetData>
    <row r="1" spans="1:16" x14ac:dyDescent="0.35">
      <c r="A1" s="139" t="s">
        <v>804</v>
      </c>
    </row>
    <row r="2" spans="1:16" ht="16" thickBot="1" x14ac:dyDescent="0.4"/>
    <row r="3" spans="1:16" x14ac:dyDescent="0.35">
      <c r="A3" s="30"/>
      <c r="B3" s="151">
        <v>45597</v>
      </c>
      <c r="C3" s="151">
        <v>45627</v>
      </c>
      <c r="D3" s="151">
        <v>45658</v>
      </c>
      <c r="E3" s="151">
        <v>45689</v>
      </c>
      <c r="F3" s="151">
        <v>45717</v>
      </c>
      <c r="G3" s="151">
        <v>45748</v>
      </c>
      <c r="H3" s="151">
        <v>45778</v>
      </c>
      <c r="I3" s="151">
        <v>45809</v>
      </c>
      <c r="J3" s="151">
        <v>45839</v>
      </c>
      <c r="K3" s="151">
        <v>45870</v>
      </c>
      <c r="L3" s="171">
        <v>45901</v>
      </c>
      <c r="M3" s="257">
        <v>45931</v>
      </c>
      <c r="N3" s="258">
        <v>45962</v>
      </c>
      <c r="O3" s="216">
        <v>45992</v>
      </c>
      <c r="P3" s="216">
        <v>46023</v>
      </c>
    </row>
    <row r="4" spans="1:16" x14ac:dyDescent="0.35">
      <c r="A4" s="152" t="s">
        <v>703</v>
      </c>
      <c r="B4" s="176">
        <v>0</v>
      </c>
      <c r="C4" s="176">
        <v>0</v>
      </c>
      <c r="D4" s="176">
        <v>0</v>
      </c>
      <c r="E4" s="176">
        <v>0</v>
      </c>
      <c r="F4" s="176">
        <v>0</v>
      </c>
      <c r="G4" s="176">
        <v>0</v>
      </c>
      <c r="H4" s="176">
        <v>0</v>
      </c>
      <c r="I4" s="176">
        <v>0</v>
      </c>
      <c r="J4" s="176">
        <v>0</v>
      </c>
      <c r="K4" s="176">
        <v>0</v>
      </c>
      <c r="L4" s="173">
        <v>0</v>
      </c>
      <c r="M4" s="254">
        <v>37540</v>
      </c>
      <c r="N4" s="176">
        <v>36450</v>
      </c>
      <c r="O4" s="173">
        <v>38857</v>
      </c>
      <c r="P4" s="173">
        <v>2257</v>
      </c>
    </row>
    <row r="5" spans="1:16" x14ac:dyDescent="0.35">
      <c r="A5" s="152" t="s">
        <v>705</v>
      </c>
      <c r="B5" s="176">
        <v>0</v>
      </c>
      <c r="C5" s="176">
        <v>0</v>
      </c>
      <c r="D5" s="176">
        <v>0</v>
      </c>
      <c r="E5" s="176">
        <v>0</v>
      </c>
      <c r="F5" s="176">
        <v>0</v>
      </c>
      <c r="G5" s="176">
        <v>0</v>
      </c>
      <c r="H5" s="176">
        <v>0</v>
      </c>
      <c r="I5" s="176">
        <v>0</v>
      </c>
      <c r="J5" s="176">
        <v>0</v>
      </c>
      <c r="K5" s="176">
        <v>0</v>
      </c>
      <c r="L5" s="173">
        <v>0</v>
      </c>
      <c r="M5" s="254">
        <v>1131</v>
      </c>
      <c r="N5" s="176">
        <v>1333</v>
      </c>
      <c r="O5" s="173">
        <v>1911</v>
      </c>
      <c r="P5" s="173">
        <v>6</v>
      </c>
    </row>
    <row r="6" spans="1:16" x14ac:dyDescent="0.35">
      <c r="A6" s="152" t="s">
        <v>680</v>
      </c>
      <c r="B6" s="154">
        <v>0</v>
      </c>
      <c r="C6" s="154">
        <v>0</v>
      </c>
      <c r="D6" s="154">
        <v>0</v>
      </c>
      <c r="E6" s="154">
        <v>0</v>
      </c>
      <c r="F6" s="154">
        <v>0</v>
      </c>
      <c r="G6" s="154">
        <v>0</v>
      </c>
      <c r="H6" s="154">
        <v>0</v>
      </c>
      <c r="I6" s="154">
        <v>0</v>
      </c>
      <c r="J6" s="154">
        <v>0</v>
      </c>
      <c r="K6" s="154">
        <v>0</v>
      </c>
      <c r="L6" s="155">
        <v>0</v>
      </c>
      <c r="M6" s="255">
        <f t="shared" ref="M6:N6" si="0">IF(ISERROR(M5/M4),0,M5/M4)</f>
        <v>3.0127863612147043E-2</v>
      </c>
      <c r="N6" s="154">
        <f t="shared" si="0"/>
        <v>3.6570644718792865E-2</v>
      </c>
      <c r="O6" s="155">
        <f t="shared" ref="O6:P6" si="1">IF(ISERROR(O5/O4),0,O5/O4)</f>
        <v>4.9180327868852458E-2</v>
      </c>
      <c r="P6" s="155">
        <f t="shared" si="1"/>
        <v>2.658396101019052E-3</v>
      </c>
    </row>
    <row r="7" spans="1:16" x14ac:dyDescent="0.35">
      <c r="A7" s="152" t="s">
        <v>624</v>
      </c>
      <c r="B7" s="215">
        <v>0</v>
      </c>
      <c r="C7" s="215">
        <v>0</v>
      </c>
      <c r="D7" s="215">
        <v>0</v>
      </c>
      <c r="E7" s="215">
        <v>0</v>
      </c>
      <c r="F7" s="215">
        <v>0</v>
      </c>
      <c r="G7" s="215">
        <v>0</v>
      </c>
      <c r="H7" s="215">
        <v>0</v>
      </c>
      <c r="I7" s="215">
        <v>0</v>
      </c>
      <c r="J7" s="215">
        <v>0</v>
      </c>
      <c r="K7" s="215">
        <v>0</v>
      </c>
      <c r="L7" s="214">
        <v>0</v>
      </c>
      <c r="M7" s="256">
        <v>7354.53677172874</v>
      </c>
      <c r="N7" s="215">
        <v>7546.7762738853498</v>
      </c>
      <c r="O7" s="214">
        <v>7092.9276315789402</v>
      </c>
      <c r="P7" s="214">
        <v>0</v>
      </c>
    </row>
    <row r="8" spans="1:16" ht="16" thickBot="1" x14ac:dyDescent="0.4">
      <c r="A8" s="153" t="s">
        <v>625</v>
      </c>
      <c r="B8" s="178">
        <v>0</v>
      </c>
      <c r="C8" s="178">
        <v>0</v>
      </c>
      <c r="D8" s="178">
        <v>0</v>
      </c>
      <c r="E8" s="178">
        <v>0</v>
      </c>
      <c r="F8" s="178">
        <v>0</v>
      </c>
      <c r="G8" s="178">
        <v>0</v>
      </c>
      <c r="H8" s="178">
        <v>0</v>
      </c>
      <c r="I8" s="178">
        <v>0</v>
      </c>
      <c r="J8" s="178">
        <v>0</v>
      </c>
      <c r="K8" s="178">
        <v>0</v>
      </c>
      <c r="L8" s="179">
        <v>0</v>
      </c>
      <c r="M8" s="259">
        <v>51.649000000000001</v>
      </c>
      <c r="N8" s="178">
        <v>53.545400000000001</v>
      </c>
      <c r="O8" s="179">
        <v>58.240200000000002</v>
      </c>
      <c r="P8" s="179">
        <v>25.333300000000001</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D3DE-CF7F-434C-A06F-5D2E74C75611}">
  <dimension ref="A1:AA222"/>
  <sheetViews>
    <sheetView zoomScale="70" zoomScaleNormal="70" workbookViewId="0">
      <pane xSplit="1" ySplit="10" topLeftCell="B11" activePane="bottomRight" state="frozen"/>
      <selection activeCell="S54" sqref="S54"/>
      <selection pane="topRight" activeCell="S54" sqref="S54"/>
      <selection pane="bottomLeft" activeCell="S54" sqref="S54"/>
      <selection pane="bottomRight" activeCell="S54" sqref="S54"/>
    </sheetView>
  </sheetViews>
  <sheetFormatPr defaultRowHeight="14.5" x14ac:dyDescent="0.35"/>
  <cols>
    <col min="1" max="1" width="66.1796875" customWidth="1"/>
    <col min="2" max="2" width="58.26953125" bestFit="1" customWidth="1"/>
    <col min="3" max="3" width="24.81640625" bestFit="1" customWidth="1"/>
    <col min="4" max="4" width="10" customWidth="1"/>
    <col min="5" max="5" width="10.1796875" customWidth="1"/>
    <col min="6" max="6" width="8.54296875" customWidth="1"/>
    <col min="7" max="7" width="15.81640625" bestFit="1" customWidth="1"/>
    <col min="8" max="8" width="15" bestFit="1" customWidth="1"/>
    <col min="9" max="9" width="19.26953125" customWidth="1"/>
    <col min="10" max="13" width="11" customWidth="1"/>
    <col min="14" max="14" width="13" bestFit="1" customWidth="1"/>
    <col min="15" max="15" width="18.26953125" bestFit="1" customWidth="1"/>
    <col min="16" max="16" width="15.453125" bestFit="1" customWidth="1"/>
    <col min="17" max="17" width="20.7265625" bestFit="1" customWidth="1"/>
    <col min="18" max="20" width="21.453125" bestFit="1" customWidth="1"/>
    <col min="21" max="21" width="23" customWidth="1"/>
    <col min="22" max="23" width="15.81640625" customWidth="1"/>
    <col min="24" max="24" width="23.453125" bestFit="1" customWidth="1"/>
    <col min="25" max="25" width="20.1796875" customWidth="1"/>
    <col min="26" max="26" width="29.7265625" bestFit="1" customWidth="1"/>
    <col min="27" max="27" width="14.1796875" customWidth="1"/>
  </cols>
  <sheetData>
    <row r="1" spans="1:27" ht="15.5" x14ac:dyDescent="0.35">
      <c r="A1" s="326" t="s">
        <v>883</v>
      </c>
    </row>
    <row r="3" spans="1:27" ht="15.5" x14ac:dyDescent="0.35">
      <c r="A3" s="326" t="s">
        <v>884</v>
      </c>
    </row>
    <row r="4" spans="1:27" ht="15.5" x14ac:dyDescent="0.35">
      <c r="A4" s="326" t="s">
        <v>885</v>
      </c>
    </row>
    <row r="5" spans="1:27" ht="15.5" x14ac:dyDescent="0.35">
      <c r="A5" s="326" t="s">
        <v>886</v>
      </c>
    </row>
    <row r="7" spans="1:27" ht="15.5" x14ac:dyDescent="0.35">
      <c r="A7" s="326" t="s">
        <v>887</v>
      </c>
    </row>
    <row r="9" spans="1:27" ht="30" x14ac:dyDescent="0.35">
      <c r="A9" s="458" t="s">
        <v>147</v>
      </c>
      <c r="B9" s="458"/>
      <c r="C9" s="458"/>
      <c r="D9" s="458"/>
      <c r="E9" s="458"/>
      <c r="F9" s="458"/>
      <c r="G9" s="458"/>
      <c r="H9" s="458"/>
      <c r="I9" s="327" t="s">
        <v>148</v>
      </c>
      <c r="J9" s="458" t="s">
        <v>888</v>
      </c>
      <c r="K9" s="458"/>
      <c r="L9" s="458"/>
      <c r="M9" s="458"/>
      <c r="N9" s="458" t="s">
        <v>889</v>
      </c>
      <c r="O9" s="458"/>
      <c r="P9" s="458"/>
      <c r="Q9" s="458"/>
      <c r="R9" s="458" t="s">
        <v>890</v>
      </c>
      <c r="S9" s="458"/>
      <c r="T9" s="458"/>
      <c r="U9" s="458"/>
      <c r="V9" s="327" t="s">
        <v>891</v>
      </c>
      <c r="W9" s="458" t="s">
        <v>149</v>
      </c>
      <c r="X9" s="458"/>
      <c r="Y9" s="458"/>
      <c r="Z9" s="458"/>
      <c r="AA9" s="458"/>
    </row>
    <row r="10" spans="1:27" s="329" customFormat="1" ht="30" x14ac:dyDescent="0.35">
      <c r="A10" s="328" t="s">
        <v>150</v>
      </c>
      <c r="B10" s="328" t="s">
        <v>151</v>
      </c>
      <c r="C10" s="328" t="s">
        <v>152</v>
      </c>
      <c r="D10" s="328" t="s">
        <v>153</v>
      </c>
      <c r="E10" s="328" t="s">
        <v>154</v>
      </c>
      <c r="F10" s="328" t="s">
        <v>49</v>
      </c>
      <c r="G10" s="328" t="s">
        <v>155</v>
      </c>
      <c r="H10" s="328" t="s">
        <v>86</v>
      </c>
      <c r="I10" s="328" t="s">
        <v>892</v>
      </c>
      <c r="J10" s="328" t="s">
        <v>156</v>
      </c>
      <c r="K10" s="328" t="s">
        <v>157</v>
      </c>
      <c r="L10" s="328" t="s">
        <v>158</v>
      </c>
      <c r="M10" s="328" t="s">
        <v>159</v>
      </c>
      <c r="N10" s="328" t="s">
        <v>160</v>
      </c>
      <c r="O10" s="328" t="s">
        <v>161</v>
      </c>
      <c r="P10" s="328" t="s">
        <v>162</v>
      </c>
      <c r="Q10" s="328" t="s">
        <v>163</v>
      </c>
      <c r="R10" s="328" t="s">
        <v>164</v>
      </c>
      <c r="S10" s="328" t="s">
        <v>165</v>
      </c>
      <c r="T10" s="328" t="s">
        <v>166</v>
      </c>
      <c r="U10" s="328" t="s">
        <v>167</v>
      </c>
      <c r="V10" s="328" t="s">
        <v>168</v>
      </c>
      <c r="W10" s="328" t="s">
        <v>169</v>
      </c>
      <c r="X10" s="328" t="s">
        <v>170</v>
      </c>
      <c r="Y10" s="328" t="s">
        <v>893</v>
      </c>
      <c r="Z10" s="328" t="s">
        <v>84</v>
      </c>
      <c r="AA10" s="328" t="s">
        <v>894</v>
      </c>
    </row>
    <row r="11" spans="1:27" ht="15.5" x14ac:dyDescent="0.35">
      <c r="A11" s="330" t="s">
        <v>805</v>
      </c>
      <c r="B11" s="331" t="s">
        <v>201</v>
      </c>
      <c r="C11" s="331" t="s">
        <v>202</v>
      </c>
      <c r="D11" s="331" t="s">
        <v>203</v>
      </c>
      <c r="E11" s="331" t="s">
        <v>895</v>
      </c>
      <c r="F11" s="331" t="s">
        <v>193</v>
      </c>
      <c r="G11" s="331" t="s">
        <v>175</v>
      </c>
      <c r="H11" s="331" t="s">
        <v>5</v>
      </c>
      <c r="I11" s="332">
        <v>38.308267997148967</v>
      </c>
      <c r="J11" s="332">
        <v>1716.3720929999999</v>
      </c>
      <c r="K11" s="332">
        <v>302.79069800000002</v>
      </c>
      <c r="L11" s="332">
        <v>106.918605</v>
      </c>
      <c r="M11" s="332">
        <v>58.093023000000002</v>
      </c>
      <c r="N11" s="332">
        <v>207.11627899999999</v>
      </c>
      <c r="O11" s="332">
        <v>1976.988372</v>
      </c>
      <c r="P11" s="332">
        <v>0</v>
      </c>
      <c r="Q11" s="332">
        <v>6.9766999999999996E-2</v>
      </c>
      <c r="R11" s="332">
        <v>63.383721000000001</v>
      </c>
      <c r="S11" s="332">
        <v>65.372093000000007</v>
      </c>
      <c r="T11" s="332">
        <v>119.29069800000001</v>
      </c>
      <c r="U11" s="332">
        <v>1936.1279070000001</v>
      </c>
      <c r="V11" s="332">
        <v>1435.430233</v>
      </c>
      <c r="W11" s="332">
        <v>1436</v>
      </c>
      <c r="X11" s="331" t="s">
        <v>896</v>
      </c>
      <c r="Y11" s="333">
        <v>45673</v>
      </c>
      <c r="Z11" s="331" t="s">
        <v>574</v>
      </c>
      <c r="AA11" s="331" t="s">
        <v>897</v>
      </c>
    </row>
    <row r="12" spans="1:27" ht="15.5" x14ac:dyDescent="0.35">
      <c r="A12" s="330" t="s">
        <v>748</v>
      </c>
      <c r="B12" s="331" t="s">
        <v>171</v>
      </c>
      <c r="C12" s="331" t="s">
        <v>172</v>
      </c>
      <c r="D12" s="331" t="s">
        <v>173</v>
      </c>
      <c r="E12" s="331" t="s">
        <v>898</v>
      </c>
      <c r="F12" s="331" t="s">
        <v>174</v>
      </c>
      <c r="G12" s="331" t="s">
        <v>186</v>
      </c>
      <c r="H12" s="331" t="s">
        <v>5</v>
      </c>
      <c r="I12" s="332">
        <v>43.622011385199237</v>
      </c>
      <c r="J12" s="332">
        <v>687.88372100000004</v>
      </c>
      <c r="K12" s="332">
        <v>194.88372100000001</v>
      </c>
      <c r="L12" s="332">
        <v>437.24418600000001</v>
      </c>
      <c r="M12" s="332">
        <v>494.10465099999999</v>
      </c>
      <c r="N12" s="332">
        <v>722.20930199999998</v>
      </c>
      <c r="O12" s="332">
        <v>838.76744199999996</v>
      </c>
      <c r="P12" s="332">
        <v>35.313952999999998</v>
      </c>
      <c r="Q12" s="332">
        <v>217.825581</v>
      </c>
      <c r="R12" s="332">
        <v>529.02325599999995</v>
      </c>
      <c r="S12" s="332">
        <v>185.87209300000001</v>
      </c>
      <c r="T12" s="332">
        <v>148.488372</v>
      </c>
      <c r="U12" s="332">
        <v>950.73255800000004</v>
      </c>
      <c r="V12" s="332">
        <v>801.46511599999997</v>
      </c>
      <c r="W12" s="332">
        <v>640</v>
      </c>
      <c r="X12" s="331" t="s">
        <v>896</v>
      </c>
      <c r="Y12" s="333">
        <v>45918</v>
      </c>
      <c r="Z12" s="331" t="s">
        <v>574</v>
      </c>
      <c r="AA12" s="331" t="s">
        <v>897</v>
      </c>
    </row>
    <row r="13" spans="1:27" ht="15.5" x14ac:dyDescent="0.35">
      <c r="A13" s="330" t="s">
        <v>899</v>
      </c>
      <c r="B13" s="331" t="s">
        <v>900</v>
      </c>
      <c r="C13" s="331" t="s">
        <v>25</v>
      </c>
      <c r="D13" s="331" t="s">
        <v>192</v>
      </c>
      <c r="E13" s="331" t="s">
        <v>901</v>
      </c>
      <c r="F13" s="331" t="s">
        <v>193</v>
      </c>
      <c r="G13" s="331" t="s">
        <v>300</v>
      </c>
      <c r="H13" s="331" t="s">
        <v>5</v>
      </c>
      <c r="I13" s="332">
        <v>2.323613675431337</v>
      </c>
      <c r="J13" s="332">
        <v>248.686047</v>
      </c>
      <c r="K13" s="332">
        <v>71.674419</v>
      </c>
      <c r="L13" s="332">
        <v>64.651162999999997</v>
      </c>
      <c r="M13" s="332">
        <v>40.686047000000002</v>
      </c>
      <c r="N13" s="332">
        <v>98.209301999999994</v>
      </c>
      <c r="O13" s="332">
        <v>326.66279100000003</v>
      </c>
      <c r="P13" s="332">
        <v>4.6511999999999998E-2</v>
      </c>
      <c r="Q13" s="332">
        <v>0.77907000000000004</v>
      </c>
      <c r="R13" s="332">
        <v>51.127907</v>
      </c>
      <c r="S13" s="332">
        <v>25.872093</v>
      </c>
      <c r="T13" s="332">
        <v>40.046512</v>
      </c>
      <c r="U13" s="332">
        <v>308.651163</v>
      </c>
      <c r="V13" s="332">
        <v>300.30232599999999</v>
      </c>
      <c r="W13" s="331"/>
      <c r="X13" s="331" t="s">
        <v>896</v>
      </c>
      <c r="Y13" s="333">
        <v>45715</v>
      </c>
      <c r="Z13" s="331" t="s">
        <v>574</v>
      </c>
      <c r="AA13" s="331" t="s">
        <v>897</v>
      </c>
    </row>
    <row r="14" spans="1:27" ht="15.5" x14ac:dyDescent="0.35">
      <c r="A14" s="330" t="s">
        <v>902</v>
      </c>
      <c r="B14" s="331" t="s">
        <v>903</v>
      </c>
      <c r="C14" s="331" t="s">
        <v>904</v>
      </c>
      <c r="D14" s="331" t="s">
        <v>267</v>
      </c>
      <c r="E14" s="331" t="s">
        <v>905</v>
      </c>
      <c r="F14" s="331" t="s">
        <v>268</v>
      </c>
      <c r="G14" s="331" t="s">
        <v>230</v>
      </c>
      <c r="H14" s="331" t="s">
        <v>176</v>
      </c>
      <c r="I14" s="332">
        <v>7.4561403508771926</v>
      </c>
      <c r="J14" s="332">
        <v>4.8023259999999999</v>
      </c>
      <c r="K14" s="332">
        <v>0</v>
      </c>
      <c r="L14" s="332">
        <v>0</v>
      </c>
      <c r="M14" s="332">
        <v>0</v>
      </c>
      <c r="N14" s="332">
        <v>0</v>
      </c>
      <c r="O14" s="332">
        <v>0</v>
      </c>
      <c r="P14" s="332">
        <v>0.22092999999999999</v>
      </c>
      <c r="Q14" s="332">
        <v>4.5813949999999997</v>
      </c>
      <c r="R14" s="332">
        <v>5.8139999999999997E-2</v>
      </c>
      <c r="S14" s="332">
        <v>0</v>
      </c>
      <c r="T14" s="332">
        <v>0.22092999999999999</v>
      </c>
      <c r="U14" s="332">
        <v>4.5232559999999999</v>
      </c>
      <c r="V14" s="332">
        <v>1.895349</v>
      </c>
      <c r="W14" s="331"/>
      <c r="X14" s="331"/>
      <c r="Y14" s="331"/>
      <c r="Z14" s="331"/>
      <c r="AA14" s="331"/>
    </row>
    <row r="15" spans="1:27" ht="15.5" x14ac:dyDescent="0.35">
      <c r="A15" s="330" t="s">
        <v>6</v>
      </c>
      <c r="B15" s="331" t="s">
        <v>339</v>
      </c>
      <c r="C15" s="331" t="s">
        <v>340</v>
      </c>
      <c r="D15" s="331" t="s">
        <v>192</v>
      </c>
      <c r="E15" s="331" t="s">
        <v>906</v>
      </c>
      <c r="F15" s="331" t="s">
        <v>193</v>
      </c>
      <c r="G15" s="331" t="s">
        <v>194</v>
      </c>
      <c r="H15" s="331" t="s">
        <v>5</v>
      </c>
      <c r="I15" s="332">
        <v>73.457399103139011</v>
      </c>
      <c r="J15" s="332">
        <v>81.453487999999993</v>
      </c>
      <c r="K15" s="332">
        <v>11.209301999999999</v>
      </c>
      <c r="L15" s="332">
        <v>42.569766999999999</v>
      </c>
      <c r="M15" s="332">
        <v>11.697673999999999</v>
      </c>
      <c r="N15" s="332">
        <v>50.837209000000001</v>
      </c>
      <c r="O15" s="332">
        <v>96.093023000000002</v>
      </c>
      <c r="P15" s="332">
        <v>0</v>
      </c>
      <c r="Q15" s="332">
        <v>0</v>
      </c>
      <c r="R15" s="332">
        <v>36.779069999999997</v>
      </c>
      <c r="S15" s="332">
        <v>17.965115999999998</v>
      </c>
      <c r="T15" s="332">
        <v>2.7209300000000001</v>
      </c>
      <c r="U15" s="332">
        <v>89.465115999999995</v>
      </c>
      <c r="V15" s="332">
        <v>99.337209000000001</v>
      </c>
      <c r="W15" s="332">
        <v>170</v>
      </c>
      <c r="X15" s="331" t="s">
        <v>896</v>
      </c>
      <c r="Y15" s="333">
        <v>45638</v>
      </c>
      <c r="Z15" s="331" t="s">
        <v>574</v>
      </c>
      <c r="AA15" s="331" t="s">
        <v>897</v>
      </c>
    </row>
    <row r="16" spans="1:27" ht="15.5" x14ac:dyDescent="0.35">
      <c r="A16" s="330" t="s">
        <v>907</v>
      </c>
      <c r="B16" s="331" t="s">
        <v>908</v>
      </c>
      <c r="C16" s="331" t="s">
        <v>909</v>
      </c>
      <c r="D16" s="331" t="s">
        <v>254</v>
      </c>
      <c r="E16" s="331" t="s">
        <v>910</v>
      </c>
      <c r="F16" s="331" t="s">
        <v>24</v>
      </c>
      <c r="G16" s="331" t="s">
        <v>911</v>
      </c>
      <c r="H16" s="331" t="s">
        <v>5</v>
      </c>
      <c r="I16" s="332">
        <v>15.58557457212714</v>
      </c>
      <c r="J16" s="332">
        <v>416.87209300000001</v>
      </c>
      <c r="K16" s="332">
        <v>163.825581</v>
      </c>
      <c r="L16" s="332">
        <v>140.56976700000001</v>
      </c>
      <c r="M16" s="332">
        <v>101.5</v>
      </c>
      <c r="N16" s="332">
        <v>207.337209</v>
      </c>
      <c r="O16" s="332">
        <v>615.43023300000004</v>
      </c>
      <c r="P16" s="332">
        <v>0</v>
      </c>
      <c r="Q16" s="332">
        <v>0</v>
      </c>
      <c r="R16" s="332">
        <v>124.162791</v>
      </c>
      <c r="S16" s="332">
        <v>51.534883999999998</v>
      </c>
      <c r="T16" s="332">
        <v>72.941860000000005</v>
      </c>
      <c r="U16" s="332">
        <v>574.12790700000005</v>
      </c>
      <c r="V16" s="332">
        <v>367.73255799999998</v>
      </c>
      <c r="W16" s="331"/>
      <c r="X16" s="331"/>
      <c r="Y16" s="331"/>
      <c r="Z16" s="331"/>
      <c r="AA16" s="331"/>
    </row>
    <row r="17" spans="1:27" ht="15.5" x14ac:dyDescent="0.35">
      <c r="A17" s="330" t="s">
        <v>806</v>
      </c>
      <c r="B17" s="331" t="s">
        <v>304</v>
      </c>
      <c r="C17" s="331" t="s">
        <v>305</v>
      </c>
      <c r="D17" s="331" t="s">
        <v>254</v>
      </c>
      <c r="E17" s="331" t="s">
        <v>912</v>
      </c>
      <c r="F17" s="331" t="s">
        <v>24</v>
      </c>
      <c r="G17" s="331" t="s">
        <v>194</v>
      </c>
      <c r="H17" s="331" t="s">
        <v>176</v>
      </c>
      <c r="I17" s="332">
        <v>48.478571428571428</v>
      </c>
      <c r="J17" s="332">
        <v>64.790698000000006</v>
      </c>
      <c r="K17" s="332">
        <v>37.383721000000001</v>
      </c>
      <c r="L17" s="332">
        <v>118.05813999999999</v>
      </c>
      <c r="M17" s="332">
        <v>64.976743999999997</v>
      </c>
      <c r="N17" s="332">
        <v>77.953487999999993</v>
      </c>
      <c r="O17" s="332">
        <v>104.581395</v>
      </c>
      <c r="P17" s="332">
        <v>25.313953000000001</v>
      </c>
      <c r="Q17" s="332">
        <v>77.360465000000005</v>
      </c>
      <c r="R17" s="332">
        <v>58.383721000000001</v>
      </c>
      <c r="S17" s="332">
        <v>24.034884000000002</v>
      </c>
      <c r="T17" s="332">
        <v>32.325581</v>
      </c>
      <c r="U17" s="332">
        <v>170.46511599999999</v>
      </c>
      <c r="V17" s="332">
        <v>131.59302299999999</v>
      </c>
      <c r="W17" s="332">
        <v>250</v>
      </c>
      <c r="X17" s="331" t="s">
        <v>896</v>
      </c>
      <c r="Y17" s="333">
        <v>45589</v>
      </c>
      <c r="Z17" s="331" t="s">
        <v>559</v>
      </c>
      <c r="AA17" s="331" t="s">
        <v>897</v>
      </c>
    </row>
    <row r="18" spans="1:27" ht="15.5" x14ac:dyDescent="0.35">
      <c r="A18" s="330" t="s">
        <v>913</v>
      </c>
      <c r="B18" s="331" t="s">
        <v>914</v>
      </c>
      <c r="C18" s="331" t="s">
        <v>915</v>
      </c>
      <c r="D18" s="331" t="s">
        <v>37</v>
      </c>
      <c r="E18" s="331" t="s">
        <v>916</v>
      </c>
      <c r="F18" s="331" t="s">
        <v>193</v>
      </c>
      <c r="G18" s="331" t="s">
        <v>230</v>
      </c>
      <c r="H18" s="331" t="s">
        <v>176</v>
      </c>
      <c r="I18" s="332">
        <v>3.3689095127610211</v>
      </c>
      <c r="J18" s="332">
        <v>13.581395000000001</v>
      </c>
      <c r="K18" s="332">
        <v>2.5930230000000001</v>
      </c>
      <c r="L18" s="332">
        <v>1.5</v>
      </c>
      <c r="M18" s="332">
        <v>1.0581400000000001</v>
      </c>
      <c r="N18" s="332">
        <v>2.232558</v>
      </c>
      <c r="O18" s="332">
        <v>15.232557999999999</v>
      </c>
      <c r="P18" s="332">
        <v>8.1394999999999995E-2</v>
      </c>
      <c r="Q18" s="332">
        <v>1.1860470000000001</v>
      </c>
      <c r="R18" s="332">
        <v>0.69767400000000002</v>
      </c>
      <c r="S18" s="332">
        <v>0.96511599999999997</v>
      </c>
      <c r="T18" s="332">
        <v>1.627907</v>
      </c>
      <c r="U18" s="332">
        <v>15.441860999999999</v>
      </c>
      <c r="V18" s="332">
        <v>7.8720929999999996</v>
      </c>
      <c r="W18" s="331"/>
      <c r="X18" s="331" t="s">
        <v>896</v>
      </c>
      <c r="Y18" s="333">
        <v>45561</v>
      </c>
      <c r="Z18" s="331" t="s">
        <v>559</v>
      </c>
      <c r="AA18" s="331" t="s">
        <v>917</v>
      </c>
    </row>
    <row r="19" spans="1:27" ht="15.5" x14ac:dyDescent="0.35">
      <c r="A19" s="330" t="s">
        <v>918</v>
      </c>
      <c r="B19" s="331" t="s">
        <v>919</v>
      </c>
      <c r="C19" s="331" t="s">
        <v>920</v>
      </c>
      <c r="D19" s="331" t="s">
        <v>352</v>
      </c>
      <c r="E19" s="331" t="s">
        <v>921</v>
      </c>
      <c r="F19" s="331" t="s">
        <v>292</v>
      </c>
      <c r="G19" s="331" t="s">
        <v>386</v>
      </c>
      <c r="H19" s="331" t="s">
        <v>5</v>
      </c>
      <c r="I19" s="332">
        <v>57.044067796610172</v>
      </c>
      <c r="J19" s="332">
        <v>113.162791</v>
      </c>
      <c r="K19" s="332">
        <v>16.395349</v>
      </c>
      <c r="L19" s="332">
        <v>54.953488</v>
      </c>
      <c r="M19" s="332">
        <v>21.5</v>
      </c>
      <c r="N19" s="332">
        <v>35.476743999999997</v>
      </c>
      <c r="O19" s="332">
        <v>170.24418600000001</v>
      </c>
      <c r="P19" s="332">
        <v>0</v>
      </c>
      <c r="Q19" s="332">
        <v>0.29069800000000001</v>
      </c>
      <c r="R19" s="332">
        <v>18.058140000000002</v>
      </c>
      <c r="S19" s="332">
        <v>7.4418600000000001</v>
      </c>
      <c r="T19" s="332">
        <v>13.94186</v>
      </c>
      <c r="U19" s="332">
        <v>166.56976700000001</v>
      </c>
      <c r="V19" s="332">
        <v>91.616279000000006</v>
      </c>
      <c r="W19" s="331"/>
      <c r="X19" s="331"/>
      <c r="Y19" s="331"/>
      <c r="Z19" s="331"/>
      <c r="AA19" s="331"/>
    </row>
    <row r="20" spans="1:27" ht="15.5" x14ac:dyDescent="0.35">
      <c r="A20" s="330" t="s">
        <v>327</v>
      </c>
      <c r="B20" s="331" t="s">
        <v>328</v>
      </c>
      <c r="C20" s="331" t="s">
        <v>329</v>
      </c>
      <c r="D20" s="331" t="s">
        <v>184</v>
      </c>
      <c r="E20" s="331" t="s">
        <v>922</v>
      </c>
      <c r="F20" s="331" t="s">
        <v>245</v>
      </c>
      <c r="G20" s="331" t="s">
        <v>175</v>
      </c>
      <c r="H20" s="331" t="s">
        <v>176</v>
      </c>
      <c r="I20" s="332">
        <v>19.27916360968452</v>
      </c>
      <c r="J20" s="332">
        <v>595.12790700000005</v>
      </c>
      <c r="K20" s="332">
        <v>145.54651200000001</v>
      </c>
      <c r="L20" s="332">
        <v>205.27906999999999</v>
      </c>
      <c r="M20" s="332">
        <v>97.941860000000005</v>
      </c>
      <c r="N20" s="332">
        <v>259.77906999999999</v>
      </c>
      <c r="O20" s="332">
        <v>660.697675</v>
      </c>
      <c r="P20" s="332">
        <v>7.8372089999999996</v>
      </c>
      <c r="Q20" s="332">
        <v>115.581395</v>
      </c>
      <c r="R20" s="332">
        <v>127.69767400000001</v>
      </c>
      <c r="S20" s="332">
        <v>79.418604999999999</v>
      </c>
      <c r="T20" s="332">
        <v>104.604651</v>
      </c>
      <c r="U20" s="332">
        <v>732.17441799999995</v>
      </c>
      <c r="V20" s="332">
        <v>479.38372099999998</v>
      </c>
      <c r="W20" s="332">
        <v>750</v>
      </c>
      <c r="X20" s="331" t="s">
        <v>896</v>
      </c>
      <c r="Y20" s="333">
        <v>45638</v>
      </c>
      <c r="Z20" s="331" t="s">
        <v>574</v>
      </c>
      <c r="AA20" s="331" t="s">
        <v>897</v>
      </c>
    </row>
    <row r="21" spans="1:27" ht="15.5" x14ac:dyDescent="0.35">
      <c r="A21" s="330" t="s">
        <v>330</v>
      </c>
      <c r="B21" s="331" t="s">
        <v>331</v>
      </c>
      <c r="C21" s="331" t="s">
        <v>332</v>
      </c>
      <c r="D21" s="331" t="s">
        <v>333</v>
      </c>
      <c r="E21" s="331" t="s">
        <v>923</v>
      </c>
      <c r="F21" s="331" t="s">
        <v>29</v>
      </c>
      <c r="G21" s="331" t="s">
        <v>230</v>
      </c>
      <c r="H21" s="331" t="s">
        <v>176</v>
      </c>
      <c r="I21" s="332">
        <v>55.312101910828027</v>
      </c>
      <c r="J21" s="332">
        <v>75.127906999999993</v>
      </c>
      <c r="K21" s="332">
        <v>31.418604999999999</v>
      </c>
      <c r="L21" s="332">
        <v>51.825581</v>
      </c>
      <c r="M21" s="332">
        <v>37.220930000000003</v>
      </c>
      <c r="N21" s="332">
        <v>94.267442000000003</v>
      </c>
      <c r="O21" s="332">
        <v>96.988371999999998</v>
      </c>
      <c r="P21" s="332">
        <v>0.62790699999999999</v>
      </c>
      <c r="Q21" s="332">
        <v>3.7093020000000001</v>
      </c>
      <c r="R21" s="332">
        <v>40.581395000000001</v>
      </c>
      <c r="S21" s="332">
        <v>37.174419</v>
      </c>
      <c r="T21" s="332">
        <v>29.406977000000001</v>
      </c>
      <c r="U21" s="332">
        <v>88.430233000000001</v>
      </c>
      <c r="V21" s="332">
        <v>110.5</v>
      </c>
      <c r="W21" s="331"/>
      <c r="X21" s="331" t="s">
        <v>896</v>
      </c>
      <c r="Y21" s="333">
        <v>45617</v>
      </c>
      <c r="Z21" s="331" t="s">
        <v>559</v>
      </c>
      <c r="AA21" s="331" t="s">
        <v>897</v>
      </c>
    </row>
    <row r="22" spans="1:27" ht="15.5" x14ac:dyDescent="0.35">
      <c r="A22" s="330" t="s">
        <v>924</v>
      </c>
      <c r="B22" s="331" t="s">
        <v>925</v>
      </c>
      <c r="C22" s="331" t="s">
        <v>926</v>
      </c>
      <c r="D22" s="331" t="s">
        <v>333</v>
      </c>
      <c r="E22" s="331" t="s">
        <v>927</v>
      </c>
      <c r="F22" s="331" t="s">
        <v>29</v>
      </c>
      <c r="G22" s="331" t="s">
        <v>230</v>
      </c>
      <c r="H22" s="331" t="s">
        <v>176</v>
      </c>
      <c r="I22" s="332">
        <v>2.714285714285714</v>
      </c>
      <c r="J22" s="332">
        <v>0.36046499999999998</v>
      </c>
      <c r="K22" s="332">
        <v>6.9766999999999996E-2</v>
      </c>
      <c r="L22" s="332">
        <v>0.5</v>
      </c>
      <c r="M22" s="332">
        <v>0.20930199999999999</v>
      </c>
      <c r="N22" s="332">
        <v>0.52325600000000005</v>
      </c>
      <c r="O22" s="332">
        <v>0.581395</v>
      </c>
      <c r="P22" s="332">
        <v>3.4883999999999998E-2</v>
      </c>
      <c r="Q22" s="332">
        <v>0</v>
      </c>
      <c r="R22" s="332">
        <v>0.16279099999999999</v>
      </c>
      <c r="S22" s="332">
        <v>0.26744200000000001</v>
      </c>
      <c r="T22" s="332">
        <v>0.13953499999999999</v>
      </c>
      <c r="U22" s="332">
        <v>0.56976700000000002</v>
      </c>
      <c r="V22" s="332">
        <v>0.79069800000000001</v>
      </c>
      <c r="W22" s="331"/>
      <c r="X22" s="331"/>
      <c r="Y22" s="331"/>
      <c r="Z22" s="331"/>
      <c r="AA22" s="331"/>
    </row>
    <row r="23" spans="1:27" ht="15.5" x14ac:dyDescent="0.35">
      <c r="A23" s="330" t="s">
        <v>928</v>
      </c>
      <c r="B23" s="331" t="s">
        <v>929</v>
      </c>
      <c r="C23" s="331" t="s">
        <v>930</v>
      </c>
      <c r="D23" s="331" t="s">
        <v>267</v>
      </c>
      <c r="E23" s="331" t="s">
        <v>931</v>
      </c>
      <c r="F23" s="331" t="s">
        <v>297</v>
      </c>
      <c r="G23" s="331" t="s">
        <v>386</v>
      </c>
      <c r="H23" s="331" t="s">
        <v>176</v>
      </c>
      <c r="I23" s="332">
        <v>50</v>
      </c>
      <c r="J23" s="332">
        <v>90.976743999999997</v>
      </c>
      <c r="K23" s="332">
        <v>19.034884000000002</v>
      </c>
      <c r="L23" s="332">
        <v>0.5</v>
      </c>
      <c r="M23" s="332">
        <v>0.34883700000000001</v>
      </c>
      <c r="N23" s="332">
        <v>26.755814000000001</v>
      </c>
      <c r="O23" s="332">
        <v>84.104651000000004</v>
      </c>
      <c r="P23" s="332">
        <v>0</v>
      </c>
      <c r="Q23" s="332">
        <v>0</v>
      </c>
      <c r="R23" s="332">
        <v>3.4069769999999999</v>
      </c>
      <c r="S23" s="332">
        <v>12.034884</v>
      </c>
      <c r="T23" s="332">
        <v>12.720929999999999</v>
      </c>
      <c r="U23" s="332">
        <v>82.697674000000006</v>
      </c>
      <c r="V23" s="332">
        <v>40.918604999999999</v>
      </c>
      <c r="W23" s="331"/>
      <c r="X23" s="331"/>
      <c r="Y23" s="331"/>
      <c r="Z23" s="331"/>
      <c r="AA23" s="331"/>
    </row>
    <row r="24" spans="1:27" ht="15.5" x14ac:dyDescent="0.35">
      <c r="A24" s="330" t="s">
        <v>932</v>
      </c>
      <c r="B24" s="331" t="s">
        <v>933</v>
      </c>
      <c r="C24" s="331" t="s">
        <v>934</v>
      </c>
      <c r="D24" s="331" t="s">
        <v>184</v>
      </c>
      <c r="E24" s="331" t="s">
        <v>935</v>
      </c>
      <c r="F24" s="331" t="s">
        <v>565</v>
      </c>
      <c r="G24" s="331" t="s">
        <v>230</v>
      </c>
      <c r="H24" s="331" t="s">
        <v>176</v>
      </c>
      <c r="I24" s="332">
        <v>5.6068965517241383</v>
      </c>
      <c r="J24" s="332">
        <v>16.174419</v>
      </c>
      <c r="K24" s="332">
        <v>2.4186049999999999</v>
      </c>
      <c r="L24" s="332">
        <v>1.139535</v>
      </c>
      <c r="M24" s="332">
        <v>1.2093020000000001</v>
      </c>
      <c r="N24" s="332">
        <v>2.7209300000000001</v>
      </c>
      <c r="O24" s="332">
        <v>18.220929999999999</v>
      </c>
      <c r="P24" s="332">
        <v>0</v>
      </c>
      <c r="Q24" s="332">
        <v>0</v>
      </c>
      <c r="R24" s="332">
        <v>0.96511599999999997</v>
      </c>
      <c r="S24" s="332">
        <v>0.66279100000000002</v>
      </c>
      <c r="T24" s="332">
        <v>1.9186049999999999</v>
      </c>
      <c r="U24" s="332">
        <v>17.395349</v>
      </c>
      <c r="V24" s="332">
        <v>17.058140000000002</v>
      </c>
      <c r="W24" s="331"/>
      <c r="X24" s="331"/>
      <c r="Y24" s="331" t="s">
        <v>936</v>
      </c>
      <c r="Z24" s="331"/>
      <c r="AA24" s="331"/>
    </row>
    <row r="25" spans="1:27" ht="15.5" x14ac:dyDescent="0.35">
      <c r="A25" s="330" t="s">
        <v>937</v>
      </c>
      <c r="B25" s="331" t="s">
        <v>938</v>
      </c>
      <c r="C25" s="331" t="s">
        <v>939</v>
      </c>
      <c r="D25" s="331" t="s">
        <v>267</v>
      </c>
      <c r="E25" s="331" t="s">
        <v>940</v>
      </c>
      <c r="F25" s="331" t="s">
        <v>268</v>
      </c>
      <c r="G25" s="331" t="s">
        <v>230</v>
      </c>
      <c r="H25" s="331" t="s">
        <v>176</v>
      </c>
      <c r="I25" s="332">
        <v>48.782608695652172</v>
      </c>
      <c r="J25" s="332">
        <v>43.430233000000001</v>
      </c>
      <c r="K25" s="332">
        <v>2.267442</v>
      </c>
      <c r="L25" s="332">
        <v>1.3372090000000001</v>
      </c>
      <c r="M25" s="332">
        <v>0.17441899999999999</v>
      </c>
      <c r="N25" s="332">
        <v>3.1627909999999999</v>
      </c>
      <c r="O25" s="332">
        <v>44.046512</v>
      </c>
      <c r="P25" s="332">
        <v>0</v>
      </c>
      <c r="Q25" s="332">
        <v>0</v>
      </c>
      <c r="R25" s="332">
        <v>0.55813999999999997</v>
      </c>
      <c r="S25" s="332">
        <v>0.11627899999999999</v>
      </c>
      <c r="T25" s="332">
        <v>4.6279070000000004</v>
      </c>
      <c r="U25" s="332">
        <v>41.906976999999998</v>
      </c>
      <c r="V25" s="332">
        <v>17.093022999999999</v>
      </c>
      <c r="W25" s="331"/>
      <c r="X25" s="331"/>
      <c r="Y25" s="331"/>
      <c r="Z25" s="331"/>
      <c r="AA25" s="331"/>
    </row>
    <row r="26" spans="1:27" ht="15.5" x14ac:dyDescent="0.35">
      <c r="A26" s="330" t="s">
        <v>941</v>
      </c>
      <c r="B26" s="331" t="s">
        <v>942</v>
      </c>
      <c r="C26" s="331" t="s">
        <v>943</v>
      </c>
      <c r="D26" s="331" t="s">
        <v>254</v>
      </c>
      <c r="E26" s="331" t="s">
        <v>944</v>
      </c>
      <c r="F26" s="331" t="s">
        <v>24</v>
      </c>
      <c r="G26" s="331" t="s">
        <v>194</v>
      </c>
      <c r="H26" s="331" t="s">
        <v>176</v>
      </c>
      <c r="I26" s="332">
        <v>0.99574468085106382</v>
      </c>
      <c r="J26" s="332">
        <v>0.55813999999999997</v>
      </c>
      <c r="K26" s="332">
        <v>0.5</v>
      </c>
      <c r="L26" s="332">
        <v>1.0930230000000001</v>
      </c>
      <c r="M26" s="332">
        <v>0.59302299999999997</v>
      </c>
      <c r="N26" s="332">
        <v>0.31395299999999998</v>
      </c>
      <c r="O26" s="332">
        <v>1.7790699999999999</v>
      </c>
      <c r="P26" s="332">
        <v>3.4883999999999998E-2</v>
      </c>
      <c r="Q26" s="332">
        <v>0.61627900000000002</v>
      </c>
      <c r="R26" s="332">
        <v>0.20930199999999999</v>
      </c>
      <c r="S26" s="332">
        <v>8.1394999999999995E-2</v>
      </c>
      <c r="T26" s="332">
        <v>9.3022999999999995E-2</v>
      </c>
      <c r="U26" s="332">
        <v>2.360465</v>
      </c>
      <c r="V26" s="332">
        <v>0.89534899999999995</v>
      </c>
      <c r="W26" s="331"/>
      <c r="X26" s="331"/>
      <c r="Y26" s="331"/>
      <c r="Z26" s="331"/>
      <c r="AA26" s="331"/>
    </row>
    <row r="27" spans="1:27" ht="15.5" x14ac:dyDescent="0.35">
      <c r="A27" s="330" t="s">
        <v>7</v>
      </c>
      <c r="B27" s="331" t="s">
        <v>259</v>
      </c>
      <c r="C27" s="331" t="s">
        <v>260</v>
      </c>
      <c r="D27" s="331" t="s">
        <v>254</v>
      </c>
      <c r="E27" s="331" t="s">
        <v>945</v>
      </c>
      <c r="F27" s="331" t="s">
        <v>24</v>
      </c>
      <c r="G27" s="331" t="s">
        <v>186</v>
      </c>
      <c r="H27" s="331" t="s">
        <v>176</v>
      </c>
      <c r="I27" s="332">
        <v>21.142796967144061</v>
      </c>
      <c r="J27" s="332">
        <v>490.94186000000002</v>
      </c>
      <c r="K27" s="332">
        <v>170.77906999999999</v>
      </c>
      <c r="L27" s="332">
        <v>12.802326000000001</v>
      </c>
      <c r="M27" s="332">
        <v>3.139535</v>
      </c>
      <c r="N27" s="332">
        <v>65.755814000000001</v>
      </c>
      <c r="O27" s="332">
        <v>510.55813999999998</v>
      </c>
      <c r="P27" s="332">
        <v>8.3139529999999997</v>
      </c>
      <c r="Q27" s="332">
        <v>93.034884000000005</v>
      </c>
      <c r="R27" s="332">
        <v>14.232557999999999</v>
      </c>
      <c r="S27" s="332">
        <v>21.220929999999999</v>
      </c>
      <c r="T27" s="332">
        <v>55.953488</v>
      </c>
      <c r="U27" s="332">
        <v>586.25581399999999</v>
      </c>
      <c r="V27" s="332">
        <v>320.58139499999999</v>
      </c>
      <c r="W27" s="332">
        <v>700</v>
      </c>
      <c r="X27" s="331" t="s">
        <v>896</v>
      </c>
      <c r="Y27" s="333">
        <v>45645</v>
      </c>
      <c r="Z27" s="331" t="s">
        <v>574</v>
      </c>
      <c r="AA27" s="331" t="s">
        <v>897</v>
      </c>
    </row>
    <row r="28" spans="1:27" ht="15.5" x14ac:dyDescent="0.35">
      <c r="A28" s="330" t="s">
        <v>946</v>
      </c>
      <c r="B28" s="331" t="s">
        <v>265</v>
      </c>
      <c r="C28" s="331" t="s">
        <v>266</v>
      </c>
      <c r="D28" s="331" t="s">
        <v>267</v>
      </c>
      <c r="E28" s="331" t="s">
        <v>947</v>
      </c>
      <c r="F28" s="331" t="s">
        <v>268</v>
      </c>
      <c r="G28" s="331" t="s">
        <v>214</v>
      </c>
      <c r="H28" s="331" t="s">
        <v>5</v>
      </c>
      <c r="I28" s="332">
        <v>36.858485351022672</v>
      </c>
      <c r="J28" s="332">
        <v>551.68604700000003</v>
      </c>
      <c r="K28" s="332">
        <v>46.034883999999998</v>
      </c>
      <c r="L28" s="332">
        <v>54.325581</v>
      </c>
      <c r="M28" s="332">
        <v>67.209301999999994</v>
      </c>
      <c r="N28" s="332">
        <v>139.38372100000001</v>
      </c>
      <c r="O28" s="332">
        <v>579.87209299999995</v>
      </c>
      <c r="P28" s="332">
        <v>0</v>
      </c>
      <c r="Q28" s="332">
        <v>0</v>
      </c>
      <c r="R28" s="332">
        <v>99.709301999999994</v>
      </c>
      <c r="S28" s="332">
        <v>22.697673999999999</v>
      </c>
      <c r="T28" s="332">
        <v>38.825581</v>
      </c>
      <c r="U28" s="332">
        <v>558.02325499999995</v>
      </c>
      <c r="V28" s="332">
        <v>246.476744</v>
      </c>
      <c r="W28" s="332">
        <v>400</v>
      </c>
      <c r="X28" s="331" t="s">
        <v>896</v>
      </c>
      <c r="Y28" s="333">
        <v>45596</v>
      </c>
      <c r="Z28" s="331" t="s">
        <v>574</v>
      </c>
      <c r="AA28" s="331" t="s">
        <v>897</v>
      </c>
    </row>
    <row r="29" spans="1:27" ht="15.5" x14ac:dyDescent="0.35">
      <c r="A29" s="330" t="s">
        <v>948</v>
      </c>
      <c r="B29" s="331" t="s">
        <v>949</v>
      </c>
      <c r="C29" s="331" t="s">
        <v>950</v>
      </c>
      <c r="D29" s="331" t="s">
        <v>414</v>
      </c>
      <c r="E29" s="331" t="s">
        <v>951</v>
      </c>
      <c r="F29" s="331" t="s">
        <v>296</v>
      </c>
      <c r="G29" s="331" t="s">
        <v>230</v>
      </c>
      <c r="H29" s="331" t="s">
        <v>176</v>
      </c>
      <c r="I29" s="332">
        <v>24.96</v>
      </c>
      <c r="J29" s="332">
        <v>3.4302329999999999</v>
      </c>
      <c r="K29" s="332">
        <v>7.9418600000000001</v>
      </c>
      <c r="L29" s="332">
        <v>4.4186050000000003</v>
      </c>
      <c r="M29" s="332">
        <v>0.31395299999999998</v>
      </c>
      <c r="N29" s="332">
        <v>2.767442</v>
      </c>
      <c r="O29" s="332">
        <v>12.197673999999999</v>
      </c>
      <c r="P29" s="332">
        <v>0</v>
      </c>
      <c r="Q29" s="332">
        <v>1.139535</v>
      </c>
      <c r="R29" s="332">
        <v>1.2209300000000001</v>
      </c>
      <c r="S29" s="332">
        <v>0.918605</v>
      </c>
      <c r="T29" s="332">
        <v>1.3488370000000001</v>
      </c>
      <c r="U29" s="332">
        <v>12.616279</v>
      </c>
      <c r="V29" s="332">
        <v>8.9069769999999995</v>
      </c>
      <c r="W29" s="331"/>
      <c r="X29" s="331" t="s">
        <v>952</v>
      </c>
      <c r="Y29" s="331" t="s">
        <v>953</v>
      </c>
      <c r="Z29" s="331" t="s">
        <v>261</v>
      </c>
      <c r="AA29" s="331" t="s">
        <v>897</v>
      </c>
    </row>
    <row r="30" spans="1:27" ht="15.5" x14ac:dyDescent="0.35">
      <c r="A30" s="330" t="s">
        <v>763</v>
      </c>
      <c r="B30" s="331" t="s">
        <v>954</v>
      </c>
      <c r="C30" s="331" t="s">
        <v>955</v>
      </c>
      <c r="D30" s="331" t="s">
        <v>320</v>
      </c>
      <c r="E30" s="331" t="s">
        <v>956</v>
      </c>
      <c r="F30" s="331" t="s">
        <v>321</v>
      </c>
      <c r="G30" s="331" t="s">
        <v>230</v>
      </c>
      <c r="H30" s="331" t="s">
        <v>176</v>
      </c>
      <c r="I30" s="332">
        <v>32.267973856209153</v>
      </c>
      <c r="J30" s="332">
        <v>128.08139499999999</v>
      </c>
      <c r="K30" s="332">
        <v>176.62790699999999</v>
      </c>
      <c r="L30" s="332">
        <v>44.116278999999999</v>
      </c>
      <c r="M30" s="332">
        <v>12.151163</v>
      </c>
      <c r="N30" s="332">
        <v>64.558139999999995</v>
      </c>
      <c r="O30" s="332">
        <v>269.83720899999997</v>
      </c>
      <c r="P30" s="332">
        <v>4.3837210000000004</v>
      </c>
      <c r="Q30" s="332">
        <v>22.197673999999999</v>
      </c>
      <c r="R30" s="332">
        <v>22.662790999999999</v>
      </c>
      <c r="S30" s="332">
        <v>18.174419</v>
      </c>
      <c r="T30" s="332">
        <v>42.581395000000001</v>
      </c>
      <c r="U30" s="332">
        <v>277.55813999999998</v>
      </c>
      <c r="V30" s="332">
        <v>183.43023299999999</v>
      </c>
      <c r="W30" s="331"/>
      <c r="X30" s="331" t="s">
        <v>952</v>
      </c>
      <c r="Y30" s="333">
        <v>45709</v>
      </c>
      <c r="Z30" s="331" t="s">
        <v>559</v>
      </c>
      <c r="AA30" s="331" t="s">
        <v>897</v>
      </c>
    </row>
    <row r="31" spans="1:27" ht="15.5" x14ac:dyDescent="0.35">
      <c r="A31" s="330" t="s">
        <v>323</v>
      </c>
      <c r="B31" s="331" t="s">
        <v>324</v>
      </c>
      <c r="C31" s="331" t="s">
        <v>325</v>
      </c>
      <c r="D31" s="331" t="s">
        <v>326</v>
      </c>
      <c r="E31" s="331" t="s">
        <v>957</v>
      </c>
      <c r="F31" s="331" t="s">
        <v>321</v>
      </c>
      <c r="G31" s="331" t="s">
        <v>194</v>
      </c>
      <c r="H31" s="331" t="s">
        <v>176</v>
      </c>
      <c r="I31" s="332">
        <v>52.672199170124479</v>
      </c>
      <c r="J31" s="332">
        <v>132.860465</v>
      </c>
      <c r="K31" s="332">
        <v>11.860465</v>
      </c>
      <c r="L31" s="332">
        <v>9.0813950000000006</v>
      </c>
      <c r="M31" s="332">
        <v>9.1279070000000004</v>
      </c>
      <c r="N31" s="332">
        <v>19.441859999999998</v>
      </c>
      <c r="O31" s="332">
        <v>125.906977</v>
      </c>
      <c r="P31" s="332">
        <v>0.51162799999999997</v>
      </c>
      <c r="Q31" s="332">
        <v>17.069766999999999</v>
      </c>
      <c r="R31" s="332">
        <v>10.627907</v>
      </c>
      <c r="S31" s="332">
        <v>3.0348839999999999</v>
      </c>
      <c r="T31" s="332">
        <v>9.7325579999999992</v>
      </c>
      <c r="U31" s="332">
        <v>139.53488400000001</v>
      </c>
      <c r="V31" s="332">
        <v>69.162790999999999</v>
      </c>
      <c r="W31" s="332">
        <v>75</v>
      </c>
      <c r="X31" s="331" t="s">
        <v>896</v>
      </c>
      <c r="Y31" s="333">
        <v>45393</v>
      </c>
      <c r="Z31" s="331" t="s">
        <v>559</v>
      </c>
      <c r="AA31" s="331" t="s">
        <v>897</v>
      </c>
    </row>
    <row r="32" spans="1:27" ht="15.5" x14ac:dyDescent="0.35">
      <c r="A32" s="330" t="s">
        <v>958</v>
      </c>
      <c r="B32" s="331" t="s">
        <v>959</v>
      </c>
      <c r="C32" s="331" t="s">
        <v>960</v>
      </c>
      <c r="D32" s="331" t="s">
        <v>173</v>
      </c>
      <c r="E32" s="331" t="s">
        <v>961</v>
      </c>
      <c r="F32" s="331" t="s">
        <v>285</v>
      </c>
      <c r="G32" s="331" t="s">
        <v>186</v>
      </c>
      <c r="H32" s="331" t="s">
        <v>176</v>
      </c>
      <c r="I32" s="332">
        <v>39.309055118110237</v>
      </c>
      <c r="J32" s="332">
        <v>553</v>
      </c>
      <c r="K32" s="332">
        <v>76.511628000000002</v>
      </c>
      <c r="L32" s="332">
        <v>131.139535</v>
      </c>
      <c r="M32" s="332">
        <v>160.96511599999999</v>
      </c>
      <c r="N32" s="332">
        <v>255.151163</v>
      </c>
      <c r="O32" s="332">
        <v>485.023256</v>
      </c>
      <c r="P32" s="332">
        <v>22.627907</v>
      </c>
      <c r="Q32" s="332">
        <v>158.813953</v>
      </c>
      <c r="R32" s="332">
        <v>192.174419</v>
      </c>
      <c r="S32" s="332">
        <v>44.941859999999998</v>
      </c>
      <c r="T32" s="332">
        <v>60.395349000000003</v>
      </c>
      <c r="U32" s="332">
        <v>624.10465099999999</v>
      </c>
      <c r="V32" s="332">
        <v>294.36046499999998</v>
      </c>
      <c r="W32" s="332">
        <v>2560</v>
      </c>
      <c r="X32" s="334" t="s">
        <v>952</v>
      </c>
      <c r="Y32" s="334" t="s">
        <v>953</v>
      </c>
      <c r="Z32" s="331" t="s">
        <v>559</v>
      </c>
      <c r="AA32" s="331" t="s">
        <v>897</v>
      </c>
    </row>
    <row r="33" spans="1:27" ht="15.5" x14ac:dyDescent="0.35">
      <c r="A33" s="330" t="s">
        <v>962</v>
      </c>
      <c r="B33" s="331" t="s">
        <v>963</v>
      </c>
      <c r="C33" s="331" t="s">
        <v>964</v>
      </c>
      <c r="D33" s="331" t="s">
        <v>262</v>
      </c>
      <c r="E33" s="331" t="s">
        <v>965</v>
      </c>
      <c r="F33" s="331" t="s">
        <v>263</v>
      </c>
      <c r="G33" s="331" t="s">
        <v>194</v>
      </c>
      <c r="H33" s="331" t="s">
        <v>5</v>
      </c>
      <c r="I33" s="332">
        <v>4.4087591240875916</v>
      </c>
      <c r="J33" s="332">
        <v>16.034884000000002</v>
      </c>
      <c r="K33" s="332">
        <v>3.488372</v>
      </c>
      <c r="L33" s="332">
        <v>1.860465</v>
      </c>
      <c r="M33" s="332">
        <v>1.104651</v>
      </c>
      <c r="N33" s="332">
        <v>1.0232559999999999</v>
      </c>
      <c r="O33" s="332">
        <v>12.244185999999999</v>
      </c>
      <c r="P33" s="332">
        <v>1.4302330000000001</v>
      </c>
      <c r="Q33" s="332">
        <v>7.7906979999999999</v>
      </c>
      <c r="R33" s="332">
        <v>1.4069769999999999</v>
      </c>
      <c r="S33" s="332">
        <v>1.5697669999999999</v>
      </c>
      <c r="T33" s="332">
        <v>0.94186000000000003</v>
      </c>
      <c r="U33" s="332">
        <v>18.569766999999999</v>
      </c>
      <c r="V33" s="332">
        <v>8.6279070000000004</v>
      </c>
      <c r="W33" s="331"/>
      <c r="X33" s="331"/>
      <c r="Y33" s="331"/>
      <c r="Z33" s="331"/>
      <c r="AA33" s="331"/>
    </row>
    <row r="34" spans="1:27" ht="15.5" x14ac:dyDescent="0.35">
      <c r="A34" s="330" t="s">
        <v>966</v>
      </c>
      <c r="B34" s="331" t="s">
        <v>967</v>
      </c>
      <c r="C34" s="331" t="s">
        <v>968</v>
      </c>
      <c r="D34" s="331" t="s">
        <v>333</v>
      </c>
      <c r="E34" s="331" t="s">
        <v>969</v>
      </c>
      <c r="F34" s="331" t="s">
        <v>29</v>
      </c>
      <c r="G34" s="331" t="s">
        <v>230</v>
      </c>
      <c r="H34" s="331" t="s">
        <v>176</v>
      </c>
      <c r="I34" s="332">
        <v>61.615894039735103</v>
      </c>
      <c r="J34" s="332">
        <v>97.081395000000001</v>
      </c>
      <c r="K34" s="332">
        <v>24.604651</v>
      </c>
      <c r="L34" s="332">
        <v>10.232557999999999</v>
      </c>
      <c r="M34" s="332">
        <v>7.755814</v>
      </c>
      <c r="N34" s="332">
        <v>26.895349</v>
      </c>
      <c r="O34" s="332">
        <v>87.186047000000002</v>
      </c>
      <c r="P34" s="332">
        <v>4.1046509999999996</v>
      </c>
      <c r="Q34" s="332">
        <v>21.488371999999998</v>
      </c>
      <c r="R34" s="332">
        <v>8.7790700000000008</v>
      </c>
      <c r="S34" s="332">
        <v>10.186047</v>
      </c>
      <c r="T34" s="332">
        <v>16.418604999999999</v>
      </c>
      <c r="U34" s="332">
        <v>104.29069699999999</v>
      </c>
      <c r="V34" s="332">
        <v>56.465116000000002</v>
      </c>
      <c r="W34" s="331"/>
      <c r="X34" s="331"/>
      <c r="Y34" s="331"/>
      <c r="Z34" s="331"/>
      <c r="AA34" s="331"/>
    </row>
    <row r="35" spans="1:27" ht="15.5" x14ac:dyDescent="0.35">
      <c r="A35" s="330" t="s">
        <v>301</v>
      </c>
      <c r="B35" s="331" t="s">
        <v>302</v>
      </c>
      <c r="C35" s="331" t="s">
        <v>303</v>
      </c>
      <c r="D35" s="331" t="s">
        <v>250</v>
      </c>
      <c r="E35" s="331" t="s">
        <v>970</v>
      </c>
      <c r="F35" s="331" t="s">
        <v>251</v>
      </c>
      <c r="G35" s="331" t="s">
        <v>175</v>
      </c>
      <c r="H35" s="331" t="s">
        <v>176</v>
      </c>
      <c r="I35" s="332">
        <v>46.765811965811963</v>
      </c>
      <c r="J35" s="332">
        <v>108.54651200000001</v>
      </c>
      <c r="K35" s="332">
        <v>114.94186000000001</v>
      </c>
      <c r="L35" s="332">
        <v>62.267442000000003</v>
      </c>
      <c r="M35" s="332">
        <v>56.220930000000003</v>
      </c>
      <c r="N35" s="332">
        <v>108.744186</v>
      </c>
      <c r="O35" s="332">
        <v>220.11627899999999</v>
      </c>
      <c r="P35" s="332">
        <v>5.767442</v>
      </c>
      <c r="Q35" s="332">
        <v>7.3488369999999996</v>
      </c>
      <c r="R35" s="332">
        <v>71.593023000000002</v>
      </c>
      <c r="S35" s="332">
        <v>28.627907</v>
      </c>
      <c r="T35" s="332">
        <v>27.209302000000001</v>
      </c>
      <c r="U35" s="332">
        <v>214.54651200000001</v>
      </c>
      <c r="V35" s="332">
        <v>154.674419</v>
      </c>
      <c r="W35" s="332">
        <v>224</v>
      </c>
      <c r="X35" s="331" t="s">
        <v>896</v>
      </c>
      <c r="Y35" s="333">
        <v>45764</v>
      </c>
      <c r="Z35" s="331" t="s">
        <v>574</v>
      </c>
      <c r="AA35" s="331" t="s">
        <v>897</v>
      </c>
    </row>
    <row r="36" spans="1:27" ht="15.5" x14ac:dyDescent="0.35">
      <c r="A36" s="330" t="s">
        <v>971</v>
      </c>
      <c r="B36" s="331" t="s">
        <v>581</v>
      </c>
      <c r="C36" s="331" t="s">
        <v>558</v>
      </c>
      <c r="D36" s="331" t="s">
        <v>557</v>
      </c>
      <c r="E36" s="331" t="s">
        <v>972</v>
      </c>
      <c r="F36" s="331" t="s">
        <v>314</v>
      </c>
      <c r="G36" s="331" t="s">
        <v>230</v>
      </c>
      <c r="H36" s="331" t="s">
        <v>5</v>
      </c>
      <c r="I36" s="332">
        <v>5.8510638297872344</v>
      </c>
      <c r="J36" s="332">
        <v>0.98837200000000003</v>
      </c>
      <c r="K36" s="332">
        <v>1.860465</v>
      </c>
      <c r="L36" s="332">
        <v>0.63953499999999996</v>
      </c>
      <c r="M36" s="332">
        <v>0.23255799999999999</v>
      </c>
      <c r="N36" s="332">
        <v>1.0465120000000001</v>
      </c>
      <c r="O36" s="332">
        <v>2.6744189999999999</v>
      </c>
      <c r="P36" s="332">
        <v>0</v>
      </c>
      <c r="Q36" s="332">
        <v>0</v>
      </c>
      <c r="R36" s="332">
        <v>0.80232599999999998</v>
      </c>
      <c r="S36" s="332">
        <v>0.11627899999999999</v>
      </c>
      <c r="T36" s="332">
        <v>1.0232559999999999</v>
      </c>
      <c r="U36" s="332">
        <v>1.7790699999999999</v>
      </c>
      <c r="V36" s="332">
        <v>2.267442</v>
      </c>
      <c r="W36" s="331"/>
      <c r="X36" s="331" t="s">
        <v>896</v>
      </c>
      <c r="Y36" s="333">
        <v>45225</v>
      </c>
      <c r="Z36" s="331" t="s">
        <v>559</v>
      </c>
      <c r="AA36" s="331" t="s">
        <v>917</v>
      </c>
    </row>
    <row r="37" spans="1:27" ht="15.5" x14ac:dyDescent="0.35">
      <c r="A37" s="330" t="s">
        <v>973</v>
      </c>
      <c r="B37" s="331" t="s">
        <v>974</v>
      </c>
      <c r="C37" s="331" t="s">
        <v>975</v>
      </c>
      <c r="D37" s="331" t="s">
        <v>356</v>
      </c>
      <c r="E37" s="331" t="s">
        <v>976</v>
      </c>
      <c r="F37" s="331" t="s">
        <v>296</v>
      </c>
      <c r="G37" s="331" t="s">
        <v>230</v>
      </c>
      <c r="H37" s="331" t="s">
        <v>176</v>
      </c>
      <c r="I37" s="332">
        <v>30.869565217391301</v>
      </c>
      <c r="J37" s="332">
        <v>4.1511630000000004</v>
      </c>
      <c r="K37" s="332">
        <v>1.4534879999999999</v>
      </c>
      <c r="L37" s="332">
        <v>5.5232559999999999</v>
      </c>
      <c r="M37" s="332">
        <v>2.488372</v>
      </c>
      <c r="N37" s="332">
        <v>7.3023259999999999</v>
      </c>
      <c r="O37" s="332">
        <v>5.6511630000000004</v>
      </c>
      <c r="P37" s="332">
        <v>2.3255999999999999E-2</v>
      </c>
      <c r="Q37" s="332">
        <v>0.63953499999999996</v>
      </c>
      <c r="R37" s="332">
        <v>3.011628</v>
      </c>
      <c r="S37" s="332">
        <v>2.6860469999999999</v>
      </c>
      <c r="T37" s="332">
        <v>2.4302329999999999</v>
      </c>
      <c r="U37" s="332">
        <v>5.488372</v>
      </c>
      <c r="V37" s="332">
        <v>10.813953</v>
      </c>
      <c r="W37" s="331"/>
      <c r="X37" s="331"/>
      <c r="Y37" s="331"/>
      <c r="Z37" s="331"/>
      <c r="AA37" s="331"/>
    </row>
    <row r="38" spans="1:27" ht="15.5" x14ac:dyDescent="0.35">
      <c r="A38" s="330" t="s">
        <v>579</v>
      </c>
      <c r="B38" s="331" t="s">
        <v>592</v>
      </c>
      <c r="C38" s="331" t="s">
        <v>282</v>
      </c>
      <c r="D38" s="331" t="s">
        <v>195</v>
      </c>
      <c r="E38" s="331" t="s">
        <v>977</v>
      </c>
      <c r="F38" s="331" t="s">
        <v>196</v>
      </c>
      <c r="G38" s="331" t="s">
        <v>207</v>
      </c>
      <c r="H38" s="331" t="s">
        <v>5</v>
      </c>
      <c r="I38" s="332">
        <v>51.23</v>
      </c>
      <c r="J38" s="332">
        <v>181.162791</v>
      </c>
      <c r="K38" s="332">
        <v>60.162790999999999</v>
      </c>
      <c r="L38" s="332">
        <v>165.686047</v>
      </c>
      <c r="M38" s="332">
        <v>140.29069799999999</v>
      </c>
      <c r="N38" s="332">
        <v>251.79069799999999</v>
      </c>
      <c r="O38" s="332">
        <v>295.51162799999997</v>
      </c>
      <c r="P38" s="332">
        <v>0</v>
      </c>
      <c r="Q38" s="332">
        <v>0</v>
      </c>
      <c r="R38" s="332">
        <v>138.03488400000001</v>
      </c>
      <c r="S38" s="332">
        <v>55.720930000000003</v>
      </c>
      <c r="T38" s="332">
        <v>74.906976999999998</v>
      </c>
      <c r="U38" s="332">
        <v>278.63953400000003</v>
      </c>
      <c r="V38" s="332">
        <v>301.54651200000001</v>
      </c>
      <c r="W38" s="331"/>
      <c r="X38" s="331" t="s">
        <v>896</v>
      </c>
      <c r="Y38" s="333">
        <v>45638</v>
      </c>
      <c r="Z38" s="331" t="s">
        <v>559</v>
      </c>
      <c r="AA38" s="331" t="s">
        <v>897</v>
      </c>
    </row>
    <row r="39" spans="1:27" ht="15.5" x14ac:dyDescent="0.35">
      <c r="A39" s="330" t="s">
        <v>978</v>
      </c>
      <c r="B39" s="331" t="s">
        <v>197</v>
      </c>
      <c r="C39" s="331" t="s">
        <v>198</v>
      </c>
      <c r="D39" s="331" t="s">
        <v>192</v>
      </c>
      <c r="E39" s="331" t="s">
        <v>979</v>
      </c>
      <c r="F39" s="331" t="s">
        <v>193</v>
      </c>
      <c r="G39" s="331" t="s">
        <v>194</v>
      </c>
      <c r="H39" s="331" t="s">
        <v>5</v>
      </c>
      <c r="I39" s="332">
        <v>26.62816188870152</v>
      </c>
      <c r="J39" s="332">
        <v>624.02325599999995</v>
      </c>
      <c r="K39" s="332">
        <v>188.24418600000001</v>
      </c>
      <c r="L39" s="332">
        <v>212.80232599999999</v>
      </c>
      <c r="M39" s="332">
        <v>124.22093</v>
      </c>
      <c r="N39" s="332">
        <v>250.651163</v>
      </c>
      <c r="O39" s="332">
        <v>898.20930199999998</v>
      </c>
      <c r="P39" s="332">
        <v>0</v>
      </c>
      <c r="Q39" s="332">
        <v>0.43023299999999998</v>
      </c>
      <c r="R39" s="332">
        <v>134.70930200000001</v>
      </c>
      <c r="S39" s="332">
        <v>64.790698000000006</v>
      </c>
      <c r="T39" s="332">
        <v>102.418605</v>
      </c>
      <c r="U39" s="332">
        <v>847.37209399999995</v>
      </c>
      <c r="V39" s="332">
        <v>712.24418600000001</v>
      </c>
      <c r="W39" s="332">
        <v>1170</v>
      </c>
      <c r="X39" s="331" t="s">
        <v>896</v>
      </c>
      <c r="Y39" s="333">
        <v>45666</v>
      </c>
      <c r="Z39" s="331" t="s">
        <v>574</v>
      </c>
      <c r="AA39" s="331" t="s">
        <v>897</v>
      </c>
    </row>
    <row r="40" spans="1:27" ht="15.5" x14ac:dyDescent="0.35">
      <c r="A40" s="330" t="s">
        <v>980</v>
      </c>
      <c r="B40" s="331" t="s">
        <v>359</v>
      </c>
      <c r="C40" s="331" t="s">
        <v>981</v>
      </c>
      <c r="D40" s="331" t="s">
        <v>360</v>
      </c>
      <c r="E40" s="331" t="s">
        <v>982</v>
      </c>
      <c r="F40" s="331" t="s">
        <v>29</v>
      </c>
      <c r="G40" s="331" t="s">
        <v>194</v>
      </c>
      <c r="H40" s="331" t="s">
        <v>176</v>
      </c>
      <c r="I40" s="332">
        <v>22.124197002141329</v>
      </c>
      <c r="J40" s="332">
        <v>47.895349000000003</v>
      </c>
      <c r="K40" s="332">
        <v>21.360465000000001</v>
      </c>
      <c r="L40" s="332">
        <v>26.720929999999999</v>
      </c>
      <c r="M40" s="332">
        <v>17.244185999999999</v>
      </c>
      <c r="N40" s="332">
        <v>35.337209999999999</v>
      </c>
      <c r="O40" s="332">
        <v>66.558139999999995</v>
      </c>
      <c r="P40" s="332">
        <v>2.0930230000000001</v>
      </c>
      <c r="Q40" s="332">
        <v>9.2325579999999992</v>
      </c>
      <c r="R40" s="332">
        <v>18.186046999999999</v>
      </c>
      <c r="S40" s="332">
        <v>6.5465119999999999</v>
      </c>
      <c r="T40" s="332">
        <v>19.627907</v>
      </c>
      <c r="U40" s="332">
        <v>68.860466000000002</v>
      </c>
      <c r="V40" s="332">
        <v>71.220929999999996</v>
      </c>
      <c r="W40" s="331"/>
      <c r="X40" s="331" t="s">
        <v>896</v>
      </c>
      <c r="Y40" s="333">
        <v>45729</v>
      </c>
      <c r="Z40" s="331" t="s">
        <v>559</v>
      </c>
      <c r="AA40" s="331" t="s">
        <v>897</v>
      </c>
    </row>
    <row r="41" spans="1:27" ht="15.5" x14ac:dyDescent="0.35">
      <c r="A41" s="330" t="s">
        <v>983</v>
      </c>
      <c r="B41" s="331" t="s">
        <v>984</v>
      </c>
      <c r="C41" s="331" t="s">
        <v>985</v>
      </c>
      <c r="D41" s="331" t="s">
        <v>218</v>
      </c>
      <c r="E41" s="331" t="s">
        <v>986</v>
      </c>
      <c r="F41" s="331" t="s">
        <v>219</v>
      </c>
      <c r="G41" s="331" t="s">
        <v>230</v>
      </c>
      <c r="H41" s="331" t="s">
        <v>176</v>
      </c>
      <c r="I41" s="332">
        <v>1.115646258503401</v>
      </c>
      <c r="J41" s="332">
        <v>0.15116299999999999</v>
      </c>
      <c r="K41" s="332">
        <v>1.616279</v>
      </c>
      <c r="L41" s="332">
        <v>8.1394999999999995E-2</v>
      </c>
      <c r="M41" s="332">
        <v>5.8139999999999997E-2</v>
      </c>
      <c r="N41" s="332">
        <v>0.34883700000000001</v>
      </c>
      <c r="O41" s="332">
        <v>1.267442</v>
      </c>
      <c r="P41" s="332">
        <v>4.6511999999999998E-2</v>
      </c>
      <c r="Q41" s="332">
        <v>0.24418599999999999</v>
      </c>
      <c r="R41" s="332">
        <v>0.11627899999999999</v>
      </c>
      <c r="S41" s="332">
        <v>9.3022999999999995E-2</v>
      </c>
      <c r="T41" s="332">
        <v>0.20930199999999999</v>
      </c>
      <c r="U41" s="332">
        <v>1.488372</v>
      </c>
      <c r="V41" s="332">
        <v>0.86046500000000004</v>
      </c>
      <c r="W41" s="331"/>
      <c r="X41" s="331" t="s">
        <v>395</v>
      </c>
      <c r="Y41" s="333">
        <v>45630</v>
      </c>
      <c r="Z41" s="331" t="s">
        <v>987</v>
      </c>
      <c r="AA41" s="331" t="s">
        <v>897</v>
      </c>
    </row>
    <row r="42" spans="1:27" ht="15.5" x14ac:dyDescent="0.35">
      <c r="A42" s="330" t="s">
        <v>390</v>
      </c>
      <c r="B42" s="331" t="s">
        <v>391</v>
      </c>
      <c r="C42" s="331" t="s">
        <v>988</v>
      </c>
      <c r="D42" s="331" t="s">
        <v>326</v>
      </c>
      <c r="E42" s="331" t="s">
        <v>989</v>
      </c>
      <c r="F42" s="331" t="s">
        <v>321</v>
      </c>
      <c r="G42" s="331" t="s">
        <v>194</v>
      </c>
      <c r="H42" s="331" t="s">
        <v>5</v>
      </c>
      <c r="I42" s="332">
        <v>49.70967741935484</v>
      </c>
      <c r="J42" s="332">
        <v>25.534884000000002</v>
      </c>
      <c r="K42" s="332">
        <v>3.9302329999999999</v>
      </c>
      <c r="L42" s="332">
        <v>6.9534880000000001</v>
      </c>
      <c r="M42" s="332">
        <v>1.9302330000000001</v>
      </c>
      <c r="N42" s="332">
        <v>7.3953490000000004</v>
      </c>
      <c r="O42" s="332">
        <v>30.953488</v>
      </c>
      <c r="P42" s="332">
        <v>0</v>
      </c>
      <c r="Q42" s="332">
        <v>0</v>
      </c>
      <c r="R42" s="332">
        <v>2.3488370000000001</v>
      </c>
      <c r="S42" s="332">
        <v>2.895349</v>
      </c>
      <c r="T42" s="332">
        <v>2.7209300000000001</v>
      </c>
      <c r="U42" s="332">
        <v>30.383721000000001</v>
      </c>
      <c r="V42" s="332">
        <v>17.453488</v>
      </c>
      <c r="W42" s="331"/>
      <c r="X42" s="331" t="s">
        <v>896</v>
      </c>
      <c r="Y42" s="333">
        <v>45407</v>
      </c>
      <c r="Z42" s="331" t="s">
        <v>559</v>
      </c>
      <c r="AA42" s="331" t="s">
        <v>897</v>
      </c>
    </row>
    <row r="43" spans="1:27" ht="15.5" x14ac:dyDescent="0.35">
      <c r="A43" s="330" t="s">
        <v>990</v>
      </c>
      <c r="B43" s="331" t="s">
        <v>991</v>
      </c>
      <c r="C43" s="331" t="s">
        <v>992</v>
      </c>
      <c r="D43" s="331" t="s">
        <v>993</v>
      </c>
      <c r="E43" s="331" t="s">
        <v>994</v>
      </c>
      <c r="F43" s="331" t="s">
        <v>292</v>
      </c>
      <c r="G43" s="331" t="s">
        <v>230</v>
      </c>
      <c r="H43" s="331" t="s">
        <v>176</v>
      </c>
      <c r="I43" s="332">
        <v>8.4716981132075464</v>
      </c>
      <c r="J43" s="332">
        <v>5.2790699999999999</v>
      </c>
      <c r="K43" s="332">
        <v>0</v>
      </c>
      <c r="L43" s="332">
        <v>0.23255799999999999</v>
      </c>
      <c r="M43" s="332">
        <v>0</v>
      </c>
      <c r="N43" s="332">
        <v>0</v>
      </c>
      <c r="O43" s="332">
        <v>2.3255999999999999E-2</v>
      </c>
      <c r="P43" s="332">
        <v>0</v>
      </c>
      <c r="Q43" s="332">
        <v>5.488372</v>
      </c>
      <c r="R43" s="332">
        <v>0</v>
      </c>
      <c r="S43" s="332">
        <v>0</v>
      </c>
      <c r="T43" s="332">
        <v>0</v>
      </c>
      <c r="U43" s="332">
        <v>5.511628</v>
      </c>
      <c r="V43" s="332">
        <v>1</v>
      </c>
      <c r="W43" s="331"/>
      <c r="X43" s="331" t="s">
        <v>395</v>
      </c>
      <c r="Y43" s="333">
        <v>45394</v>
      </c>
      <c r="Z43" s="331" t="s">
        <v>987</v>
      </c>
      <c r="AA43" s="331" t="s">
        <v>897</v>
      </c>
    </row>
    <row r="44" spans="1:27" ht="15.5" x14ac:dyDescent="0.35">
      <c r="A44" s="330" t="s">
        <v>834</v>
      </c>
      <c r="B44" s="331" t="s">
        <v>995</v>
      </c>
      <c r="C44" s="331" t="s">
        <v>996</v>
      </c>
      <c r="D44" s="331" t="s">
        <v>333</v>
      </c>
      <c r="E44" s="331" t="s">
        <v>997</v>
      </c>
      <c r="F44" s="331" t="s">
        <v>29</v>
      </c>
      <c r="G44" s="331" t="s">
        <v>230</v>
      </c>
      <c r="H44" s="331" t="s">
        <v>176</v>
      </c>
      <c r="I44" s="332">
        <v>27.147286821705421</v>
      </c>
      <c r="J44" s="332">
        <v>50.941859999999998</v>
      </c>
      <c r="K44" s="332">
        <v>8.5930230000000005</v>
      </c>
      <c r="L44" s="332">
        <v>21.744185999999999</v>
      </c>
      <c r="M44" s="332">
        <v>13.174419</v>
      </c>
      <c r="N44" s="332">
        <v>19.790697999999999</v>
      </c>
      <c r="O44" s="332">
        <v>74.244185999999999</v>
      </c>
      <c r="P44" s="332">
        <v>0.418605</v>
      </c>
      <c r="Q44" s="332">
        <v>0</v>
      </c>
      <c r="R44" s="332">
        <v>13.546512</v>
      </c>
      <c r="S44" s="332">
        <v>8.6279070000000004</v>
      </c>
      <c r="T44" s="332">
        <v>5.8023259999999999</v>
      </c>
      <c r="U44" s="332">
        <v>66.476743999999997</v>
      </c>
      <c r="V44" s="332">
        <v>40.441859999999998</v>
      </c>
      <c r="W44" s="331"/>
      <c r="X44" s="331"/>
      <c r="Y44" s="331"/>
      <c r="Z44" s="331"/>
      <c r="AA44" s="331"/>
    </row>
    <row r="45" spans="1:27" ht="15.5" x14ac:dyDescent="0.35">
      <c r="A45" s="330" t="s">
        <v>21</v>
      </c>
      <c r="B45" s="331" t="s">
        <v>341</v>
      </c>
      <c r="C45" s="331" t="s">
        <v>30</v>
      </c>
      <c r="D45" s="331" t="s">
        <v>218</v>
      </c>
      <c r="E45" s="331" t="s">
        <v>998</v>
      </c>
      <c r="F45" s="331" t="s">
        <v>219</v>
      </c>
      <c r="G45" s="331" t="s">
        <v>194</v>
      </c>
      <c r="H45" s="331" t="s">
        <v>5</v>
      </c>
      <c r="I45" s="332">
        <v>64.003690036900366</v>
      </c>
      <c r="J45" s="332">
        <v>141.04651200000001</v>
      </c>
      <c r="K45" s="332">
        <v>48.267442000000003</v>
      </c>
      <c r="L45" s="332">
        <v>31.372093</v>
      </c>
      <c r="M45" s="332">
        <v>8.9767440000000001</v>
      </c>
      <c r="N45" s="332">
        <v>31.686046999999999</v>
      </c>
      <c r="O45" s="332">
        <v>197.976744</v>
      </c>
      <c r="P45" s="332">
        <v>0</v>
      </c>
      <c r="Q45" s="332">
        <v>0</v>
      </c>
      <c r="R45" s="332">
        <v>10.255814000000001</v>
      </c>
      <c r="S45" s="332">
        <v>8.5930230000000005</v>
      </c>
      <c r="T45" s="332">
        <v>17</v>
      </c>
      <c r="U45" s="332">
        <v>193.813953</v>
      </c>
      <c r="V45" s="332">
        <v>64.360465000000005</v>
      </c>
      <c r="W45" s="331"/>
      <c r="X45" s="331" t="s">
        <v>896</v>
      </c>
      <c r="Y45" s="333">
        <v>45715</v>
      </c>
      <c r="Z45" s="331" t="s">
        <v>574</v>
      </c>
      <c r="AA45" s="331" t="s">
        <v>897</v>
      </c>
    </row>
    <row r="46" spans="1:27" ht="15.5" x14ac:dyDescent="0.35">
      <c r="A46" s="330" t="s">
        <v>999</v>
      </c>
      <c r="B46" s="331" t="s">
        <v>1000</v>
      </c>
      <c r="C46" s="331" t="s">
        <v>1001</v>
      </c>
      <c r="D46" s="331" t="s">
        <v>311</v>
      </c>
      <c r="E46" s="331" t="s">
        <v>1002</v>
      </c>
      <c r="F46" s="331" t="s">
        <v>245</v>
      </c>
      <c r="G46" s="331" t="s">
        <v>230</v>
      </c>
      <c r="H46" s="331" t="s">
        <v>5</v>
      </c>
      <c r="I46" s="332">
        <v>37.083950617283953</v>
      </c>
      <c r="J46" s="332">
        <v>379.03488399999998</v>
      </c>
      <c r="K46" s="332">
        <v>63.127907</v>
      </c>
      <c r="L46" s="332">
        <v>85.604651000000004</v>
      </c>
      <c r="M46" s="332">
        <v>53.837209000000001</v>
      </c>
      <c r="N46" s="332">
        <v>159.10465099999999</v>
      </c>
      <c r="O46" s="332">
        <v>422.5</v>
      </c>
      <c r="P46" s="332">
        <v>0</v>
      </c>
      <c r="Q46" s="332">
        <v>0</v>
      </c>
      <c r="R46" s="332">
        <v>71.488371999999998</v>
      </c>
      <c r="S46" s="332">
        <v>44</v>
      </c>
      <c r="T46" s="332">
        <v>52.616278999999999</v>
      </c>
      <c r="U46" s="332">
        <v>413.5</v>
      </c>
      <c r="V46" s="332">
        <v>260.16279100000003</v>
      </c>
      <c r="W46" s="331"/>
      <c r="X46" s="331" t="s">
        <v>952</v>
      </c>
      <c r="Y46" s="334">
        <v>45687</v>
      </c>
      <c r="Z46" s="331" t="s">
        <v>559</v>
      </c>
      <c r="AA46" s="331" t="s">
        <v>897</v>
      </c>
    </row>
    <row r="47" spans="1:27" ht="15.5" x14ac:dyDescent="0.35">
      <c r="A47" s="330" t="s">
        <v>1003</v>
      </c>
      <c r="B47" s="331" t="s">
        <v>1004</v>
      </c>
      <c r="C47" s="331" t="s">
        <v>1005</v>
      </c>
      <c r="D47" s="331" t="s">
        <v>378</v>
      </c>
      <c r="E47" s="331" t="s">
        <v>1006</v>
      </c>
      <c r="F47" s="331" t="s">
        <v>29</v>
      </c>
      <c r="G47" s="331" t="s">
        <v>230</v>
      </c>
      <c r="H47" s="331" t="s">
        <v>176</v>
      </c>
      <c r="I47" s="332">
        <v>43.760869565217391</v>
      </c>
      <c r="J47" s="332">
        <v>58.104650999999997</v>
      </c>
      <c r="K47" s="332">
        <v>18.546512</v>
      </c>
      <c r="L47" s="332">
        <v>10.604651</v>
      </c>
      <c r="M47" s="332">
        <v>5.5348839999999999</v>
      </c>
      <c r="N47" s="332">
        <v>5.6395350000000004</v>
      </c>
      <c r="O47" s="332">
        <v>20.930233000000001</v>
      </c>
      <c r="P47" s="332">
        <v>8.2209299999999992</v>
      </c>
      <c r="Q47" s="332">
        <v>58</v>
      </c>
      <c r="R47" s="332">
        <v>10.069767000000001</v>
      </c>
      <c r="S47" s="332">
        <v>2.7790699999999999</v>
      </c>
      <c r="T47" s="332">
        <v>6.3837210000000004</v>
      </c>
      <c r="U47" s="332">
        <v>73.558139999999995</v>
      </c>
      <c r="V47" s="332">
        <v>40.767442000000003</v>
      </c>
      <c r="W47" s="331"/>
      <c r="X47" s="331"/>
      <c r="Y47" s="331"/>
      <c r="Z47" s="331"/>
      <c r="AA47" s="331"/>
    </row>
    <row r="48" spans="1:27" ht="15.5" x14ac:dyDescent="0.35">
      <c r="A48" s="330" t="s">
        <v>1007</v>
      </c>
      <c r="B48" s="331" t="s">
        <v>377</v>
      </c>
      <c r="C48" s="331" t="s">
        <v>9</v>
      </c>
      <c r="D48" s="331" t="s">
        <v>378</v>
      </c>
      <c r="E48" s="331" t="s">
        <v>1008</v>
      </c>
      <c r="F48" s="331" t="s">
        <v>29</v>
      </c>
      <c r="G48" s="331" t="s">
        <v>230</v>
      </c>
      <c r="H48" s="331" t="s">
        <v>176</v>
      </c>
      <c r="I48" s="332">
        <v>13.615241635687729</v>
      </c>
      <c r="J48" s="332">
        <v>123.46511599999999</v>
      </c>
      <c r="K48" s="332">
        <v>24.627907</v>
      </c>
      <c r="L48" s="332">
        <v>51.953488</v>
      </c>
      <c r="M48" s="332">
        <v>36.534883999999998</v>
      </c>
      <c r="N48" s="332">
        <v>63.802326000000001</v>
      </c>
      <c r="O48" s="332">
        <v>171.988372</v>
      </c>
      <c r="P48" s="332">
        <v>5.8139999999999997E-2</v>
      </c>
      <c r="Q48" s="332">
        <v>0.73255800000000004</v>
      </c>
      <c r="R48" s="332">
        <v>31.988371999999998</v>
      </c>
      <c r="S48" s="332">
        <v>19.116278999999999</v>
      </c>
      <c r="T48" s="332">
        <v>29.988371999999998</v>
      </c>
      <c r="U48" s="332">
        <v>155.488372</v>
      </c>
      <c r="V48" s="332">
        <v>98.116279000000006</v>
      </c>
      <c r="W48" s="331"/>
      <c r="X48" s="331" t="s">
        <v>896</v>
      </c>
      <c r="Y48" s="333">
        <v>45302</v>
      </c>
      <c r="Z48" s="331" t="s">
        <v>559</v>
      </c>
      <c r="AA48" s="331" t="s">
        <v>897</v>
      </c>
    </row>
    <row r="49" spans="1:27" ht="15.5" x14ac:dyDescent="0.35">
      <c r="A49" s="330" t="s">
        <v>361</v>
      </c>
      <c r="B49" s="331" t="s">
        <v>1009</v>
      </c>
      <c r="C49" s="331" t="s">
        <v>1010</v>
      </c>
      <c r="D49" s="331" t="s">
        <v>262</v>
      </c>
      <c r="E49" s="331" t="s">
        <v>1011</v>
      </c>
      <c r="F49" s="331" t="s">
        <v>263</v>
      </c>
      <c r="G49" s="331" t="s">
        <v>230</v>
      </c>
      <c r="H49" s="331" t="s">
        <v>176</v>
      </c>
      <c r="I49" s="332">
        <v>58.526315789473678</v>
      </c>
      <c r="J49" s="332">
        <v>20.511628000000002</v>
      </c>
      <c r="K49" s="332">
        <v>24.511628000000002</v>
      </c>
      <c r="L49" s="332">
        <v>23.895349</v>
      </c>
      <c r="M49" s="332">
        <v>20.453488</v>
      </c>
      <c r="N49" s="332">
        <v>42.837209000000001</v>
      </c>
      <c r="O49" s="332">
        <v>32.430233000000001</v>
      </c>
      <c r="P49" s="332">
        <v>3.255814</v>
      </c>
      <c r="Q49" s="332">
        <v>10.848837</v>
      </c>
      <c r="R49" s="332">
        <v>38.651162999999997</v>
      </c>
      <c r="S49" s="332">
        <v>6.488372</v>
      </c>
      <c r="T49" s="332">
        <v>3.4186049999999999</v>
      </c>
      <c r="U49" s="332">
        <v>40.813952999999998</v>
      </c>
      <c r="V49" s="332">
        <v>40.5</v>
      </c>
      <c r="W49" s="331"/>
      <c r="X49" s="331" t="s">
        <v>896</v>
      </c>
      <c r="Y49" s="333">
        <v>45673</v>
      </c>
      <c r="Z49" s="331" t="s">
        <v>559</v>
      </c>
      <c r="AA49" s="331" t="s">
        <v>897</v>
      </c>
    </row>
    <row r="50" spans="1:27" ht="15.5" x14ac:dyDescent="0.35">
      <c r="A50" s="330" t="s">
        <v>569</v>
      </c>
      <c r="B50" s="331" t="s">
        <v>1012</v>
      </c>
      <c r="C50" s="331" t="s">
        <v>1013</v>
      </c>
      <c r="D50" s="331" t="s">
        <v>378</v>
      </c>
      <c r="E50" s="331" t="s">
        <v>1014</v>
      </c>
      <c r="F50" s="331" t="s">
        <v>29</v>
      </c>
      <c r="G50" s="331" t="s">
        <v>230</v>
      </c>
      <c r="H50" s="331" t="s">
        <v>176</v>
      </c>
      <c r="I50" s="332">
        <v>5.1942028985507243</v>
      </c>
      <c r="J50" s="332">
        <v>12.616279</v>
      </c>
      <c r="K50" s="332">
        <v>4.5232559999999999</v>
      </c>
      <c r="L50" s="332">
        <v>4.3488369999999996</v>
      </c>
      <c r="M50" s="332">
        <v>5.8953490000000004</v>
      </c>
      <c r="N50" s="332">
        <v>8</v>
      </c>
      <c r="O50" s="332">
        <v>11.523256</v>
      </c>
      <c r="P50" s="332">
        <v>3.0348839999999999</v>
      </c>
      <c r="Q50" s="332">
        <v>4.8255809999999997</v>
      </c>
      <c r="R50" s="332">
        <v>5.7790699999999999</v>
      </c>
      <c r="S50" s="332">
        <v>4.4069770000000004</v>
      </c>
      <c r="T50" s="332">
        <v>2.2790699999999999</v>
      </c>
      <c r="U50" s="332">
        <v>14.918604999999999</v>
      </c>
      <c r="V50" s="332">
        <v>17.872093</v>
      </c>
      <c r="W50" s="331"/>
      <c r="X50" s="331"/>
      <c r="Y50" s="331"/>
      <c r="Z50" s="331"/>
      <c r="AA50" s="331"/>
    </row>
    <row r="51" spans="1:27" ht="15.5" x14ac:dyDescent="0.35">
      <c r="A51" s="330" t="s">
        <v>569</v>
      </c>
      <c r="B51" s="331" t="s">
        <v>585</v>
      </c>
      <c r="C51" s="331" t="s">
        <v>568</v>
      </c>
      <c r="D51" s="331" t="s">
        <v>267</v>
      </c>
      <c r="E51" s="331" t="s">
        <v>1015</v>
      </c>
      <c r="F51" s="331" t="s">
        <v>268</v>
      </c>
      <c r="G51" s="331" t="s">
        <v>230</v>
      </c>
      <c r="H51" s="331" t="s">
        <v>176</v>
      </c>
      <c r="I51" s="332">
        <v>3.0333333333333332</v>
      </c>
      <c r="J51" s="332">
        <v>4.0697669999999997</v>
      </c>
      <c r="K51" s="332">
        <v>0.10465099999999999</v>
      </c>
      <c r="L51" s="332">
        <v>4.6511999999999998E-2</v>
      </c>
      <c r="M51" s="332">
        <v>5.8139999999999997E-2</v>
      </c>
      <c r="N51" s="332">
        <v>6.9766999999999996E-2</v>
      </c>
      <c r="O51" s="332">
        <v>1.767442</v>
      </c>
      <c r="P51" s="332">
        <v>0</v>
      </c>
      <c r="Q51" s="332">
        <v>2.4418600000000001</v>
      </c>
      <c r="R51" s="332">
        <v>6.9766999999999996E-2</v>
      </c>
      <c r="S51" s="332">
        <v>3.4883999999999998E-2</v>
      </c>
      <c r="T51" s="332">
        <v>2.3255999999999999E-2</v>
      </c>
      <c r="U51" s="332">
        <v>4.1511630000000004</v>
      </c>
      <c r="V51" s="332">
        <v>0.26744200000000001</v>
      </c>
      <c r="W51" s="331"/>
      <c r="X51" s="331" t="s">
        <v>896</v>
      </c>
      <c r="Y51" s="333">
        <v>45449</v>
      </c>
      <c r="Z51" s="331" t="s">
        <v>559</v>
      </c>
      <c r="AA51" s="331" t="s">
        <v>897</v>
      </c>
    </row>
    <row r="52" spans="1:27" ht="15.5" x14ac:dyDescent="0.35">
      <c r="A52" s="330" t="s">
        <v>392</v>
      </c>
      <c r="B52" s="331" t="s">
        <v>1016</v>
      </c>
      <c r="C52" s="331" t="s">
        <v>393</v>
      </c>
      <c r="D52" s="331" t="s">
        <v>184</v>
      </c>
      <c r="E52" s="331" t="s">
        <v>1017</v>
      </c>
      <c r="F52" s="331" t="s">
        <v>565</v>
      </c>
      <c r="G52" s="331" t="s">
        <v>230</v>
      </c>
      <c r="H52" s="331" t="s">
        <v>176</v>
      </c>
      <c r="I52" s="332">
        <v>5.9073107049608353</v>
      </c>
      <c r="J52" s="332">
        <v>34.860464999999998</v>
      </c>
      <c r="K52" s="332">
        <v>7.9186050000000003</v>
      </c>
      <c r="L52" s="332">
        <v>7.8139529999999997</v>
      </c>
      <c r="M52" s="332">
        <v>2.5348839999999999</v>
      </c>
      <c r="N52" s="332">
        <v>7.6744190000000003</v>
      </c>
      <c r="O52" s="332">
        <v>36.232557999999997</v>
      </c>
      <c r="P52" s="332">
        <v>2.3372090000000001</v>
      </c>
      <c r="Q52" s="332">
        <v>6.8837210000000004</v>
      </c>
      <c r="R52" s="332">
        <v>3.988372</v>
      </c>
      <c r="S52" s="332">
        <v>2.5465119999999999</v>
      </c>
      <c r="T52" s="332">
        <v>5</v>
      </c>
      <c r="U52" s="332">
        <v>41.593024</v>
      </c>
      <c r="V52" s="332">
        <v>39.139535000000002</v>
      </c>
      <c r="W52" s="331"/>
      <c r="X52" s="331" t="s">
        <v>1018</v>
      </c>
      <c r="Y52" s="333">
        <v>45694</v>
      </c>
      <c r="Z52" s="331" t="s">
        <v>559</v>
      </c>
      <c r="AA52" s="331" t="s">
        <v>897</v>
      </c>
    </row>
    <row r="53" spans="1:27" ht="15.5" x14ac:dyDescent="0.35">
      <c r="A53" s="330" t="s">
        <v>400</v>
      </c>
      <c r="B53" s="331" t="s">
        <v>1019</v>
      </c>
      <c r="C53" s="331" t="s">
        <v>401</v>
      </c>
      <c r="D53" s="331" t="s">
        <v>254</v>
      </c>
      <c r="E53" s="331" t="s">
        <v>1020</v>
      </c>
      <c r="F53" s="331" t="s">
        <v>24</v>
      </c>
      <c r="G53" s="331" t="s">
        <v>194</v>
      </c>
      <c r="H53" s="331" t="s">
        <v>176</v>
      </c>
      <c r="I53" s="332">
        <v>4.9921011058451814</v>
      </c>
      <c r="J53" s="332">
        <v>17.860465000000001</v>
      </c>
      <c r="K53" s="332">
        <v>6.5</v>
      </c>
      <c r="L53" s="332">
        <v>8.2093019999999992</v>
      </c>
      <c r="M53" s="332">
        <v>3.3255810000000001</v>
      </c>
      <c r="N53" s="332">
        <v>9</v>
      </c>
      <c r="O53" s="332">
        <v>18.581395000000001</v>
      </c>
      <c r="P53" s="332">
        <v>0.88372099999999998</v>
      </c>
      <c r="Q53" s="332">
        <v>7.4302330000000003</v>
      </c>
      <c r="R53" s="332">
        <v>3.7093020000000001</v>
      </c>
      <c r="S53" s="332">
        <v>4.6860470000000003</v>
      </c>
      <c r="T53" s="332">
        <v>8.6046510000000005</v>
      </c>
      <c r="U53" s="332">
        <v>18.895347999999998</v>
      </c>
      <c r="V53" s="332">
        <v>11.906976999999999</v>
      </c>
      <c r="W53" s="331"/>
      <c r="X53" s="331" t="s">
        <v>896</v>
      </c>
      <c r="Y53" s="333">
        <v>45631</v>
      </c>
      <c r="Z53" s="331" t="s">
        <v>559</v>
      </c>
      <c r="AA53" s="331" t="s">
        <v>897</v>
      </c>
    </row>
    <row r="54" spans="1:27" ht="15.5" x14ac:dyDescent="0.35">
      <c r="A54" s="330" t="s">
        <v>1021</v>
      </c>
      <c r="B54" s="331" t="s">
        <v>1022</v>
      </c>
      <c r="C54" s="331" t="s">
        <v>1023</v>
      </c>
      <c r="D54" s="331" t="s">
        <v>320</v>
      </c>
      <c r="E54" s="331" t="s">
        <v>1024</v>
      </c>
      <c r="F54" s="331" t="s">
        <v>321</v>
      </c>
      <c r="G54" s="331" t="s">
        <v>230</v>
      </c>
      <c r="H54" s="331" t="s">
        <v>5</v>
      </c>
      <c r="I54" s="332">
        <v>35.875</v>
      </c>
      <c r="J54" s="332">
        <v>58.313952999999998</v>
      </c>
      <c r="K54" s="332">
        <v>3.0697670000000001</v>
      </c>
      <c r="L54" s="332">
        <v>3.2093020000000001</v>
      </c>
      <c r="M54" s="332">
        <v>2.616279</v>
      </c>
      <c r="N54" s="332">
        <v>4.0813949999999997</v>
      </c>
      <c r="O54" s="332">
        <v>27.395349</v>
      </c>
      <c r="P54" s="332">
        <v>2.0697670000000001</v>
      </c>
      <c r="Q54" s="332">
        <v>33.662790999999999</v>
      </c>
      <c r="R54" s="332">
        <v>2.5813950000000001</v>
      </c>
      <c r="S54" s="332">
        <v>0.23255799999999999</v>
      </c>
      <c r="T54" s="332">
        <v>5.255814</v>
      </c>
      <c r="U54" s="332">
        <v>59.139535000000002</v>
      </c>
      <c r="V54" s="332">
        <v>28.686046999999999</v>
      </c>
      <c r="W54" s="331"/>
      <c r="X54" s="331" t="s">
        <v>952</v>
      </c>
      <c r="Y54" s="334">
        <v>45694</v>
      </c>
      <c r="Z54" s="331" t="s">
        <v>559</v>
      </c>
      <c r="AA54" s="331" t="s">
        <v>897</v>
      </c>
    </row>
    <row r="55" spans="1:27" ht="15.5" x14ac:dyDescent="0.35">
      <c r="A55" s="330" t="s">
        <v>1025</v>
      </c>
      <c r="B55" s="331" t="s">
        <v>1026</v>
      </c>
      <c r="C55" s="331" t="s">
        <v>1027</v>
      </c>
      <c r="D55" s="331" t="s">
        <v>295</v>
      </c>
      <c r="E55" s="331" t="s">
        <v>1028</v>
      </c>
      <c r="F55" s="331" t="s">
        <v>296</v>
      </c>
      <c r="G55" s="331" t="s">
        <v>230</v>
      </c>
      <c r="H55" s="331" t="s">
        <v>176</v>
      </c>
      <c r="I55" s="332">
        <v>10.646153846153849</v>
      </c>
      <c r="J55" s="332">
        <v>6.4069770000000004</v>
      </c>
      <c r="K55" s="332">
        <v>6.8604649999999996</v>
      </c>
      <c r="L55" s="332">
        <v>2.139535</v>
      </c>
      <c r="M55" s="332">
        <v>0.25581399999999999</v>
      </c>
      <c r="N55" s="332">
        <v>2.616279</v>
      </c>
      <c r="O55" s="332">
        <v>11.627907</v>
      </c>
      <c r="P55" s="332">
        <v>0.32558100000000001</v>
      </c>
      <c r="Q55" s="332">
        <v>1.0930230000000001</v>
      </c>
      <c r="R55" s="332">
        <v>2.360465</v>
      </c>
      <c r="S55" s="332">
        <v>0.89534899999999995</v>
      </c>
      <c r="T55" s="332">
        <v>0.48837199999999997</v>
      </c>
      <c r="U55" s="332">
        <v>11.918604999999999</v>
      </c>
      <c r="V55" s="332">
        <v>4.0232559999999999</v>
      </c>
      <c r="W55" s="331"/>
      <c r="X55" s="331"/>
      <c r="Y55" s="331"/>
      <c r="Z55" s="331"/>
      <c r="AA55" s="331"/>
    </row>
    <row r="56" spans="1:27" ht="15.5" x14ac:dyDescent="0.35">
      <c r="A56" s="330" t="s">
        <v>562</v>
      </c>
      <c r="B56" s="331" t="s">
        <v>582</v>
      </c>
      <c r="C56" s="331" t="s">
        <v>561</v>
      </c>
      <c r="D56" s="331" t="s">
        <v>560</v>
      </c>
      <c r="E56" s="331" t="s">
        <v>1029</v>
      </c>
      <c r="F56" s="331" t="s">
        <v>292</v>
      </c>
      <c r="G56" s="331" t="s">
        <v>230</v>
      </c>
      <c r="H56" s="331" t="s">
        <v>176</v>
      </c>
      <c r="I56" s="332">
        <v>56.986486486486477</v>
      </c>
      <c r="J56" s="332">
        <v>0</v>
      </c>
      <c r="K56" s="332">
        <v>0</v>
      </c>
      <c r="L56" s="332">
        <v>35.139535000000002</v>
      </c>
      <c r="M56" s="332">
        <v>26.488371999999998</v>
      </c>
      <c r="N56" s="332">
        <v>19.813953000000001</v>
      </c>
      <c r="O56" s="332">
        <v>18.744185999999999</v>
      </c>
      <c r="P56" s="332">
        <v>4.5697669999999997</v>
      </c>
      <c r="Q56" s="332">
        <v>18.5</v>
      </c>
      <c r="R56" s="332">
        <v>20.302326000000001</v>
      </c>
      <c r="S56" s="332">
        <v>5.7790699999999999</v>
      </c>
      <c r="T56" s="332">
        <v>3.1744189999999999</v>
      </c>
      <c r="U56" s="332">
        <v>32.372093</v>
      </c>
      <c r="V56" s="332">
        <v>28.965115999999998</v>
      </c>
      <c r="W56" s="331"/>
      <c r="X56" s="331" t="s">
        <v>896</v>
      </c>
      <c r="Y56" s="333">
        <v>45547</v>
      </c>
      <c r="Z56" s="331" t="s">
        <v>559</v>
      </c>
      <c r="AA56" s="331" t="s">
        <v>897</v>
      </c>
    </row>
    <row r="57" spans="1:27" ht="15.5" x14ac:dyDescent="0.35">
      <c r="A57" s="330" t="s">
        <v>1030</v>
      </c>
      <c r="B57" s="331" t="s">
        <v>1031</v>
      </c>
      <c r="C57" s="331" t="s">
        <v>1032</v>
      </c>
      <c r="D57" s="331" t="s">
        <v>356</v>
      </c>
      <c r="E57" s="331" t="s">
        <v>1033</v>
      </c>
      <c r="F57" s="331" t="s">
        <v>296</v>
      </c>
      <c r="G57" s="331" t="s">
        <v>230</v>
      </c>
      <c r="H57" s="331" t="s">
        <v>176</v>
      </c>
      <c r="I57" s="332">
        <v>26.014705882352938</v>
      </c>
      <c r="J57" s="332">
        <v>7.3023259999999999</v>
      </c>
      <c r="K57" s="332">
        <v>6.3953490000000004</v>
      </c>
      <c r="L57" s="332">
        <v>9.2093019999999992</v>
      </c>
      <c r="M57" s="332">
        <v>2.116279</v>
      </c>
      <c r="N57" s="332">
        <v>9.1744179999999993</v>
      </c>
      <c r="O57" s="332">
        <v>11.406976999999999</v>
      </c>
      <c r="P57" s="332">
        <v>2.2209300000000001</v>
      </c>
      <c r="Q57" s="332">
        <v>2.2209300000000001</v>
      </c>
      <c r="R57" s="332">
        <v>5.8372089999999996</v>
      </c>
      <c r="S57" s="332">
        <v>4.0930229999999996</v>
      </c>
      <c r="T57" s="332">
        <v>6.8255809999999997</v>
      </c>
      <c r="U57" s="332">
        <v>8.2674420000000008</v>
      </c>
      <c r="V57" s="332">
        <v>17.162790999999999</v>
      </c>
      <c r="W57" s="331"/>
      <c r="X57" s="331" t="s">
        <v>395</v>
      </c>
      <c r="Y57" s="333">
        <v>45633</v>
      </c>
      <c r="Z57" s="331" t="s">
        <v>987</v>
      </c>
      <c r="AA57" s="331" t="s">
        <v>897</v>
      </c>
    </row>
    <row r="58" spans="1:27" ht="15.5" x14ac:dyDescent="0.35">
      <c r="A58" s="330" t="s">
        <v>402</v>
      </c>
      <c r="B58" s="331" t="s">
        <v>403</v>
      </c>
      <c r="C58" s="331" t="s">
        <v>404</v>
      </c>
      <c r="D58" s="331" t="s">
        <v>184</v>
      </c>
      <c r="E58" s="331" t="s">
        <v>1034</v>
      </c>
      <c r="F58" s="331" t="s">
        <v>245</v>
      </c>
      <c r="G58" s="331" t="s">
        <v>230</v>
      </c>
      <c r="H58" s="331" t="s">
        <v>176</v>
      </c>
      <c r="I58" s="332">
        <v>0.75</v>
      </c>
      <c r="J58" s="332">
        <v>1.0348839999999999</v>
      </c>
      <c r="K58" s="332">
        <v>0</v>
      </c>
      <c r="L58" s="332">
        <v>0</v>
      </c>
      <c r="M58" s="332">
        <v>0</v>
      </c>
      <c r="N58" s="332">
        <v>1.1627999999999999E-2</v>
      </c>
      <c r="O58" s="332">
        <v>1.0232559999999999</v>
      </c>
      <c r="P58" s="332">
        <v>0</v>
      </c>
      <c r="Q58" s="332">
        <v>0</v>
      </c>
      <c r="R58" s="332">
        <v>1.1627999999999999E-2</v>
      </c>
      <c r="S58" s="332">
        <v>0</v>
      </c>
      <c r="T58" s="332">
        <v>0</v>
      </c>
      <c r="U58" s="332">
        <v>1.0232559999999999</v>
      </c>
      <c r="V58" s="332">
        <v>2.3255999999999999E-2</v>
      </c>
      <c r="W58" s="331"/>
      <c r="X58" s="331" t="s">
        <v>896</v>
      </c>
      <c r="Y58" s="333">
        <v>45491</v>
      </c>
      <c r="Z58" s="331" t="s">
        <v>559</v>
      </c>
      <c r="AA58" s="331" t="s">
        <v>897</v>
      </c>
    </row>
    <row r="59" spans="1:27" ht="15.5" x14ac:dyDescent="0.35">
      <c r="A59" s="330" t="s">
        <v>1035</v>
      </c>
      <c r="B59" s="331" t="s">
        <v>1036</v>
      </c>
      <c r="C59" s="331" t="s">
        <v>1037</v>
      </c>
      <c r="D59" s="331" t="s">
        <v>333</v>
      </c>
      <c r="E59" s="331" t="s">
        <v>1038</v>
      </c>
      <c r="F59" s="331" t="s">
        <v>29</v>
      </c>
      <c r="G59" s="331" t="s">
        <v>230</v>
      </c>
      <c r="H59" s="331" t="s">
        <v>176</v>
      </c>
      <c r="I59" s="332">
        <v>22.035714285714281</v>
      </c>
      <c r="J59" s="332">
        <v>6.5813949999999997</v>
      </c>
      <c r="K59" s="332">
        <v>3.4186049999999999</v>
      </c>
      <c r="L59" s="332">
        <v>5.4069770000000004</v>
      </c>
      <c r="M59" s="332">
        <v>4.4767440000000001</v>
      </c>
      <c r="N59" s="332">
        <v>5.0348839999999999</v>
      </c>
      <c r="O59" s="332">
        <v>14.093023000000001</v>
      </c>
      <c r="P59" s="332">
        <v>0</v>
      </c>
      <c r="Q59" s="332">
        <v>0.75581399999999999</v>
      </c>
      <c r="R59" s="332">
        <v>2.372093</v>
      </c>
      <c r="S59" s="332">
        <v>4.1976740000000001</v>
      </c>
      <c r="T59" s="332">
        <v>5.4651160000000001</v>
      </c>
      <c r="U59" s="332">
        <v>7.8488369999999996</v>
      </c>
      <c r="V59" s="332">
        <v>10.383721</v>
      </c>
      <c r="W59" s="331"/>
      <c r="X59" s="331"/>
      <c r="Y59" s="331"/>
      <c r="Z59" s="331"/>
      <c r="AA59" s="331"/>
    </row>
    <row r="60" spans="1:27" ht="15.5" x14ac:dyDescent="0.35">
      <c r="A60" s="330" t="s">
        <v>1039</v>
      </c>
      <c r="B60" s="331" t="s">
        <v>1040</v>
      </c>
      <c r="C60" s="331" t="s">
        <v>1041</v>
      </c>
      <c r="D60" s="331" t="s">
        <v>396</v>
      </c>
      <c r="E60" s="331" t="s">
        <v>1042</v>
      </c>
      <c r="F60" s="331" t="s">
        <v>314</v>
      </c>
      <c r="G60" s="331" t="s">
        <v>194</v>
      </c>
      <c r="H60" s="331" t="s">
        <v>176</v>
      </c>
      <c r="I60" s="332">
        <v>2.8976377952755912</v>
      </c>
      <c r="J60" s="332">
        <v>1.3372090000000001</v>
      </c>
      <c r="K60" s="332">
        <v>2.5581399999999999</v>
      </c>
      <c r="L60" s="332">
        <v>0.51162799999999997</v>
      </c>
      <c r="M60" s="332">
        <v>0.15116299999999999</v>
      </c>
      <c r="N60" s="332">
        <v>1.5813950000000001</v>
      </c>
      <c r="O60" s="332">
        <v>2.627907</v>
      </c>
      <c r="P60" s="332">
        <v>5.8139999999999997E-2</v>
      </c>
      <c r="Q60" s="332">
        <v>0.29069800000000001</v>
      </c>
      <c r="R60" s="332">
        <v>0.98837200000000003</v>
      </c>
      <c r="S60" s="332">
        <v>0.98837200000000003</v>
      </c>
      <c r="T60" s="332">
        <v>1</v>
      </c>
      <c r="U60" s="332">
        <v>1.581396</v>
      </c>
      <c r="V60" s="332">
        <v>3</v>
      </c>
      <c r="W60" s="331"/>
      <c r="X60" s="331"/>
      <c r="Y60" s="331"/>
      <c r="Z60" s="331"/>
      <c r="AA60" s="331"/>
    </row>
    <row r="61" spans="1:27" ht="15.5" x14ac:dyDescent="0.35">
      <c r="A61" s="330" t="s">
        <v>1043</v>
      </c>
      <c r="B61" s="331" t="s">
        <v>1044</v>
      </c>
      <c r="C61" s="331" t="s">
        <v>1045</v>
      </c>
      <c r="D61" s="331" t="s">
        <v>246</v>
      </c>
      <c r="E61" s="331" t="s">
        <v>1046</v>
      </c>
      <c r="F61" s="331" t="s">
        <v>247</v>
      </c>
      <c r="G61" s="331" t="s">
        <v>186</v>
      </c>
      <c r="H61" s="331" t="s">
        <v>176</v>
      </c>
      <c r="I61" s="332">
        <v>19.11783532150131</v>
      </c>
      <c r="J61" s="332">
        <v>775.54651200000001</v>
      </c>
      <c r="K61" s="332">
        <v>114.80232599999999</v>
      </c>
      <c r="L61" s="332">
        <v>2.232558</v>
      </c>
      <c r="M61" s="332">
        <v>0.12790699999999999</v>
      </c>
      <c r="N61" s="332">
        <v>70.337209000000001</v>
      </c>
      <c r="O61" s="332">
        <v>765.348837</v>
      </c>
      <c r="P61" s="332">
        <v>2.895349</v>
      </c>
      <c r="Q61" s="332">
        <v>54.127907</v>
      </c>
      <c r="R61" s="332">
        <v>5.0465119999999999</v>
      </c>
      <c r="S61" s="332">
        <v>27.906977000000001</v>
      </c>
      <c r="T61" s="332">
        <v>67.720929999999996</v>
      </c>
      <c r="U61" s="332">
        <v>792.03488300000004</v>
      </c>
      <c r="V61" s="332">
        <v>299.73255799999998</v>
      </c>
      <c r="W61" s="332">
        <v>700</v>
      </c>
      <c r="X61" s="331" t="s">
        <v>896</v>
      </c>
      <c r="Y61" s="333">
        <v>45897</v>
      </c>
      <c r="Z61" s="331" t="s">
        <v>559</v>
      </c>
      <c r="AA61" s="331" t="s">
        <v>897</v>
      </c>
    </row>
    <row r="62" spans="1:27" ht="15.5" x14ac:dyDescent="0.35">
      <c r="A62" s="330" t="s">
        <v>255</v>
      </c>
      <c r="B62" s="331" t="s">
        <v>1047</v>
      </c>
      <c r="C62" s="331" t="s">
        <v>34</v>
      </c>
      <c r="D62" s="331" t="s">
        <v>256</v>
      </c>
      <c r="E62" s="331" t="s">
        <v>1048</v>
      </c>
      <c r="F62" s="331" t="s">
        <v>257</v>
      </c>
      <c r="G62" s="331" t="s">
        <v>186</v>
      </c>
      <c r="H62" s="331" t="s">
        <v>176</v>
      </c>
      <c r="I62" s="332">
        <v>47.237261146496813</v>
      </c>
      <c r="J62" s="332">
        <v>476.94186000000002</v>
      </c>
      <c r="K62" s="332">
        <v>252.74418600000001</v>
      </c>
      <c r="L62" s="332">
        <v>281.12790699999999</v>
      </c>
      <c r="M62" s="332">
        <v>142.09302299999999</v>
      </c>
      <c r="N62" s="332">
        <v>298.48837200000003</v>
      </c>
      <c r="O62" s="332">
        <v>746.11627899999996</v>
      </c>
      <c r="P62" s="332">
        <v>26.511628000000002</v>
      </c>
      <c r="Q62" s="332">
        <v>81.790698000000006</v>
      </c>
      <c r="R62" s="332">
        <v>153.848837</v>
      </c>
      <c r="S62" s="332">
        <v>83.534884000000005</v>
      </c>
      <c r="T62" s="332">
        <v>112.95348799999999</v>
      </c>
      <c r="U62" s="332">
        <v>802.56976799999995</v>
      </c>
      <c r="V62" s="332">
        <v>487.55813999999998</v>
      </c>
      <c r="W62" s="332">
        <v>600</v>
      </c>
      <c r="X62" s="331" t="s">
        <v>896</v>
      </c>
      <c r="Y62" s="333">
        <v>45701</v>
      </c>
      <c r="Z62" s="331" t="s">
        <v>574</v>
      </c>
      <c r="AA62" s="331" t="s">
        <v>897</v>
      </c>
    </row>
    <row r="63" spans="1:27" ht="15.5" x14ac:dyDescent="0.35">
      <c r="A63" s="330" t="s">
        <v>1049</v>
      </c>
      <c r="B63" s="331" t="s">
        <v>1050</v>
      </c>
      <c r="C63" s="331" t="s">
        <v>415</v>
      </c>
      <c r="D63" s="331" t="s">
        <v>416</v>
      </c>
      <c r="E63" s="331" t="s">
        <v>1051</v>
      </c>
      <c r="F63" s="331" t="s">
        <v>285</v>
      </c>
      <c r="G63" s="331" t="s">
        <v>230</v>
      </c>
      <c r="H63" s="331" t="s">
        <v>5</v>
      </c>
      <c r="I63" s="332">
        <v>37.200000000000003</v>
      </c>
      <c r="J63" s="332">
        <v>1.372093</v>
      </c>
      <c r="K63" s="332">
        <v>10.186047</v>
      </c>
      <c r="L63" s="332">
        <v>4.5348839999999999</v>
      </c>
      <c r="M63" s="332">
        <v>0</v>
      </c>
      <c r="N63" s="332">
        <v>3.9302329999999999</v>
      </c>
      <c r="O63" s="332">
        <v>11.127907</v>
      </c>
      <c r="P63" s="332">
        <v>6.9766999999999996E-2</v>
      </c>
      <c r="Q63" s="332">
        <v>0.96511599999999997</v>
      </c>
      <c r="R63" s="332">
        <v>3.988372</v>
      </c>
      <c r="S63" s="332">
        <v>1.1627999999999999E-2</v>
      </c>
      <c r="T63" s="332">
        <v>0</v>
      </c>
      <c r="U63" s="332">
        <v>12.093023000000001</v>
      </c>
      <c r="V63" s="332">
        <v>4.7906979999999999</v>
      </c>
      <c r="W63" s="331"/>
      <c r="X63" s="331" t="s">
        <v>395</v>
      </c>
      <c r="Y63" s="333">
        <v>45365</v>
      </c>
      <c r="Z63" s="331" t="s">
        <v>987</v>
      </c>
      <c r="AA63" s="331" t="s">
        <v>897</v>
      </c>
    </row>
    <row r="64" spans="1:27" ht="15.5" x14ac:dyDescent="0.35">
      <c r="A64" s="330" t="s">
        <v>1052</v>
      </c>
      <c r="B64" s="331" t="s">
        <v>590</v>
      </c>
      <c r="C64" s="331" t="s">
        <v>172</v>
      </c>
      <c r="D64" s="331" t="s">
        <v>173</v>
      </c>
      <c r="E64" s="331" t="s">
        <v>898</v>
      </c>
      <c r="F64" s="331" t="s">
        <v>174</v>
      </c>
      <c r="G64" s="331" t="s">
        <v>186</v>
      </c>
      <c r="H64" s="331" t="s">
        <v>5</v>
      </c>
      <c r="I64" s="332">
        <v>53.637741046831962</v>
      </c>
      <c r="J64" s="332">
        <v>314.88372099999998</v>
      </c>
      <c r="K64" s="332">
        <v>48.744185999999999</v>
      </c>
      <c r="L64" s="332">
        <v>25.081395000000001</v>
      </c>
      <c r="M64" s="332">
        <v>6.0930229999999996</v>
      </c>
      <c r="N64" s="332">
        <v>42.802326000000001</v>
      </c>
      <c r="O64" s="332">
        <v>352</v>
      </c>
      <c r="P64" s="332">
        <v>0</v>
      </c>
      <c r="Q64" s="332">
        <v>0</v>
      </c>
      <c r="R64" s="332">
        <v>8.8023260000000008</v>
      </c>
      <c r="S64" s="332">
        <v>16.686046999999999</v>
      </c>
      <c r="T64" s="332">
        <v>31.918604999999999</v>
      </c>
      <c r="U64" s="332">
        <v>337.39534900000001</v>
      </c>
      <c r="V64" s="332">
        <v>161.60465099999999</v>
      </c>
      <c r="W64" s="332">
        <v>480</v>
      </c>
      <c r="X64" s="331" t="s">
        <v>896</v>
      </c>
      <c r="Y64" s="333">
        <v>45715</v>
      </c>
      <c r="Z64" s="331" t="s">
        <v>574</v>
      </c>
      <c r="AA64" s="331" t="s">
        <v>897</v>
      </c>
    </row>
    <row r="65" spans="1:27" ht="15.5" x14ac:dyDescent="0.35">
      <c r="A65" s="330" t="s">
        <v>1053</v>
      </c>
      <c r="B65" s="331" t="s">
        <v>595</v>
      </c>
      <c r="C65" s="331" t="s">
        <v>187</v>
      </c>
      <c r="D65" s="331" t="s">
        <v>184</v>
      </c>
      <c r="E65" s="331" t="s">
        <v>1054</v>
      </c>
      <c r="F65" s="331" t="s">
        <v>185</v>
      </c>
      <c r="G65" s="331" t="s">
        <v>188</v>
      </c>
      <c r="H65" s="331" t="s">
        <v>176</v>
      </c>
      <c r="I65" s="332">
        <v>19.595052083333329</v>
      </c>
      <c r="J65" s="332">
        <v>679.23255800000004</v>
      </c>
      <c r="K65" s="332">
        <v>41.430233000000001</v>
      </c>
      <c r="L65" s="332">
        <v>1.5581400000000001</v>
      </c>
      <c r="M65" s="332">
        <v>0.63953499999999996</v>
      </c>
      <c r="N65" s="332">
        <v>1.883721</v>
      </c>
      <c r="O65" s="332">
        <v>206.860465</v>
      </c>
      <c r="P65" s="332">
        <v>7.3139529999999997</v>
      </c>
      <c r="Q65" s="332">
        <v>506.80232599999999</v>
      </c>
      <c r="R65" s="332">
        <v>1.9302330000000001</v>
      </c>
      <c r="S65" s="332">
        <v>4.8023259999999999</v>
      </c>
      <c r="T65" s="332">
        <v>11.290698000000001</v>
      </c>
      <c r="U65" s="332">
        <v>704.83721000000003</v>
      </c>
      <c r="V65" s="332">
        <v>273.13953500000002</v>
      </c>
      <c r="W65" s="332">
        <v>2400</v>
      </c>
      <c r="X65" s="331" t="s">
        <v>896</v>
      </c>
      <c r="Y65" s="333">
        <v>45246</v>
      </c>
      <c r="Z65" s="331" t="s">
        <v>1055</v>
      </c>
      <c r="AA65" s="331" t="s">
        <v>897</v>
      </c>
    </row>
    <row r="66" spans="1:27" ht="15.5" x14ac:dyDescent="0.35">
      <c r="A66" s="330" t="s">
        <v>334</v>
      </c>
      <c r="B66" s="331" t="s">
        <v>335</v>
      </c>
      <c r="C66" s="331" t="s">
        <v>336</v>
      </c>
      <c r="D66" s="331" t="s">
        <v>322</v>
      </c>
      <c r="E66" s="331" t="s">
        <v>1056</v>
      </c>
      <c r="F66" s="331" t="s">
        <v>29</v>
      </c>
      <c r="G66" s="331" t="s">
        <v>230</v>
      </c>
      <c r="H66" s="331" t="s">
        <v>176</v>
      </c>
      <c r="I66" s="332">
        <v>23.771653543307089</v>
      </c>
      <c r="J66" s="332">
        <v>33.279069999999997</v>
      </c>
      <c r="K66" s="332">
        <v>5.988372</v>
      </c>
      <c r="L66" s="332">
        <v>40.755814000000001</v>
      </c>
      <c r="M66" s="332">
        <v>17.686046999999999</v>
      </c>
      <c r="N66" s="332">
        <v>47.744185999999999</v>
      </c>
      <c r="O66" s="332">
        <v>49.965116000000002</v>
      </c>
      <c r="P66" s="332">
        <v>0</v>
      </c>
      <c r="Q66" s="332">
        <v>0</v>
      </c>
      <c r="R66" s="332">
        <v>21.476744</v>
      </c>
      <c r="S66" s="332">
        <v>11.651163</v>
      </c>
      <c r="T66" s="332">
        <v>17.546512</v>
      </c>
      <c r="U66" s="332">
        <v>47.034883000000001</v>
      </c>
      <c r="V66" s="332">
        <v>50.209302000000001</v>
      </c>
      <c r="W66" s="331"/>
      <c r="X66" s="331" t="s">
        <v>896</v>
      </c>
      <c r="Y66" s="333">
        <v>45750</v>
      </c>
      <c r="Z66" s="331" t="s">
        <v>559</v>
      </c>
      <c r="AA66" s="331" t="s">
        <v>897</v>
      </c>
    </row>
    <row r="67" spans="1:27" ht="15.5" x14ac:dyDescent="0.35">
      <c r="A67" s="330" t="s">
        <v>1057</v>
      </c>
      <c r="B67" s="331" t="s">
        <v>1058</v>
      </c>
      <c r="C67" s="331" t="s">
        <v>1059</v>
      </c>
      <c r="D67" s="331" t="s">
        <v>218</v>
      </c>
      <c r="E67" s="331" t="s">
        <v>1060</v>
      </c>
      <c r="F67" s="331" t="s">
        <v>219</v>
      </c>
      <c r="G67" s="331" t="s">
        <v>230</v>
      </c>
      <c r="H67" s="331" t="s">
        <v>176</v>
      </c>
      <c r="I67" s="332">
        <v>0.66666666666666663</v>
      </c>
      <c r="J67" s="332">
        <v>1.1627999999999999E-2</v>
      </c>
      <c r="K67" s="332">
        <v>0</v>
      </c>
      <c r="L67" s="332">
        <v>1.011628</v>
      </c>
      <c r="M67" s="332">
        <v>0</v>
      </c>
      <c r="N67" s="332">
        <v>1.1627999999999999E-2</v>
      </c>
      <c r="O67" s="332">
        <v>1.1627999999999999E-2</v>
      </c>
      <c r="P67" s="332">
        <v>1</v>
      </c>
      <c r="Q67" s="332">
        <v>0</v>
      </c>
      <c r="R67" s="332">
        <v>0</v>
      </c>
      <c r="S67" s="332">
        <v>1.1627999999999999E-2</v>
      </c>
      <c r="T67" s="332">
        <v>0</v>
      </c>
      <c r="U67" s="332">
        <v>1.011628</v>
      </c>
      <c r="V67" s="332">
        <v>2.3255999999999999E-2</v>
      </c>
      <c r="W67" s="331"/>
      <c r="X67" s="331"/>
      <c r="Y67" s="331" t="s">
        <v>936</v>
      </c>
      <c r="Z67" s="331"/>
      <c r="AA67" s="331"/>
    </row>
    <row r="68" spans="1:27" ht="15.5" x14ac:dyDescent="0.35">
      <c r="A68" s="330" t="s">
        <v>1061</v>
      </c>
      <c r="B68" s="331" t="s">
        <v>1062</v>
      </c>
      <c r="C68" s="331" t="s">
        <v>1063</v>
      </c>
      <c r="D68" s="331" t="s">
        <v>322</v>
      </c>
      <c r="E68" s="331" t="s">
        <v>1064</v>
      </c>
      <c r="F68" s="331" t="s">
        <v>296</v>
      </c>
      <c r="G68" s="331" t="s">
        <v>230</v>
      </c>
      <c r="H68" s="331" t="s">
        <v>176</v>
      </c>
      <c r="I68" s="332">
        <v>35.772727272727273</v>
      </c>
      <c r="J68" s="332">
        <v>12.104651</v>
      </c>
      <c r="K68" s="332">
        <v>9.8255809999999997</v>
      </c>
      <c r="L68" s="332">
        <v>3.0232559999999999</v>
      </c>
      <c r="M68" s="332">
        <v>0.15116299999999999</v>
      </c>
      <c r="N68" s="332">
        <v>3.1744189999999999</v>
      </c>
      <c r="O68" s="332">
        <v>19.360465000000001</v>
      </c>
      <c r="P68" s="332">
        <v>0.13953499999999999</v>
      </c>
      <c r="Q68" s="332">
        <v>2.4302329999999999</v>
      </c>
      <c r="R68" s="332">
        <v>0.13953499999999999</v>
      </c>
      <c r="S68" s="332">
        <v>1.244186</v>
      </c>
      <c r="T68" s="332">
        <v>3.5</v>
      </c>
      <c r="U68" s="332">
        <v>20.220931</v>
      </c>
      <c r="V68" s="332">
        <v>11.081395000000001</v>
      </c>
      <c r="W68" s="331"/>
      <c r="X68" s="331"/>
      <c r="Y68" s="331"/>
      <c r="Z68" s="331"/>
      <c r="AA68" s="331"/>
    </row>
    <row r="69" spans="1:27" ht="15.5" x14ac:dyDescent="0.35">
      <c r="A69" s="330" t="s">
        <v>1065</v>
      </c>
      <c r="B69" s="331" t="s">
        <v>1066</v>
      </c>
      <c r="C69" s="331" t="s">
        <v>1067</v>
      </c>
      <c r="D69" s="331" t="s">
        <v>422</v>
      </c>
      <c r="E69" s="331" t="s">
        <v>1068</v>
      </c>
      <c r="F69" s="331" t="s">
        <v>263</v>
      </c>
      <c r="G69" s="331" t="s">
        <v>194</v>
      </c>
      <c r="H69" s="331" t="s">
        <v>176</v>
      </c>
      <c r="I69" s="332">
        <v>2.548648648648649</v>
      </c>
      <c r="J69" s="332">
        <v>8.9302329999999994</v>
      </c>
      <c r="K69" s="332">
        <v>1.7790699999999999</v>
      </c>
      <c r="L69" s="332">
        <v>0.34883700000000001</v>
      </c>
      <c r="M69" s="332">
        <v>0.13953499999999999</v>
      </c>
      <c r="N69" s="332">
        <v>1.127907</v>
      </c>
      <c r="O69" s="332">
        <v>10</v>
      </c>
      <c r="P69" s="332">
        <v>0</v>
      </c>
      <c r="Q69" s="332">
        <v>6.9766999999999996E-2</v>
      </c>
      <c r="R69" s="332">
        <v>0.37209300000000001</v>
      </c>
      <c r="S69" s="332">
        <v>0.25581399999999999</v>
      </c>
      <c r="T69" s="332">
        <v>0.80232599999999998</v>
      </c>
      <c r="U69" s="332">
        <v>9.7674420000000008</v>
      </c>
      <c r="V69" s="332">
        <v>6.0465119999999999</v>
      </c>
      <c r="W69" s="331"/>
      <c r="X69" s="331"/>
      <c r="Y69" s="331"/>
      <c r="Z69" s="331"/>
      <c r="AA69" s="331"/>
    </row>
    <row r="70" spans="1:27" ht="15.5" x14ac:dyDescent="0.35">
      <c r="A70" s="330" t="s">
        <v>772</v>
      </c>
      <c r="B70" s="331" t="s">
        <v>279</v>
      </c>
      <c r="C70" s="331" t="s">
        <v>31</v>
      </c>
      <c r="D70" s="331" t="s">
        <v>184</v>
      </c>
      <c r="E70" s="331" t="s">
        <v>1069</v>
      </c>
      <c r="F70" s="331" t="s">
        <v>245</v>
      </c>
      <c r="G70" s="331" t="s">
        <v>230</v>
      </c>
      <c r="H70" s="331" t="s">
        <v>5</v>
      </c>
      <c r="I70" s="332">
        <v>26.28671328671329</v>
      </c>
      <c r="J70" s="332">
        <v>372.81395300000003</v>
      </c>
      <c r="K70" s="332">
        <v>62.860464999999998</v>
      </c>
      <c r="L70" s="332">
        <v>7.1744190000000003</v>
      </c>
      <c r="M70" s="332">
        <v>1.5697669999999999</v>
      </c>
      <c r="N70" s="332">
        <v>52.360464999999998</v>
      </c>
      <c r="O70" s="332">
        <v>392.04651200000001</v>
      </c>
      <c r="P70" s="332">
        <v>1.1627999999999999E-2</v>
      </c>
      <c r="Q70" s="332">
        <v>0</v>
      </c>
      <c r="R70" s="332">
        <v>10.906976999999999</v>
      </c>
      <c r="S70" s="332">
        <v>15.744185999999999</v>
      </c>
      <c r="T70" s="332">
        <v>34.802326000000001</v>
      </c>
      <c r="U70" s="332">
        <v>382.96511600000002</v>
      </c>
      <c r="V70" s="332">
        <v>220.25581399999999</v>
      </c>
      <c r="W70" s="331"/>
      <c r="X70" s="331" t="s">
        <v>896</v>
      </c>
      <c r="Y70" s="333">
        <v>45715</v>
      </c>
      <c r="Z70" s="331" t="s">
        <v>559</v>
      </c>
      <c r="AA70" s="331" t="s">
        <v>897</v>
      </c>
    </row>
    <row r="71" spans="1:27" ht="15.5" x14ac:dyDescent="0.35">
      <c r="A71" s="330" t="s">
        <v>1070</v>
      </c>
      <c r="B71" s="331" t="s">
        <v>1071</v>
      </c>
      <c r="C71" s="331" t="s">
        <v>233</v>
      </c>
      <c r="D71" s="331" t="s">
        <v>184</v>
      </c>
      <c r="E71" s="331" t="s">
        <v>1072</v>
      </c>
      <c r="F71" s="331" t="s">
        <v>219</v>
      </c>
      <c r="G71" s="331" t="s">
        <v>194</v>
      </c>
      <c r="H71" s="331" t="s">
        <v>176</v>
      </c>
      <c r="I71" s="332">
        <v>0.16091954022988511</v>
      </c>
      <c r="J71" s="332">
        <v>2.267442</v>
      </c>
      <c r="K71" s="332">
        <v>0</v>
      </c>
      <c r="L71" s="332">
        <v>0</v>
      </c>
      <c r="M71" s="332">
        <v>0</v>
      </c>
      <c r="N71" s="332">
        <v>6.9766999999999996E-2</v>
      </c>
      <c r="O71" s="332">
        <v>2.1976740000000001</v>
      </c>
      <c r="P71" s="332">
        <v>0</v>
      </c>
      <c r="Q71" s="332">
        <v>0</v>
      </c>
      <c r="R71" s="332">
        <v>0</v>
      </c>
      <c r="S71" s="332">
        <v>6.9766999999999996E-2</v>
      </c>
      <c r="T71" s="332">
        <v>0</v>
      </c>
      <c r="U71" s="332">
        <v>2.1976740000000001</v>
      </c>
      <c r="V71" s="332">
        <v>0.15116299999999999</v>
      </c>
      <c r="W71" s="331"/>
      <c r="X71" s="331"/>
      <c r="Y71" s="331"/>
      <c r="Z71" s="331"/>
      <c r="AA71" s="331"/>
    </row>
    <row r="72" spans="1:27" ht="15.5" x14ac:dyDescent="0.35">
      <c r="A72" s="330" t="s">
        <v>231</v>
      </c>
      <c r="B72" s="331" t="s">
        <v>232</v>
      </c>
      <c r="C72" s="331" t="s">
        <v>233</v>
      </c>
      <c r="D72" s="331" t="s">
        <v>184</v>
      </c>
      <c r="E72" s="331" t="s">
        <v>1073</v>
      </c>
      <c r="F72" s="331" t="s">
        <v>219</v>
      </c>
      <c r="G72" s="331" t="s">
        <v>214</v>
      </c>
      <c r="H72" s="331" t="s">
        <v>176</v>
      </c>
      <c r="I72" s="332">
        <v>41.82960288808664</v>
      </c>
      <c r="J72" s="332">
        <v>410.01162799999997</v>
      </c>
      <c r="K72" s="332">
        <v>147.76744199999999</v>
      </c>
      <c r="L72" s="332">
        <v>155.06976700000001</v>
      </c>
      <c r="M72" s="332">
        <v>96.790698000000006</v>
      </c>
      <c r="N72" s="332">
        <v>203.54651200000001</v>
      </c>
      <c r="O72" s="332">
        <v>386.53488399999998</v>
      </c>
      <c r="P72" s="332">
        <v>52.058140000000002</v>
      </c>
      <c r="Q72" s="332">
        <v>167.5</v>
      </c>
      <c r="R72" s="332">
        <v>116.11627900000001</v>
      </c>
      <c r="S72" s="332">
        <v>62.465116000000002</v>
      </c>
      <c r="T72" s="332">
        <v>99.255814000000001</v>
      </c>
      <c r="U72" s="332">
        <v>531.802325</v>
      </c>
      <c r="V72" s="332">
        <v>327.04651200000001</v>
      </c>
      <c r="W72" s="332">
        <v>450</v>
      </c>
      <c r="X72" s="331" t="s">
        <v>896</v>
      </c>
      <c r="Y72" s="333">
        <v>45701</v>
      </c>
      <c r="Z72" s="331" t="s">
        <v>574</v>
      </c>
      <c r="AA72" s="331" t="s">
        <v>897</v>
      </c>
    </row>
    <row r="73" spans="1:27" ht="15.5" x14ac:dyDescent="0.35">
      <c r="A73" s="330" t="s">
        <v>8</v>
      </c>
      <c r="B73" s="331" t="s">
        <v>228</v>
      </c>
      <c r="C73" s="331" t="s">
        <v>229</v>
      </c>
      <c r="D73" s="331" t="s">
        <v>184</v>
      </c>
      <c r="E73" s="331" t="s">
        <v>1074</v>
      </c>
      <c r="F73" s="331" t="s">
        <v>565</v>
      </c>
      <c r="G73" s="331" t="s">
        <v>175</v>
      </c>
      <c r="H73" s="331" t="s">
        <v>176</v>
      </c>
      <c r="I73" s="332">
        <v>40.244214372716201</v>
      </c>
      <c r="J73" s="332">
        <v>713.10465099999999</v>
      </c>
      <c r="K73" s="332">
        <v>82.302325999999994</v>
      </c>
      <c r="L73" s="332">
        <v>75.616279000000006</v>
      </c>
      <c r="M73" s="332">
        <v>54.488371999999998</v>
      </c>
      <c r="N73" s="332">
        <v>135.23255800000001</v>
      </c>
      <c r="O73" s="332">
        <v>406.73255799999998</v>
      </c>
      <c r="P73" s="332">
        <v>27.686046999999999</v>
      </c>
      <c r="Q73" s="332">
        <v>355.86046499999998</v>
      </c>
      <c r="R73" s="332">
        <v>90.686047000000002</v>
      </c>
      <c r="S73" s="332">
        <v>45.651162999999997</v>
      </c>
      <c r="T73" s="332">
        <v>58.372093</v>
      </c>
      <c r="U73" s="332">
        <v>730.80232599999999</v>
      </c>
      <c r="V73" s="332">
        <v>519.26744199999996</v>
      </c>
      <c r="W73" s="332">
        <v>600</v>
      </c>
      <c r="X73" s="331" t="s">
        <v>896</v>
      </c>
      <c r="Y73" s="333">
        <v>45722</v>
      </c>
      <c r="Z73" s="331" t="s">
        <v>574</v>
      </c>
      <c r="AA73" s="331" t="s">
        <v>897</v>
      </c>
    </row>
    <row r="74" spans="1:27" ht="15.5" x14ac:dyDescent="0.35">
      <c r="A74" s="330" t="s">
        <v>309</v>
      </c>
      <c r="B74" s="331" t="s">
        <v>310</v>
      </c>
      <c r="C74" s="331" t="s">
        <v>19</v>
      </c>
      <c r="D74" s="331" t="s">
        <v>246</v>
      </c>
      <c r="E74" s="331" t="s">
        <v>1075</v>
      </c>
      <c r="F74" s="331" t="s">
        <v>247</v>
      </c>
      <c r="G74" s="331" t="s">
        <v>186</v>
      </c>
      <c r="H74" s="331" t="s">
        <v>176</v>
      </c>
      <c r="I74" s="332">
        <v>11.949185989146519</v>
      </c>
      <c r="J74" s="332">
        <v>184.360465</v>
      </c>
      <c r="K74" s="332">
        <v>45.686047000000002</v>
      </c>
      <c r="L74" s="332">
        <v>48.081395000000001</v>
      </c>
      <c r="M74" s="332">
        <v>31.697673999999999</v>
      </c>
      <c r="N74" s="332">
        <v>51.895349000000003</v>
      </c>
      <c r="O74" s="332">
        <v>229.73255800000001</v>
      </c>
      <c r="P74" s="332">
        <v>3</v>
      </c>
      <c r="Q74" s="332">
        <v>25.197673999999999</v>
      </c>
      <c r="R74" s="332">
        <v>31.267441999999999</v>
      </c>
      <c r="S74" s="332">
        <v>15.046512</v>
      </c>
      <c r="T74" s="332">
        <v>21.058140000000002</v>
      </c>
      <c r="U74" s="332">
        <v>242.45348799999999</v>
      </c>
      <c r="V74" s="332">
        <v>151.05814000000001</v>
      </c>
      <c r="W74" s="332">
        <v>285</v>
      </c>
      <c r="X74" s="331" t="s">
        <v>896</v>
      </c>
      <c r="Y74" s="333">
        <v>45631</v>
      </c>
      <c r="Z74" s="331" t="s">
        <v>574</v>
      </c>
      <c r="AA74" s="331" t="s">
        <v>897</v>
      </c>
    </row>
    <row r="75" spans="1:27" ht="15.5" x14ac:dyDescent="0.35">
      <c r="A75" s="330" t="s">
        <v>567</v>
      </c>
      <c r="B75" s="331" t="s">
        <v>584</v>
      </c>
      <c r="C75" s="331" t="s">
        <v>566</v>
      </c>
      <c r="D75" s="331" t="s">
        <v>426</v>
      </c>
      <c r="E75" s="331" t="s">
        <v>1076</v>
      </c>
      <c r="F75" s="331" t="s">
        <v>314</v>
      </c>
      <c r="G75" s="331" t="s">
        <v>230</v>
      </c>
      <c r="H75" s="331" t="s">
        <v>176</v>
      </c>
      <c r="I75" s="332">
        <v>4.0052910052910056</v>
      </c>
      <c r="J75" s="332">
        <v>3.488372</v>
      </c>
      <c r="K75" s="332">
        <v>3.872093</v>
      </c>
      <c r="L75" s="332">
        <v>1.9418599999999999</v>
      </c>
      <c r="M75" s="332">
        <v>0.38372099999999998</v>
      </c>
      <c r="N75" s="332">
        <v>2.4767440000000001</v>
      </c>
      <c r="O75" s="332">
        <v>6.1627910000000004</v>
      </c>
      <c r="P75" s="332">
        <v>0.15116299999999999</v>
      </c>
      <c r="Q75" s="332">
        <v>0.89534899999999995</v>
      </c>
      <c r="R75" s="332">
        <v>1.0465120000000001</v>
      </c>
      <c r="S75" s="332">
        <v>1.5348839999999999</v>
      </c>
      <c r="T75" s="332">
        <v>2.6976740000000001</v>
      </c>
      <c r="U75" s="332">
        <v>4.4069770000000004</v>
      </c>
      <c r="V75" s="332">
        <v>3.3488370000000001</v>
      </c>
      <c r="W75" s="331"/>
      <c r="X75" s="331" t="s">
        <v>896</v>
      </c>
      <c r="Y75" s="333">
        <v>45889</v>
      </c>
      <c r="Z75" s="331" t="s">
        <v>559</v>
      </c>
      <c r="AA75" s="331" t="s">
        <v>897</v>
      </c>
    </row>
    <row r="76" spans="1:27" ht="15.5" x14ac:dyDescent="0.35">
      <c r="A76" s="330" t="s">
        <v>199</v>
      </c>
      <c r="B76" s="331" t="s">
        <v>200</v>
      </c>
      <c r="C76" s="331" t="s">
        <v>27</v>
      </c>
      <c r="D76" s="331" t="s">
        <v>195</v>
      </c>
      <c r="E76" s="331" t="s">
        <v>1077</v>
      </c>
      <c r="F76" s="331" t="s">
        <v>196</v>
      </c>
      <c r="G76" s="331" t="s">
        <v>175</v>
      </c>
      <c r="H76" s="331" t="s">
        <v>176</v>
      </c>
      <c r="I76" s="332">
        <v>66.899296155928539</v>
      </c>
      <c r="J76" s="332">
        <v>825.10465099999999</v>
      </c>
      <c r="K76" s="332">
        <v>148.44185999999999</v>
      </c>
      <c r="L76" s="332">
        <v>201.89534900000001</v>
      </c>
      <c r="M76" s="332">
        <v>147.30232599999999</v>
      </c>
      <c r="N76" s="332">
        <v>200.662791</v>
      </c>
      <c r="O76" s="332">
        <v>593.45348799999999</v>
      </c>
      <c r="P76" s="332">
        <v>91.860465000000005</v>
      </c>
      <c r="Q76" s="332">
        <v>436.76744200000002</v>
      </c>
      <c r="R76" s="332">
        <v>136.94185999999999</v>
      </c>
      <c r="S76" s="332">
        <v>80.5</v>
      </c>
      <c r="T76" s="332">
        <v>118.593023</v>
      </c>
      <c r="U76" s="332">
        <v>986.70930299999998</v>
      </c>
      <c r="V76" s="332">
        <v>641.96511599999997</v>
      </c>
      <c r="W76" s="332">
        <v>900</v>
      </c>
      <c r="X76" s="331" t="s">
        <v>896</v>
      </c>
      <c r="Y76" s="333">
        <v>45596</v>
      </c>
      <c r="Z76" s="331" t="s">
        <v>574</v>
      </c>
      <c r="AA76" s="331" t="s">
        <v>897</v>
      </c>
    </row>
    <row r="77" spans="1:27" ht="15.5" x14ac:dyDescent="0.35">
      <c r="A77" s="330" t="s">
        <v>444</v>
      </c>
      <c r="B77" s="331" t="s">
        <v>1078</v>
      </c>
      <c r="C77" s="331" t="s">
        <v>445</v>
      </c>
      <c r="D77" s="331" t="s">
        <v>262</v>
      </c>
      <c r="E77" s="331" t="s">
        <v>1079</v>
      </c>
      <c r="F77" s="331" t="s">
        <v>263</v>
      </c>
      <c r="G77" s="331" t="s">
        <v>230</v>
      </c>
      <c r="H77" s="331" t="s">
        <v>5</v>
      </c>
      <c r="I77" s="332">
        <v>9.7340425531914896</v>
      </c>
      <c r="J77" s="332">
        <v>4.8139529999999997</v>
      </c>
      <c r="K77" s="332">
        <v>5.4767440000000001</v>
      </c>
      <c r="L77" s="332">
        <v>0.16279099999999999</v>
      </c>
      <c r="M77" s="332">
        <v>4.6511999999999998E-2</v>
      </c>
      <c r="N77" s="332">
        <v>0.81395300000000004</v>
      </c>
      <c r="O77" s="332">
        <v>9.6395350000000004</v>
      </c>
      <c r="P77" s="332">
        <v>0</v>
      </c>
      <c r="Q77" s="332">
        <v>4.6511999999999998E-2</v>
      </c>
      <c r="R77" s="332">
        <v>3.4883999999999998E-2</v>
      </c>
      <c r="S77" s="332">
        <v>0.73255800000000004</v>
      </c>
      <c r="T77" s="332">
        <v>0.80232599999999998</v>
      </c>
      <c r="U77" s="332">
        <v>8.9302329999999994</v>
      </c>
      <c r="V77" s="332">
        <v>7.2209300000000001</v>
      </c>
      <c r="W77" s="331"/>
      <c r="X77" s="331" t="s">
        <v>395</v>
      </c>
      <c r="Y77" s="333">
        <v>45371</v>
      </c>
      <c r="Z77" s="331" t="s">
        <v>987</v>
      </c>
      <c r="AA77" s="331" t="s">
        <v>897</v>
      </c>
    </row>
    <row r="78" spans="1:27" ht="15.5" x14ac:dyDescent="0.35">
      <c r="A78" s="330" t="s">
        <v>759</v>
      </c>
      <c r="B78" s="331" t="s">
        <v>1080</v>
      </c>
      <c r="C78" s="331" t="s">
        <v>233</v>
      </c>
      <c r="D78" s="331" t="s">
        <v>184</v>
      </c>
      <c r="E78" s="331" t="s">
        <v>1081</v>
      </c>
      <c r="F78" s="331" t="s">
        <v>219</v>
      </c>
      <c r="G78" s="331" t="s">
        <v>186</v>
      </c>
      <c r="H78" s="331" t="s">
        <v>176</v>
      </c>
      <c r="I78" s="332">
        <v>7.3790711562313378</v>
      </c>
      <c r="J78" s="332">
        <v>1860.1046510000001</v>
      </c>
      <c r="K78" s="332">
        <v>439.83720899999997</v>
      </c>
      <c r="L78" s="332">
        <v>405.348837</v>
      </c>
      <c r="M78" s="332">
        <v>197.03488400000001</v>
      </c>
      <c r="N78" s="332">
        <v>533.94186100000002</v>
      </c>
      <c r="O78" s="332">
        <v>2105.7441859999999</v>
      </c>
      <c r="P78" s="332">
        <v>28.116278999999999</v>
      </c>
      <c r="Q78" s="332">
        <v>234.523256</v>
      </c>
      <c r="R78" s="332">
        <v>242.825581</v>
      </c>
      <c r="S78" s="332">
        <v>148.011628</v>
      </c>
      <c r="T78" s="332">
        <v>246.29069799999999</v>
      </c>
      <c r="U78" s="332">
        <v>2265.197674</v>
      </c>
      <c r="V78" s="332">
        <v>1450.5232559999999</v>
      </c>
      <c r="W78" s="331"/>
      <c r="X78" s="331"/>
      <c r="Y78" s="331"/>
      <c r="Z78" s="331"/>
      <c r="AA78" s="331"/>
    </row>
    <row r="79" spans="1:27" ht="15.5" x14ac:dyDescent="0.35">
      <c r="A79" s="330" t="s">
        <v>1082</v>
      </c>
      <c r="B79" s="331" t="s">
        <v>307</v>
      </c>
      <c r="C79" s="331" t="s">
        <v>308</v>
      </c>
      <c r="D79" s="331" t="s">
        <v>37</v>
      </c>
      <c r="E79" s="331" t="s">
        <v>1083</v>
      </c>
      <c r="F79" s="331" t="s">
        <v>193</v>
      </c>
      <c r="G79" s="331" t="s">
        <v>230</v>
      </c>
      <c r="H79" s="331" t="s">
        <v>5</v>
      </c>
      <c r="I79" s="332">
        <v>3.664081145584726</v>
      </c>
      <c r="J79" s="332">
        <v>41.895349000000003</v>
      </c>
      <c r="K79" s="332">
        <v>12.802326000000001</v>
      </c>
      <c r="L79" s="332">
        <v>11.453488</v>
      </c>
      <c r="M79" s="332">
        <v>4.6744190000000003</v>
      </c>
      <c r="N79" s="332">
        <v>12.534884</v>
      </c>
      <c r="O79" s="332">
        <v>45.5</v>
      </c>
      <c r="P79" s="332">
        <v>1.9069769999999999</v>
      </c>
      <c r="Q79" s="332">
        <v>10.883721</v>
      </c>
      <c r="R79" s="332">
        <v>6.4302330000000003</v>
      </c>
      <c r="S79" s="332">
        <v>5.6627910000000004</v>
      </c>
      <c r="T79" s="332">
        <v>7.3837210000000004</v>
      </c>
      <c r="U79" s="332">
        <v>51.348837000000003</v>
      </c>
      <c r="V79" s="332">
        <v>37.779069999999997</v>
      </c>
      <c r="W79" s="331"/>
      <c r="X79" s="331" t="s">
        <v>896</v>
      </c>
      <c r="Y79" s="333">
        <v>45699</v>
      </c>
      <c r="Z79" s="331" t="s">
        <v>261</v>
      </c>
      <c r="AA79" s="331" t="s">
        <v>897</v>
      </c>
    </row>
    <row r="80" spans="1:27" ht="15.5" x14ac:dyDescent="0.35">
      <c r="A80" s="330" t="s">
        <v>1084</v>
      </c>
      <c r="B80" s="331" t="s">
        <v>248</v>
      </c>
      <c r="C80" s="331" t="s">
        <v>249</v>
      </c>
      <c r="D80" s="331" t="s">
        <v>250</v>
      </c>
      <c r="E80" s="331" t="s">
        <v>1085</v>
      </c>
      <c r="F80" s="331" t="s">
        <v>251</v>
      </c>
      <c r="G80" s="331" t="s">
        <v>175</v>
      </c>
      <c r="H80" s="331" t="s">
        <v>5</v>
      </c>
      <c r="I80" s="332">
        <v>43.779780564263334</v>
      </c>
      <c r="J80" s="332">
        <v>244.337209</v>
      </c>
      <c r="K80" s="332">
        <v>262.19767400000001</v>
      </c>
      <c r="L80" s="332">
        <v>132.639535</v>
      </c>
      <c r="M80" s="332">
        <v>72.127906999999993</v>
      </c>
      <c r="N80" s="332">
        <v>174.162791</v>
      </c>
      <c r="O80" s="332">
        <v>537.13953500000002</v>
      </c>
      <c r="P80" s="332">
        <v>0</v>
      </c>
      <c r="Q80" s="332">
        <v>0</v>
      </c>
      <c r="R80" s="332">
        <v>93.116279000000006</v>
      </c>
      <c r="S80" s="332">
        <v>44.534883999999998</v>
      </c>
      <c r="T80" s="332">
        <v>69.569766999999999</v>
      </c>
      <c r="U80" s="332">
        <v>504.08139499999999</v>
      </c>
      <c r="V80" s="332">
        <v>284.61627900000002</v>
      </c>
      <c r="W80" s="332">
        <v>459</v>
      </c>
      <c r="X80" s="331" t="s">
        <v>896</v>
      </c>
      <c r="Y80" s="333">
        <v>45645</v>
      </c>
      <c r="Z80" s="331" t="s">
        <v>574</v>
      </c>
      <c r="AA80" s="331" t="s">
        <v>897</v>
      </c>
    </row>
    <row r="81" spans="1:27" ht="15.5" x14ac:dyDescent="0.35">
      <c r="A81" s="330" t="s">
        <v>1086</v>
      </c>
      <c r="B81" s="331" t="s">
        <v>1087</v>
      </c>
      <c r="C81" s="331" t="s">
        <v>438</v>
      </c>
      <c r="D81" s="331" t="s">
        <v>333</v>
      </c>
      <c r="E81" s="331" t="s">
        <v>1088</v>
      </c>
      <c r="F81" s="331" t="s">
        <v>29</v>
      </c>
      <c r="G81" s="331" t="s">
        <v>230</v>
      </c>
      <c r="H81" s="331" t="s">
        <v>176</v>
      </c>
      <c r="I81" s="332">
        <v>1.801724137931034</v>
      </c>
      <c r="J81" s="332">
        <v>0.13953499999999999</v>
      </c>
      <c r="K81" s="332">
        <v>0.66279100000000002</v>
      </c>
      <c r="L81" s="332">
        <v>0.90697700000000003</v>
      </c>
      <c r="M81" s="332">
        <v>0.79069800000000001</v>
      </c>
      <c r="N81" s="332">
        <v>0.93023299999999998</v>
      </c>
      <c r="O81" s="332">
        <v>1.5232559999999999</v>
      </c>
      <c r="P81" s="332">
        <v>0</v>
      </c>
      <c r="Q81" s="332">
        <v>4.6511999999999998E-2</v>
      </c>
      <c r="R81" s="332">
        <v>0.65116300000000005</v>
      </c>
      <c r="S81" s="332">
        <v>0.39534900000000001</v>
      </c>
      <c r="T81" s="332">
        <v>0.44185999999999998</v>
      </c>
      <c r="U81" s="332">
        <v>1.011628</v>
      </c>
      <c r="V81" s="332">
        <v>1.4186049999999999</v>
      </c>
      <c r="W81" s="331"/>
      <c r="X81" s="331" t="s">
        <v>896</v>
      </c>
      <c r="Y81" s="333">
        <v>45547</v>
      </c>
      <c r="Z81" s="331" t="s">
        <v>559</v>
      </c>
      <c r="AA81" s="331" t="s">
        <v>897</v>
      </c>
    </row>
    <row r="82" spans="1:27" ht="15.5" x14ac:dyDescent="0.35">
      <c r="A82" s="330" t="s">
        <v>1089</v>
      </c>
      <c r="B82" s="331" t="s">
        <v>1090</v>
      </c>
      <c r="C82" s="331" t="s">
        <v>1091</v>
      </c>
      <c r="D82" s="331" t="s">
        <v>180</v>
      </c>
      <c r="E82" s="331" t="s">
        <v>1092</v>
      </c>
      <c r="F82" s="331" t="s">
        <v>181</v>
      </c>
      <c r="G82" s="331" t="s">
        <v>386</v>
      </c>
      <c r="H82" s="331" t="s">
        <v>176</v>
      </c>
      <c r="I82" s="332">
        <v>13.70012706480305</v>
      </c>
      <c r="J82" s="332">
        <v>47.988371999999998</v>
      </c>
      <c r="K82" s="332">
        <v>42.488371999999998</v>
      </c>
      <c r="L82" s="332">
        <v>11.813953</v>
      </c>
      <c r="M82" s="332">
        <v>5.9186050000000003</v>
      </c>
      <c r="N82" s="332">
        <v>41.767442000000003</v>
      </c>
      <c r="O82" s="332">
        <v>66.441860000000005</v>
      </c>
      <c r="P82" s="332">
        <v>0</v>
      </c>
      <c r="Q82" s="332">
        <v>0</v>
      </c>
      <c r="R82" s="332">
        <v>13.406976999999999</v>
      </c>
      <c r="S82" s="332">
        <v>16.255814000000001</v>
      </c>
      <c r="T82" s="332">
        <v>16.104651</v>
      </c>
      <c r="U82" s="332">
        <v>62.441861000000003</v>
      </c>
      <c r="V82" s="332">
        <v>73.453487999999993</v>
      </c>
      <c r="W82" s="331"/>
      <c r="X82" s="331"/>
      <c r="Y82" s="331"/>
      <c r="Z82" s="331"/>
      <c r="AA82" s="331"/>
    </row>
    <row r="83" spans="1:27" ht="15.5" x14ac:dyDescent="0.35">
      <c r="A83" s="330" t="s">
        <v>1093</v>
      </c>
      <c r="B83" s="331" t="s">
        <v>1094</v>
      </c>
      <c r="C83" s="331" t="s">
        <v>1095</v>
      </c>
      <c r="D83" s="331" t="s">
        <v>262</v>
      </c>
      <c r="E83" s="331" t="s">
        <v>1096</v>
      </c>
      <c r="F83" s="331" t="s">
        <v>263</v>
      </c>
      <c r="G83" s="331" t="s">
        <v>386</v>
      </c>
      <c r="H83" s="331" t="s">
        <v>176</v>
      </c>
      <c r="I83" s="332">
        <v>6.1678832116788316</v>
      </c>
      <c r="J83" s="332">
        <v>66.418604999999999</v>
      </c>
      <c r="K83" s="332">
        <v>17.406977000000001</v>
      </c>
      <c r="L83" s="332">
        <v>6.3604649999999996</v>
      </c>
      <c r="M83" s="332">
        <v>4.1279070000000004</v>
      </c>
      <c r="N83" s="332">
        <v>8.6395350000000004</v>
      </c>
      <c r="O83" s="332">
        <v>85.674419</v>
      </c>
      <c r="P83" s="332">
        <v>0</v>
      </c>
      <c r="Q83" s="332">
        <v>0</v>
      </c>
      <c r="R83" s="332">
        <v>4.5813949999999997</v>
      </c>
      <c r="S83" s="332">
        <v>2.3023259999999999</v>
      </c>
      <c r="T83" s="332">
        <v>5.0348839999999999</v>
      </c>
      <c r="U83" s="332">
        <v>82.395348999999996</v>
      </c>
      <c r="V83" s="332">
        <v>35.744185999999999</v>
      </c>
      <c r="W83" s="331"/>
      <c r="X83" s="331"/>
      <c r="Y83" s="331"/>
      <c r="Z83" s="331"/>
      <c r="AA83" s="331"/>
    </row>
    <row r="84" spans="1:27" ht="15.5" x14ac:dyDescent="0.35">
      <c r="A84" s="330" t="s">
        <v>280</v>
      </c>
      <c r="B84" s="331" t="s">
        <v>281</v>
      </c>
      <c r="C84" s="331" t="s">
        <v>282</v>
      </c>
      <c r="D84" s="331" t="s">
        <v>195</v>
      </c>
      <c r="E84" s="331" t="s">
        <v>1097</v>
      </c>
      <c r="F84" s="331" t="s">
        <v>196</v>
      </c>
      <c r="G84" s="331" t="s">
        <v>214</v>
      </c>
      <c r="H84" s="331" t="s">
        <v>176</v>
      </c>
      <c r="I84" s="332">
        <v>8.3421741977734118</v>
      </c>
      <c r="J84" s="332">
        <v>253.44185999999999</v>
      </c>
      <c r="K84" s="332">
        <v>63.744185999999999</v>
      </c>
      <c r="L84" s="332">
        <v>5.6279070000000004</v>
      </c>
      <c r="M84" s="332">
        <v>5.232558</v>
      </c>
      <c r="N84" s="332">
        <v>55.523256000000003</v>
      </c>
      <c r="O84" s="332">
        <v>262.31395300000003</v>
      </c>
      <c r="P84" s="332">
        <v>0.60465100000000005</v>
      </c>
      <c r="Q84" s="332">
        <v>9.6046510000000005</v>
      </c>
      <c r="R84" s="332">
        <v>10.372093</v>
      </c>
      <c r="S84" s="332">
        <v>12.197673999999999</v>
      </c>
      <c r="T84" s="332">
        <v>52.918604999999999</v>
      </c>
      <c r="U84" s="332">
        <v>252.55814000000001</v>
      </c>
      <c r="V84" s="332">
        <v>154.26744199999999</v>
      </c>
      <c r="W84" s="332">
        <v>392</v>
      </c>
      <c r="X84" s="331" t="s">
        <v>896</v>
      </c>
      <c r="Y84" s="333">
        <v>45701</v>
      </c>
      <c r="Z84" s="331" t="s">
        <v>574</v>
      </c>
      <c r="AA84" s="331" t="s">
        <v>897</v>
      </c>
    </row>
    <row r="85" spans="1:27" ht="15.5" x14ac:dyDescent="0.35">
      <c r="A85" s="330" t="s">
        <v>10</v>
      </c>
      <c r="B85" s="331" t="s">
        <v>281</v>
      </c>
      <c r="C85" s="331" t="s">
        <v>282</v>
      </c>
      <c r="D85" s="331" t="s">
        <v>195</v>
      </c>
      <c r="E85" s="331" t="s">
        <v>977</v>
      </c>
      <c r="F85" s="331" t="s">
        <v>196</v>
      </c>
      <c r="G85" s="331" t="s">
        <v>300</v>
      </c>
      <c r="H85" s="331" t="s">
        <v>5</v>
      </c>
      <c r="I85" s="332">
        <v>2.4542498838829538</v>
      </c>
      <c r="J85" s="332">
        <v>148.44185999999999</v>
      </c>
      <c r="K85" s="332">
        <v>84.127906999999993</v>
      </c>
      <c r="L85" s="332">
        <v>59.558140000000002</v>
      </c>
      <c r="M85" s="332">
        <v>38.604650999999997</v>
      </c>
      <c r="N85" s="332">
        <v>90.720929999999996</v>
      </c>
      <c r="O85" s="332">
        <v>219.87209300000001</v>
      </c>
      <c r="P85" s="332">
        <v>2.8255810000000001</v>
      </c>
      <c r="Q85" s="332">
        <v>17.313953000000001</v>
      </c>
      <c r="R85" s="332">
        <v>58.732557999999997</v>
      </c>
      <c r="S85" s="332">
        <v>25.581395000000001</v>
      </c>
      <c r="T85" s="332">
        <v>46.337209000000001</v>
      </c>
      <c r="U85" s="332">
        <v>200.08139499999999</v>
      </c>
      <c r="V85" s="332">
        <v>241.05814000000001</v>
      </c>
      <c r="W85" s="331"/>
      <c r="X85" s="331" t="s">
        <v>896</v>
      </c>
      <c r="Y85" s="333">
        <v>45456</v>
      </c>
      <c r="Z85" s="331" t="s">
        <v>574</v>
      </c>
      <c r="AA85" s="331" t="s">
        <v>897</v>
      </c>
    </row>
    <row r="86" spans="1:27" ht="15.5" x14ac:dyDescent="0.35">
      <c r="A86" s="330" t="s">
        <v>1098</v>
      </c>
      <c r="B86" s="331" t="s">
        <v>1099</v>
      </c>
      <c r="C86" s="331" t="s">
        <v>1100</v>
      </c>
      <c r="D86" s="331" t="s">
        <v>254</v>
      </c>
      <c r="E86" s="331" t="s">
        <v>1101</v>
      </c>
      <c r="F86" s="331" t="s">
        <v>24</v>
      </c>
      <c r="G86" s="331" t="s">
        <v>911</v>
      </c>
      <c r="H86" s="331" t="s">
        <v>5</v>
      </c>
      <c r="I86" s="332">
        <v>12.57472417251755</v>
      </c>
      <c r="J86" s="332">
        <v>611.41860499999996</v>
      </c>
      <c r="K86" s="332">
        <v>268.04651200000001</v>
      </c>
      <c r="L86" s="332">
        <v>175.162791</v>
      </c>
      <c r="M86" s="332">
        <v>255.05814000000001</v>
      </c>
      <c r="N86" s="332">
        <v>384.06976700000001</v>
      </c>
      <c r="O86" s="332">
        <v>925.61627899999996</v>
      </c>
      <c r="P86" s="332">
        <v>0</v>
      </c>
      <c r="Q86" s="332">
        <v>0</v>
      </c>
      <c r="R86" s="332">
        <v>304.05813999999998</v>
      </c>
      <c r="S86" s="332">
        <v>60.372093</v>
      </c>
      <c r="T86" s="332">
        <v>88.906976999999998</v>
      </c>
      <c r="U86" s="332">
        <v>856.348837</v>
      </c>
      <c r="V86" s="332">
        <v>607.348837</v>
      </c>
      <c r="W86" s="331"/>
      <c r="X86" s="331"/>
      <c r="Y86" s="331"/>
      <c r="Z86" s="331"/>
      <c r="AA86" s="331"/>
    </row>
    <row r="87" spans="1:27" ht="15.5" x14ac:dyDescent="0.35">
      <c r="A87" s="330" t="s">
        <v>1102</v>
      </c>
      <c r="B87" s="331" t="s">
        <v>1103</v>
      </c>
      <c r="C87" s="331" t="s">
        <v>1104</v>
      </c>
      <c r="D87" s="331" t="s">
        <v>180</v>
      </c>
      <c r="E87" s="331" t="s">
        <v>1105</v>
      </c>
      <c r="F87" s="331" t="s">
        <v>181</v>
      </c>
      <c r="G87" s="331" t="s">
        <v>230</v>
      </c>
      <c r="H87" s="331" t="s">
        <v>176</v>
      </c>
      <c r="I87" s="332">
        <v>2.4666666666666668</v>
      </c>
      <c r="J87" s="332">
        <v>0.418605</v>
      </c>
      <c r="K87" s="332">
        <v>0.84883699999999995</v>
      </c>
      <c r="L87" s="332">
        <v>2.3255999999999999E-2</v>
      </c>
      <c r="M87" s="332">
        <v>0</v>
      </c>
      <c r="N87" s="332">
        <v>0.19767399999999999</v>
      </c>
      <c r="O87" s="332">
        <v>0.953488</v>
      </c>
      <c r="P87" s="332">
        <v>0</v>
      </c>
      <c r="Q87" s="332">
        <v>0.13953499999999999</v>
      </c>
      <c r="R87" s="332">
        <v>4.6511999999999998E-2</v>
      </c>
      <c r="S87" s="332">
        <v>0.17441899999999999</v>
      </c>
      <c r="T87" s="332">
        <v>0.16279099999999999</v>
      </c>
      <c r="U87" s="332">
        <v>0.90697700000000003</v>
      </c>
      <c r="V87" s="332">
        <v>0.67441899999999999</v>
      </c>
      <c r="W87" s="331"/>
      <c r="X87" s="331" t="s">
        <v>952</v>
      </c>
      <c r="Y87" s="331" t="s">
        <v>953</v>
      </c>
      <c r="Z87" s="331"/>
      <c r="AA87" s="331"/>
    </row>
    <row r="88" spans="1:27" ht="15.5" x14ac:dyDescent="0.35">
      <c r="A88" s="330" t="s">
        <v>1106</v>
      </c>
      <c r="B88" s="331" t="s">
        <v>1107</v>
      </c>
      <c r="C88" s="331" t="s">
        <v>258</v>
      </c>
      <c r="D88" s="331" t="s">
        <v>180</v>
      </c>
      <c r="E88" s="331" t="s">
        <v>1108</v>
      </c>
      <c r="F88" s="331" t="s">
        <v>181</v>
      </c>
      <c r="G88" s="331" t="s">
        <v>175</v>
      </c>
      <c r="H88" s="331" t="s">
        <v>5</v>
      </c>
      <c r="I88" s="332">
        <v>41.458891013384317</v>
      </c>
      <c r="J88" s="332">
        <v>141.43023299999999</v>
      </c>
      <c r="K88" s="332">
        <v>40.441859999999998</v>
      </c>
      <c r="L88" s="332">
        <v>62.151162999999997</v>
      </c>
      <c r="M88" s="332">
        <v>35.674419</v>
      </c>
      <c r="N88" s="332">
        <v>79.837209000000001</v>
      </c>
      <c r="O88" s="332">
        <v>199.860465</v>
      </c>
      <c r="P88" s="332">
        <v>0</v>
      </c>
      <c r="Q88" s="332">
        <v>0</v>
      </c>
      <c r="R88" s="332">
        <v>36.546512</v>
      </c>
      <c r="S88" s="332">
        <v>28.348837</v>
      </c>
      <c r="T88" s="332">
        <v>23.523256</v>
      </c>
      <c r="U88" s="332">
        <v>191.27906999999999</v>
      </c>
      <c r="V88" s="332">
        <v>118.162791</v>
      </c>
      <c r="W88" s="332">
        <v>338</v>
      </c>
      <c r="X88" s="331" t="s">
        <v>896</v>
      </c>
      <c r="Y88" s="333">
        <v>45687</v>
      </c>
      <c r="Z88" s="331" t="s">
        <v>574</v>
      </c>
      <c r="AA88" s="331" t="s">
        <v>897</v>
      </c>
    </row>
    <row r="89" spans="1:27" ht="15.5" x14ac:dyDescent="0.35">
      <c r="A89" s="330" t="s">
        <v>757</v>
      </c>
      <c r="B89" s="331" t="s">
        <v>1109</v>
      </c>
      <c r="C89" s="331" t="s">
        <v>258</v>
      </c>
      <c r="D89" s="331" t="s">
        <v>180</v>
      </c>
      <c r="E89" s="331" t="s">
        <v>1108</v>
      </c>
      <c r="F89" s="331" t="s">
        <v>181</v>
      </c>
      <c r="G89" s="331" t="s">
        <v>175</v>
      </c>
      <c r="H89" s="331" t="s">
        <v>5</v>
      </c>
      <c r="I89" s="332">
        <v>28.41515761234071</v>
      </c>
      <c r="J89" s="332">
        <v>548.848837</v>
      </c>
      <c r="K89" s="332">
        <v>157.813953</v>
      </c>
      <c r="L89" s="332">
        <v>96.162790999999999</v>
      </c>
      <c r="M89" s="332">
        <v>47.988371999999998</v>
      </c>
      <c r="N89" s="332">
        <v>135.70930200000001</v>
      </c>
      <c r="O89" s="332">
        <v>715.06976799999995</v>
      </c>
      <c r="P89" s="332">
        <v>0</v>
      </c>
      <c r="Q89" s="332">
        <v>3.4883999999999998E-2</v>
      </c>
      <c r="R89" s="332">
        <v>42.476743999999997</v>
      </c>
      <c r="S89" s="332">
        <v>40.174419</v>
      </c>
      <c r="T89" s="332">
        <v>84</v>
      </c>
      <c r="U89" s="332">
        <v>684.16279099999997</v>
      </c>
      <c r="V89" s="332">
        <v>340.12790699999999</v>
      </c>
      <c r="W89" s="332">
        <v>1308</v>
      </c>
      <c r="X89" s="331"/>
      <c r="Y89" s="331"/>
      <c r="Z89" s="331"/>
      <c r="AA89" s="331"/>
    </row>
    <row r="90" spans="1:27" ht="15.5" x14ac:dyDescent="0.35">
      <c r="A90" s="330" t="s">
        <v>580</v>
      </c>
      <c r="B90" s="331" t="s">
        <v>594</v>
      </c>
      <c r="C90" s="331" t="s">
        <v>258</v>
      </c>
      <c r="D90" s="331" t="s">
        <v>180</v>
      </c>
      <c r="E90" s="331" t="s">
        <v>1108</v>
      </c>
      <c r="F90" s="331" t="s">
        <v>181</v>
      </c>
      <c r="G90" s="331" t="s">
        <v>175</v>
      </c>
      <c r="H90" s="331" t="s">
        <v>5</v>
      </c>
      <c r="I90" s="332">
        <v>32.789859906604413</v>
      </c>
      <c r="J90" s="332">
        <v>327.55813999999998</v>
      </c>
      <c r="K90" s="332">
        <v>173.88372100000001</v>
      </c>
      <c r="L90" s="332">
        <v>144.60465099999999</v>
      </c>
      <c r="M90" s="332">
        <v>57.488371999999998</v>
      </c>
      <c r="N90" s="332">
        <v>199.61627899999999</v>
      </c>
      <c r="O90" s="332">
        <v>503.80232599999999</v>
      </c>
      <c r="P90" s="332">
        <v>0.11627899999999999</v>
      </c>
      <c r="Q90" s="332">
        <v>0</v>
      </c>
      <c r="R90" s="332">
        <v>76.581395000000001</v>
      </c>
      <c r="S90" s="332">
        <v>66.930233000000001</v>
      </c>
      <c r="T90" s="332">
        <v>89.465115999999995</v>
      </c>
      <c r="U90" s="332">
        <v>470.55813999999998</v>
      </c>
      <c r="V90" s="332">
        <v>315.09302300000002</v>
      </c>
      <c r="W90" s="332">
        <v>544</v>
      </c>
      <c r="X90" s="331" t="s">
        <v>896</v>
      </c>
      <c r="Y90" s="333">
        <v>44959</v>
      </c>
      <c r="Z90" s="331" t="s">
        <v>574</v>
      </c>
      <c r="AA90" s="331" t="s">
        <v>897</v>
      </c>
    </row>
    <row r="91" spans="1:27" ht="15.5" x14ac:dyDescent="0.35">
      <c r="A91" s="330" t="s">
        <v>1110</v>
      </c>
      <c r="B91" s="331" t="s">
        <v>1111</v>
      </c>
      <c r="C91" s="331" t="s">
        <v>1112</v>
      </c>
      <c r="D91" s="331" t="s">
        <v>262</v>
      </c>
      <c r="E91" s="331" t="s">
        <v>1113</v>
      </c>
      <c r="F91" s="331" t="s">
        <v>263</v>
      </c>
      <c r="G91" s="331" t="s">
        <v>230</v>
      </c>
      <c r="H91" s="331"/>
      <c r="I91" s="332">
        <v>1.728813559322034</v>
      </c>
      <c r="J91" s="332">
        <v>0.36046499999999998</v>
      </c>
      <c r="K91" s="332">
        <v>0.46511599999999997</v>
      </c>
      <c r="L91" s="332">
        <v>0.30232599999999998</v>
      </c>
      <c r="M91" s="332">
        <v>5.8139999999999997E-2</v>
      </c>
      <c r="N91" s="332">
        <v>0.16279099999999999</v>
      </c>
      <c r="O91" s="332">
        <v>1.011628</v>
      </c>
      <c r="P91" s="332">
        <v>0</v>
      </c>
      <c r="Q91" s="332">
        <v>1.1627999999999999E-2</v>
      </c>
      <c r="R91" s="332">
        <v>0.10465099999999999</v>
      </c>
      <c r="S91" s="332">
        <v>9.3022999999999995E-2</v>
      </c>
      <c r="T91" s="332">
        <v>0.13953499999999999</v>
      </c>
      <c r="U91" s="332">
        <v>0.84883699999999995</v>
      </c>
      <c r="V91" s="332">
        <v>0.546512</v>
      </c>
      <c r="W91" s="331"/>
      <c r="X91" s="331"/>
      <c r="Y91" s="331"/>
      <c r="Z91" s="331"/>
      <c r="AA91" s="331"/>
    </row>
    <row r="92" spans="1:27" ht="15.5" x14ac:dyDescent="0.35">
      <c r="A92" s="330" t="s">
        <v>374</v>
      </c>
      <c r="B92" s="331" t="s">
        <v>375</v>
      </c>
      <c r="C92" s="331" t="s">
        <v>376</v>
      </c>
      <c r="D92" s="331" t="s">
        <v>295</v>
      </c>
      <c r="E92" s="331" t="s">
        <v>1114</v>
      </c>
      <c r="F92" s="331" t="s">
        <v>296</v>
      </c>
      <c r="G92" s="331" t="s">
        <v>194</v>
      </c>
      <c r="H92" s="331" t="s">
        <v>5</v>
      </c>
      <c r="I92" s="332">
        <v>26.864367816091949</v>
      </c>
      <c r="J92" s="332">
        <v>21.755814000000001</v>
      </c>
      <c r="K92" s="332">
        <v>21.383721000000001</v>
      </c>
      <c r="L92" s="332">
        <v>23.174419</v>
      </c>
      <c r="M92" s="332">
        <v>12.069767000000001</v>
      </c>
      <c r="N92" s="332">
        <v>34.860464999999998</v>
      </c>
      <c r="O92" s="332">
        <v>43.523256000000003</v>
      </c>
      <c r="P92" s="332">
        <v>0</v>
      </c>
      <c r="Q92" s="332">
        <v>0</v>
      </c>
      <c r="R92" s="332">
        <v>23</v>
      </c>
      <c r="S92" s="332">
        <v>6.4418600000000001</v>
      </c>
      <c r="T92" s="332">
        <v>10.139535</v>
      </c>
      <c r="U92" s="332">
        <v>38.802325000000003</v>
      </c>
      <c r="V92" s="332">
        <v>46.313952999999998</v>
      </c>
      <c r="W92" s="331"/>
      <c r="X92" s="331" t="s">
        <v>896</v>
      </c>
      <c r="Y92" s="333">
        <v>45722</v>
      </c>
      <c r="Z92" s="331" t="s">
        <v>559</v>
      </c>
      <c r="AA92" s="331" t="s">
        <v>897</v>
      </c>
    </row>
    <row r="93" spans="1:27" ht="15.5" x14ac:dyDescent="0.35">
      <c r="A93" s="330" t="s">
        <v>1115</v>
      </c>
      <c r="B93" s="331" t="s">
        <v>1116</v>
      </c>
      <c r="C93" s="331" t="s">
        <v>1117</v>
      </c>
      <c r="D93" s="331" t="s">
        <v>378</v>
      </c>
      <c r="E93" s="331" t="s">
        <v>1118</v>
      </c>
      <c r="F93" s="331" t="s">
        <v>29</v>
      </c>
      <c r="G93" s="331" t="s">
        <v>230</v>
      </c>
      <c r="H93" s="331" t="s">
        <v>176</v>
      </c>
      <c r="I93" s="332">
        <v>3.6836734693877551</v>
      </c>
      <c r="J93" s="332">
        <v>2.1627909999999999</v>
      </c>
      <c r="K93" s="332">
        <v>0.59302299999999997</v>
      </c>
      <c r="L93" s="332">
        <v>1.1744190000000001</v>
      </c>
      <c r="M93" s="332">
        <v>0.87209300000000001</v>
      </c>
      <c r="N93" s="332">
        <v>1.895349</v>
      </c>
      <c r="O93" s="332">
        <v>2.6627909999999999</v>
      </c>
      <c r="P93" s="332">
        <v>0.10465099999999999</v>
      </c>
      <c r="Q93" s="332">
        <v>0.13953499999999999</v>
      </c>
      <c r="R93" s="332">
        <v>0.83720899999999998</v>
      </c>
      <c r="S93" s="332">
        <v>0.44185999999999998</v>
      </c>
      <c r="T93" s="332">
        <v>1.0465120000000001</v>
      </c>
      <c r="U93" s="332">
        <v>2.4767440000000001</v>
      </c>
      <c r="V93" s="332">
        <v>2.0930230000000001</v>
      </c>
      <c r="W93" s="331"/>
      <c r="X93" s="331"/>
      <c r="Y93" s="331"/>
      <c r="Z93" s="331"/>
      <c r="AA93" s="331"/>
    </row>
    <row r="94" spans="1:27" ht="15.5" x14ac:dyDescent="0.35">
      <c r="A94" s="330" t="s">
        <v>36</v>
      </c>
      <c r="B94" s="331" t="s">
        <v>379</v>
      </c>
      <c r="C94" s="331" t="s">
        <v>380</v>
      </c>
      <c r="D94" s="331" t="s">
        <v>320</v>
      </c>
      <c r="E94" s="331" t="s">
        <v>1119</v>
      </c>
      <c r="F94" s="331" t="s">
        <v>321</v>
      </c>
      <c r="G94" s="331" t="s">
        <v>230</v>
      </c>
      <c r="H94" s="331" t="s">
        <v>176</v>
      </c>
      <c r="I94" s="332">
        <v>75.791666666666671</v>
      </c>
      <c r="J94" s="332">
        <v>19.709302000000001</v>
      </c>
      <c r="K94" s="332">
        <v>1.1860470000000001</v>
      </c>
      <c r="L94" s="332">
        <v>0.476744</v>
      </c>
      <c r="M94" s="332">
        <v>1.139535</v>
      </c>
      <c r="N94" s="332">
        <v>1.9418599999999999</v>
      </c>
      <c r="O94" s="332">
        <v>12.023256</v>
      </c>
      <c r="P94" s="332">
        <v>1.3488370000000001</v>
      </c>
      <c r="Q94" s="332">
        <v>7.1976740000000001</v>
      </c>
      <c r="R94" s="332">
        <v>2.8372090000000001</v>
      </c>
      <c r="S94" s="332">
        <v>0.18604699999999999</v>
      </c>
      <c r="T94" s="332">
        <v>0.39534900000000001</v>
      </c>
      <c r="U94" s="332">
        <v>19.093022999999999</v>
      </c>
      <c r="V94" s="332">
        <v>9.3255809999999997</v>
      </c>
      <c r="W94" s="331"/>
      <c r="X94" s="331" t="s">
        <v>896</v>
      </c>
      <c r="Y94" s="333">
        <v>45687</v>
      </c>
      <c r="Z94" s="331" t="s">
        <v>559</v>
      </c>
      <c r="AA94" s="331" t="s">
        <v>897</v>
      </c>
    </row>
    <row r="95" spans="1:27" ht="15.5" x14ac:dyDescent="0.35">
      <c r="A95" s="330" t="s">
        <v>14</v>
      </c>
      <c r="B95" s="331" t="s">
        <v>269</v>
      </c>
      <c r="C95" s="331" t="s">
        <v>270</v>
      </c>
      <c r="D95" s="331" t="s">
        <v>254</v>
      </c>
      <c r="E95" s="331" t="s">
        <v>1120</v>
      </c>
      <c r="F95" s="331" t="s">
        <v>24</v>
      </c>
      <c r="G95" s="331" t="s">
        <v>194</v>
      </c>
      <c r="H95" s="331" t="s">
        <v>176</v>
      </c>
      <c r="I95" s="332">
        <v>42.233137829912017</v>
      </c>
      <c r="J95" s="332">
        <v>343.24418600000001</v>
      </c>
      <c r="K95" s="332">
        <v>116.04651200000001</v>
      </c>
      <c r="L95" s="332">
        <v>3.1744189999999999</v>
      </c>
      <c r="M95" s="332">
        <v>1.0348839999999999</v>
      </c>
      <c r="N95" s="332">
        <v>48.813952999999998</v>
      </c>
      <c r="O95" s="332">
        <v>414.68604699999997</v>
      </c>
      <c r="P95" s="332">
        <v>0</v>
      </c>
      <c r="Q95" s="332">
        <v>0</v>
      </c>
      <c r="R95" s="332">
        <v>11.313953</v>
      </c>
      <c r="S95" s="332">
        <v>16.662790999999999</v>
      </c>
      <c r="T95" s="332">
        <v>35.220930000000003</v>
      </c>
      <c r="U95" s="332">
        <v>400.30232599999999</v>
      </c>
      <c r="V95" s="332">
        <v>220.72093000000001</v>
      </c>
      <c r="W95" s="332">
        <v>500</v>
      </c>
      <c r="X95" s="331" t="s">
        <v>952</v>
      </c>
      <c r="Y95" s="333">
        <v>45645</v>
      </c>
      <c r="Z95" s="331" t="s">
        <v>559</v>
      </c>
      <c r="AA95" s="331" t="s">
        <v>897</v>
      </c>
    </row>
    <row r="96" spans="1:27" ht="15.5" x14ac:dyDescent="0.35">
      <c r="A96" s="330" t="s">
        <v>577</v>
      </c>
      <c r="B96" s="331" t="s">
        <v>591</v>
      </c>
      <c r="C96" s="331" t="s">
        <v>576</v>
      </c>
      <c r="D96" s="331" t="s">
        <v>173</v>
      </c>
      <c r="E96" s="331" t="s">
        <v>1121</v>
      </c>
      <c r="F96" s="331" t="s">
        <v>285</v>
      </c>
      <c r="G96" s="331" t="s">
        <v>186</v>
      </c>
      <c r="H96" s="331" t="s">
        <v>5</v>
      </c>
      <c r="I96" s="332">
        <v>65.233644859813083</v>
      </c>
      <c r="J96" s="332">
        <v>233.73255800000001</v>
      </c>
      <c r="K96" s="332">
        <v>60.709302000000001</v>
      </c>
      <c r="L96" s="332">
        <v>158.11627899999999</v>
      </c>
      <c r="M96" s="332">
        <v>167.41860500000001</v>
      </c>
      <c r="N96" s="332">
        <v>254.360465</v>
      </c>
      <c r="O96" s="332">
        <v>365.61627900000002</v>
      </c>
      <c r="P96" s="332">
        <v>0</v>
      </c>
      <c r="Q96" s="332">
        <v>0</v>
      </c>
      <c r="R96" s="332">
        <v>176.30232599999999</v>
      </c>
      <c r="S96" s="332">
        <v>47.244185999999999</v>
      </c>
      <c r="T96" s="332">
        <v>49.825581</v>
      </c>
      <c r="U96" s="332">
        <v>346.60465099999999</v>
      </c>
      <c r="V96" s="332">
        <v>249.74418600000001</v>
      </c>
      <c r="W96" s="332">
        <v>560</v>
      </c>
      <c r="X96" s="331" t="s">
        <v>896</v>
      </c>
      <c r="Y96" s="333">
        <v>45687</v>
      </c>
      <c r="Z96" s="331" t="s">
        <v>574</v>
      </c>
      <c r="AA96" s="331" t="s">
        <v>897</v>
      </c>
    </row>
    <row r="97" spans="1:27" ht="15.5" x14ac:dyDescent="0.35">
      <c r="A97" s="330" t="s">
        <v>411</v>
      </c>
      <c r="B97" s="331" t="s">
        <v>412</v>
      </c>
      <c r="C97" s="331" t="s">
        <v>413</v>
      </c>
      <c r="D97" s="331" t="s">
        <v>414</v>
      </c>
      <c r="E97" s="331" t="s">
        <v>1122</v>
      </c>
      <c r="F97" s="331" t="s">
        <v>296</v>
      </c>
      <c r="G97" s="331" t="s">
        <v>230</v>
      </c>
      <c r="H97" s="331" t="s">
        <v>176</v>
      </c>
      <c r="I97" s="332">
        <v>12.76</v>
      </c>
      <c r="J97" s="332">
        <v>4.1627910000000004</v>
      </c>
      <c r="K97" s="332">
        <v>7.5</v>
      </c>
      <c r="L97" s="332">
        <v>5.8837210000000004</v>
      </c>
      <c r="M97" s="332">
        <v>0.75581399999999999</v>
      </c>
      <c r="N97" s="332">
        <v>5.267442</v>
      </c>
      <c r="O97" s="332">
        <v>9.5465119999999999</v>
      </c>
      <c r="P97" s="332">
        <v>0.94186000000000003</v>
      </c>
      <c r="Q97" s="332">
        <v>2.5465119999999999</v>
      </c>
      <c r="R97" s="332">
        <v>0.55813999999999997</v>
      </c>
      <c r="S97" s="332">
        <v>3.360465</v>
      </c>
      <c r="T97" s="332">
        <v>3.6511629999999999</v>
      </c>
      <c r="U97" s="332">
        <v>10.732557999999999</v>
      </c>
      <c r="V97" s="332">
        <v>9.8488369999999996</v>
      </c>
      <c r="W97" s="331"/>
      <c r="X97" s="331" t="s">
        <v>896</v>
      </c>
      <c r="Y97" s="333">
        <v>45484</v>
      </c>
      <c r="Z97" s="331" t="s">
        <v>559</v>
      </c>
      <c r="AA97" s="331" t="s">
        <v>897</v>
      </c>
    </row>
    <row r="98" spans="1:27" ht="15.5" x14ac:dyDescent="0.35">
      <c r="A98" s="330" t="s">
        <v>1123</v>
      </c>
      <c r="B98" s="331" t="s">
        <v>1124</v>
      </c>
      <c r="C98" s="331" t="s">
        <v>1125</v>
      </c>
      <c r="D98" s="331" t="s">
        <v>333</v>
      </c>
      <c r="E98" s="331" t="s">
        <v>1126</v>
      </c>
      <c r="F98" s="331" t="s">
        <v>29</v>
      </c>
      <c r="G98" s="331" t="s">
        <v>230</v>
      </c>
      <c r="H98" s="331" t="s">
        <v>176</v>
      </c>
      <c r="I98" s="332">
        <v>31.527777777777779</v>
      </c>
      <c r="J98" s="332">
        <v>106.11627900000001</v>
      </c>
      <c r="K98" s="332">
        <v>13.046512</v>
      </c>
      <c r="L98" s="332">
        <v>27.616278999999999</v>
      </c>
      <c r="M98" s="332">
        <v>9.2093019999999992</v>
      </c>
      <c r="N98" s="332">
        <v>4.3023259999999999</v>
      </c>
      <c r="O98" s="332">
        <v>3.4186049999999999</v>
      </c>
      <c r="P98" s="332">
        <v>24.418604999999999</v>
      </c>
      <c r="Q98" s="332">
        <v>123.848837</v>
      </c>
      <c r="R98" s="332">
        <v>11.895349</v>
      </c>
      <c r="S98" s="332">
        <v>9.6162790000000005</v>
      </c>
      <c r="T98" s="332">
        <v>10.848837</v>
      </c>
      <c r="U98" s="332">
        <v>123.62790699999999</v>
      </c>
      <c r="V98" s="332">
        <v>60.558140000000002</v>
      </c>
      <c r="W98" s="331"/>
      <c r="X98" s="331" t="s">
        <v>896</v>
      </c>
      <c r="Y98" s="333">
        <v>45526</v>
      </c>
      <c r="Z98" s="331" t="s">
        <v>559</v>
      </c>
      <c r="AA98" s="331" t="s">
        <v>897</v>
      </c>
    </row>
    <row r="99" spans="1:27" ht="15.5" x14ac:dyDescent="0.35">
      <c r="A99" s="330" t="s">
        <v>830</v>
      </c>
      <c r="B99" s="331" t="s">
        <v>1127</v>
      </c>
      <c r="C99" s="331" t="s">
        <v>1128</v>
      </c>
      <c r="D99" s="331" t="s">
        <v>373</v>
      </c>
      <c r="E99" s="331" t="s">
        <v>1129</v>
      </c>
      <c r="F99" s="331" t="s">
        <v>29</v>
      </c>
      <c r="G99" s="331" t="s">
        <v>230</v>
      </c>
      <c r="H99" s="331" t="s">
        <v>176</v>
      </c>
      <c r="I99" s="332">
        <v>20.366963402571709</v>
      </c>
      <c r="J99" s="332">
        <v>176.860465</v>
      </c>
      <c r="K99" s="332">
        <v>30.965115999999998</v>
      </c>
      <c r="L99" s="332">
        <v>38.337209000000001</v>
      </c>
      <c r="M99" s="332">
        <v>27.5</v>
      </c>
      <c r="N99" s="332">
        <v>53.651162999999997</v>
      </c>
      <c r="O99" s="332">
        <v>188.639535</v>
      </c>
      <c r="P99" s="332">
        <v>7.1627910000000004</v>
      </c>
      <c r="Q99" s="332">
        <v>24.209302000000001</v>
      </c>
      <c r="R99" s="332">
        <v>24.337209000000001</v>
      </c>
      <c r="S99" s="332">
        <v>13.965116</v>
      </c>
      <c r="T99" s="332">
        <v>35.220930000000003</v>
      </c>
      <c r="U99" s="332">
        <v>200.139535</v>
      </c>
      <c r="V99" s="332">
        <v>124.406977</v>
      </c>
      <c r="W99" s="331"/>
      <c r="X99" s="331" t="s">
        <v>952</v>
      </c>
      <c r="Y99" s="334">
        <v>45706</v>
      </c>
      <c r="Z99" s="331" t="s">
        <v>559</v>
      </c>
      <c r="AA99" s="331" t="s">
        <v>897</v>
      </c>
    </row>
    <row r="100" spans="1:27" ht="15.5" x14ac:dyDescent="0.35">
      <c r="A100" s="330" t="s">
        <v>353</v>
      </c>
      <c r="B100" s="331" t="s">
        <v>354</v>
      </c>
      <c r="C100" s="331" t="s">
        <v>355</v>
      </c>
      <c r="D100" s="331" t="s">
        <v>356</v>
      </c>
      <c r="E100" s="331" t="s">
        <v>1130</v>
      </c>
      <c r="F100" s="331" t="s">
        <v>296</v>
      </c>
      <c r="G100" s="331" t="s">
        <v>230</v>
      </c>
      <c r="H100" s="331" t="s">
        <v>176</v>
      </c>
      <c r="I100" s="332">
        <v>12.701030927835051</v>
      </c>
      <c r="J100" s="332">
        <v>5.6279070000000004</v>
      </c>
      <c r="K100" s="332">
        <v>4.0348839999999999</v>
      </c>
      <c r="L100" s="332">
        <v>2.9651160000000001</v>
      </c>
      <c r="M100" s="332">
        <v>0.74418600000000001</v>
      </c>
      <c r="N100" s="332">
        <v>5.3720929999999996</v>
      </c>
      <c r="O100" s="332">
        <v>7.9186050000000003</v>
      </c>
      <c r="P100" s="332">
        <v>4.6511999999999998E-2</v>
      </c>
      <c r="Q100" s="332">
        <v>3.4883999999999998E-2</v>
      </c>
      <c r="R100" s="332">
        <v>1.4651160000000001</v>
      </c>
      <c r="S100" s="332">
        <v>2.4767440000000001</v>
      </c>
      <c r="T100" s="332">
        <v>3.8255810000000001</v>
      </c>
      <c r="U100" s="332">
        <v>5.6046509999999996</v>
      </c>
      <c r="V100" s="332">
        <v>8.6162790000000005</v>
      </c>
      <c r="W100" s="331"/>
      <c r="X100" s="331" t="s">
        <v>896</v>
      </c>
      <c r="Y100" s="333">
        <v>44994</v>
      </c>
      <c r="Z100" s="331" t="s">
        <v>559</v>
      </c>
      <c r="AA100" s="331" t="s">
        <v>897</v>
      </c>
    </row>
    <row r="101" spans="1:27" ht="15.5" x14ac:dyDescent="0.35">
      <c r="A101" s="330" t="s">
        <v>1131</v>
      </c>
      <c r="B101" s="331" t="s">
        <v>586</v>
      </c>
      <c r="C101" s="331" t="s">
        <v>570</v>
      </c>
      <c r="D101" s="331" t="s">
        <v>203</v>
      </c>
      <c r="E101" s="331" t="s">
        <v>1132</v>
      </c>
      <c r="F101" s="331" t="s">
        <v>193</v>
      </c>
      <c r="G101" s="331" t="s">
        <v>194</v>
      </c>
      <c r="H101" s="331" t="s">
        <v>176</v>
      </c>
      <c r="I101" s="332">
        <v>1.7894002789400281</v>
      </c>
      <c r="J101" s="332">
        <v>18.837209000000001</v>
      </c>
      <c r="K101" s="332">
        <v>7.267442</v>
      </c>
      <c r="L101" s="332">
        <v>2.1627909999999999</v>
      </c>
      <c r="M101" s="332">
        <v>1.011628</v>
      </c>
      <c r="N101" s="332">
        <v>3.8372090000000001</v>
      </c>
      <c r="O101" s="332">
        <v>21.395349</v>
      </c>
      <c r="P101" s="332">
        <v>0.18604699999999999</v>
      </c>
      <c r="Q101" s="332">
        <v>3.860465</v>
      </c>
      <c r="R101" s="332">
        <v>1.1627909999999999</v>
      </c>
      <c r="S101" s="332">
        <v>1.6627909999999999</v>
      </c>
      <c r="T101" s="332">
        <v>1.988372</v>
      </c>
      <c r="U101" s="332">
        <v>24.465115999999998</v>
      </c>
      <c r="V101" s="332">
        <v>15.906976999999999</v>
      </c>
      <c r="W101" s="331"/>
      <c r="X101" s="331" t="s">
        <v>1018</v>
      </c>
      <c r="Y101" s="333">
        <v>45785</v>
      </c>
      <c r="Z101" s="331" t="s">
        <v>559</v>
      </c>
      <c r="AA101" s="331" t="s">
        <v>897</v>
      </c>
    </row>
    <row r="102" spans="1:27" ht="15.5" x14ac:dyDescent="0.35">
      <c r="A102" s="330" t="s">
        <v>1133</v>
      </c>
      <c r="B102" s="331" t="s">
        <v>1134</v>
      </c>
      <c r="C102" s="331" t="s">
        <v>1135</v>
      </c>
      <c r="D102" s="331" t="s">
        <v>362</v>
      </c>
      <c r="E102" s="331" t="s">
        <v>1136</v>
      </c>
      <c r="F102" s="331" t="s">
        <v>296</v>
      </c>
      <c r="G102" s="331" t="s">
        <v>230</v>
      </c>
      <c r="H102" s="331" t="s">
        <v>176</v>
      </c>
      <c r="I102" s="332">
        <v>25.755813953488371</v>
      </c>
      <c r="J102" s="332">
        <v>16.034884000000002</v>
      </c>
      <c r="K102" s="332">
        <v>6.232558</v>
      </c>
      <c r="L102" s="332">
        <v>10.05814</v>
      </c>
      <c r="M102" s="332">
        <v>7.6511630000000004</v>
      </c>
      <c r="N102" s="332">
        <v>23.348837</v>
      </c>
      <c r="O102" s="332">
        <v>16.069766999999999</v>
      </c>
      <c r="P102" s="332">
        <v>0</v>
      </c>
      <c r="Q102" s="332">
        <v>0.55813999999999997</v>
      </c>
      <c r="R102" s="332">
        <v>10.081395000000001</v>
      </c>
      <c r="S102" s="332">
        <v>6.8720929999999996</v>
      </c>
      <c r="T102" s="332">
        <v>9.3837209999999995</v>
      </c>
      <c r="U102" s="332">
        <v>13.639535</v>
      </c>
      <c r="V102" s="332">
        <v>19.313953000000001</v>
      </c>
      <c r="W102" s="331"/>
      <c r="X102" s="331" t="s">
        <v>395</v>
      </c>
      <c r="Y102" s="333" t="s">
        <v>953</v>
      </c>
      <c r="Z102" s="331" t="s">
        <v>987</v>
      </c>
      <c r="AA102" s="331" t="s">
        <v>897</v>
      </c>
    </row>
    <row r="103" spans="1:27" ht="15.5" x14ac:dyDescent="0.35">
      <c r="A103" s="330" t="s">
        <v>1137</v>
      </c>
      <c r="B103" s="331" t="s">
        <v>312</v>
      </c>
      <c r="C103" s="331" t="s">
        <v>38</v>
      </c>
      <c r="D103" s="331" t="s">
        <v>313</v>
      </c>
      <c r="E103" s="331" t="s">
        <v>1138</v>
      </c>
      <c r="F103" s="331" t="s">
        <v>314</v>
      </c>
      <c r="G103" s="331" t="s">
        <v>230</v>
      </c>
      <c r="H103" s="331" t="s">
        <v>176</v>
      </c>
      <c r="I103" s="332">
        <v>23.540624999999999</v>
      </c>
      <c r="J103" s="332">
        <v>33.755814000000001</v>
      </c>
      <c r="K103" s="332">
        <v>24.988371999999998</v>
      </c>
      <c r="L103" s="332">
        <v>22.639534999999999</v>
      </c>
      <c r="M103" s="332">
        <v>10.279070000000001</v>
      </c>
      <c r="N103" s="332">
        <v>27.465115999999998</v>
      </c>
      <c r="O103" s="332">
        <v>45.697673999999999</v>
      </c>
      <c r="P103" s="332">
        <v>4.4651160000000001</v>
      </c>
      <c r="Q103" s="332">
        <v>14.034884</v>
      </c>
      <c r="R103" s="332">
        <v>16.034884000000002</v>
      </c>
      <c r="S103" s="332">
        <v>6.3023259999999999</v>
      </c>
      <c r="T103" s="332">
        <v>13.860465</v>
      </c>
      <c r="U103" s="332">
        <v>55.465116000000002</v>
      </c>
      <c r="V103" s="332">
        <v>48.244185999999999</v>
      </c>
      <c r="W103" s="331"/>
      <c r="X103" s="331" t="s">
        <v>896</v>
      </c>
      <c r="Y103" s="333">
        <v>45372</v>
      </c>
      <c r="Z103" s="331" t="s">
        <v>559</v>
      </c>
      <c r="AA103" s="331" t="s">
        <v>897</v>
      </c>
    </row>
    <row r="104" spans="1:27" ht="15.5" x14ac:dyDescent="0.35">
      <c r="A104" s="330" t="s">
        <v>382</v>
      </c>
      <c r="B104" s="331" t="s">
        <v>383</v>
      </c>
      <c r="C104" s="331" t="s">
        <v>384</v>
      </c>
      <c r="D104" s="331" t="s">
        <v>385</v>
      </c>
      <c r="E104" s="331" t="s">
        <v>1139</v>
      </c>
      <c r="F104" s="331" t="s">
        <v>285</v>
      </c>
      <c r="G104" s="331" t="s">
        <v>386</v>
      </c>
      <c r="H104" s="331" t="s">
        <v>176</v>
      </c>
      <c r="I104" s="332">
        <v>51.801886792452827</v>
      </c>
      <c r="J104" s="332">
        <v>24.127907</v>
      </c>
      <c r="K104" s="332">
        <v>35.627907</v>
      </c>
      <c r="L104" s="332">
        <v>17.011628000000002</v>
      </c>
      <c r="M104" s="332">
        <v>3.267442</v>
      </c>
      <c r="N104" s="332">
        <v>18.581395000000001</v>
      </c>
      <c r="O104" s="332">
        <v>50.639535000000002</v>
      </c>
      <c r="P104" s="332">
        <v>0.37209300000000001</v>
      </c>
      <c r="Q104" s="332">
        <v>10.44186</v>
      </c>
      <c r="R104" s="332">
        <v>11.581395000000001</v>
      </c>
      <c r="S104" s="332">
        <v>5.3139529999999997</v>
      </c>
      <c r="T104" s="332">
        <v>4.1744190000000003</v>
      </c>
      <c r="U104" s="332">
        <v>58.965116999999999</v>
      </c>
      <c r="V104" s="332">
        <v>45.651162999999997</v>
      </c>
      <c r="W104" s="331"/>
      <c r="X104" s="331"/>
      <c r="Y104" s="331"/>
      <c r="Z104" s="331"/>
      <c r="AA104" s="331"/>
    </row>
    <row r="105" spans="1:27" ht="15.5" x14ac:dyDescent="0.35">
      <c r="A105" s="330" t="s">
        <v>1140</v>
      </c>
      <c r="B105" s="331" t="s">
        <v>1141</v>
      </c>
      <c r="C105" s="331" t="s">
        <v>1142</v>
      </c>
      <c r="D105" s="331" t="s">
        <v>333</v>
      </c>
      <c r="E105" s="331" t="s">
        <v>1143</v>
      </c>
      <c r="F105" s="331" t="s">
        <v>29</v>
      </c>
      <c r="G105" s="331" t="s">
        <v>230</v>
      </c>
      <c r="H105" s="331" t="s">
        <v>176</v>
      </c>
      <c r="I105" s="332">
        <v>60.004694835680752</v>
      </c>
      <c r="J105" s="332">
        <v>103.03488400000001</v>
      </c>
      <c r="K105" s="332">
        <v>18.174419</v>
      </c>
      <c r="L105" s="332">
        <v>28.220929999999999</v>
      </c>
      <c r="M105" s="332">
        <v>12.313953</v>
      </c>
      <c r="N105" s="332">
        <v>40.395349000000003</v>
      </c>
      <c r="O105" s="332">
        <v>118.232558</v>
      </c>
      <c r="P105" s="332">
        <v>0</v>
      </c>
      <c r="Q105" s="332">
        <v>3.116279</v>
      </c>
      <c r="R105" s="332">
        <v>20.011628000000002</v>
      </c>
      <c r="S105" s="332">
        <v>10.697673999999999</v>
      </c>
      <c r="T105" s="332">
        <v>12.837209</v>
      </c>
      <c r="U105" s="332">
        <v>118.19767400000001</v>
      </c>
      <c r="V105" s="332">
        <v>73.848837000000003</v>
      </c>
      <c r="W105" s="331"/>
      <c r="X105" s="331"/>
      <c r="Y105" s="331"/>
      <c r="Z105" s="331"/>
      <c r="AA105" s="331"/>
    </row>
    <row r="106" spans="1:27" ht="15.5" x14ac:dyDescent="0.35">
      <c r="A106" s="330" t="s">
        <v>234</v>
      </c>
      <c r="B106" s="331" t="s">
        <v>235</v>
      </c>
      <c r="C106" s="331" t="s">
        <v>236</v>
      </c>
      <c r="D106" s="331" t="s">
        <v>184</v>
      </c>
      <c r="E106" s="331" t="s">
        <v>1144</v>
      </c>
      <c r="F106" s="331" t="s">
        <v>223</v>
      </c>
      <c r="G106" s="331" t="s">
        <v>186</v>
      </c>
      <c r="H106" s="331" t="s">
        <v>176</v>
      </c>
      <c r="I106" s="332">
        <v>39.116784356328083</v>
      </c>
      <c r="J106" s="332">
        <v>559.24418600000001</v>
      </c>
      <c r="K106" s="332">
        <v>207.29069799999999</v>
      </c>
      <c r="L106" s="332">
        <v>70.755814000000001</v>
      </c>
      <c r="M106" s="332">
        <v>32.081395000000001</v>
      </c>
      <c r="N106" s="332">
        <v>152.813953</v>
      </c>
      <c r="O106" s="332">
        <v>424.79069800000002</v>
      </c>
      <c r="P106" s="332">
        <v>49.848837000000003</v>
      </c>
      <c r="Q106" s="332">
        <v>241.91860500000001</v>
      </c>
      <c r="R106" s="332">
        <v>98.290698000000006</v>
      </c>
      <c r="S106" s="332">
        <v>48.220930000000003</v>
      </c>
      <c r="T106" s="332">
        <v>74.209301999999994</v>
      </c>
      <c r="U106" s="332">
        <v>648.651163</v>
      </c>
      <c r="V106" s="332">
        <v>452.03488399999998</v>
      </c>
      <c r="W106" s="332">
        <v>750</v>
      </c>
      <c r="X106" s="331" t="s">
        <v>896</v>
      </c>
      <c r="Y106" s="333">
        <v>45687</v>
      </c>
      <c r="Z106" s="331" t="s">
        <v>574</v>
      </c>
      <c r="AA106" s="331" t="s">
        <v>897</v>
      </c>
    </row>
    <row r="107" spans="1:27" ht="15.5" x14ac:dyDescent="0.35">
      <c r="A107" s="330" t="s">
        <v>276</v>
      </c>
      <c r="B107" s="331" t="s">
        <v>277</v>
      </c>
      <c r="C107" s="331" t="s">
        <v>278</v>
      </c>
      <c r="D107" s="331" t="s">
        <v>184</v>
      </c>
      <c r="E107" s="331" t="s">
        <v>1145</v>
      </c>
      <c r="F107" s="331" t="s">
        <v>223</v>
      </c>
      <c r="G107" s="331" t="s">
        <v>175</v>
      </c>
      <c r="H107" s="331" t="s">
        <v>5</v>
      </c>
      <c r="I107" s="332">
        <v>62.590909090909093</v>
      </c>
      <c r="J107" s="332">
        <v>267.36046499999998</v>
      </c>
      <c r="K107" s="332">
        <v>366.95348799999999</v>
      </c>
      <c r="L107" s="332">
        <v>183.96511599999999</v>
      </c>
      <c r="M107" s="332">
        <v>42.290697999999999</v>
      </c>
      <c r="N107" s="332">
        <v>251.639535</v>
      </c>
      <c r="O107" s="332">
        <v>608.93023300000004</v>
      </c>
      <c r="P107" s="332">
        <v>0</v>
      </c>
      <c r="Q107" s="332">
        <v>0</v>
      </c>
      <c r="R107" s="332">
        <v>91.069766999999999</v>
      </c>
      <c r="S107" s="332">
        <v>74.523256000000003</v>
      </c>
      <c r="T107" s="332">
        <v>112.348837</v>
      </c>
      <c r="U107" s="332">
        <v>582.62790700000005</v>
      </c>
      <c r="V107" s="332">
        <v>371.151163</v>
      </c>
      <c r="W107" s="332">
        <v>350</v>
      </c>
      <c r="X107" s="331" t="s">
        <v>896</v>
      </c>
      <c r="Y107" s="333">
        <v>45701</v>
      </c>
      <c r="Z107" s="331" t="s">
        <v>559</v>
      </c>
      <c r="AA107" s="331" t="s">
        <v>897</v>
      </c>
    </row>
    <row r="108" spans="1:27" ht="15.5" x14ac:dyDescent="0.35">
      <c r="A108" s="330" t="s">
        <v>241</v>
      </c>
      <c r="B108" s="331" t="s">
        <v>242</v>
      </c>
      <c r="C108" s="331" t="s">
        <v>243</v>
      </c>
      <c r="D108" s="331" t="s">
        <v>173</v>
      </c>
      <c r="E108" s="331" t="s">
        <v>1146</v>
      </c>
      <c r="F108" s="331" t="s">
        <v>206</v>
      </c>
      <c r="G108" s="331" t="s">
        <v>186</v>
      </c>
      <c r="H108" s="331" t="s">
        <v>176</v>
      </c>
      <c r="I108" s="332">
        <v>65.728603603603602</v>
      </c>
      <c r="J108" s="332">
        <v>522.73255800000004</v>
      </c>
      <c r="K108" s="332">
        <v>47.488371999999998</v>
      </c>
      <c r="L108" s="332">
        <v>37.697673999999999</v>
      </c>
      <c r="M108" s="332">
        <v>52.593023000000002</v>
      </c>
      <c r="N108" s="332">
        <v>90.488371999999998</v>
      </c>
      <c r="O108" s="332">
        <v>515.38372100000004</v>
      </c>
      <c r="P108" s="332">
        <v>2.6511629999999999</v>
      </c>
      <c r="Q108" s="332">
        <v>51.988371999999998</v>
      </c>
      <c r="R108" s="332">
        <v>43.011628000000002</v>
      </c>
      <c r="S108" s="332">
        <v>26.767441999999999</v>
      </c>
      <c r="T108" s="332">
        <v>35.441859999999998</v>
      </c>
      <c r="U108" s="332">
        <v>555.29069700000002</v>
      </c>
      <c r="V108" s="332">
        <v>225.95348799999999</v>
      </c>
      <c r="W108" s="332">
        <v>640</v>
      </c>
      <c r="X108" s="331" t="s">
        <v>896</v>
      </c>
      <c r="Y108" s="333">
        <v>45673</v>
      </c>
      <c r="Z108" s="331" t="s">
        <v>574</v>
      </c>
      <c r="AA108" s="331" t="s">
        <v>897</v>
      </c>
    </row>
    <row r="109" spans="1:27" ht="15.5" x14ac:dyDescent="0.35">
      <c r="A109" s="330" t="s">
        <v>1147</v>
      </c>
      <c r="B109" s="331" t="s">
        <v>1148</v>
      </c>
      <c r="C109" s="331" t="s">
        <v>1149</v>
      </c>
      <c r="D109" s="331" t="s">
        <v>180</v>
      </c>
      <c r="E109" s="331" t="s">
        <v>1150</v>
      </c>
      <c r="F109" s="331" t="s">
        <v>181</v>
      </c>
      <c r="G109" s="331" t="s">
        <v>230</v>
      </c>
      <c r="H109" s="331" t="s">
        <v>176</v>
      </c>
      <c r="I109" s="332">
        <v>11.58333333333333</v>
      </c>
      <c r="J109" s="332">
        <v>48.209302000000001</v>
      </c>
      <c r="K109" s="332">
        <v>24.767441999999999</v>
      </c>
      <c r="L109" s="332">
        <v>19.441859999999998</v>
      </c>
      <c r="M109" s="332">
        <v>11.872093</v>
      </c>
      <c r="N109" s="332">
        <v>25.988371999999998</v>
      </c>
      <c r="O109" s="332">
        <v>71.348837000000003</v>
      </c>
      <c r="P109" s="332">
        <v>0.72092999999999996</v>
      </c>
      <c r="Q109" s="332">
        <v>6.232558</v>
      </c>
      <c r="R109" s="332">
        <v>10.383721</v>
      </c>
      <c r="S109" s="332">
        <v>10.395349</v>
      </c>
      <c r="T109" s="332">
        <v>15.674419</v>
      </c>
      <c r="U109" s="332">
        <v>67.837209000000001</v>
      </c>
      <c r="V109" s="332">
        <v>34.244185999999999</v>
      </c>
      <c r="W109" s="331"/>
      <c r="X109" s="331" t="s">
        <v>952</v>
      </c>
      <c r="Y109" s="334">
        <v>45973</v>
      </c>
      <c r="Z109" s="331" t="s">
        <v>1151</v>
      </c>
      <c r="AA109" s="331" t="s">
        <v>897</v>
      </c>
    </row>
    <row r="110" spans="1:27" ht="15.5" x14ac:dyDescent="0.35">
      <c r="A110" s="330" t="s">
        <v>17</v>
      </c>
      <c r="B110" s="331" t="s">
        <v>226</v>
      </c>
      <c r="C110" s="331" t="s">
        <v>227</v>
      </c>
      <c r="D110" s="331" t="s">
        <v>192</v>
      </c>
      <c r="E110" s="331" t="s">
        <v>1152</v>
      </c>
      <c r="F110" s="331" t="s">
        <v>193</v>
      </c>
      <c r="G110" s="331" t="s">
        <v>194</v>
      </c>
      <c r="H110" s="331" t="s">
        <v>5</v>
      </c>
      <c r="I110" s="332">
        <v>47.230384615384622</v>
      </c>
      <c r="J110" s="332">
        <v>864.96511599999997</v>
      </c>
      <c r="K110" s="332">
        <v>193.04651200000001</v>
      </c>
      <c r="L110" s="332">
        <v>83.604651000000004</v>
      </c>
      <c r="M110" s="332">
        <v>34.779069999999997</v>
      </c>
      <c r="N110" s="332">
        <v>161.19767400000001</v>
      </c>
      <c r="O110" s="332">
        <v>1015.186047</v>
      </c>
      <c r="P110" s="332">
        <v>0</v>
      </c>
      <c r="Q110" s="332">
        <v>1.1627999999999999E-2</v>
      </c>
      <c r="R110" s="332">
        <v>67.627906999999993</v>
      </c>
      <c r="S110" s="332">
        <v>37.953488</v>
      </c>
      <c r="T110" s="332">
        <v>82.662790999999999</v>
      </c>
      <c r="U110" s="332">
        <v>988.151162</v>
      </c>
      <c r="V110" s="332">
        <v>748.651163</v>
      </c>
      <c r="W110" s="332">
        <v>500</v>
      </c>
      <c r="X110" s="331" t="s">
        <v>896</v>
      </c>
      <c r="Y110" s="333">
        <v>45638</v>
      </c>
      <c r="Z110" s="331" t="s">
        <v>574</v>
      </c>
      <c r="AA110" s="331" t="s">
        <v>897</v>
      </c>
    </row>
    <row r="111" spans="1:27" ht="15.5" x14ac:dyDescent="0.35">
      <c r="A111" s="330" t="s">
        <v>1153</v>
      </c>
      <c r="B111" s="331" t="s">
        <v>1154</v>
      </c>
      <c r="C111" s="331" t="s">
        <v>1155</v>
      </c>
      <c r="D111" s="331" t="s">
        <v>426</v>
      </c>
      <c r="E111" s="331" t="s">
        <v>1156</v>
      </c>
      <c r="F111" s="331" t="s">
        <v>314</v>
      </c>
      <c r="G111" s="331" t="s">
        <v>194</v>
      </c>
      <c r="H111" s="331" t="s">
        <v>176</v>
      </c>
      <c r="I111" s="332">
        <v>5.1100917431192663</v>
      </c>
      <c r="J111" s="332">
        <v>1.5348839999999999</v>
      </c>
      <c r="K111" s="332">
        <v>5.2209300000000001</v>
      </c>
      <c r="L111" s="332">
        <v>0.19767399999999999</v>
      </c>
      <c r="M111" s="332">
        <v>0.20930199999999999</v>
      </c>
      <c r="N111" s="332">
        <v>1.3023260000000001</v>
      </c>
      <c r="O111" s="332">
        <v>5.755814</v>
      </c>
      <c r="P111" s="332">
        <v>0</v>
      </c>
      <c r="Q111" s="332">
        <v>0.10465099999999999</v>
      </c>
      <c r="R111" s="332">
        <v>0.453488</v>
      </c>
      <c r="S111" s="332">
        <v>0.96511599999999997</v>
      </c>
      <c r="T111" s="332">
        <v>1.8023260000000001</v>
      </c>
      <c r="U111" s="332">
        <v>3.9418600000000001</v>
      </c>
      <c r="V111" s="332">
        <v>2.383721</v>
      </c>
      <c r="W111" s="331"/>
      <c r="X111" s="331" t="s">
        <v>896</v>
      </c>
      <c r="Y111" s="333">
        <v>45491</v>
      </c>
      <c r="Z111" s="331" t="s">
        <v>559</v>
      </c>
      <c r="AA111" s="331" t="s">
        <v>897</v>
      </c>
    </row>
    <row r="112" spans="1:27" ht="15.5" x14ac:dyDescent="0.35">
      <c r="A112" s="330" t="s">
        <v>575</v>
      </c>
      <c r="B112" s="331" t="s">
        <v>589</v>
      </c>
      <c r="C112" s="331" t="s">
        <v>222</v>
      </c>
      <c r="D112" s="331" t="s">
        <v>184</v>
      </c>
      <c r="E112" s="331" t="s">
        <v>1157</v>
      </c>
      <c r="F112" s="331" t="s">
        <v>223</v>
      </c>
      <c r="G112" s="331" t="s">
        <v>194</v>
      </c>
      <c r="H112" s="331" t="s">
        <v>5</v>
      </c>
      <c r="I112" s="332">
        <v>51.37795729948067</v>
      </c>
      <c r="J112" s="332">
        <v>543.31395299999997</v>
      </c>
      <c r="K112" s="332">
        <v>303.89534900000001</v>
      </c>
      <c r="L112" s="332">
        <v>50.093023000000002</v>
      </c>
      <c r="M112" s="332">
        <v>35.790697999999999</v>
      </c>
      <c r="N112" s="332">
        <v>154.313953</v>
      </c>
      <c r="O112" s="332">
        <v>778.77907000000005</v>
      </c>
      <c r="P112" s="332">
        <v>0</v>
      </c>
      <c r="Q112" s="332">
        <v>0</v>
      </c>
      <c r="R112" s="332">
        <v>63.174419</v>
      </c>
      <c r="S112" s="332">
        <v>39.127907</v>
      </c>
      <c r="T112" s="332">
        <v>73.930233000000001</v>
      </c>
      <c r="U112" s="332">
        <v>756.86046499999998</v>
      </c>
      <c r="V112" s="332">
        <v>448.37209300000001</v>
      </c>
      <c r="W112" s="331"/>
      <c r="X112" s="331" t="s">
        <v>896</v>
      </c>
      <c r="Y112" s="333">
        <v>45645</v>
      </c>
      <c r="Z112" s="331" t="s">
        <v>559</v>
      </c>
      <c r="AA112" s="331" t="s">
        <v>897</v>
      </c>
    </row>
    <row r="113" spans="1:27" ht="15.5" x14ac:dyDescent="0.35">
      <c r="A113" s="330" t="s">
        <v>1158</v>
      </c>
      <c r="B113" s="331" t="s">
        <v>1159</v>
      </c>
      <c r="C113" s="331" t="s">
        <v>1160</v>
      </c>
      <c r="D113" s="331" t="s">
        <v>254</v>
      </c>
      <c r="E113" s="331" t="s">
        <v>1161</v>
      </c>
      <c r="F113" s="331" t="s">
        <v>24</v>
      </c>
      <c r="G113" s="331" t="s">
        <v>1162</v>
      </c>
      <c r="H113" s="331" t="s">
        <v>5</v>
      </c>
      <c r="I113" s="332">
        <v>36.733333333333327</v>
      </c>
      <c r="J113" s="332">
        <v>0.77907000000000004</v>
      </c>
      <c r="K113" s="332">
        <v>0.37209300000000001</v>
      </c>
      <c r="L113" s="332">
        <v>0.62790699999999999</v>
      </c>
      <c r="M113" s="332">
        <v>0.86046500000000004</v>
      </c>
      <c r="N113" s="332">
        <v>1.2093020000000001</v>
      </c>
      <c r="O113" s="332">
        <v>1.4302330000000001</v>
      </c>
      <c r="P113" s="332">
        <v>0</v>
      </c>
      <c r="Q113" s="332">
        <v>0</v>
      </c>
      <c r="R113" s="332">
        <v>0.75581399999999999</v>
      </c>
      <c r="S113" s="332">
        <v>0.10465099999999999</v>
      </c>
      <c r="T113" s="332">
        <v>0.34883700000000001</v>
      </c>
      <c r="U113" s="332">
        <v>1.4302330000000001</v>
      </c>
      <c r="V113" s="332">
        <v>2.4534880000000001</v>
      </c>
      <c r="W113" s="331"/>
      <c r="X113" s="331"/>
      <c r="Y113" s="331"/>
      <c r="Z113" s="331"/>
      <c r="AA113" s="331"/>
    </row>
    <row r="114" spans="1:27" ht="15.5" x14ac:dyDescent="0.35">
      <c r="A114" s="330" t="s">
        <v>370</v>
      </c>
      <c r="B114" s="331" t="s">
        <v>371</v>
      </c>
      <c r="C114" s="331" t="s">
        <v>372</v>
      </c>
      <c r="D114" s="331" t="s">
        <v>295</v>
      </c>
      <c r="E114" s="331" t="s">
        <v>1163</v>
      </c>
      <c r="F114" s="331" t="s">
        <v>296</v>
      </c>
      <c r="G114" s="331" t="s">
        <v>194</v>
      </c>
      <c r="H114" s="331" t="s">
        <v>176</v>
      </c>
      <c r="I114" s="332">
        <v>35.19381443298969</v>
      </c>
      <c r="J114" s="332">
        <v>36.430233000000001</v>
      </c>
      <c r="K114" s="332">
        <v>28.860465000000001</v>
      </c>
      <c r="L114" s="332">
        <v>35.232557999999997</v>
      </c>
      <c r="M114" s="332">
        <v>10.709301999999999</v>
      </c>
      <c r="N114" s="332">
        <v>40.174419</v>
      </c>
      <c r="O114" s="332">
        <v>62.372093</v>
      </c>
      <c r="P114" s="332">
        <v>2.3488370000000001</v>
      </c>
      <c r="Q114" s="332">
        <v>6.3372089999999996</v>
      </c>
      <c r="R114" s="332">
        <v>21.837209000000001</v>
      </c>
      <c r="S114" s="332">
        <v>13.279070000000001</v>
      </c>
      <c r="T114" s="332">
        <v>11.965116</v>
      </c>
      <c r="U114" s="332">
        <v>64.151162999999997</v>
      </c>
      <c r="V114" s="332">
        <v>63.686047000000002</v>
      </c>
      <c r="W114" s="331"/>
      <c r="X114" s="331" t="s">
        <v>896</v>
      </c>
      <c r="Y114" s="333">
        <v>45729</v>
      </c>
      <c r="Z114" s="331" t="s">
        <v>559</v>
      </c>
      <c r="AA114" s="331" t="s">
        <v>897</v>
      </c>
    </row>
    <row r="115" spans="1:27" ht="15.5" x14ac:dyDescent="0.35">
      <c r="A115" s="330" t="s">
        <v>1164</v>
      </c>
      <c r="B115" s="331" t="s">
        <v>1165</v>
      </c>
      <c r="C115" s="331" t="s">
        <v>1166</v>
      </c>
      <c r="D115" s="331" t="s">
        <v>373</v>
      </c>
      <c r="E115" s="331" t="s">
        <v>1167</v>
      </c>
      <c r="F115" s="331" t="s">
        <v>29</v>
      </c>
      <c r="G115" s="331" t="s">
        <v>186</v>
      </c>
      <c r="H115" s="331" t="s">
        <v>176</v>
      </c>
      <c r="I115" s="332">
        <v>0.18029620090148099</v>
      </c>
      <c r="J115" s="332">
        <v>1.872093</v>
      </c>
      <c r="K115" s="332">
        <v>0.30232599999999998</v>
      </c>
      <c r="L115" s="332">
        <v>0.55813999999999997</v>
      </c>
      <c r="M115" s="332">
        <v>0.59302299999999997</v>
      </c>
      <c r="N115" s="332">
        <v>0.84883699999999995</v>
      </c>
      <c r="O115" s="332">
        <v>1.860465</v>
      </c>
      <c r="P115" s="332">
        <v>5.8139999999999997E-2</v>
      </c>
      <c r="Q115" s="332">
        <v>0.55813999999999997</v>
      </c>
      <c r="R115" s="332">
        <v>0.546512</v>
      </c>
      <c r="S115" s="332">
        <v>0.30232599999999998</v>
      </c>
      <c r="T115" s="332">
        <v>0.20930199999999999</v>
      </c>
      <c r="U115" s="332">
        <v>2.267442</v>
      </c>
      <c r="V115" s="332">
        <v>1.4767440000000001</v>
      </c>
      <c r="W115" s="331"/>
      <c r="X115" s="331"/>
      <c r="Y115" s="331"/>
      <c r="Z115" s="331"/>
      <c r="AA115" s="331"/>
    </row>
    <row r="116" spans="1:27" ht="15.5" x14ac:dyDescent="0.35">
      <c r="A116" s="330" t="s">
        <v>1168</v>
      </c>
      <c r="B116" s="331" t="s">
        <v>1169</v>
      </c>
      <c r="C116" s="331" t="s">
        <v>319</v>
      </c>
      <c r="D116" s="331" t="s">
        <v>184</v>
      </c>
      <c r="E116" s="331" t="s">
        <v>1170</v>
      </c>
      <c r="F116" s="331" t="s">
        <v>185</v>
      </c>
      <c r="G116" s="331" t="s">
        <v>230</v>
      </c>
      <c r="H116" s="331" t="s">
        <v>176</v>
      </c>
      <c r="I116" s="332">
        <v>2.615384615384615</v>
      </c>
      <c r="J116" s="332">
        <v>0.19767399999999999</v>
      </c>
      <c r="K116" s="332">
        <v>1.139535</v>
      </c>
      <c r="L116" s="332">
        <v>0.33720899999999998</v>
      </c>
      <c r="M116" s="332">
        <v>0.32558100000000001</v>
      </c>
      <c r="N116" s="332">
        <v>1.883721</v>
      </c>
      <c r="O116" s="332">
        <v>0.10465099999999999</v>
      </c>
      <c r="P116" s="332">
        <v>1.1627999999999999E-2</v>
      </c>
      <c r="Q116" s="332">
        <v>0</v>
      </c>
      <c r="R116" s="332">
        <v>0.476744</v>
      </c>
      <c r="S116" s="332">
        <v>1.1511629999999999</v>
      </c>
      <c r="T116" s="332">
        <v>0.27906999999999998</v>
      </c>
      <c r="U116" s="332">
        <v>9.3022999999999995E-2</v>
      </c>
      <c r="V116" s="332">
        <v>1.9651160000000001</v>
      </c>
      <c r="W116" s="331"/>
      <c r="X116" s="331" t="s">
        <v>395</v>
      </c>
      <c r="Y116" s="333">
        <v>45394</v>
      </c>
      <c r="Z116" s="331" t="s">
        <v>987</v>
      </c>
      <c r="AA116" s="331" t="s">
        <v>897</v>
      </c>
    </row>
    <row r="117" spans="1:27" ht="15.5" x14ac:dyDescent="0.35">
      <c r="A117" s="330" t="s">
        <v>1171</v>
      </c>
      <c r="B117" s="331" t="s">
        <v>593</v>
      </c>
      <c r="C117" s="331" t="s">
        <v>319</v>
      </c>
      <c r="D117" s="331" t="s">
        <v>184</v>
      </c>
      <c r="E117" s="331" t="s">
        <v>1170</v>
      </c>
      <c r="F117" s="331" t="s">
        <v>185</v>
      </c>
      <c r="G117" s="331" t="s">
        <v>175</v>
      </c>
      <c r="H117" s="331" t="s">
        <v>176</v>
      </c>
      <c r="I117" s="332">
        <v>49.449973247726057</v>
      </c>
      <c r="J117" s="332">
        <v>1091.7325579999999</v>
      </c>
      <c r="K117" s="332">
        <v>86.476743999999997</v>
      </c>
      <c r="L117" s="332">
        <v>4.6627910000000004</v>
      </c>
      <c r="M117" s="332">
        <v>0.65116300000000005</v>
      </c>
      <c r="N117" s="332">
        <v>36.162790999999999</v>
      </c>
      <c r="O117" s="332">
        <v>784.05813999999998</v>
      </c>
      <c r="P117" s="332">
        <v>35.348837000000003</v>
      </c>
      <c r="Q117" s="332">
        <v>327.95348799999999</v>
      </c>
      <c r="R117" s="332">
        <v>0.48837199999999997</v>
      </c>
      <c r="S117" s="332">
        <v>8.2790700000000008</v>
      </c>
      <c r="T117" s="332">
        <v>72.302325999999994</v>
      </c>
      <c r="U117" s="332">
        <v>1102.453489</v>
      </c>
      <c r="V117" s="332">
        <v>580.41860499999996</v>
      </c>
      <c r="W117" s="332">
        <v>928</v>
      </c>
      <c r="X117" s="331" t="s">
        <v>896</v>
      </c>
      <c r="Y117" s="333">
        <v>45372</v>
      </c>
      <c r="Z117" s="331" t="s">
        <v>574</v>
      </c>
      <c r="AA117" s="331" t="s">
        <v>897</v>
      </c>
    </row>
    <row r="118" spans="1:27" ht="15.5" x14ac:dyDescent="0.35">
      <c r="A118" s="330" t="s">
        <v>1172</v>
      </c>
      <c r="B118" s="331" t="s">
        <v>347</v>
      </c>
      <c r="C118" s="331" t="s">
        <v>348</v>
      </c>
      <c r="D118" s="331" t="s">
        <v>311</v>
      </c>
      <c r="E118" s="331" t="s">
        <v>1173</v>
      </c>
      <c r="F118" s="331" t="s">
        <v>29</v>
      </c>
      <c r="G118" s="331" t="s">
        <v>194</v>
      </c>
      <c r="H118" s="331" t="s">
        <v>176</v>
      </c>
      <c r="I118" s="332">
        <v>22.894039735099341</v>
      </c>
      <c r="J118" s="332">
        <v>73.604651000000004</v>
      </c>
      <c r="K118" s="332">
        <v>32.023256000000003</v>
      </c>
      <c r="L118" s="332">
        <v>33.860464999999998</v>
      </c>
      <c r="M118" s="332">
        <v>21.244185999999999</v>
      </c>
      <c r="N118" s="332">
        <v>54.593023000000002</v>
      </c>
      <c r="O118" s="332">
        <v>106.139535</v>
      </c>
      <c r="P118" s="332">
        <v>0</v>
      </c>
      <c r="Q118" s="332">
        <v>0</v>
      </c>
      <c r="R118" s="332">
        <v>26.569766999999999</v>
      </c>
      <c r="S118" s="332">
        <v>16.279070000000001</v>
      </c>
      <c r="T118" s="332">
        <v>21.116278999999999</v>
      </c>
      <c r="U118" s="332">
        <v>96.767442000000003</v>
      </c>
      <c r="V118" s="332">
        <v>93.732557999999997</v>
      </c>
      <c r="W118" s="331"/>
      <c r="X118" s="331" t="s">
        <v>896</v>
      </c>
      <c r="Y118" s="333">
        <v>45722</v>
      </c>
      <c r="Z118" s="331" t="s">
        <v>559</v>
      </c>
      <c r="AA118" s="331" t="s">
        <v>897</v>
      </c>
    </row>
    <row r="119" spans="1:27" ht="15.5" x14ac:dyDescent="0.35">
      <c r="A119" s="330" t="s">
        <v>1174</v>
      </c>
      <c r="B119" s="331" t="s">
        <v>1175</v>
      </c>
      <c r="C119" s="331" t="s">
        <v>1176</v>
      </c>
      <c r="D119" s="331" t="s">
        <v>333</v>
      </c>
      <c r="E119" s="331" t="s">
        <v>1177</v>
      </c>
      <c r="F119" s="331" t="s">
        <v>29</v>
      </c>
      <c r="G119" s="331" t="s">
        <v>230</v>
      </c>
      <c r="H119" s="331" t="s">
        <v>5</v>
      </c>
      <c r="I119" s="332">
        <v>39.126436781609193</v>
      </c>
      <c r="J119" s="332">
        <v>50.465116000000002</v>
      </c>
      <c r="K119" s="332">
        <v>23.767441999999999</v>
      </c>
      <c r="L119" s="332">
        <v>22.593022999999999</v>
      </c>
      <c r="M119" s="332">
        <v>5.5581399999999999</v>
      </c>
      <c r="N119" s="332">
        <v>35.116278999999999</v>
      </c>
      <c r="O119" s="332">
        <v>66.976743999999997</v>
      </c>
      <c r="P119" s="332">
        <v>0.19767399999999999</v>
      </c>
      <c r="Q119" s="332">
        <v>9.3022999999999995E-2</v>
      </c>
      <c r="R119" s="332">
        <v>9.4302329999999994</v>
      </c>
      <c r="S119" s="332">
        <v>15.139535</v>
      </c>
      <c r="T119" s="332">
        <v>19.139534999999999</v>
      </c>
      <c r="U119" s="332">
        <v>58.674419</v>
      </c>
      <c r="V119" s="332">
        <v>54.162790999999999</v>
      </c>
      <c r="W119" s="331"/>
      <c r="X119" s="331"/>
      <c r="Y119" s="331"/>
      <c r="Z119" s="331"/>
      <c r="AA119" s="331"/>
    </row>
    <row r="120" spans="1:27" ht="15.5" x14ac:dyDescent="0.35">
      <c r="A120" s="330" t="s">
        <v>39</v>
      </c>
      <c r="B120" s="331" t="s">
        <v>1178</v>
      </c>
      <c r="C120" s="331" t="s">
        <v>1179</v>
      </c>
      <c r="D120" s="331" t="s">
        <v>433</v>
      </c>
      <c r="E120" s="331" t="s">
        <v>1180</v>
      </c>
      <c r="F120" s="331" t="s">
        <v>193</v>
      </c>
      <c r="G120" s="331" t="s">
        <v>230</v>
      </c>
      <c r="H120" s="331" t="s">
        <v>176</v>
      </c>
      <c r="I120" s="332">
        <v>3.8436657681940698</v>
      </c>
      <c r="J120" s="332">
        <v>22.302326000000001</v>
      </c>
      <c r="K120" s="332">
        <v>4.3953490000000004</v>
      </c>
      <c r="L120" s="332">
        <v>4.267442</v>
      </c>
      <c r="M120" s="332">
        <v>1.4069769999999999</v>
      </c>
      <c r="N120" s="332">
        <v>5.488372</v>
      </c>
      <c r="O120" s="332">
        <v>18.662790999999999</v>
      </c>
      <c r="P120" s="332">
        <v>1.1627909999999999</v>
      </c>
      <c r="Q120" s="332">
        <v>7.0581399999999999</v>
      </c>
      <c r="R120" s="332">
        <v>2.5930230000000001</v>
      </c>
      <c r="S120" s="332">
        <v>2.255814</v>
      </c>
      <c r="T120" s="332">
        <v>5.0581399999999999</v>
      </c>
      <c r="U120" s="332">
        <v>22.465116999999999</v>
      </c>
      <c r="V120" s="332">
        <v>13.732557999999999</v>
      </c>
      <c r="W120" s="331"/>
      <c r="X120" s="331" t="s">
        <v>896</v>
      </c>
      <c r="Y120" s="333">
        <v>45561</v>
      </c>
      <c r="Z120" s="331" t="s">
        <v>559</v>
      </c>
      <c r="AA120" s="331" t="s">
        <v>897</v>
      </c>
    </row>
    <row r="121" spans="1:27" ht="15.5" x14ac:dyDescent="0.35">
      <c r="A121" s="330" t="s">
        <v>252</v>
      </c>
      <c r="B121" s="331" t="s">
        <v>1181</v>
      </c>
      <c r="C121" s="331" t="s">
        <v>253</v>
      </c>
      <c r="D121" s="331" t="s">
        <v>254</v>
      </c>
      <c r="E121" s="331" t="s">
        <v>1182</v>
      </c>
      <c r="F121" s="331" t="s">
        <v>24</v>
      </c>
      <c r="G121" s="331" t="s">
        <v>214</v>
      </c>
      <c r="H121" s="331" t="s">
        <v>5</v>
      </c>
      <c r="I121" s="332">
        <v>21.92914083259522</v>
      </c>
      <c r="J121" s="332">
        <v>174.23255800000001</v>
      </c>
      <c r="K121" s="332">
        <v>96.116279000000006</v>
      </c>
      <c r="L121" s="332">
        <v>319.74418600000001</v>
      </c>
      <c r="M121" s="332">
        <v>271.68604699999997</v>
      </c>
      <c r="N121" s="332">
        <v>379.11627900000002</v>
      </c>
      <c r="O121" s="332">
        <v>482.66279100000003</v>
      </c>
      <c r="P121" s="332">
        <v>0</v>
      </c>
      <c r="Q121" s="332">
        <v>0</v>
      </c>
      <c r="R121" s="332">
        <v>239.08139499999999</v>
      </c>
      <c r="S121" s="332">
        <v>88.069766999999999</v>
      </c>
      <c r="T121" s="332">
        <v>88.116279000000006</v>
      </c>
      <c r="U121" s="332">
        <v>446.51162799999997</v>
      </c>
      <c r="V121" s="332">
        <v>385.10465099999999</v>
      </c>
      <c r="W121" s="332">
        <v>450</v>
      </c>
      <c r="X121" s="331" t="s">
        <v>896</v>
      </c>
      <c r="Y121" s="333">
        <v>45778</v>
      </c>
      <c r="Z121" s="331" t="s">
        <v>574</v>
      </c>
      <c r="AA121" s="331" t="s">
        <v>897</v>
      </c>
    </row>
    <row r="122" spans="1:27" ht="15.5" x14ac:dyDescent="0.35">
      <c r="A122" s="330" t="s">
        <v>1183</v>
      </c>
      <c r="B122" s="331" t="s">
        <v>1184</v>
      </c>
      <c r="C122" s="331" t="s">
        <v>1185</v>
      </c>
      <c r="D122" s="331" t="s">
        <v>184</v>
      </c>
      <c r="E122" s="331" t="s">
        <v>1186</v>
      </c>
      <c r="F122" s="331" t="s">
        <v>185</v>
      </c>
      <c r="G122" s="331" t="s">
        <v>230</v>
      </c>
      <c r="H122" s="331" t="s">
        <v>5</v>
      </c>
      <c r="I122" s="332">
        <v>43.343119266055048</v>
      </c>
      <c r="J122" s="332">
        <v>248.09302299999999</v>
      </c>
      <c r="K122" s="332">
        <v>13.860465</v>
      </c>
      <c r="L122" s="332">
        <v>0.94186000000000003</v>
      </c>
      <c r="M122" s="332">
        <v>0</v>
      </c>
      <c r="N122" s="332">
        <v>19.651163</v>
      </c>
      <c r="O122" s="332">
        <v>241.837209</v>
      </c>
      <c r="P122" s="332">
        <v>0.32558100000000001</v>
      </c>
      <c r="Q122" s="332">
        <v>1.0813950000000001</v>
      </c>
      <c r="R122" s="332">
        <v>1.2790699999999999</v>
      </c>
      <c r="S122" s="332">
        <v>2.104651</v>
      </c>
      <c r="T122" s="332">
        <v>20.220929999999999</v>
      </c>
      <c r="U122" s="332">
        <v>239.29069799999999</v>
      </c>
      <c r="V122" s="332">
        <v>127.53488400000001</v>
      </c>
      <c r="W122" s="331"/>
      <c r="X122" s="331" t="s">
        <v>395</v>
      </c>
      <c r="Y122" s="334">
        <v>45695</v>
      </c>
      <c r="Z122" s="331" t="s">
        <v>987</v>
      </c>
      <c r="AA122" s="331" t="s">
        <v>897</v>
      </c>
    </row>
    <row r="123" spans="1:27" ht="15.5" x14ac:dyDescent="0.35">
      <c r="A123" s="330" t="s">
        <v>1187</v>
      </c>
      <c r="B123" s="331" t="s">
        <v>1188</v>
      </c>
      <c r="C123" s="331" t="s">
        <v>1189</v>
      </c>
      <c r="D123" s="331" t="s">
        <v>254</v>
      </c>
      <c r="E123" s="331" t="s">
        <v>1190</v>
      </c>
      <c r="F123" s="331" t="s">
        <v>24</v>
      </c>
      <c r="G123" s="331" t="s">
        <v>194</v>
      </c>
      <c r="H123" s="331" t="s">
        <v>176</v>
      </c>
      <c r="I123" s="332">
        <v>1</v>
      </c>
      <c r="J123" s="332">
        <v>0</v>
      </c>
      <c r="K123" s="332">
        <v>1.1627999999999999E-2</v>
      </c>
      <c r="L123" s="332">
        <v>1</v>
      </c>
      <c r="M123" s="332">
        <v>0</v>
      </c>
      <c r="N123" s="332">
        <v>0</v>
      </c>
      <c r="O123" s="332">
        <v>1.011628</v>
      </c>
      <c r="P123" s="332">
        <v>0</v>
      </c>
      <c r="Q123" s="332">
        <v>0</v>
      </c>
      <c r="R123" s="332">
        <v>0</v>
      </c>
      <c r="S123" s="332">
        <v>0</v>
      </c>
      <c r="T123" s="332">
        <v>0</v>
      </c>
      <c r="U123" s="332">
        <v>1.011628</v>
      </c>
      <c r="V123" s="332">
        <v>1.011628</v>
      </c>
      <c r="W123" s="331"/>
      <c r="X123" s="331"/>
      <c r="Y123" s="331"/>
      <c r="Z123" s="331"/>
      <c r="AA123" s="331"/>
    </row>
    <row r="124" spans="1:27" ht="15.5" x14ac:dyDescent="0.35">
      <c r="A124" s="330" t="s">
        <v>13</v>
      </c>
      <c r="B124" s="331" t="s">
        <v>306</v>
      </c>
      <c r="C124" s="331" t="s">
        <v>272</v>
      </c>
      <c r="D124" s="331" t="s">
        <v>184</v>
      </c>
      <c r="E124" s="331" t="s">
        <v>1191</v>
      </c>
      <c r="F124" s="331" t="s">
        <v>565</v>
      </c>
      <c r="G124" s="331" t="s">
        <v>175</v>
      </c>
      <c r="H124" s="331" t="s">
        <v>176</v>
      </c>
      <c r="I124" s="332">
        <v>46.847926267281103</v>
      </c>
      <c r="J124" s="332">
        <v>312.20930199999998</v>
      </c>
      <c r="K124" s="332">
        <v>20.988371999999998</v>
      </c>
      <c r="L124" s="332">
        <v>15.546512</v>
      </c>
      <c r="M124" s="332">
        <v>11.325581</v>
      </c>
      <c r="N124" s="332">
        <v>0</v>
      </c>
      <c r="O124" s="332">
        <v>2.767442</v>
      </c>
      <c r="P124" s="332">
        <v>19.267441999999999</v>
      </c>
      <c r="Q124" s="332">
        <v>338.03488399999998</v>
      </c>
      <c r="R124" s="332">
        <v>7.244186</v>
      </c>
      <c r="S124" s="332">
        <v>8.3488369999999996</v>
      </c>
      <c r="T124" s="332">
        <v>12.337209</v>
      </c>
      <c r="U124" s="332">
        <v>332.13953400000003</v>
      </c>
      <c r="V124" s="332">
        <v>205.77906999999999</v>
      </c>
      <c r="W124" s="331"/>
      <c r="X124" s="331" t="s">
        <v>896</v>
      </c>
      <c r="Y124" s="333">
        <v>45736</v>
      </c>
      <c r="Z124" s="331" t="s">
        <v>559</v>
      </c>
      <c r="AA124" s="331" t="s">
        <v>897</v>
      </c>
    </row>
    <row r="125" spans="1:27" ht="15.5" x14ac:dyDescent="0.35">
      <c r="A125" s="330" t="s">
        <v>1192</v>
      </c>
      <c r="B125" s="331" t="s">
        <v>1193</v>
      </c>
      <c r="C125" s="331" t="s">
        <v>1194</v>
      </c>
      <c r="D125" s="331" t="s">
        <v>1195</v>
      </c>
      <c r="E125" s="331" t="s">
        <v>1196</v>
      </c>
      <c r="F125" s="331" t="s">
        <v>296</v>
      </c>
      <c r="G125" s="331" t="s">
        <v>230</v>
      </c>
      <c r="H125" s="331" t="s">
        <v>176</v>
      </c>
      <c r="I125" s="332">
        <v>29.84210526315789</v>
      </c>
      <c r="J125" s="332">
        <v>6.9302330000000003</v>
      </c>
      <c r="K125" s="332">
        <v>0.72092999999999996</v>
      </c>
      <c r="L125" s="332">
        <v>1.8139529999999999</v>
      </c>
      <c r="M125" s="332">
        <v>0</v>
      </c>
      <c r="N125" s="332">
        <v>0.81395300000000004</v>
      </c>
      <c r="O125" s="332">
        <v>8.6511630000000004</v>
      </c>
      <c r="P125" s="332">
        <v>0</v>
      </c>
      <c r="Q125" s="332">
        <v>0</v>
      </c>
      <c r="R125" s="332">
        <v>0</v>
      </c>
      <c r="S125" s="332">
        <v>0.40697699999999998</v>
      </c>
      <c r="T125" s="332">
        <v>0.40697699999999998</v>
      </c>
      <c r="U125" s="332">
        <v>8.6511630000000004</v>
      </c>
      <c r="V125" s="332">
        <v>4.0581399999999999</v>
      </c>
      <c r="W125" s="331"/>
      <c r="X125" s="331"/>
      <c r="Y125" s="331"/>
      <c r="Z125" s="331"/>
      <c r="AA125" s="331"/>
    </row>
    <row r="126" spans="1:27" ht="15.5" x14ac:dyDescent="0.35">
      <c r="A126" s="330" t="s">
        <v>1197</v>
      </c>
      <c r="B126" s="331" t="s">
        <v>1198</v>
      </c>
      <c r="C126" s="331" t="s">
        <v>1199</v>
      </c>
      <c r="D126" s="331" t="s">
        <v>360</v>
      </c>
      <c r="E126" s="331" t="s">
        <v>1200</v>
      </c>
      <c r="F126" s="331" t="s">
        <v>29</v>
      </c>
      <c r="G126" s="331" t="s">
        <v>386</v>
      </c>
      <c r="H126" s="331" t="s">
        <v>5</v>
      </c>
      <c r="I126" s="332">
        <v>96.806451612903231</v>
      </c>
      <c r="J126" s="332">
        <v>13.651163</v>
      </c>
      <c r="K126" s="332">
        <v>5.0697669999999997</v>
      </c>
      <c r="L126" s="332">
        <v>12.709301999999999</v>
      </c>
      <c r="M126" s="332">
        <v>23.197673999999999</v>
      </c>
      <c r="N126" s="332">
        <v>42.325581</v>
      </c>
      <c r="O126" s="332">
        <v>12.302326000000001</v>
      </c>
      <c r="P126" s="332">
        <v>0</v>
      </c>
      <c r="Q126" s="332">
        <v>0</v>
      </c>
      <c r="R126" s="332">
        <v>30.127907</v>
      </c>
      <c r="S126" s="332">
        <v>5.7093020000000001</v>
      </c>
      <c r="T126" s="332">
        <v>6.488372</v>
      </c>
      <c r="U126" s="332">
        <v>12.302326000000001</v>
      </c>
      <c r="V126" s="332">
        <v>43.5</v>
      </c>
      <c r="W126" s="331"/>
      <c r="X126" s="331"/>
      <c r="Y126" s="331"/>
      <c r="Z126" s="331"/>
      <c r="AA126" s="331"/>
    </row>
    <row r="127" spans="1:27" ht="15.5" x14ac:dyDescent="0.35">
      <c r="A127" s="330" t="s">
        <v>439</v>
      </c>
      <c r="B127" s="331" t="s">
        <v>440</v>
      </c>
      <c r="C127" s="331" t="s">
        <v>438</v>
      </c>
      <c r="D127" s="331" t="s">
        <v>399</v>
      </c>
      <c r="E127" s="331" t="s">
        <v>1201</v>
      </c>
      <c r="F127" s="331" t="s">
        <v>181</v>
      </c>
      <c r="G127" s="331" t="s">
        <v>230</v>
      </c>
      <c r="H127" s="331" t="s">
        <v>176</v>
      </c>
      <c r="I127" s="332">
        <v>1.672413793103448</v>
      </c>
      <c r="J127" s="332">
        <v>2.2093020000000001</v>
      </c>
      <c r="K127" s="332">
        <v>2.0465119999999999</v>
      </c>
      <c r="L127" s="332">
        <v>1.011628</v>
      </c>
      <c r="M127" s="332">
        <v>0.32558100000000001</v>
      </c>
      <c r="N127" s="332">
        <v>1.3372090000000001</v>
      </c>
      <c r="O127" s="332">
        <v>2.627907</v>
      </c>
      <c r="P127" s="332">
        <v>0.22092999999999999</v>
      </c>
      <c r="Q127" s="332">
        <v>1.4069769999999999</v>
      </c>
      <c r="R127" s="332">
        <v>0.546512</v>
      </c>
      <c r="S127" s="332">
        <v>0.46511599999999997</v>
      </c>
      <c r="T127" s="332">
        <v>1.0348839999999999</v>
      </c>
      <c r="U127" s="332">
        <v>3.5465119999999999</v>
      </c>
      <c r="V127" s="332">
        <v>2.9767440000000001</v>
      </c>
      <c r="W127" s="331"/>
      <c r="X127" s="331" t="s">
        <v>896</v>
      </c>
      <c r="Y127" s="333">
        <v>45512</v>
      </c>
      <c r="Z127" s="331" t="s">
        <v>559</v>
      </c>
      <c r="AA127" s="331" t="s">
        <v>897</v>
      </c>
    </row>
    <row r="128" spans="1:27" ht="15.5" x14ac:dyDescent="0.35">
      <c r="A128" s="330" t="s">
        <v>286</v>
      </c>
      <c r="B128" s="331" t="s">
        <v>287</v>
      </c>
      <c r="C128" s="331" t="s">
        <v>288</v>
      </c>
      <c r="D128" s="331" t="s">
        <v>184</v>
      </c>
      <c r="E128" s="331" t="s">
        <v>1202</v>
      </c>
      <c r="F128" s="331" t="s">
        <v>223</v>
      </c>
      <c r="G128" s="331" t="s">
        <v>230</v>
      </c>
      <c r="H128" s="331" t="s">
        <v>5</v>
      </c>
      <c r="I128" s="332">
        <v>34.931764705882351</v>
      </c>
      <c r="J128" s="332">
        <v>155.24418600000001</v>
      </c>
      <c r="K128" s="332">
        <v>94.186047000000002</v>
      </c>
      <c r="L128" s="332">
        <v>2.372093</v>
      </c>
      <c r="M128" s="332">
        <v>0.87209300000000001</v>
      </c>
      <c r="N128" s="332">
        <v>39.093023000000002</v>
      </c>
      <c r="O128" s="332">
        <v>213.58139499999999</v>
      </c>
      <c r="P128" s="332">
        <v>0</v>
      </c>
      <c r="Q128" s="332">
        <v>0</v>
      </c>
      <c r="R128" s="332">
        <v>8.2558140000000009</v>
      </c>
      <c r="S128" s="332">
        <v>9.3023260000000008</v>
      </c>
      <c r="T128" s="332">
        <v>26.872093</v>
      </c>
      <c r="U128" s="332">
        <v>208.24418600000001</v>
      </c>
      <c r="V128" s="332">
        <v>76.313952999999998</v>
      </c>
      <c r="W128" s="331"/>
      <c r="X128" s="331" t="s">
        <v>896</v>
      </c>
      <c r="Y128" s="333">
        <v>45743</v>
      </c>
      <c r="Z128" s="331" t="s">
        <v>559</v>
      </c>
      <c r="AA128" s="331" t="s">
        <v>897</v>
      </c>
    </row>
    <row r="129" spans="1:27" ht="15.5" x14ac:dyDescent="0.35">
      <c r="A129" s="330" t="s">
        <v>1203</v>
      </c>
      <c r="B129" s="331" t="s">
        <v>1204</v>
      </c>
      <c r="C129" s="331" t="s">
        <v>1205</v>
      </c>
      <c r="D129" s="331" t="s">
        <v>356</v>
      </c>
      <c r="E129" s="331" t="s">
        <v>1206</v>
      </c>
      <c r="F129" s="331" t="s">
        <v>296</v>
      </c>
      <c r="G129" s="331" t="s">
        <v>230</v>
      </c>
      <c r="H129" s="331" t="s">
        <v>176</v>
      </c>
      <c r="I129" s="332">
        <v>35.802816901408448</v>
      </c>
      <c r="J129" s="332">
        <v>3.104651</v>
      </c>
      <c r="K129" s="332">
        <v>3.383721</v>
      </c>
      <c r="L129" s="332">
        <v>11.313953</v>
      </c>
      <c r="M129" s="332">
        <v>5.8604649999999996</v>
      </c>
      <c r="N129" s="332">
        <v>13.732557999999999</v>
      </c>
      <c r="O129" s="332">
        <v>6.9186050000000003</v>
      </c>
      <c r="P129" s="332">
        <v>2</v>
      </c>
      <c r="Q129" s="332">
        <v>1.011628</v>
      </c>
      <c r="R129" s="332">
        <v>6</v>
      </c>
      <c r="S129" s="332">
        <v>6.0930229999999996</v>
      </c>
      <c r="T129" s="332">
        <v>4.5348839999999999</v>
      </c>
      <c r="U129" s="332">
        <v>7.0348829999999998</v>
      </c>
      <c r="V129" s="332">
        <v>14.883721</v>
      </c>
      <c r="W129" s="331"/>
      <c r="X129" s="331"/>
      <c r="Y129" s="331"/>
      <c r="Z129" s="331"/>
      <c r="AA129" s="331"/>
    </row>
    <row r="130" spans="1:27" ht="15.5" x14ac:dyDescent="0.35">
      <c r="A130" s="330" t="s">
        <v>417</v>
      </c>
      <c r="B130" s="331" t="s">
        <v>418</v>
      </c>
      <c r="C130" s="331" t="s">
        <v>419</v>
      </c>
      <c r="D130" s="331" t="s">
        <v>362</v>
      </c>
      <c r="E130" s="331" t="s">
        <v>1207</v>
      </c>
      <c r="F130" s="331" t="s">
        <v>296</v>
      </c>
      <c r="G130" s="331" t="s">
        <v>230</v>
      </c>
      <c r="H130" s="331" t="s">
        <v>176</v>
      </c>
      <c r="I130" s="332">
        <v>23.260869565217391</v>
      </c>
      <c r="J130" s="332">
        <v>9.0813950000000006</v>
      </c>
      <c r="K130" s="332">
        <v>16.058140000000002</v>
      </c>
      <c r="L130" s="332">
        <v>8.8255809999999997</v>
      </c>
      <c r="M130" s="332">
        <v>6.3139529999999997</v>
      </c>
      <c r="N130" s="332">
        <v>16.918604999999999</v>
      </c>
      <c r="O130" s="332">
        <v>18.744185999999999</v>
      </c>
      <c r="P130" s="332">
        <v>1.6511629999999999</v>
      </c>
      <c r="Q130" s="332">
        <v>2.9651160000000001</v>
      </c>
      <c r="R130" s="332">
        <v>9.3372089999999996</v>
      </c>
      <c r="S130" s="332">
        <v>3.4418600000000001</v>
      </c>
      <c r="T130" s="332">
        <v>8.3139529999999997</v>
      </c>
      <c r="U130" s="332">
        <v>19.186046999999999</v>
      </c>
      <c r="V130" s="332">
        <v>28.406977000000001</v>
      </c>
      <c r="W130" s="331"/>
      <c r="X130" s="331" t="s">
        <v>896</v>
      </c>
      <c r="Y130" s="333">
        <v>45197</v>
      </c>
      <c r="Z130" s="331" t="s">
        <v>559</v>
      </c>
      <c r="AA130" s="331" t="s">
        <v>897</v>
      </c>
    </row>
    <row r="131" spans="1:27" ht="15.5" x14ac:dyDescent="0.35">
      <c r="A131" s="330" t="s">
        <v>1208</v>
      </c>
      <c r="B131" s="331" t="s">
        <v>1209</v>
      </c>
      <c r="C131" s="331" t="s">
        <v>1210</v>
      </c>
      <c r="D131" s="331" t="s">
        <v>311</v>
      </c>
      <c r="E131" s="331" t="s">
        <v>1211</v>
      </c>
      <c r="F131" s="331" t="s">
        <v>245</v>
      </c>
      <c r="G131" s="331" t="s">
        <v>230</v>
      </c>
      <c r="H131" s="331" t="s">
        <v>176</v>
      </c>
      <c r="I131" s="332">
        <v>1.697080291970803</v>
      </c>
      <c r="J131" s="332">
        <v>4.2906979999999999</v>
      </c>
      <c r="K131" s="332">
        <v>0.70930199999999999</v>
      </c>
      <c r="L131" s="332">
        <v>0.37209300000000001</v>
      </c>
      <c r="M131" s="332">
        <v>0.19767399999999999</v>
      </c>
      <c r="N131" s="332">
        <v>0.73255800000000004</v>
      </c>
      <c r="O131" s="332">
        <v>4.0465119999999999</v>
      </c>
      <c r="P131" s="332">
        <v>3.4883999999999998E-2</v>
      </c>
      <c r="Q131" s="332">
        <v>0.75581399999999999</v>
      </c>
      <c r="R131" s="332">
        <v>0.27906999999999998</v>
      </c>
      <c r="S131" s="332">
        <v>0.39534900000000001</v>
      </c>
      <c r="T131" s="332">
        <v>0.26744200000000001</v>
      </c>
      <c r="U131" s="332">
        <v>4.6279070000000004</v>
      </c>
      <c r="V131" s="332">
        <v>2.1976740000000001</v>
      </c>
      <c r="W131" s="331"/>
      <c r="X131" s="331"/>
      <c r="Y131" s="334"/>
      <c r="Z131" s="331"/>
      <c r="AA131" s="331" t="s">
        <v>897</v>
      </c>
    </row>
    <row r="132" spans="1:27" ht="15.5" x14ac:dyDescent="0.35">
      <c r="A132" s="330" t="s">
        <v>1212</v>
      </c>
      <c r="B132" s="331" t="s">
        <v>1213</v>
      </c>
      <c r="C132" s="331" t="s">
        <v>1214</v>
      </c>
      <c r="D132" s="331" t="s">
        <v>192</v>
      </c>
      <c r="E132" s="331" t="s">
        <v>1215</v>
      </c>
      <c r="F132" s="331" t="s">
        <v>193</v>
      </c>
      <c r="G132" s="331" t="s">
        <v>194</v>
      </c>
      <c r="H132" s="331" t="s">
        <v>5</v>
      </c>
      <c r="I132" s="332">
        <v>44.985074626865668</v>
      </c>
      <c r="J132" s="332">
        <v>4.6511999999999998E-2</v>
      </c>
      <c r="K132" s="332">
        <v>2.3488370000000001</v>
      </c>
      <c r="L132" s="332">
        <v>55.988371999999998</v>
      </c>
      <c r="M132" s="332">
        <v>118.732558</v>
      </c>
      <c r="N132" s="332">
        <v>161.93023299999999</v>
      </c>
      <c r="O132" s="332">
        <v>15.186047</v>
      </c>
      <c r="P132" s="332">
        <v>0</v>
      </c>
      <c r="Q132" s="332">
        <v>0</v>
      </c>
      <c r="R132" s="332">
        <v>144.674419</v>
      </c>
      <c r="S132" s="332">
        <v>14.325581</v>
      </c>
      <c r="T132" s="332">
        <v>4.3953490000000004</v>
      </c>
      <c r="U132" s="332">
        <v>13.720929999999999</v>
      </c>
      <c r="V132" s="332">
        <v>154.80232599999999</v>
      </c>
      <c r="W132" s="332">
        <v>208</v>
      </c>
      <c r="X132" s="331" t="s">
        <v>952</v>
      </c>
      <c r="Y132" s="334">
        <v>45912</v>
      </c>
      <c r="Z132" s="331" t="s">
        <v>1151</v>
      </c>
      <c r="AA132" s="331" t="s">
        <v>897</v>
      </c>
    </row>
    <row r="133" spans="1:27" ht="15.5" x14ac:dyDescent="0.35">
      <c r="A133" s="330" t="s">
        <v>1216</v>
      </c>
      <c r="B133" s="331" t="s">
        <v>1217</v>
      </c>
      <c r="C133" s="331" t="s">
        <v>1218</v>
      </c>
      <c r="D133" s="331" t="s">
        <v>184</v>
      </c>
      <c r="E133" s="331" t="s">
        <v>1219</v>
      </c>
      <c r="F133" s="331" t="s">
        <v>245</v>
      </c>
      <c r="G133" s="331" t="s">
        <v>230</v>
      </c>
      <c r="H133" s="331" t="s">
        <v>176</v>
      </c>
      <c r="I133" s="332">
        <v>1.3529411764705881</v>
      </c>
      <c r="J133" s="332">
        <v>1.5930230000000001</v>
      </c>
      <c r="K133" s="332">
        <v>0.87209300000000001</v>
      </c>
      <c r="L133" s="332">
        <v>0.17441899999999999</v>
      </c>
      <c r="M133" s="332">
        <v>0.10465099999999999</v>
      </c>
      <c r="N133" s="332">
        <v>0.36046499999999998</v>
      </c>
      <c r="O133" s="332">
        <v>2.2209300000000001</v>
      </c>
      <c r="P133" s="332">
        <v>1.1627999999999999E-2</v>
      </c>
      <c r="Q133" s="332">
        <v>0.15116299999999999</v>
      </c>
      <c r="R133" s="332">
        <v>0.19767399999999999</v>
      </c>
      <c r="S133" s="332">
        <v>6.9766999999999996E-2</v>
      </c>
      <c r="T133" s="332">
        <v>0.23255799999999999</v>
      </c>
      <c r="U133" s="332">
        <v>2.244186</v>
      </c>
      <c r="V133" s="332">
        <v>1.116279</v>
      </c>
      <c r="W133" s="331"/>
      <c r="X133" s="331" t="s">
        <v>395</v>
      </c>
      <c r="Y133" s="333">
        <v>45377</v>
      </c>
      <c r="Z133" s="331" t="s">
        <v>987</v>
      </c>
      <c r="AA133" s="331" t="s">
        <v>897</v>
      </c>
    </row>
    <row r="134" spans="1:27" ht="15.5" x14ac:dyDescent="0.35">
      <c r="A134" s="330" t="s">
        <v>427</v>
      </c>
      <c r="B134" s="331" t="s">
        <v>428</v>
      </c>
      <c r="C134" s="331" t="s">
        <v>429</v>
      </c>
      <c r="D134" s="331" t="s">
        <v>203</v>
      </c>
      <c r="E134" s="331" t="s">
        <v>1220</v>
      </c>
      <c r="F134" s="331" t="s">
        <v>193</v>
      </c>
      <c r="G134" s="331" t="s">
        <v>230</v>
      </c>
      <c r="H134" s="331" t="s">
        <v>176</v>
      </c>
      <c r="I134" s="332">
        <v>1.735177865612648</v>
      </c>
      <c r="J134" s="332">
        <v>6.8837210000000004</v>
      </c>
      <c r="K134" s="332">
        <v>1.4767440000000001</v>
      </c>
      <c r="L134" s="332">
        <v>0.75581399999999999</v>
      </c>
      <c r="M134" s="332">
        <v>0.89534899999999995</v>
      </c>
      <c r="N134" s="332">
        <v>1.616279</v>
      </c>
      <c r="O134" s="332">
        <v>6.244186</v>
      </c>
      <c r="P134" s="332">
        <v>2.3255999999999999E-2</v>
      </c>
      <c r="Q134" s="332">
        <v>2.127907</v>
      </c>
      <c r="R134" s="332">
        <v>1.3023260000000001</v>
      </c>
      <c r="S134" s="332">
        <v>0.32558100000000001</v>
      </c>
      <c r="T134" s="332">
        <v>0.34883700000000001</v>
      </c>
      <c r="U134" s="332">
        <v>8.0348839999999999</v>
      </c>
      <c r="V134" s="332">
        <v>5.6627910000000004</v>
      </c>
      <c r="W134" s="331"/>
      <c r="X134" s="331" t="s">
        <v>896</v>
      </c>
      <c r="Y134" s="333">
        <v>45561</v>
      </c>
      <c r="Z134" s="331" t="s">
        <v>559</v>
      </c>
      <c r="AA134" s="331" t="s">
        <v>897</v>
      </c>
    </row>
    <row r="135" spans="1:27" ht="15.5" x14ac:dyDescent="0.35">
      <c r="A135" s="330" t="s">
        <v>818</v>
      </c>
      <c r="B135" s="331" t="s">
        <v>1221</v>
      </c>
      <c r="C135" s="331" t="s">
        <v>1222</v>
      </c>
      <c r="D135" s="331" t="s">
        <v>320</v>
      </c>
      <c r="E135" s="331" t="s">
        <v>1223</v>
      </c>
      <c r="F135" s="331" t="s">
        <v>321</v>
      </c>
      <c r="G135" s="331" t="s">
        <v>230</v>
      </c>
      <c r="H135" s="331" t="s">
        <v>176</v>
      </c>
      <c r="I135" s="332">
        <v>17.830188679245278</v>
      </c>
      <c r="J135" s="332">
        <v>65.279070000000004</v>
      </c>
      <c r="K135" s="332">
        <v>14.418604999999999</v>
      </c>
      <c r="L135" s="332">
        <v>6.1976740000000001</v>
      </c>
      <c r="M135" s="332">
        <v>1.860465</v>
      </c>
      <c r="N135" s="332">
        <v>10.05814</v>
      </c>
      <c r="O135" s="332">
        <v>42.639535000000002</v>
      </c>
      <c r="P135" s="332">
        <v>4.3488369999999996</v>
      </c>
      <c r="Q135" s="332">
        <v>30.709302000000001</v>
      </c>
      <c r="R135" s="332">
        <v>3.860465</v>
      </c>
      <c r="S135" s="332">
        <v>7.1976740000000001</v>
      </c>
      <c r="T135" s="332">
        <v>6.511628</v>
      </c>
      <c r="U135" s="332">
        <v>70.186047000000002</v>
      </c>
      <c r="V135" s="332">
        <v>45.767442000000003</v>
      </c>
      <c r="W135" s="331"/>
      <c r="X135" s="331" t="s">
        <v>952</v>
      </c>
      <c r="Y135" s="334">
        <v>45730</v>
      </c>
      <c r="Z135" s="331" t="s">
        <v>559</v>
      </c>
      <c r="AA135" s="331" t="s">
        <v>897</v>
      </c>
    </row>
    <row r="136" spans="1:27" ht="15.5" x14ac:dyDescent="0.35">
      <c r="A136" s="330" t="s">
        <v>1224</v>
      </c>
      <c r="B136" s="331" t="s">
        <v>1225</v>
      </c>
      <c r="C136" s="331" t="s">
        <v>1226</v>
      </c>
      <c r="D136" s="331" t="s">
        <v>378</v>
      </c>
      <c r="E136" s="331" t="s">
        <v>1227</v>
      </c>
      <c r="F136" s="331" t="s">
        <v>29</v>
      </c>
      <c r="G136" s="331" t="s">
        <v>230</v>
      </c>
      <c r="H136" s="331" t="s">
        <v>176</v>
      </c>
      <c r="I136" s="332">
        <v>28.506976744186051</v>
      </c>
      <c r="J136" s="332">
        <v>46.232557999999997</v>
      </c>
      <c r="K136" s="332">
        <v>9.488372</v>
      </c>
      <c r="L136" s="332">
        <v>2.5348839999999999</v>
      </c>
      <c r="M136" s="332">
        <v>1.9186049999999999</v>
      </c>
      <c r="N136" s="332">
        <v>7.6162789999999996</v>
      </c>
      <c r="O136" s="332">
        <v>52.558140000000002</v>
      </c>
      <c r="P136" s="332">
        <v>0</v>
      </c>
      <c r="Q136" s="332">
        <v>0</v>
      </c>
      <c r="R136" s="332">
        <v>1.9767440000000001</v>
      </c>
      <c r="S136" s="332">
        <v>2.8488370000000001</v>
      </c>
      <c r="T136" s="332">
        <v>5.5930229999999996</v>
      </c>
      <c r="U136" s="332">
        <v>49.755814000000001</v>
      </c>
      <c r="V136" s="332">
        <v>25.546512</v>
      </c>
      <c r="W136" s="331"/>
      <c r="X136" s="331" t="s">
        <v>395</v>
      </c>
      <c r="Y136" s="333">
        <v>45291</v>
      </c>
      <c r="Z136" s="331" t="s">
        <v>987</v>
      </c>
      <c r="AA136" s="331" t="s">
        <v>897</v>
      </c>
    </row>
    <row r="137" spans="1:27" ht="15.5" x14ac:dyDescent="0.35">
      <c r="A137" s="330" t="s">
        <v>1228</v>
      </c>
      <c r="B137" s="331" t="s">
        <v>1229</v>
      </c>
      <c r="C137" s="331" t="s">
        <v>1230</v>
      </c>
      <c r="D137" s="331" t="s">
        <v>254</v>
      </c>
      <c r="E137" s="331" t="s">
        <v>1231</v>
      </c>
      <c r="F137" s="331" t="s">
        <v>24</v>
      </c>
      <c r="G137" s="331" t="s">
        <v>230</v>
      </c>
      <c r="H137" s="331" t="s">
        <v>176</v>
      </c>
      <c r="I137" s="332">
        <v>2.0192307692307692</v>
      </c>
      <c r="J137" s="332">
        <v>3.1976740000000001</v>
      </c>
      <c r="K137" s="332">
        <v>0.56976700000000002</v>
      </c>
      <c r="L137" s="332">
        <v>1.8023260000000001</v>
      </c>
      <c r="M137" s="332">
        <v>0.98837200000000003</v>
      </c>
      <c r="N137" s="332">
        <v>0.46511599999999997</v>
      </c>
      <c r="O137" s="332">
        <v>2.4651160000000001</v>
      </c>
      <c r="P137" s="332">
        <v>0.62790699999999999</v>
      </c>
      <c r="Q137" s="332">
        <v>3</v>
      </c>
      <c r="R137" s="332">
        <v>0.70930199999999999</v>
      </c>
      <c r="S137" s="332">
        <v>0.34883700000000001</v>
      </c>
      <c r="T137" s="332">
        <v>0.33720899999999998</v>
      </c>
      <c r="U137" s="332">
        <v>5.1627900000000002</v>
      </c>
      <c r="V137" s="332">
        <v>1.8255809999999999</v>
      </c>
      <c r="W137" s="331"/>
      <c r="X137" s="331"/>
      <c r="Y137" s="331"/>
      <c r="Z137" s="331"/>
      <c r="AA137" s="331"/>
    </row>
    <row r="138" spans="1:27" ht="15.5" x14ac:dyDescent="0.35">
      <c r="A138" s="330" t="s">
        <v>1232</v>
      </c>
      <c r="B138" s="331" t="s">
        <v>1233</v>
      </c>
      <c r="C138" s="331" t="s">
        <v>1234</v>
      </c>
      <c r="D138" s="331" t="s">
        <v>356</v>
      </c>
      <c r="E138" s="331" t="s">
        <v>1235</v>
      </c>
      <c r="F138" s="331" t="s">
        <v>296</v>
      </c>
      <c r="G138" s="331" t="s">
        <v>175</v>
      </c>
      <c r="H138" s="331" t="s">
        <v>5</v>
      </c>
      <c r="I138" s="332">
        <v>20.373134328358208</v>
      </c>
      <c r="J138" s="332">
        <v>25.186046999999999</v>
      </c>
      <c r="K138" s="332">
        <v>8.8255809999999997</v>
      </c>
      <c r="L138" s="332">
        <v>14.255814000000001</v>
      </c>
      <c r="M138" s="332">
        <v>8.7558140000000009</v>
      </c>
      <c r="N138" s="332">
        <v>29.627907</v>
      </c>
      <c r="O138" s="332">
        <v>27.395349</v>
      </c>
      <c r="P138" s="332">
        <v>0</v>
      </c>
      <c r="Q138" s="332">
        <v>0</v>
      </c>
      <c r="R138" s="332">
        <v>10.011628</v>
      </c>
      <c r="S138" s="332">
        <v>10.383721</v>
      </c>
      <c r="T138" s="332">
        <v>15.186047</v>
      </c>
      <c r="U138" s="332">
        <v>21.441860999999999</v>
      </c>
      <c r="V138" s="332">
        <v>27.046512</v>
      </c>
      <c r="W138" s="332">
        <v>300</v>
      </c>
      <c r="X138" s="331" t="s">
        <v>952</v>
      </c>
      <c r="Y138" s="334">
        <v>45915</v>
      </c>
      <c r="Z138" s="331" t="s">
        <v>1236</v>
      </c>
      <c r="AA138" s="331"/>
    </row>
    <row r="139" spans="1:27" ht="15.5" x14ac:dyDescent="0.35">
      <c r="A139" s="330" t="s">
        <v>40</v>
      </c>
      <c r="B139" s="331" t="s">
        <v>283</v>
      </c>
      <c r="C139" s="331" t="s">
        <v>284</v>
      </c>
      <c r="D139" s="331" t="s">
        <v>173</v>
      </c>
      <c r="E139" s="331" t="s">
        <v>1237</v>
      </c>
      <c r="F139" s="331" t="s">
        <v>285</v>
      </c>
      <c r="G139" s="331" t="s">
        <v>186</v>
      </c>
      <c r="H139" s="331" t="s">
        <v>5</v>
      </c>
      <c r="I139" s="332">
        <v>41.045833333333327</v>
      </c>
      <c r="J139" s="332">
        <v>243.73255800000001</v>
      </c>
      <c r="K139" s="332">
        <v>34.011628000000002</v>
      </c>
      <c r="L139" s="332">
        <v>49.465116000000002</v>
      </c>
      <c r="M139" s="332">
        <v>49.976743999999997</v>
      </c>
      <c r="N139" s="332">
        <v>83.860465000000005</v>
      </c>
      <c r="O139" s="332">
        <v>292.674419</v>
      </c>
      <c r="P139" s="332">
        <v>0.10465099999999999</v>
      </c>
      <c r="Q139" s="332">
        <v>0.546512</v>
      </c>
      <c r="R139" s="332">
        <v>53.127907</v>
      </c>
      <c r="S139" s="332">
        <v>15.720929999999999</v>
      </c>
      <c r="T139" s="332">
        <v>25.302326000000001</v>
      </c>
      <c r="U139" s="332">
        <v>283.03488299999998</v>
      </c>
      <c r="V139" s="332">
        <v>110.94186000000001</v>
      </c>
      <c r="W139" s="332">
        <v>320</v>
      </c>
      <c r="X139" s="331" t="s">
        <v>896</v>
      </c>
      <c r="Y139" s="333">
        <v>45302</v>
      </c>
      <c r="Z139" s="331" t="s">
        <v>574</v>
      </c>
      <c r="AA139" s="331" t="s">
        <v>897</v>
      </c>
    </row>
    <row r="140" spans="1:27" ht="15.5" x14ac:dyDescent="0.35">
      <c r="A140" s="330" t="s">
        <v>832</v>
      </c>
      <c r="B140" s="331" t="s">
        <v>1238</v>
      </c>
      <c r="C140" s="331" t="s">
        <v>1239</v>
      </c>
      <c r="D140" s="331" t="s">
        <v>378</v>
      </c>
      <c r="E140" s="331" t="s">
        <v>1240</v>
      </c>
      <c r="F140" s="331" t="s">
        <v>29</v>
      </c>
      <c r="G140" s="331" t="s">
        <v>194</v>
      </c>
      <c r="H140" s="331" t="s">
        <v>5</v>
      </c>
      <c r="I140" s="332">
        <v>24.473333333333329</v>
      </c>
      <c r="J140" s="332">
        <v>3.639535</v>
      </c>
      <c r="K140" s="332">
        <v>2.5930230000000001</v>
      </c>
      <c r="L140" s="332">
        <v>188.12790699999999</v>
      </c>
      <c r="M140" s="332">
        <v>162.93023299999999</v>
      </c>
      <c r="N140" s="332">
        <v>227.04651200000001</v>
      </c>
      <c r="O140" s="332">
        <v>130.24418600000001</v>
      </c>
      <c r="P140" s="332">
        <v>0</v>
      </c>
      <c r="Q140" s="332">
        <v>0</v>
      </c>
      <c r="R140" s="332">
        <v>167.313953</v>
      </c>
      <c r="S140" s="332">
        <v>54.372093</v>
      </c>
      <c r="T140" s="332">
        <v>36.860464999999998</v>
      </c>
      <c r="U140" s="332">
        <v>98.744185999999999</v>
      </c>
      <c r="V140" s="332">
        <v>188.93023299999999</v>
      </c>
      <c r="W140" s="331"/>
      <c r="X140" s="331" t="s">
        <v>952</v>
      </c>
      <c r="Y140" s="334">
        <v>45910</v>
      </c>
      <c r="Z140" s="331" t="s">
        <v>1151</v>
      </c>
      <c r="AA140" s="331" t="s">
        <v>897</v>
      </c>
    </row>
    <row r="141" spans="1:27" ht="15.5" x14ac:dyDescent="0.35">
      <c r="A141" s="330" t="s">
        <v>1241</v>
      </c>
      <c r="B141" s="331" t="s">
        <v>1242</v>
      </c>
      <c r="C141" s="331" t="s">
        <v>253</v>
      </c>
      <c r="D141" s="331" t="s">
        <v>254</v>
      </c>
      <c r="E141" s="331" t="s">
        <v>1243</v>
      </c>
      <c r="F141" s="331" t="s">
        <v>24</v>
      </c>
      <c r="G141" s="331" t="s">
        <v>386</v>
      </c>
      <c r="H141" s="331" t="s">
        <v>176</v>
      </c>
      <c r="I141" s="332">
        <v>55.239302694136292</v>
      </c>
      <c r="J141" s="332">
        <v>40.953488</v>
      </c>
      <c r="K141" s="332">
        <v>24.360465000000001</v>
      </c>
      <c r="L141" s="332">
        <v>234.39534900000001</v>
      </c>
      <c r="M141" s="332">
        <v>163.511628</v>
      </c>
      <c r="N141" s="332">
        <v>230.46511599999999</v>
      </c>
      <c r="O141" s="332">
        <v>232.75581399999999</v>
      </c>
      <c r="P141" s="332">
        <v>0</v>
      </c>
      <c r="Q141" s="332">
        <v>0</v>
      </c>
      <c r="R141" s="332">
        <v>149.860465</v>
      </c>
      <c r="S141" s="332">
        <v>62.511628000000002</v>
      </c>
      <c r="T141" s="332">
        <v>42.779069999999997</v>
      </c>
      <c r="U141" s="332">
        <v>208.06976800000001</v>
      </c>
      <c r="V141" s="332">
        <v>199.70930200000001</v>
      </c>
      <c r="W141" s="331"/>
      <c r="X141" s="331"/>
      <c r="Y141" s="331"/>
      <c r="Z141" s="331"/>
      <c r="AA141" s="331"/>
    </row>
    <row r="142" spans="1:27" ht="15.5" x14ac:dyDescent="0.35">
      <c r="A142" s="330" t="s">
        <v>1244</v>
      </c>
      <c r="B142" s="331" t="s">
        <v>1159</v>
      </c>
      <c r="C142" s="331" t="s">
        <v>1160</v>
      </c>
      <c r="D142" s="331" t="s">
        <v>254</v>
      </c>
      <c r="E142" s="331" t="s">
        <v>1161</v>
      </c>
      <c r="F142" s="331" t="s">
        <v>24</v>
      </c>
      <c r="G142" s="331" t="s">
        <v>1245</v>
      </c>
      <c r="H142" s="331" t="s">
        <v>5</v>
      </c>
      <c r="I142" s="332">
        <v>3.5714285714285721</v>
      </c>
      <c r="J142" s="332">
        <v>2.0813950000000001</v>
      </c>
      <c r="K142" s="332">
        <v>0.56976700000000002</v>
      </c>
      <c r="L142" s="332">
        <v>0</v>
      </c>
      <c r="M142" s="332">
        <v>0</v>
      </c>
      <c r="N142" s="332">
        <v>0.24418599999999999</v>
      </c>
      <c r="O142" s="332">
        <v>2.4069769999999999</v>
      </c>
      <c r="P142" s="332">
        <v>0</v>
      </c>
      <c r="Q142" s="332">
        <v>0</v>
      </c>
      <c r="R142" s="332">
        <v>0.16279099999999999</v>
      </c>
      <c r="S142" s="332">
        <v>8.1394999999999995E-2</v>
      </c>
      <c r="T142" s="332">
        <v>0</v>
      </c>
      <c r="U142" s="332">
        <v>2.4069769999999999</v>
      </c>
      <c r="V142" s="332">
        <v>2.3255810000000001</v>
      </c>
      <c r="W142" s="331"/>
      <c r="X142" s="331"/>
      <c r="Y142" s="331"/>
      <c r="Z142" s="331"/>
      <c r="AA142" s="331"/>
    </row>
    <row r="143" spans="1:27" ht="15.5" x14ac:dyDescent="0.35">
      <c r="A143" s="330" t="s">
        <v>1246</v>
      </c>
      <c r="B143" s="331" t="s">
        <v>1247</v>
      </c>
      <c r="C143" s="331" t="s">
        <v>1248</v>
      </c>
      <c r="D143" s="331" t="s">
        <v>437</v>
      </c>
      <c r="E143" s="331" t="s">
        <v>1249</v>
      </c>
      <c r="F143" s="331" t="s">
        <v>193</v>
      </c>
      <c r="G143" s="331" t="s">
        <v>230</v>
      </c>
      <c r="H143" s="331" t="s">
        <v>176</v>
      </c>
      <c r="I143" s="332">
        <v>2.3483146067415732</v>
      </c>
      <c r="J143" s="332">
        <v>2.6744189999999999</v>
      </c>
      <c r="K143" s="332">
        <v>0.90697700000000003</v>
      </c>
      <c r="L143" s="332">
        <v>0.90697700000000003</v>
      </c>
      <c r="M143" s="332">
        <v>0.40697699999999998</v>
      </c>
      <c r="N143" s="332">
        <v>1.0813950000000001</v>
      </c>
      <c r="O143" s="332">
        <v>3.4186049999999999</v>
      </c>
      <c r="P143" s="332">
        <v>0.11627899999999999</v>
      </c>
      <c r="Q143" s="332">
        <v>0.27906999999999998</v>
      </c>
      <c r="R143" s="332">
        <v>0.75581399999999999</v>
      </c>
      <c r="S143" s="332">
        <v>0.40697699999999998</v>
      </c>
      <c r="T143" s="332">
        <v>0.453488</v>
      </c>
      <c r="U143" s="332">
        <v>3.2790699999999999</v>
      </c>
      <c r="V143" s="332">
        <v>3.2209300000000001</v>
      </c>
      <c r="W143" s="331"/>
      <c r="X143" s="331" t="s">
        <v>395</v>
      </c>
      <c r="Y143" s="333">
        <v>45362</v>
      </c>
      <c r="Z143" s="331" t="s">
        <v>987</v>
      </c>
      <c r="AA143" s="331" t="s">
        <v>897</v>
      </c>
    </row>
    <row r="144" spans="1:27" ht="15.5" x14ac:dyDescent="0.35">
      <c r="A144" s="330" t="s">
        <v>423</v>
      </c>
      <c r="B144" s="331" t="s">
        <v>424</v>
      </c>
      <c r="C144" s="331" t="s">
        <v>425</v>
      </c>
      <c r="D144" s="331" t="s">
        <v>426</v>
      </c>
      <c r="E144" s="331" t="s">
        <v>1250</v>
      </c>
      <c r="F144" s="331" t="s">
        <v>314</v>
      </c>
      <c r="G144" s="331" t="s">
        <v>230</v>
      </c>
      <c r="H144" s="331" t="s">
        <v>176</v>
      </c>
      <c r="I144" s="332">
        <v>2.664233576642336</v>
      </c>
      <c r="J144" s="332">
        <v>2.616279</v>
      </c>
      <c r="K144" s="332">
        <v>1.3255809999999999</v>
      </c>
      <c r="L144" s="332">
        <v>0.30232599999999998</v>
      </c>
      <c r="M144" s="332">
        <v>4.6511999999999998E-2</v>
      </c>
      <c r="N144" s="332">
        <v>1.5</v>
      </c>
      <c r="O144" s="332">
        <v>2.7906979999999999</v>
      </c>
      <c r="P144" s="332">
        <v>0</v>
      </c>
      <c r="Q144" s="332">
        <v>0</v>
      </c>
      <c r="R144" s="332">
        <v>0.44185999999999998</v>
      </c>
      <c r="S144" s="332">
        <v>0.65116300000000005</v>
      </c>
      <c r="T144" s="332">
        <v>1.488372</v>
      </c>
      <c r="U144" s="332">
        <v>1.7093020000000001</v>
      </c>
      <c r="V144" s="332">
        <v>1.360465</v>
      </c>
      <c r="W144" s="331"/>
      <c r="X144" s="331" t="s">
        <v>896</v>
      </c>
      <c r="Y144" s="333">
        <v>45498</v>
      </c>
      <c r="Z144" s="331" t="s">
        <v>559</v>
      </c>
      <c r="AA144" s="331" t="s">
        <v>917</v>
      </c>
    </row>
    <row r="145" spans="1:27" ht="15.5" x14ac:dyDescent="0.35">
      <c r="A145" s="330" t="s">
        <v>1251</v>
      </c>
      <c r="B145" s="331" t="s">
        <v>1252</v>
      </c>
      <c r="C145" s="331" t="s">
        <v>1253</v>
      </c>
      <c r="D145" s="331" t="s">
        <v>1195</v>
      </c>
      <c r="E145" s="331" t="s">
        <v>1254</v>
      </c>
      <c r="F145" s="331" t="s">
        <v>296</v>
      </c>
      <c r="G145" s="331" t="s">
        <v>230</v>
      </c>
      <c r="H145" s="331" t="s">
        <v>176</v>
      </c>
      <c r="I145" s="332">
        <v>2.9281437125748502</v>
      </c>
      <c r="J145" s="332">
        <v>2</v>
      </c>
      <c r="K145" s="332">
        <v>1.895349</v>
      </c>
      <c r="L145" s="332">
        <v>1.139535</v>
      </c>
      <c r="M145" s="332">
        <v>0.46511599999999997</v>
      </c>
      <c r="N145" s="332">
        <v>0.94186000000000003</v>
      </c>
      <c r="O145" s="332">
        <v>4.3720929999999996</v>
      </c>
      <c r="P145" s="332">
        <v>3.4883999999999998E-2</v>
      </c>
      <c r="Q145" s="332">
        <v>0.15116299999999999</v>
      </c>
      <c r="R145" s="332">
        <v>0.32558100000000001</v>
      </c>
      <c r="S145" s="332">
        <v>0.27906999999999998</v>
      </c>
      <c r="T145" s="332">
        <v>0.56976700000000002</v>
      </c>
      <c r="U145" s="332">
        <v>4.3255809999999997</v>
      </c>
      <c r="V145" s="332">
        <v>2.4186049999999999</v>
      </c>
      <c r="W145" s="331"/>
      <c r="X145" s="331" t="s">
        <v>395</v>
      </c>
      <c r="Y145" s="333">
        <v>45632</v>
      </c>
      <c r="Z145" s="331" t="s">
        <v>987</v>
      </c>
      <c r="AA145" s="331" t="s">
        <v>897</v>
      </c>
    </row>
    <row r="146" spans="1:27" ht="15.5" x14ac:dyDescent="0.35">
      <c r="A146" s="330" t="s">
        <v>18</v>
      </c>
      <c r="B146" s="331" t="s">
        <v>357</v>
      </c>
      <c r="C146" s="331" t="s">
        <v>358</v>
      </c>
      <c r="D146" s="331" t="s">
        <v>326</v>
      </c>
      <c r="E146" s="331" t="s">
        <v>1255</v>
      </c>
      <c r="F146" s="331" t="s">
        <v>321</v>
      </c>
      <c r="G146" s="331" t="s">
        <v>194</v>
      </c>
      <c r="H146" s="331" t="s">
        <v>5</v>
      </c>
      <c r="I146" s="332">
        <v>48.106557377049178</v>
      </c>
      <c r="J146" s="332">
        <v>110.20930199999999</v>
      </c>
      <c r="K146" s="332">
        <v>10.023256</v>
      </c>
      <c r="L146" s="332">
        <v>1.4186049999999999</v>
      </c>
      <c r="M146" s="332">
        <v>2.5930230000000001</v>
      </c>
      <c r="N146" s="332">
        <v>13.023256</v>
      </c>
      <c r="O146" s="332">
        <v>111.22093</v>
      </c>
      <c r="P146" s="332">
        <v>0</v>
      </c>
      <c r="Q146" s="332">
        <v>0</v>
      </c>
      <c r="R146" s="332">
        <v>2.4767440000000001</v>
      </c>
      <c r="S146" s="332">
        <v>1.2093020000000001</v>
      </c>
      <c r="T146" s="332">
        <v>9.8953489999999995</v>
      </c>
      <c r="U146" s="332">
        <v>110.662791</v>
      </c>
      <c r="V146" s="332">
        <v>52.686047000000002</v>
      </c>
      <c r="W146" s="331"/>
      <c r="X146" s="331" t="s">
        <v>896</v>
      </c>
      <c r="Y146" s="333">
        <v>45729</v>
      </c>
      <c r="Z146" s="331" t="s">
        <v>559</v>
      </c>
      <c r="AA146" s="331" t="s">
        <v>897</v>
      </c>
    </row>
    <row r="147" spans="1:27" ht="15.5" x14ac:dyDescent="0.35">
      <c r="A147" s="330" t="s">
        <v>1256</v>
      </c>
      <c r="B147" s="331" t="s">
        <v>1257</v>
      </c>
      <c r="C147" s="331" t="s">
        <v>1258</v>
      </c>
      <c r="D147" s="331" t="s">
        <v>267</v>
      </c>
      <c r="E147" s="331" t="s">
        <v>1259</v>
      </c>
      <c r="F147" s="331" t="s">
        <v>268</v>
      </c>
      <c r="G147" s="331" t="s">
        <v>230</v>
      </c>
      <c r="H147" s="331" t="s">
        <v>176</v>
      </c>
      <c r="I147" s="332">
        <v>1.651515151515152</v>
      </c>
      <c r="J147" s="332">
        <v>3.383721</v>
      </c>
      <c r="K147" s="332">
        <v>0.18604699999999999</v>
      </c>
      <c r="L147" s="332">
        <v>9.3022999999999995E-2</v>
      </c>
      <c r="M147" s="332">
        <v>3.4883999999999998E-2</v>
      </c>
      <c r="N147" s="332">
        <v>0.33720899999999998</v>
      </c>
      <c r="O147" s="332">
        <v>3.244186</v>
      </c>
      <c r="P147" s="332">
        <v>0</v>
      </c>
      <c r="Q147" s="332">
        <v>0.11627899999999999</v>
      </c>
      <c r="R147" s="332">
        <v>0.22092999999999999</v>
      </c>
      <c r="S147" s="332">
        <v>8.1394999999999995E-2</v>
      </c>
      <c r="T147" s="332">
        <v>8.1394999999999995E-2</v>
      </c>
      <c r="U147" s="332">
        <v>3.3139530000000001</v>
      </c>
      <c r="V147" s="332">
        <v>1.0581400000000001</v>
      </c>
      <c r="W147" s="331"/>
      <c r="X147" s="331"/>
      <c r="Y147" s="331"/>
      <c r="Z147" s="331"/>
      <c r="AA147" s="331"/>
    </row>
    <row r="148" spans="1:27" ht="15.5" x14ac:dyDescent="0.35">
      <c r="A148" s="330" t="s">
        <v>220</v>
      </c>
      <c r="B148" s="331" t="s">
        <v>221</v>
      </c>
      <c r="C148" s="331" t="s">
        <v>222</v>
      </c>
      <c r="D148" s="331" t="s">
        <v>184</v>
      </c>
      <c r="E148" s="331" t="s">
        <v>1157</v>
      </c>
      <c r="F148" s="331" t="s">
        <v>223</v>
      </c>
      <c r="G148" s="331" t="s">
        <v>186</v>
      </c>
      <c r="H148" s="331" t="s">
        <v>5</v>
      </c>
      <c r="I148" s="332">
        <v>14.359689922480619</v>
      </c>
      <c r="J148" s="332">
        <v>440.79069800000002</v>
      </c>
      <c r="K148" s="332">
        <v>479.45348799999999</v>
      </c>
      <c r="L148" s="332">
        <v>199.523256</v>
      </c>
      <c r="M148" s="332">
        <v>70.406976999999998</v>
      </c>
      <c r="N148" s="332">
        <v>299.976744</v>
      </c>
      <c r="O148" s="332">
        <v>596.48837200000003</v>
      </c>
      <c r="P148" s="332">
        <v>27.965115999999998</v>
      </c>
      <c r="Q148" s="332">
        <v>265.74418600000001</v>
      </c>
      <c r="R148" s="332">
        <v>195.94185999999999</v>
      </c>
      <c r="S148" s="332">
        <v>79.034884000000005</v>
      </c>
      <c r="T148" s="332">
        <v>95.337209000000001</v>
      </c>
      <c r="U148" s="332">
        <v>819.86046499999998</v>
      </c>
      <c r="V148" s="332">
        <v>634.74418600000001</v>
      </c>
      <c r="W148" s="332">
        <v>750</v>
      </c>
      <c r="X148" s="331" t="s">
        <v>896</v>
      </c>
      <c r="Y148" s="333">
        <v>45631</v>
      </c>
      <c r="Z148" s="331" t="s">
        <v>574</v>
      </c>
      <c r="AA148" s="331" t="s">
        <v>897</v>
      </c>
    </row>
    <row r="149" spans="1:27" ht="15.5" x14ac:dyDescent="0.35">
      <c r="A149" s="330" t="s">
        <v>770</v>
      </c>
      <c r="B149" s="331" t="s">
        <v>1260</v>
      </c>
      <c r="C149" s="331" t="s">
        <v>578</v>
      </c>
      <c r="D149" s="331" t="s">
        <v>262</v>
      </c>
      <c r="E149" s="331" t="s">
        <v>1261</v>
      </c>
      <c r="F149" s="331" t="s">
        <v>263</v>
      </c>
      <c r="G149" s="331" t="s">
        <v>175</v>
      </c>
      <c r="H149" s="331" t="s">
        <v>176</v>
      </c>
      <c r="I149" s="332">
        <v>53.356345177664977</v>
      </c>
      <c r="J149" s="332">
        <v>780.61627899999996</v>
      </c>
      <c r="K149" s="332">
        <v>253.60465099999999</v>
      </c>
      <c r="L149" s="332">
        <v>333.23255799999998</v>
      </c>
      <c r="M149" s="332">
        <v>265.13953500000002</v>
      </c>
      <c r="N149" s="332">
        <v>453.75581399999999</v>
      </c>
      <c r="O149" s="332">
        <v>1131.151163</v>
      </c>
      <c r="P149" s="332">
        <v>20.534884000000002</v>
      </c>
      <c r="Q149" s="332">
        <v>27.151163</v>
      </c>
      <c r="R149" s="332">
        <v>307.16279100000003</v>
      </c>
      <c r="S149" s="332">
        <v>103.767442</v>
      </c>
      <c r="T149" s="332">
        <v>113.604651</v>
      </c>
      <c r="U149" s="332">
        <v>1108.058139</v>
      </c>
      <c r="V149" s="332">
        <v>779.66279099999997</v>
      </c>
      <c r="W149" s="332">
        <v>800</v>
      </c>
      <c r="X149" s="331" t="s">
        <v>896</v>
      </c>
      <c r="Y149" s="333">
        <v>45722</v>
      </c>
      <c r="Z149" s="331" t="s">
        <v>574</v>
      </c>
      <c r="AA149" s="331" t="s">
        <v>897</v>
      </c>
    </row>
    <row r="150" spans="1:27" ht="15.5" x14ac:dyDescent="0.35">
      <c r="A150" s="330" t="s">
        <v>1262</v>
      </c>
      <c r="B150" s="331" t="s">
        <v>1263</v>
      </c>
      <c r="C150" s="331" t="s">
        <v>1264</v>
      </c>
      <c r="D150" s="331" t="s">
        <v>362</v>
      </c>
      <c r="E150" s="331" t="s">
        <v>1265</v>
      </c>
      <c r="F150" s="331" t="s">
        <v>296</v>
      </c>
      <c r="G150" s="331" t="s">
        <v>230</v>
      </c>
      <c r="H150" s="331" t="s">
        <v>176</v>
      </c>
      <c r="I150" s="332">
        <v>26.68518518518519</v>
      </c>
      <c r="J150" s="332">
        <v>7.4302330000000003</v>
      </c>
      <c r="K150" s="332">
        <v>3.6511629999999999</v>
      </c>
      <c r="L150" s="332">
        <v>1.488372</v>
      </c>
      <c r="M150" s="332">
        <v>6.267442</v>
      </c>
      <c r="N150" s="332">
        <v>10.651163</v>
      </c>
      <c r="O150" s="332">
        <v>6.7906979999999999</v>
      </c>
      <c r="P150" s="332">
        <v>0.34883700000000001</v>
      </c>
      <c r="Q150" s="332">
        <v>1.0465120000000001</v>
      </c>
      <c r="R150" s="332">
        <v>6.1046509999999996</v>
      </c>
      <c r="S150" s="332">
        <v>2.395349</v>
      </c>
      <c r="T150" s="332">
        <v>2.9302329999999999</v>
      </c>
      <c r="U150" s="332">
        <v>7.4069770000000004</v>
      </c>
      <c r="V150" s="332">
        <v>9.5</v>
      </c>
      <c r="W150" s="331"/>
      <c r="X150" s="331"/>
      <c r="Y150" s="331" t="s">
        <v>953</v>
      </c>
      <c r="Z150" s="331"/>
      <c r="AA150" s="331"/>
    </row>
    <row r="151" spans="1:27" ht="15.5" x14ac:dyDescent="0.35">
      <c r="A151" s="330" t="s">
        <v>1266</v>
      </c>
      <c r="B151" s="331" t="s">
        <v>1267</v>
      </c>
      <c r="C151" s="331" t="s">
        <v>1268</v>
      </c>
      <c r="D151" s="331" t="s">
        <v>1269</v>
      </c>
      <c r="E151" s="331" t="s">
        <v>1270</v>
      </c>
      <c r="F151" s="331" t="s">
        <v>257</v>
      </c>
      <c r="G151" s="331" t="s">
        <v>230</v>
      </c>
      <c r="H151" s="331" t="s">
        <v>176</v>
      </c>
      <c r="I151" s="332">
        <v>13.811594202898551</v>
      </c>
      <c r="J151" s="332">
        <v>10.546512</v>
      </c>
      <c r="K151" s="332">
        <v>2.9534880000000001</v>
      </c>
      <c r="L151" s="332">
        <v>1.395349</v>
      </c>
      <c r="M151" s="332">
        <v>1.8139529999999999</v>
      </c>
      <c r="N151" s="332">
        <v>1.8255809999999999</v>
      </c>
      <c r="O151" s="332">
        <v>13.406976999999999</v>
      </c>
      <c r="P151" s="332">
        <v>0.81395300000000004</v>
      </c>
      <c r="Q151" s="332">
        <v>0.66279100000000002</v>
      </c>
      <c r="R151" s="332">
        <v>0.90697700000000003</v>
      </c>
      <c r="S151" s="332">
        <v>1.7790699999999999</v>
      </c>
      <c r="T151" s="332">
        <v>0.32558100000000001</v>
      </c>
      <c r="U151" s="332">
        <v>13.697673999999999</v>
      </c>
      <c r="V151" s="332">
        <v>11.05814</v>
      </c>
      <c r="W151" s="331"/>
      <c r="X151" s="331" t="s">
        <v>395</v>
      </c>
      <c r="Y151" s="333">
        <v>45455</v>
      </c>
      <c r="Z151" s="331" t="s">
        <v>987</v>
      </c>
      <c r="AA151" s="331" t="s">
        <v>897</v>
      </c>
    </row>
    <row r="152" spans="1:27" ht="15.5" x14ac:dyDescent="0.35">
      <c r="A152" s="330" t="s">
        <v>1271</v>
      </c>
      <c r="B152" s="331" t="s">
        <v>1272</v>
      </c>
      <c r="C152" s="331" t="s">
        <v>1273</v>
      </c>
      <c r="D152" s="331" t="s">
        <v>192</v>
      </c>
      <c r="E152" s="331" t="s">
        <v>1274</v>
      </c>
      <c r="F152" s="331" t="s">
        <v>193</v>
      </c>
      <c r="G152" s="331" t="s">
        <v>230</v>
      </c>
      <c r="H152" s="331" t="s">
        <v>5</v>
      </c>
      <c r="I152" s="332">
        <v>1.7028985507246379</v>
      </c>
      <c r="J152" s="332">
        <v>1.1860470000000001</v>
      </c>
      <c r="K152" s="332">
        <v>1.2209300000000001</v>
      </c>
      <c r="L152" s="332">
        <v>0.37209300000000001</v>
      </c>
      <c r="M152" s="332">
        <v>0.15116299999999999</v>
      </c>
      <c r="N152" s="332">
        <v>0.59302299999999997</v>
      </c>
      <c r="O152" s="332">
        <v>2.3372090000000001</v>
      </c>
      <c r="P152" s="332">
        <v>0</v>
      </c>
      <c r="Q152" s="332">
        <v>0</v>
      </c>
      <c r="R152" s="332">
        <v>0.10465099999999999</v>
      </c>
      <c r="S152" s="332">
        <v>0.22092999999999999</v>
      </c>
      <c r="T152" s="332">
        <v>0.418605</v>
      </c>
      <c r="U152" s="332">
        <v>2.1860469999999999</v>
      </c>
      <c r="V152" s="332">
        <v>2</v>
      </c>
      <c r="W152" s="331"/>
      <c r="X152" s="331" t="s">
        <v>952</v>
      </c>
      <c r="Y152" s="334">
        <v>45758</v>
      </c>
      <c r="Z152" s="331" t="s">
        <v>559</v>
      </c>
      <c r="AA152" s="331" t="s">
        <v>897</v>
      </c>
    </row>
    <row r="153" spans="1:27" ht="15.5" x14ac:dyDescent="0.35">
      <c r="A153" s="330" t="s">
        <v>26</v>
      </c>
      <c r="B153" s="331" t="s">
        <v>317</v>
      </c>
      <c r="C153" s="331" t="s">
        <v>318</v>
      </c>
      <c r="D153" s="331" t="s">
        <v>313</v>
      </c>
      <c r="E153" s="331" t="s">
        <v>1275</v>
      </c>
      <c r="F153" s="331" t="s">
        <v>314</v>
      </c>
      <c r="G153" s="331" t="s">
        <v>207</v>
      </c>
      <c r="H153" s="331" t="s">
        <v>5</v>
      </c>
      <c r="I153" s="332">
        <v>41.228136882129277</v>
      </c>
      <c r="J153" s="332">
        <v>184.54651200000001</v>
      </c>
      <c r="K153" s="332">
        <v>122.174419</v>
      </c>
      <c r="L153" s="332">
        <v>97.860465000000005</v>
      </c>
      <c r="M153" s="332">
        <v>56.034883999999998</v>
      </c>
      <c r="N153" s="332">
        <v>204.60465099999999</v>
      </c>
      <c r="O153" s="332">
        <v>255.93023299999999</v>
      </c>
      <c r="P153" s="332">
        <v>0</v>
      </c>
      <c r="Q153" s="332">
        <v>8.1394999999999995E-2</v>
      </c>
      <c r="R153" s="332">
        <v>120.674419</v>
      </c>
      <c r="S153" s="332">
        <v>43.848837000000003</v>
      </c>
      <c r="T153" s="332">
        <v>75</v>
      </c>
      <c r="U153" s="332">
        <v>221.09302299999999</v>
      </c>
      <c r="V153" s="332">
        <v>234.12790699999999</v>
      </c>
      <c r="W153" s="331"/>
      <c r="X153" s="331" t="s">
        <v>896</v>
      </c>
      <c r="Y153" s="333">
        <v>45372</v>
      </c>
      <c r="Z153" s="331" t="s">
        <v>559</v>
      </c>
      <c r="AA153" s="331" t="s">
        <v>897</v>
      </c>
    </row>
    <row r="154" spans="1:27" ht="15.5" x14ac:dyDescent="0.35">
      <c r="A154" s="330" t="s">
        <v>441</v>
      </c>
      <c r="B154" s="331" t="s">
        <v>442</v>
      </c>
      <c r="C154" s="331" t="s">
        <v>443</v>
      </c>
      <c r="D154" s="331" t="s">
        <v>381</v>
      </c>
      <c r="E154" s="331" t="s">
        <v>1276</v>
      </c>
      <c r="F154" s="331" t="s">
        <v>181</v>
      </c>
      <c r="G154" s="331" t="s">
        <v>230</v>
      </c>
      <c r="H154" s="331" t="s">
        <v>176</v>
      </c>
      <c r="I154" s="332">
        <v>2.2328767123287672</v>
      </c>
      <c r="J154" s="332">
        <v>1.6976739999999999</v>
      </c>
      <c r="K154" s="332">
        <v>1.244186</v>
      </c>
      <c r="L154" s="332">
        <v>0.65116300000000005</v>
      </c>
      <c r="M154" s="332">
        <v>0.37209300000000001</v>
      </c>
      <c r="N154" s="332">
        <v>0.73255800000000004</v>
      </c>
      <c r="O154" s="332">
        <v>3.104651</v>
      </c>
      <c r="P154" s="332">
        <v>0</v>
      </c>
      <c r="Q154" s="332">
        <v>0.12790699999999999</v>
      </c>
      <c r="R154" s="332">
        <v>0.27906999999999998</v>
      </c>
      <c r="S154" s="332">
        <v>0.37209300000000001</v>
      </c>
      <c r="T154" s="332">
        <v>0.82558100000000001</v>
      </c>
      <c r="U154" s="332">
        <v>2.488372</v>
      </c>
      <c r="V154" s="332">
        <v>1.5348839999999999</v>
      </c>
      <c r="W154" s="331"/>
      <c r="X154" s="331" t="s">
        <v>896</v>
      </c>
      <c r="Y154" s="333">
        <v>45526</v>
      </c>
      <c r="Z154" s="331" t="s">
        <v>559</v>
      </c>
      <c r="AA154" s="331" t="s">
        <v>897</v>
      </c>
    </row>
    <row r="155" spans="1:27" ht="15.5" x14ac:dyDescent="0.35">
      <c r="A155" s="330" t="s">
        <v>1277</v>
      </c>
      <c r="B155" s="331" t="s">
        <v>1278</v>
      </c>
      <c r="C155" s="331" t="s">
        <v>1279</v>
      </c>
      <c r="D155" s="331" t="s">
        <v>267</v>
      </c>
      <c r="E155" s="331" t="s">
        <v>1280</v>
      </c>
      <c r="F155" s="331" t="s">
        <v>268</v>
      </c>
      <c r="G155" s="331" t="s">
        <v>230</v>
      </c>
      <c r="H155" s="331" t="s">
        <v>176</v>
      </c>
      <c r="I155" s="332">
        <v>9.4111111111111114</v>
      </c>
      <c r="J155" s="332">
        <v>11.709301999999999</v>
      </c>
      <c r="K155" s="332">
        <v>0</v>
      </c>
      <c r="L155" s="332">
        <v>0.12790699999999999</v>
      </c>
      <c r="M155" s="332">
        <v>0</v>
      </c>
      <c r="N155" s="332">
        <v>0</v>
      </c>
      <c r="O155" s="332">
        <v>0</v>
      </c>
      <c r="P155" s="332">
        <v>9.3022999999999995E-2</v>
      </c>
      <c r="Q155" s="332">
        <v>11.744185999999999</v>
      </c>
      <c r="R155" s="332">
        <v>0</v>
      </c>
      <c r="S155" s="332">
        <v>0</v>
      </c>
      <c r="T155" s="332">
        <v>0.12790699999999999</v>
      </c>
      <c r="U155" s="332">
        <v>11.709301999999999</v>
      </c>
      <c r="V155" s="332">
        <v>3.767442</v>
      </c>
      <c r="W155" s="331"/>
      <c r="X155" s="331"/>
      <c r="Y155" s="331"/>
      <c r="Z155" s="331"/>
      <c r="AA155" s="331"/>
    </row>
    <row r="156" spans="1:27" ht="15.5" x14ac:dyDescent="0.35">
      <c r="A156" s="330" t="s">
        <v>745</v>
      </c>
      <c r="B156" s="331" t="s">
        <v>1281</v>
      </c>
      <c r="C156" s="331" t="s">
        <v>1282</v>
      </c>
      <c r="D156" s="331" t="s">
        <v>326</v>
      </c>
      <c r="E156" s="331" t="s">
        <v>1283</v>
      </c>
      <c r="F156" s="331" t="s">
        <v>321</v>
      </c>
      <c r="G156" s="331" t="s">
        <v>186</v>
      </c>
      <c r="H156" s="331" t="s">
        <v>176</v>
      </c>
      <c r="I156" s="332">
        <v>38.961148648648653</v>
      </c>
      <c r="J156" s="332">
        <v>1161.4534880000001</v>
      </c>
      <c r="K156" s="332">
        <v>120.337209</v>
      </c>
      <c r="L156" s="332">
        <v>71.011628000000002</v>
      </c>
      <c r="M156" s="332">
        <v>37.790697999999999</v>
      </c>
      <c r="N156" s="332">
        <v>137.39534900000001</v>
      </c>
      <c r="O156" s="332">
        <v>1140.2441859999999</v>
      </c>
      <c r="P156" s="332">
        <v>6.6627910000000004</v>
      </c>
      <c r="Q156" s="332">
        <v>106.29069800000001</v>
      </c>
      <c r="R156" s="332">
        <v>57.430233000000001</v>
      </c>
      <c r="S156" s="332">
        <v>43.325581</v>
      </c>
      <c r="T156" s="332">
        <v>85.848837000000003</v>
      </c>
      <c r="U156" s="332">
        <v>1203.988372</v>
      </c>
      <c r="V156" s="332">
        <v>504.674419</v>
      </c>
      <c r="W156" s="332">
        <v>1800</v>
      </c>
      <c r="X156" s="331" t="s">
        <v>952</v>
      </c>
      <c r="Y156" s="334">
        <v>45720</v>
      </c>
      <c r="Z156" s="331" t="s">
        <v>559</v>
      </c>
      <c r="AA156" s="331" t="s">
        <v>897</v>
      </c>
    </row>
    <row r="157" spans="1:27" ht="15.5" x14ac:dyDescent="0.35">
      <c r="A157" s="330" t="s">
        <v>1284</v>
      </c>
      <c r="B157" s="331" t="s">
        <v>1285</v>
      </c>
      <c r="C157" s="331" t="s">
        <v>1222</v>
      </c>
      <c r="D157" s="331" t="s">
        <v>320</v>
      </c>
      <c r="E157" s="331" t="s">
        <v>1286</v>
      </c>
      <c r="F157" s="331" t="s">
        <v>321</v>
      </c>
      <c r="G157" s="331" t="s">
        <v>230</v>
      </c>
      <c r="H157" s="331" t="s">
        <v>5</v>
      </c>
      <c r="I157" s="332">
        <v>31.451242829827919</v>
      </c>
      <c r="J157" s="332">
        <v>135.08139499999999</v>
      </c>
      <c r="K157" s="332">
        <v>34.546512</v>
      </c>
      <c r="L157" s="332">
        <v>26.476744</v>
      </c>
      <c r="M157" s="332">
        <v>13.209301999999999</v>
      </c>
      <c r="N157" s="332">
        <v>46.069766999999999</v>
      </c>
      <c r="O157" s="332">
        <v>163.24418600000001</v>
      </c>
      <c r="P157" s="332">
        <v>0</v>
      </c>
      <c r="Q157" s="332">
        <v>0</v>
      </c>
      <c r="R157" s="332">
        <v>23.081395000000001</v>
      </c>
      <c r="S157" s="332">
        <v>13.569767000000001</v>
      </c>
      <c r="T157" s="332">
        <v>11.918604999999999</v>
      </c>
      <c r="U157" s="332">
        <v>160.74418600000001</v>
      </c>
      <c r="V157" s="332">
        <v>124.03488400000001</v>
      </c>
      <c r="W157" s="331"/>
      <c r="X157" s="331" t="s">
        <v>952</v>
      </c>
      <c r="Y157" s="334">
        <v>45706</v>
      </c>
      <c r="Z157" s="331" t="s">
        <v>559</v>
      </c>
      <c r="AA157" s="331" t="s">
        <v>897</v>
      </c>
    </row>
    <row r="158" spans="1:27" ht="15.5" x14ac:dyDescent="0.35">
      <c r="A158" s="330" t="s">
        <v>1287</v>
      </c>
      <c r="B158" s="331" t="s">
        <v>1288</v>
      </c>
      <c r="C158" s="331" t="s">
        <v>1289</v>
      </c>
      <c r="D158" s="331" t="s">
        <v>422</v>
      </c>
      <c r="E158" s="331" t="s">
        <v>1290</v>
      </c>
      <c r="F158" s="331" t="s">
        <v>263</v>
      </c>
      <c r="G158" s="331" t="s">
        <v>194</v>
      </c>
      <c r="H158" s="331" t="s">
        <v>176</v>
      </c>
      <c r="I158" s="332">
        <v>5.5731343283582087</v>
      </c>
      <c r="J158" s="332">
        <v>17.081395000000001</v>
      </c>
      <c r="K158" s="332">
        <v>4.6279070000000004</v>
      </c>
      <c r="L158" s="332">
        <v>1.395349</v>
      </c>
      <c r="M158" s="332">
        <v>0.59302299999999997</v>
      </c>
      <c r="N158" s="332">
        <v>1.6744190000000001</v>
      </c>
      <c r="O158" s="332">
        <v>20.232558000000001</v>
      </c>
      <c r="P158" s="332">
        <v>0.38372099999999998</v>
      </c>
      <c r="Q158" s="332">
        <v>1.4069769999999999</v>
      </c>
      <c r="R158" s="332">
        <v>0.80232599999999998</v>
      </c>
      <c r="S158" s="332">
        <v>0.94186000000000003</v>
      </c>
      <c r="T158" s="332">
        <v>0.81395300000000004</v>
      </c>
      <c r="U158" s="332">
        <v>21.139534999999999</v>
      </c>
      <c r="V158" s="332">
        <v>10.813953</v>
      </c>
      <c r="W158" s="331"/>
      <c r="X158" s="331"/>
      <c r="Y158" s="334"/>
      <c r="Z158" s="331"/>
      <c r="AA158" s="331"/>
    </row>
    <row r="159" spans="1:27" ht="15.5" x14ac:dyDescent="0.35">
      <c r="A159" s="330" t="s">
        <v>1291</v>
      </c>
      <c r="B159" s="331" t="s">
        <v>208</v>
      </c>
      <c r="C159" s="331" t="s">
        <v>209</v>
      </c>
      <c r="D159" s="331" t="s">
        <v>210</v>
      </c>
      <c r="E159" s="331" t="s">
        <v>1292</v>
      </c>
      <c r="F159" s="331" t="s">
        <v>211</v>
      </c>
      <c r="G159" s="331" t="s">
        <v>186</v>
      </c>
      <c r="H159" s="331" t="s">
        <v>176</v>
      </c>
      <c r="I159" s="332">
        <v>47.93141289437586</v>
      </c>
      <c r="J159" s="332">
        <v>562.41860499999996</v>
      </c>
      <c r="K159" s="332">
        <v>236.77906999999999</v>
      </c>
      <c r="L159" s="332">
        <v>380.91860500000001</v>
      </c>
      <c r="M159" s="332">
        <v>210.29069799999999</v>
      </c>
      <c r="N159" s="332">
        <v>397.26744200000002</v>
      </c>
      <c r="O159" s="332">
        <v>860.18604700000003</v>
      </c>
      <c r="P159" s="332">
        <v>33.697673999999999</v>
      </c>
      <c r="Q159" s="332">
        <v>99.255814000000001</v>
      </c>
      <c r="R159" s="332">
        <v>285.44186000000002</v>
      </c>
      <c r="S159" s="332">
        <v>98.593023000000002</v>
      </c>
      <c r="T159" s="332">
        <v>96.755814000000001</v>
      </c>
      <c r="U159" s="332">
        <v>909.61627899999996</v>
      </c>
      <c r="V159" s="332">
        <v>860.73255800000004</v>
      </c>
      <c r="W159" s="332">
        <v>1181</v>
      </c>
      <c r="X159" s="331" t="s">
        <v>896</v>
      </c>
      <c r="Y159" s="333">
        <v>45687</v>
      </c>
      <c r="Z159" s="331" t="s">
        <v>574</v>
      </c>
      <c r="AA159" s="331" t="s">
        <v>897</v>
      </c>
    </row>
    <row r="160" spans="1:27" ht="15.5" x14ac:dyDescent="0.35">
      <c r="A160" s="330" t="s">
        <v>1293</v>
      </c>
      <c r="B160" s="331" t="s">
        <v>1294</v>
      </c>
      <c r="C160" s="331" t="s">
        <v>1295</v>
      </c>
      <c r="D160" s="331" t="s">
        <v>295</v>
      </c>
      <c r="E160" s="331" t="s">
        <v>1296</v>
      </c>
      <c r="F160" s="331" t="s">
        <v>296</v>
      </c>
      <c r="G160" s="331" t="s">
        <v>230</v>
      </c>
      <c r="H160" s="331" t="s">
        <v>176</v>
      </c>
      <c r="I160" s="332">
        <v>20.511111111111109</v>
      </c>
      <c r="J160" s="332">
        <v>3.139535</v>
      </c>
      <c r="K160" s="332">
        <v>7.0930229999999996</v>
      </c>
      <c r="L160" s="332">
        <v>3.7790699999999999</v>
      </c>
      <c r="M160" s="332">
        <v>0</v>
      </c>
      <c r="N160" s="332">
        <v>1.360465</v>
      </c>
      <c r="O160" s="332">
        <v>11.604651</v>
      </c>
      <c r="P160" s="332">
        <v>0</v>
      </c>
      <c r="Q160" s="332">
        <v>1.0465120000000001</v>
      </c>
      <c r="R160" s="332">
        <v>0.29069800000000001</v>
      </c>
      <c r="S160" s="332">
        <v>0</v>
      </c>
      <c r="T160" s="332">
        <v>1.244186</v>
      </c>
      <c r="U160" s="332">
        <v>12.476744</v>
      </c>
      <c r="V160" s="332">
        <v>7.755814</v>
      </c>
      <c r="W160" s="331"/>
      <c r="X160" s="331" t="s">
        <v>395</v>
      </c>
      <c r="Y160" s="333">
        <v>45568</v>
      </c>
      <c r="Z160" s="331" t="s">
        <v>987</v>
      </c>
      <c r="AA160" s="331" t="s">
        <v>897</v>
      </c>
    </row>
    <row r="161" spans="1:27" ht="15.5" x14ac:dyDescent="0.35">
      <c r="A161" s="330" t="s">
        <v>1297</v>
      </c>
      <c r="B161" s="331" t="s">
        <v>1298</v>
      </c>
      <c r="C161" s="331" t="s">
        <v>1299</v>
      </c>
      <c r="D161" s="331" t="s">
        <v>993</v>
      </c>
      <c r="E161" s="331" t="s">
        <v>1300</v>
      </c>
      <c r="F161" s="331" t="s">
        <v>292</v>
      </c>
      <c r="G161" s="331" t="s">
        <v>230</v>
      </c>
      <c r="H161" s="331" t="s">
        <v>176</v>
      </c>
      <c r="I161" s="332">
        <v>12.238095238095241</v>
      </c>
      <c r="J161" s="332">
        <v>9</v>
      </c>
      <c r="K161" s="332">
        <v>1.104651</v>
      </c>
      <c r="L161" s="332">
        <v>1.5813950000000001</v>
      </c>
      <c r="M161" s="332">
        <v>0.67441899999999999</v>
      </c>
      <c r="N161" s="332">
        <v>0.87209300000000001</v>
      </c>
      <c r="O161" s="332">
        <v>11.488372</v>
      </c>
      <c r="P161" s="332">
        <v>0</v>
      </c>
      <c r="Q161" s="332">
        <v>0</v>
      </c>
      <c r="R161" s="332">
        <v>0.74418600000000001</v>
      </c>
      <c r="S161" s="332">
        <v>9.3022999999999995E-2</v>
      </c>
      <c r="T161" s="332">
        <v>0.60465100000000005</v>
      </c>
      <c r="U161" s="332">
        <v>10.918604999999999</v>
      </c>
      <c r="V161" s="332">
        <v>4.3604649999999996</v>
      </c>
      <c r="W161" s="331"/>
      <c r="X161" s="331" t="s">
        <v>1018</v>
      </c>
      <c r="Y161" s="333">
        <v>45869</v>
      </c>
      <c r="Z161" s="331" t="s">
        <v>1236</v>
      </c>
      <c r="AA161" s="331" t="s">
        <v>897</v>
      </c>
    </row>
    <row r="162" spans="1:27" ht="15.5" x14ac:dyDescent="0.35">
      <c r="A162" s="330" t="s">
        <v>1301</v>
      </c>
      <c r="B162" s="331" t="s">
        <v>1302</v>
      </c>
      <c r="C162" s="331" t="s">
        <v>1303</v>
      </c>
      <c r="D162" s="331" t="s">
        <v>333</v>
      </c>
      <c r="E162" s="331" t="s">
        <v>1304</v>
      </c>
      <c r="F162" s="331" t="s">
        <v>29</v>
      </c>
      <c r="G162" s="331" t="s">
        <v>230</v>
      </c>
      <c r="H162" s="331" t="s">
        <v>176</v>
      </c>
      <c r="I162" s="332">
        <v>38.578181818181818</v>
      </c>
      <c r="J162" s="332">
        <v>50.023256000000003</v>
      </c>
      <c r="K162" s="332">
        <v>39.395349000000003</v>
      </c>
      <c r="L162" s="332">
        <v>23</v>
      </c>
      <c r="M162" s="332">
        <v>11.906976999999999</v>
      </c>
      <c r="N162" s="332">
        <v>44.732557999999997</v>
      </c>
      <c r="O162" s="332">
        <v>79.5</v>
      </c>
      <c r="P162" s="332">
        <v>1.1627999999999999E-2</v>
      </c>
      <c r="Q162" s="332">
        <v>8.1394999999999995E-2</v>
      </c>
      <c r="R162" s="332">
        <v>14.5</v>
      </c>
      <c r="S162" s="332">
        <v>15.779070000000001</v>
      </c>
      <c r="T162" s="332">
        <v>22.662790999999999</v>
      </c>
      <c r="U162" s="332">
        <v>71.383720999999994</v>
      </c>
      <c r="V162" s="332">
        <v>63.697673999999999</v>
      </c>
      <c r="W162" s="331"/>
      <c r="X162" s="331" t="s">
        <v>896</v>
      </c>
      <c r="Y162" s="333">
        <v>45554</v>
      </c>
      <c r="Z162" s="331" t="s">
        <v>559</v>
      </c>
      <c r="AA162" s="331" t="s">
        <v>897</v>
      </c>
    </row>
    <row r="163" spans="1:27" ht="15.5" x14ac:dyDescent="0.35">
      <c r="A163" s="330" t="s">
        <v>1305</v>
      </c>
      <c r="B163" s="331" t="s">
        <v>1306</v>
      </c>
      <c r="C163" s="331" t="s">
        <v>1307</v>
      </c>
      <c r="D163" s="331" t="s">
        <v>254</v>
      </c>
      <c r="E163" s="331" t="s">
        <v>1308</v>
      </c>
      <c r="F163" s="331" t="s">
        <v>24</v>
      </c>
      <c r="G163" s="331" t="s">
        <v>230</v>
      </c>
      <c r="H163" s="331" t="s">
        <v>176</v>
      </c>
      <c r="I163" s="332">
        <v>2.5213494992092782</v>
      </c>
      <c r="J163" s="332">
        <v>23.720929999999999</v>
      </c>
      <c r="K163" s="332">
        <v>17.558140000000002</v>
      </c>
      <c r="L163" s="332">
        <v>13.151163</v>
      </c>
      <c r="M163" s="332">
        <v>5.5465119999999999</v>
      </c>
      <c r="N163" s="332">
        <v>8.2441859999999991</v>
      </c>
      <c r="O163" s="332">
        <v>36.825581</v>
      </c>
      <c r="P163" s="332">
        <v>1.7906979999999999</v>
      </c>
      <c r="Q163" s="332">
        <v>13.116279</v>
      </c>
      <c r="R163" s="332">
        <v>5.8604649999999996</v>
      </c>
      <c r="S163" s="332">
        <v>3.4069769999999999</v>
      </c>
      <c r="T163" s="332">
        <v>3.616279</v>
      </c>
      <c r="U163" s="332">
        <v>47.093024</v>
      </c>
      <c r="V163" s="332">
        <v>15.581395000000001</v>
      </c>
      <c r="W163" s="331"/>
      <c r="X163" s="331" t="s">
        <v>896</v>
      </c>
      <c r="Y163" s="333">
        <v>45519</v>
      </c>
      <c r="Z163" s="331" t="s">
        <v>559</v>
      </c>
      <c r="AA163" s="331" t="s">
        <v>897</v>
      </c>
    </row>
    <row r="164" spans="1:27" ht="15.5" x14ac:dyDescent="0.35">
      <c r="A164" s="330" t="s">
        <v>1309</v>
      </c>
      <c r="B164" s="331" t="s">
        <v>337</v>
      </c>
      <c r="C164" s="331" t="s">
        <v>338</v>
      </c>
      <c r="D164" s="331" t="s">
        <v>267</v>
      </c>
      <c r="E164" s="331" t="s">
        <v>1310</v>
      </c>
      <c r="F164" s="331" t="s">
        <v>297</v>
      </c>
      <c r="G164" s="331" t="s">
        <v>194</v>
      </c>
      <c r="H164" s="331" t="s">
        <v>5</v>
      </c>
      <c r="I164" s="332">
        <v>60.644444444444453</v>
      </c>
      <c r="J164" s="332">
        <v>43.488371999999998</v>
      </c>
      <c r="K164" s="332">
        <v>16.279070000000001</v>
      </c>
      <c r="L164" s="332">
        <v>55.872093</v>
      </c>
      <c r="M164" s="332">
        <v>51</v>
      </c>
      <c r="N164" s="332">
        <v>86.139534999999995</v>
      </c>
      <c r="O164" s="332">
        <v>80.058138999999997</v>
      </c>
      <c r="P164" s="332">
        <v>0.44185999999999998</v>
      </c>
      <c r="Q164" s="332">
        <v>0</v>
      </c>
      <c r="R164" s="332">
        <v>34.872093</v>
      </c>
      <c r="S164" s="332">
        <v>36.267442000000003</v>
      </c>
      <c r="T164" s="332">
        <v>26.093022999999999</v>
      </c>
      <c r="U164" s="332">
        <v>69.406976</v>
      </c>
      <c r="V164" s="332">
        <v>66.639534999999995</v>
      </c>
      <c r="W164" s="331"/>
      <c r="X164" s="331" t="s">
        <v>896</v>
      </c>
      <c r="Y164" s="333">
        <v>45260</v>
      </c>
      <c r="Z164" s="331" t="s">
        <v>559</v>
      </c>
      <c r="AA164" s="331" t="s">
        <v>897</v>
      </c>
    </row>
    <row r="165" spans="1:27" ht="15.5" x14ac:dyDescent="0.35">
      <c r="A165" s="330" t="s">
        <v>734</v>
      </c>
      <c r="B165" s="331" t="s">
        <v>204</v>
      </c>
      <c r="C165" s="331" t="s">
        <v>205</v>
      </c>
      <c r="D165" s="331" t="s">
        <v>173</v>
      </c>
      <c r="E165" s="331" t="s">
        <v>1311</v>
      </c>
      <c r="F165" s="331" t="s">
        <v>206</v>
      </c>
      <c r="G165" s="331" t="s">
        <v>186</v>
      </c>
      <c r="H165" s="331" t="s">
        <v>176</v>
      </c>
      <c r="I165" s="332">
        <v>56.0146484375</v>
      </c>
      <c r="J165" s="332">
        <v>1023.383721</v>
      </c>
      <c r="K165" s="332">
        <v>319.03488399999998</v>
      </c>
      <c r="L165" s="332">
        <v>86.941860000000005</v>
      </c>
      <c r="M165" s="332">
        <v>62.732557999999997</v>
      </c>
      <c r="N165" s="332">
        <v>224.476744</v>
      </c>
      <c r="O165" s="332">
        <v>996.06976699999996</v>
      </c>
      <c r="P165" s="332">
        <v>18.627907</v>
      </c>
      <c r="Q165" s="332">
        <v>252.91860500000001</v>
      </c>
      <c r="R165" s="332">
        <v>132.54651200000001</v>
      </c>
      <c r="S165" s="332">
        <v>44.453488</v>
      </c>
      <c r="T165" s="332">
        <v>84.802325999999994</v>
      </c>
      <c r="U165" s="332">
        <v>1230.290698</v>
      </c>
      <c r="V165" s="332">
        <v>513.56976699999996</v>
      </c>
      <c r="W165" s="332">
        <v>750</v>
      </c>
      <c r="X165" s="331" t="s">
        <v>896</v>
      </c>
      <c r="Y165" s="333">
        <v>45603</v>
      </c>
      <c r="Z165" s="331" t="s">
        <v>574</v>
      </c>
      <c r="AA165" s="331" t="s">
        <v>897</v>
      </c>
    </row>
    <row r="166" spans="1:27" ht="15.5" x14ac:dyDescent="0.35">
      <c r="A166" s="330" t="s">
        <v>215</v>
      </c>
      <c r="B166" s="331" t="s">
        <v>216</v>
      </c>
      <c r="C166" s="331" t="s">
        <v>217</v>
      </c>
      <c r="D166" s="331" t="s">
        <v>218</v>
      </c>
      <c r="E166" s="331" t="s">
        <v>1312</v>
      </c>
      <c r="F166" s="331" t="s">
        <v>219</v>
      </c>
      <c r="G166" s="331" t="s">
        <v>175</v>
      </c>
      <c r="H166" s="331" t="s">
        <v>176</v>
      </c>
      <c r="I166" s="332">
        <v>62.050274223034727</v>
      </c>
      <c r="J166" s="332">
        <v>634.36046499999998</v>
      </c>
      <c r="K166" s="332">
        <v>109.87209300000001</v>
      </c>
      <c r="L166" s="332">
        <v>69.965115999999995</v>
      </c>
      <c r="M166" s="332">
        <v>44.744185999999999</v>
      </c>
      <c r="N166" s="332">
        <v>128.93023199999999</v>
      </c>
      <c r="O166" s="332">
        <v>607.82558100000006</v>
      </c>
      <c r="P166" s="332">
        <v>10.395349</v>
      </c>
      <c r="Q166" s="332">
        <v>111.79069800000001</v>
      </c>
      <c r="R166" s="332">
        <v>54.418604999999999</v>
      </c>
      <c r="S166" s="332">
        <v>41.488371999999998</v>
      </c>
      <c r="T166" s="332">
        <v>61.953488</v>
      </c>
      <c r="U166" s="332">
        <v>701.08139600000004</v>
      </c>
      <c r="V166" s="332">
        <v>352.03488399999998</v>
      </c>
      <c r="W166" s="332">
        <v>500</v>
      </c>
      <c r="X166" s="331" t="s">
        <v>896</v>
      </c>
      <c r="Y166" s="333">
        <v>45603</v>
      </c>
      <c r="Z166" s="331" t="s">
        <v>574</v>
      </c>
      <c r="AA166" s="331" t="s">
        <v>897</v>
      </c>
    </row>
    <row r="167" spans="1:27" ht="15.5" x14ac:dyDescent="0.35">
      <c r="A167" s="330" t="s">
        <v>846</v>
      </c>
      <c r="B167" s="331" t="s">
        <v>1313</v>
      </c>
      <c r="C167" s="331" t="s">
        <v>1314</v>
      </c>
      <c r="D167" s="331" t="s">
        <v>373</v>
      </c>
      <c r="E167" s="331" t="s">
        <v>1315</v>
      </c>
      <c r="F167" s="331" t="s">
        <v>29</v>
      </c>
      <c r="G167" s="331" t="s">
        <v>194</v>
      </c>
      <c r="H167" s="331"/>
      <c r="I167" s="332">
        <v>32.228571428571428</v>
      </c>
      <c r="J167" s="332">
        <v>6.6046509999999996</v>
      </c>
      <c r="K167" s="332">
        <v>1.011628</v>
      </c>
      <c r="L167" s="332">
        <v>7.0348839999999999</v>
      </c>
      <c r="M167" s="332">
        <v>5.3139529999999997</v>
      </c>
      <c r="N167" s="332">
        <v>9.9069769999999995</v>
      </c>
      <c r="O167" s="332">
        <v>10.05814</v>
      </c>
      <c r="P167" s="332">
        <v>0</v>
      </c>
      <c r="Q167" s="332">
        <v>0</v>
      </c>
      <c r="R167" s="332">
        <v>5.3139529999999997</v>
      </c>
      <c r="S167" s="332">
        <v>2.5581399999999999</v>
      </c>
      <c r="T167" s="332">
        <v>2.872093</v>
      </c>
      <c r="U167" s="332">
        <v>9.2209299999999992</v>
      </c>
      <c r="V167" s="332">
        <v>11.802326000000001</v>
      </c>
      <c r="W167" s="331"/>
      <c r="X167" s="331" t="s">
        <v>896</v>
      </c>
      <c r="Y167" s="333">
        <v>45918</v>
      </c>
      <c r="Z167" s="331" t="s">
        <v>559</v>
      </c>
      <c r="AA167" s="331" t="s">
        <v>897</v>
      </c>
    </row>
    <row r="168" spans="1:27" ht="15.5" x14ac:dyDescent="0.35">
      <c r="A168" s="330" t="s">
        <v>1316</v>
      </c>
      <c r="B168" s="331" t="s">
        <v>1317</v>
      </c>
      <c r="C168" s="331" t="s">
        <v>1318</v>
      </c>
      <c r="D168" s="331" t="s">
        <v>373</v>
      </c>
      <c r="E168" s="331" t="s">
        <v>1319</v>
      </c>
      <c r="F168" s="331" t="s">
        <v>29</v>
      </c>
      <c r="G168" s="331" t="s">
        <v>230</v>
      </c>
      <c r="H168" s="331" t="s">
        <v>176</v>
      </c>
      <c r="I168" s="332">
        <v>39.793103448275858</v>
      </c>
      <c r="J168" s="332">
        <v>4.3953490000000004</v>
      </c>
      <c r="K168" s="332">
        <v>2.2209300000000001</v>
      </c>
      <c r="L168" s="332">
        <v>4.5465119999999999</v>
      </c>
      <c r="M168" s="332">
        <v>3.5232559999999999</v>
      </c>
      <c r="N168" s="332">
        <v>3.3139530000000001</v>
      </c>
      <c r="O168" s="332">
        <v>10.279070000000001</v>
      </c>
      <c r="P168" s="332">
        <v>0.83720899999999998</v>
      </c>
      <c r="Q168" s="332">
        <v>0.25581399999999999</v>
      </c>
      <c r="R168" s="332">
        <v>1.1744190000000001</v>
      </c>
      <c r="S168" s="332">
        <v>1.5813950000000001</v>
      </c>
      <c r="T168" s="332">
        <v>2.0697670000000001</v>
      </c>
      <c r="U168" s="332">
        <v>9.8604660000000006</v>
      </c>
      <c r="V168" s="332">
        <v>8.8837209999999995</v>
      </c>
      <c r="W168" s="331"/>
      <c r="X168" s="331" t="s">
        <v>952</v>
      </c>
      <c r="Y168" s="334">
        <v>45731</v>
      </c>
      <c r="Z168" s="331" t="s">
        <v>559</v>
      </c>
      <c r="AA168" s="331" t="s">
        <v>897</v>
      </c>
    </row>
    <row r="169" spans="1:27" ht="15.5" x14ac:dyDescent="0.35">
      <c r="A169" s="330" t="s">
        <v>1320</v>
      </c>
      <c r="B169" s="331" t="s">
        <v>1321</v>
      </c>
      <c r="C169" s="331" t="s">
        <v>1322</v>
      </c>
      <c r="D169" s="331" t="s">
        <v>356</v>
      </c>
      <c r="E169" s="331" t="s">
        <v>1323</v>
      </c>
      <c r="F169" s="331" t="s">
        <v>296</v>
      </c>
      <c r="G169" s="331" t="s">
        <v>230</v>
      </c>
      <c r="H169" s="331" t="s">
        <v>176</v>
      </c>
      <c r="I169" s="332">
        <v>52.915254237288138</v>
      </c>
      <c r="J169" s="332">
        <v>5.244186</v>
      </c>
      <c r="K169" s="332">
        <v>4.5581399999999999</v>
      </c>
      <c r="L169" s="332">
        <v>7.7906979999999999</v>
      </c>
      <c r="M169" s="332">
        <v>5.0348839999999999</v>
      </c>
      <c r="N169" s="332">
        <v>12.651163</v>
      </c>
      <c r="O169" s="332">
        <v>7.767442</v>
      </c>
      <c r="P169" s="332">
        <v>1.127907</v>
      </c>
      <c r="Q169" s="332">
        <v>1.0813950000000001</v>
      </c>
      <c r="R169" s="332">
        <v>5.732558</v>
      </c>
      <c r="S169" s="332">
        <v>4.5348839999999999</v>
      </c>
      <c r="T169" s="332">
        <v>4.8255809999999997</v>
      </c>
      <c r="U169" s="332">
        <v>7.5348839999999999</v>
      </c>
      <c r="V169" s="332">
        <v>18.058140000000002</v>
      </c>
      <c r="W169" s="331"/>
      <c r="X169" s="331" t="s">
        <v>896</v>
      </c>
      <c r="Y169" s="333">
        <v>45694</v>
      </c>
      <c r="Z169" s="331" t="s">
        <v>559</v>
      </c>
      <c r="AA169" s="331" t="s">
        <v>897</v>
      </c>
    </row>
    <row r="170" spans="1:27" ht="15.5" x14ac:dyDescent="0.35">
      <c r="A170" s="330" t="s">
        <v>1324</v>
      </c>
      <c r="B170" s="331" t="s">
        <v>587</v>
      </c>
      <c r="C170" s="331" t="s">
        <v>571</v>
      </c>
      <c r="D170" s="331" t="s">
        <v>37</v>
      </c>
      <c r="E170" s="331" t="s">
        <v>1325</v>
      </c>
      <c r="F170" s="331" t="s">
        <v>193</v>
      </c>
      <c r="G170" s="331" t="s">
        <v>194</v>
      </c>
      <c r="H170" s="331" t="s">
        <v>176</v>
      </c>
      <c r="I170" s="332">
        <v>3.9347826086956519</v>
      </c>
      <c r="J170" s="332">
        <v>26.058140000000002</v>
      </c>
      <c r="K170" s="332">
        <v>8.2906980000000008</v>
      </c>
      <c r="L170" s="332">
        <v>4.4418600000000001</v>
      </c>
      <c r="M170" s="332">
        <v>2.4069769999999999</v>
      </c>
      <c r="N170" s="332">
        <v>4.9186050000000003</v>
      </c>
      <c r="O170" s="332">
        <v>30.965115999999998</v>
      </c>
      <c r="P170" s="332">
        <v>2.2906979999999999</v>
      </c>
      <c r="Q170" s="332">
        <v>3.0232559999999999</v>
      </c>
      <c r="R170" s="332">
        <v>2.9418600000000001</v>
      </c>
      <c r="S170" s="332">
        <v>2</v>
      </c>
      <c r="T170" s="332">
        <v>3.360465</v>
      </c>
      <c r="U170" s="332">
        <v>32.895349000000003</v>
      </c>
      <c r="V170" s="332">
        <v>20.255814000000001</v>
      </c>
      <c r="W170" s="331"/>
      <c r="X170" s="331" t="s">
        <v>896</v>
      </c>
      <c r="Y170" s="333">
        <v>45260</v>
      </c>
      <c r="Z170" s="331" t="s">
        <v>559</v>
      </c>
      <c r="AA170" s="331" t="s">
        <v>897</v>
      </c>
    </row>
    <row r="171" spans="1:27" ht="15.5" x14ac:dyDescent="0.35">
      <c r="A171" s="330" t="s">
        <v>1326</v>
      </c>
      <c r="B171" s="331" t="s">
        <v>315</v>
      </c>
      <c r="C171" s="331" t="s">
        <v>316</v>
      </c>
      <c r="D171" s="331" t="s">
        <v>262</v>
      </c>
      <c r="E171" s="331" t="s">
        <v>1327</v>
      </c>
      <c r="F171" s="331" t="s">
        <v>263</v>
      </c>
      <c r="G171" s="331" t="s">
        <v>194</v>
      </c>
      <c r="H171" s="331" t="s">
        <v>5</v>
      </c>
      <c r="I171" s="332">
        <v>58.939849624060152</v>
      </c>
      <c r="J171" s="332">
        <v>129.79069799999999</v>
      </c>
      <c r="K171" s="332">
        <v>58.255814000000001</v>
      </c>
      <c r="L171" s="332">
        <v>32.813952999999998</v>
      </c>
      <c r="M171" s="332">
        <v>19.244185999999999</v>
      </c>
      <c r="N171" s="332">
        <v>72.325581999999997</v>
      </c>
      <c r="O171" s="332">
        <v>167.77906999999999</v>
      </c>
      <c r="P171" s="332">
        <v>0</v>
      </c>
      <c r="Q171" s="332">
        <v>0</v>
      </c>
      <c r="R171" s="332">
        <v>33.162790999999999</v>
      </c>
      <c r="S171" s="332">
        <v>19.651163</v>
      </c>
      <c r="T171" s="332">
        <v>28.534884000000002</v>
      </c>
      <c r="U171" s="332">
        <v>158.75581399999999</v>
      </c>
      <c r="V171" s="332">
        <v>99.488371999999998</v>
      </c>
      <c r="W171" s="332">
        <v>100</v>
      </c>
      <c r="X171" s="331" t="s">
        <v>896</v>
      </c>
      <c r="Y171" s="333">
        <v>45715</v>
      </c>
      <c r="Z171" s="331" t="s">
        <v>574</v>
      </c>
      <c r="AA171" s="331" t="s">
        <v>897</v>
      </c>
    </row>
    <row r="172" spans="1:27" ht="15.5" x14ac:dyDescent="0.35">
      <c r="A172" s="330" t="s">
        <v>32</v>
      </c>
      <c r="B172" s="331" t="s">
        <v>237</v>
      </c>
      <c r="C172" s="331" t="s">
        <v>238</v>
      </c>
      <c r="D172" s="331" t="s">
        <v>192</v>
      </c>
      <c r="E172" s="331" t="s">
        <v>1328</v>
      </c>
      <c r="F172" s="331" t="s">
        <v>193</v>
      </c>
      <c r="G172" s="331" t="s">
        <v>175</v>
      </c>
      <c r="H172" s="331" t="s">
        <v>5</v>
      </c>
      <c r="I172" s="332">
        <v>13.89352380952381</v>
      </c>
      <c r="J172" s="332">
        <v>507.98837200000003</v>
      </c>
      <c r="K172" s="332">
        <v>147.91860500000001</v>
      </c>
      <c r="L172" s="332">
        <v>146.90697700000001</v>
      </c>
      <c r="M172" s="332">
        <v>100.023256</v>
      </c>
      <c r="N172" s="332">
        <v>222.151163</v>
      </c>
      <c r="O172" s="332">
        <v>680.56976699999996</v>
      </c>
      <c r="P172" s="332">
        <v>0</v>
      </c>
      <c r="Q172" s="332">
        <v>0.11627899999999999</v>
      </c>
      <c r="R172" s="332">
        <v>120.023256</v>
      </c>
      <c r="S172" s="332">
        <v>54.779069999999997</v>
      </c>
      <c r="T172" s="332">
        <v>87.116279000000006</v>
      </c>
      <c r="U172" s="332">
        <v>640.91860499999996</v>
      </c>
      <c r="V172" s="332">
        <v>627.29069800000002</v>
      </c>
      <c r="W172" s="331"/>
      <c r="X172" s="331" t="s">
        <v>896</v>
      </c>
      <c r="Y172" s="333">
        <v>45757</v>
      </c>
      <c r="Z172" s="331" t="s">
        <v>574</v>
      </c>
      <c r="AA172" s="331" t="s">
        <v>897</v>
      </c>
    </row>
    <row r="173" spans="1:27" ht="15.5" x14ac:dyDescent="0.35">
      <c r="A173" s="330" t="s">
        <v>35</v>
      </c>
      <c r="B173" s="331" t="s">
        <v>405</v>
      </c>
      <c r="C173" s="331" t="s">
        <v>406</v>
      </c>
      <c r="D173" s="331" t="s">
        <v>254</v>
      </c>
      <c r="E173" s="331" t="s">
        <v>1329</v>
      </c>
      <c r="F173" s="331" t="s">
        <v>24</v>
      </c>
      <c r="G173" s="331" t="s">
        <v>230</v>
      </c>
      <c r="H173" s="331" t="s">
        <v>176</v>
      </c>
      <c r="I173" s="332">
        <v>1.885167464114833</v>
      </c>
      <c r="J173" s="332">
        <v>25.348837</v>
      </c>
      <c r="K173" s="332">
        <v>7.8255809999999997</v>
      </c>
      <c r="L173" s="332">
        <v>5.5232559999999999</v>
      </c>
      <c r="M173" s="332">
        <v>2.4651160000000001</v>
      </c>
      <c r="N173" s="332">
        <v>5.9767440000000001</v>
      </c>
      <c r="O173" s="332">
        <v>24.616278999999999</v>
      </c>
      <c r="P173" s="332">
        <v>1.372093</v>
      </c>
      <c r="Q173" s="332">
        <v>9.1976739999999992</v>
      </c>
      <c r="R173" s="332">
        <v>4.6976740000000001</v>
      </c>
      <c r="S173" s="332">
        <v>2.7209300000000001</v>
      </c>
      <c r="T173" s="332">
        <v>3.372093</v>
      </c>
      <c r="U173" s="332">
        <v>30.372093</v>
      </c>
      <c r="V173" s="332">
        <v>14.313953</v>
      </c>
      <c r="W173" s="331"/>
      <c r="X173" s="331" t="s">
        <v>896</v>
      </c>
      <c r="Y173" s="333">
        <v>45127</v>
      </c>
      <c r="Z173" s="331" t="s">
        <v>559</v>
      </c>
      <c r="AA173" s="331" t="s">
        <v>897</v>
      </c>
    </row>
    <row r="174" spans="1:27" ht="15.5" x14ac:dyDescent="0.35">
      <c r="A174" s="330" t="s">
        <v>1330</v>
      </c>
      <c r="B174" s="331" t="s">
        <v>1331</v>
      </c>
      <c r="C174" s="331" t="s">
        <v>1332</v>
      </c>
      <c r="D174" s="331" t="s">
        <v>1269</v>
      </c>
      <c r="E174" s="331" t="s">
        <v>1333</v>
      </c>
      <c r="F174" s="331" t="s">
        <v>257</v>
      </c>
      <c r="G174" s="331" t="s">
        <v>230</v>
      </c>
      <c r="H174" s="331" t="s">
        <v>176</v>
      </c>
      <c r="I174" s="332">
        <v>1.5603448275862071</v>
      </c>
      <c r="J174" s="332">
        <v>0.70930199999999999</v>
      </c>
      <c r="K174" s="332">
        <v>0.72092999999999996</v>
      </c>
      <c r="L174" s="332">
        <v>0.63953499999999996</v>
      </c>
      <c r="M174" s="332">
        <v>8.1394999999999995E-2</v>
      </c>
      <c r="N174" s="332">
        <v>0.68604699999999996</v>
      </c>
      <c r="O174" s="332">
        <v>1.3023260000000001</v>
      </c>
      <c r="P174" s="332">
        <v>4.6511999999999998E-2</v>
      </c>
      <c r="Q174" s="332">
        <v>0.11627899999999999</v>
      </c>
      <c r="R174" s="332">
        <v>0.31395299999999998</v>
      </c>
      <c r="S174" s="332">
        <v>0.19767399999999999</v>
      </c>
      <c r="T174" s="332">
        <v>0.31395299999999998</v>
      </c>
      <c r="U174" s="332">
        <v>1.325582</v>
      </c>
      <c r="V174" s="332">
        <v>1.755814</v>
      </c>
      <c r="W174" s="331"/>
      <c r="X174" s="331" t="s">
        <v>395</v>
      </c>
      <c r="Y174" s="333">
        <v>45373</v>
      </c>
      <c r="Z174" s="331" t="s">
        <v>987</v>
      </c>
      <c r="AA174" s="331" t="s">
        <v>897</v>
      </c>
    </row>
    <row r="175" spans="1:27" ht="15.5" x14ac:dyDescent="0.35">
      <c r="A175" s="330" t="s">
        <v>289</v>
      </c>
      <c r="B175" s="331" t="s">
        <v>290</v>
      </c>
      <c r="C175" s="331" t="s">
        <v>291</v>
      </c>
      <c r="D175" s="331" t="s">
        <v>23</v>
      </c>
      <c r="E175" s="331" t="s">
        <v>1334</v>
      </c>
      <c r="F175" s="331" t="s">
        <v>292</v>
      </c>
      <c r="G175" s="331" t="s">
        <v>194</v>
      </c>
      <c r="H175" s="331" t="s">
        <v>5</v>
      </c>
      <c r="I175" s="332">
        <v>42.665203073545563</v>
      </c>
      <c r="J175" s="332">
        <v>204.74418600000001</v>
      </c>
      <c r="K175" s="332">
        <v>33.604650999999997</v>
      </c>
      <c r="L175" s="332">
        <v>154.12790699999999</v>
      </c>
      <c r="M175" s="332">
        <v>115.77907</v>
      </c>
      <c r="N175" s="332">
        <v>136.69767400000001</v>
      </c>
      <c r="O175" s="332">
        <v>371.39534900000001</v>
      </c>
      <c r="P175" s="332">
        <v>0</v>
      </c>
      <c r="Q175" s="332">
        <v>0.16279099999999999</v>
      </c>
      <c r="R175" s="332">
        <v>87.558139999999995</v>
      </c>
      <c r="S175" s="332">
        <v>40.651162999999997</v>
      </c>
      <c r="T175" s="332">
        <v>32.674419</v>
      </c>
      <c r="U175" s="332">
        <v>347.37209300000001</v>
      </c>
      <c r="V175" s="332">
        <v>213.37209300000001</v>
      </c>
      <c r="W175" s="331"/>
      <c r="X175" s="331" t="s">
        <v>896</v>
      </c>
      <c r="Y175" s="333">
        <v>45617</v>
      </c>
      <c r="Z175" s="331" t="s">
        <v>559</v>
      </c>
      <c r="AA175" s="331" t="s">
        <v>897</v>
      </c>
    </row>
    <row r="176" spans="1:27" ht="15.5" x14ac:dyDescent="0.35">
      <c r="A176" s="330" t="s">
        <v>387</v>
      </c>
      <c r="B176" s="331" t="s">
        <v>388</v>
      </c>
      <c r="C176" s="331" t="s">
        <v>389</v>
      </c>
      <c r="D176" s="331" t="s">
        <v>362</v>
      </c>
      <c r="E176" s="331" t="s">
        <v>1335</v>
      </c>
      <c r="F176" s="331" t="s">
        <v>296</v>
      </c>
      <c r="G176" s="331" t="s">
        <v>230</v>
      </c>
      <c r="H176" s="331" t="s">
        <v>176</v>
      </c>
      <c r="I176" s="332">
        <v>25.455445544554451</v>
      </c>
      <c r="J176" s="332">
        <v>19.790697999999999</v>
      </c>
      <c r="K176" s="332">
        <v>16.720929999999999</v>
      </c>
      <c r="L176" s="332">
        <v>7.8604649999999996</v>
      </c>
      <c r="M176" s="332">
        <v>5.6395350000000004</v>
      </c>
      <c r="N176" s="332">
        <v>23.034884000000002</v>
      </c>
      <c r="O176" s="332">
        <v>23.604651</v>
      </c>
      <c r="P176" s="332">
        <v>0.74418600000000001</v>
      </c>
      <c r="Q176" s="332">
        <v>2.627907</v>
      </c>
      <c r="R176" s="332">
        <v>9.9069769999999995</v>
      </c>
      <c r="S176" s="332">
        <v>8.8139529999999997</v>
      </c>
      <c r="T176" s="332">
        <v>12.906976999999999</v>
      </c>
      <c r="U176" s="332">
        <v>18.383721000000001</v>
      </c>
      <c r="V176" s="332">
        <v>31.732558000000001</v>
      </c>
      <c r="W176" s="331"/>
      <c r="X176" s="331" t="s">
        <v>896</v>
      </c>
      <c r="Y176" s="333">
        <v>45694</v>
      </c>
      <c r="Z176" s="331" t="s">
        <v>559</v>
      </c>
      <c r="AA176" s="331" t="s">
        <v>917</v>
      </c>
    </row>
    <row r="177" spans="1:27" ht="15.5" x14ac:dyDescent="0.35">
      <c r="A177" s="330" t="s">
        <v>1336</v>
      </c>
      <c r="B177" s="331" t="s">
        <v>212</v>
      </c>
      <c r="C177" s="331" t="s">
        <v>213</v>
      </c>
      <c r="D177" s="331" t="s">
        <v>184</v>
      </c>
      <c r="E177" s="331" t="s">
        <v>1337</v>
      </c>
      <c r="F177" s="331" t="s">
        <v>565</v>
      </c>
      <c r="G177" s="331" t="s">
        <v>214</v>
      </c>
      <c r="H177" s="331" t="s">
        <v>176</v>
      </c>
      <c r="I177" s="332">
        <v>6.6327944572748274</v>
      </c>
      <c r="J177" s="332">
        <v>1071.2441859999999</v>
      </c>
      <c r="K177" s="332">
        <v>82.860465000000005</v>
      </c>
      <c r="L177" s="332">
        <v>44.639535000000002</v>
      </c>
      <c r="M177" s="332">
        <v>23.441859999999998</v>
      </c>
      <c r="N177" s="332">
        <v>123.941861</v>
      </c>
      <c r="O177" s="332">
        <v>1086.7558140000001</v>
      </c>
      <c r="P177" s="332">
        <v>1.4418599999999999</v>
      </c>
      <c r="Q177" s="332">
        <v>10.046512</v>
      </c>
      <c r="R177" s="332">
        <v>41.558140000000002</v>
      </c>
      <c r="S177" s="332">
        <v>37.5</v>
      </c>
      <c r="T177" s="332">
        <v>83.627906999999993</v>
      </c>
      <c r="U177" s="332">
        <v>1059.5</v>
      </c>
      <c r="V177" s="332">
        <v>572.48837200000003</v>
      </c>
      <c r="W177" s="332">
        <v>650</v>
      </c>
      <c r="X177" s="331" t="s">
        <v>896</v>
      </c>
      <c r="Y177" s="333">
        <v>45743</v>
      </c>
      <c r="Z177" s="331" t="s">
        <v>574</v>
      </c>
      <c r="AA177" s="331" t="s">
        <v>897</v>
      </c>
    </row>
    <row r="178" spans="1:27" ht="15.5" x14ac:dyDescent="0.35">
      <c r="A178" s="330" t="s">
        <v>430</v>
      </c>
      <c r="B178" s="331" t="s">
        <v>431</v>
      </c>
      <c r="C178" s="331" t="s">
        <v>432</v>
      </c>
      <c r="D178" s="331" t="s">
        <v>362</v>
      </c>
      <c r="E178" s="331" t="s">
        <v>1338</v>
      </c>
      <c r="F178" s="331" t="s">
        <v>296</v>
      </c>
      <c r="G178" s="331" t="s">
        <v>230</v>
      </c>
      <c r="H178" s="331" t="s">
        <v>176</v>
      </c>
      <c r="I178" s="332">
        <v>21.815286624203821</v>
      </c>
      <c r="J178" s="332">
        <v>5.9767440000000001</v>
      </c>
      <c r="K178" s="332">
        <v>4.2906979999999999</v>
      </c>
      <c r="L178" s="332">
        <v>6.8255809999999997</v>
      </c>
      <c r="M178" s="332">
        <v>14.290698000000001</v>
      </c>
      <c r="N178" s="332">
        <v>20.255814000000001</v>
      </c>
      <c r="O178" s="332">
        <v>8.5232559999999999</v>
      </c>
      <c r="P178" s="332">
        <v>1</v>
      </c>
      <c r="Q178" s="332">
        <v>1.604651</v>
      </c>
      <c r="R178" s="332">
        <v>11.802326000000001</v>
      </c>
      <c r="S178" s="332">
        <v>5.255814</v>
      </c>
      <c r="T178" s="332">
        <v>7.755814</v>
      </c>
      <c r="U178" s="332">
        <v>6.5697669999999997</v>
      </c>
      <c r="V178" s="332">
        <v>23.023256</v>
      </c>
      <c r="W178" s="331"/>
      <c r="X178" s="331" t="s">
        <v>896</v>
      </c>
      <c r="Y178" s="333">
        <v>45589</v>
      </c>
      <c r="Z178" s="331" t="s">
        <v>559</v>
      </c>
      <c r="AA178" s="331" t="s">
        <v>897</v>
      </c>
    </row>
    <row r="179" spans="1:27" ht="15.5" x14ac:dyDescent="0.35">
      <c r="A179" s="330" t="s">
        <v>728</v>
      </c>
      <c r="B179" s="331" t="s">
        <v>244</v>
      </c>
      <c r="C179" s="331" t="s">
        <v>33</v>
      </c>
      <c r="D179" s="331" t="s">
        <v>184</v>
      </c>
      <c r="E179" s="331" t="s">
        <v>1339</v>
      </c>
      <c r="F179" s="331" t="s">
        <v>245</v>
      </c>
      <c r="G179" s="331" t="s">
        <v>175</v>
      </c>
      <c r="H179" s="331" t="s">
        <v>176</v>
      </c>
      <c r="I179" s="332">
        <v>18.671077065923861</v>
      </c>
      <c r="J179" s="332">
        <v>638.40697699999998</v>
      </c>
      <c r="K179" s="332">
        <v>114.61627900000001</v>
      </c>
      <c r="L179" s="332">
        <v>152.976744</v>
      </c>
      <c r="M179" s="332">
        <v>62.802326000000001</v>
      </c>
      <c r="N179" s="332">
        <v>151.011628</v>
      </c>
      <c r="O179" s="332">
        <v>682.37209299999995</v>
      </c>
      <c r="P179" s="332">
        <v>29.837209000000001</v>
      </c>
      <c r="Q179" s="332">
        <v>105.581395</v>
      </c>
      <c r="R179" s="332">
        <v>100.081395</v>
      </c>
      <c r="S179" s="332">
        <v>41.116278999999999</v>
      </c>
      <c r="T179" s="332">
        <v>62.069766999999999</v>
      </c>
      <c r="U179" s="332">
        <v>765.53488400000003</v>
      </c>
      <c r="V179" s="332">
        <v>571.25581399999999</v>
      </c>
      <c r="W179" s="332">
        <v>525</v>
      </c>
      <c r="X179" s="331" t="s">
        <v>896</v>
      </c>
      <c r="Y179" s="333">
        <v>45645</v>
      </c>
      <c r="Z179" s="331" t="s">
        <v>574</v>
      </c>
      <c r="AA179" s="331" t="s">
        <v>897</v>
      </c>
    </row>
    <row r="180" spans="1:27" ht="15.5" x14ac:dyDescent="0.35">
      <c r="A180" s="330" t="s">
        <v>1340</v>
      </c>
      <c r="B180" s="331" t="s">
        <v>1341</v>
      </c>
      <c r="C180" s="331" t="s">
        <v>1342</v>
      </c>
      <c r="D180" s="331" t="s">
        <v>433</v>
      </c>
      <c r="E180" s="331" t="s">
        <v>1343</v>
      </c>
      <c r="F180" s="331" t="s">
        <v>193</v>
      </c>
      <c r="G180" s="331" t="s">
        <v>230</v>
      </c>
      <c r="H180" s="331"/>
      <c r="I180" s="332">
        <v>1.868571428571429</v>
      </c>
      <c r="J180" s="332">
        <v>10.290698000000001</v>
      </c>
      <c r="K180" s="332">
        <v>4.3139529999999997</v>
      </c>
      <c r="L180" s="332">
        <v>2.4069769999999999</v>
      </c>
      <c r="M180" s="332">
        <v>1.488372</v>
      </c>
      <c r="N180" s="332">
        <v>4.6511630000000004</v>
      </c>
      <c r="O180" s="332">
        <v>13.848837</v>
      </c>
      <c r="P180" s="332">
        <v>0</v>
      </c>
      <c r="Q180" s="332">
        <v>0</v>
      </c>
      <c r="R180" s="332">
        <v>2.6511629999999999</v>
      </c>
      <c r="S180" s="332">
        <v>2.9069769999999999</v>
      </c>
      <c r="T180" s="332">
        <v>2.8255810000000001</v>
      </c>
      <c r="U180" s="332">
        <v>10.116279</v>
      </c>
      <c r="V180" s="332">
        <v>11.872093</v>
      </c>
      <c r="W180" s="331"/>
      <c r="X180" s="331" t="s">
        <v>952</v>
      </c>
      <c r="Y180" s="334">
        <v>45755</v>
      </c>
      <c r="Z180" s="331" t="s">
        <v>559</v>
      </c>
      <c r="AA180" s="331" t="s">
        <v>897</v>
      </c>
    </row>
    <row r="181" spans="1:27" ht="15.5" x14ac:dyDescent="0.35">
      <c r="A181" s="330" t="s">
        <v>224</v>
      </c>
      <c r="B181" s="331" t="s">
        <v>225</v>
      </c>
      <c r="C181" s="331" t="s">
        <v>358</v>
      </c>
      <c r="D181" s="331" t="s">
        <v>192</v>
      </c>
      <c r="E181" s="331" t="s">
        <v>1344</v>
      </c>
      <c r="F181" s="331" t="s">
        <v>193</v>
      </c>
      <c r="G181" s="331" t="s">
        <v>194</v>
      </c>
      <c r="H181" s="331" t="s">
        <v>176</v>
      </c>
      <c r="I181" s="332">
        <v>50.691959798994972</v>
      </c>
      <c r="J181" s="332">
        <v>875.08139500000004</v>
      </c>
      <c r="K181" s="332">
        <v>132.19767400000001</v>
      </c>
      <c r="L181" s="332">
        <v>44.965116000000002</v>
      </c>
      <c r="M181" s="332">
        <v>30.116278999999999</v>
      </c>
      <c r="N181" s="332">
        <v>69.011628000000002</v>
      </c>
      <c r="O181" s="332">
        <v>286.5</v>
      </c>
      <c r="P181" s="332">
        <v>46.302326000000001</v>
      </c>
      <c r="Q181" s="332">
        <v>680.54651200000001</v>
      </c>
      <c r="R181" s="332">
        <v>48.627907</v>
      </c>
      <c r="S181" s="332">
        <v>29.616278999999999</v>
      </c>
      <c r="T181" s="332">
        <v>54.209302000000001</v>
      </c>
      <c r="U181" s="332">
        <v>949.90697699999998</v>
      </c>
      <c r="V181" s="332">
        <v>702.10465099999999</v>
      </c>
      <c r="W181" s="332">
        <v>677</v>
      </c>
      <c r="X181" s="331" t="s">
        <v>896</v>
      </c>
      <c r="Y181" s="333">
        <v>45603</v>
      </c>
      <c r="Z181" s="331" t="s">
        <v>574</v>
      </c>
      <c r="AA181" s="331" t="s">
        <v>897</v>
      </c>
    </row>
    <row r="182" spans="1:27" ht="15.5" x14ac:dyDescent="0.35">
      <c r="A182" s="330" t="s">
        <v>12</v>
      </c>
      <c r="B182" s="331" t="s">
        <v>271</v>
      </c>
      <c r="C182" s="331" t="s">
        <v>272</v>
      </c>
      <c r="D182" s="331" t="s">
        <v>184</v>
      </c>
      <c r="E182" s="331" t="s">
        <v>1345</v>
      </c>
      <c r="F182" s="331" t="s">
        <v>565</v>
      </c>
      <c r="G182" s="331" t="s">
        <v>207</v>
      </c>
      <c r="H182" s="331" t="s">
        <v>5</v>
      </c>
      <c r="I182" s="332">
        <v>61.565017261219793</v>
      </c>
      <c r="J182" s="332">
        <v>556.53488400000003</v>
      </c>
      <c r="K182" s="332">
        <v>57.651162999999997</v>
      </c>
      <c r="L182" s="332">
        <v>0.66279100000000002</v>
      </c>
      <c r="M182" s="332">
        <v>0</v>
      </c>
      <c r="N182" s="332">
        <v>50.034883999999998</v>
      </c>
      <c r="O182" s="332">
        <v>564.81395299999997</v>
      </c>
      <c r="P182" s="332">
        <v>0</v>
      </c>
      <c r="Q182" s="332">
        <v>0</v>
      </c>
      <c r="R182" s="332">
        <v>3.0930230000000001</v>
      </c>
      <c r="S182" s="332">
        <v>16.627907</v>
      </c>
      <c r="T182" s="332">
        <v>42.965116000000002</v>
      </c>
      <c r="U182" s="332">
        <v>552.16279099999997</v>
      </c>
      <c r="V182" s="332">
        <v>340.40697699999998</v>
      </c>
      <c r="W182" s="332">
        <v>275</v>
      </c>
      <c r="X182" s="331" t="s">
        <v>896</v>
      </c>
      <c r="Y182" s="333">
        <v>45666</v>
      </c>
      <c r="Z182" s="331" t="s">
        <v>559</v>
      </c>
      <c r="AA182" s="331" t="s">
        <v>897</v>
      </c>
    </row>
    <row r="183" spans="1:27" ht="15.5" x14ac:dyDescent="0.35">
      <c r="A183" s="330" t="s">
        <v>273</v>
      </c>
      <c r="B183" s="331" t="s">
        <v>274</v>
      </c>
      <c r="C183" s="331" t="s">
        <v>275</v>
      </c>
      <c r="D183" s="331" t="s">
        <v>192</v>
      </c>
      <c r="E183" s="331" t="s">
        <v>1346</v>
      </c>
      <c r="F183" s="331" t="s">
        <v>193</v>
      </c>
      <c r="G183" s="331" t="s">
        <v>194</v>
      </c>
      <c r="H183" s="331" t="s">
        <v>5</v>
      </c>
      <c r="I183" s="332">
        <v>62.397575757575758</v>
      </c>
      <c r="J183" s="332">
        <v>472.62790699999999</v>
      </c>
      <c r="K183" s="332">
        <v>87.476743999999997</v>
      </c>
      <c r="L183" s="332">
        <v>25.639534999999999</v>
      </c>
      <c r="M183" s="332">
        <v>3.5232559999999999</v>
      </c>
      <c r="N183" s="332">
        <v>50.220930000000003</v>
      </c>
      <c r="O183" s="332">
        <v>539.04651200000001</v>
      </c>
      <c r="P183" s="332">
        <v>0</v>
      </c>
      <c r="Q183" s="332">
        <v>0</v>
      </c>
      <c r="R183" s="332">
        <v>8.5581399999999999</v>
      </c>
      <c r="S183" s="332">
        <v>15.453488</v>
      </c>
      <c r="T183" s="332">
        <v>37.255814000000001</v>
      </c>
      <c r="U183" s="332">
        <v>528</v>
      </c>
      <c r="V183" s="332">
        <v>380.72093000000001</v>
      </c>
      <c r="W183" s="332">
        <v>361</v>
      </c>
      <c r="X183" s="331" t="s">
        <v>896</v>
      </c>
      <c r="Y183" s="333">
        <v>45617</v>
      </c>
      <c r="Z183" s="331" t="s">
        <v>574</v>
      </c>
      <c r="AA183" s="331" t="s">
        <v>897</v>
      </c>
    </row>
    <row r="184" spans="1:27" ht="15.5" x14ac:dyDescent="0.35">
      <c r="A184" s="330" t="s">
        <v>1347</v>
      </c>
      <c r="B184" s="331" t="s">
        <v>1348</v>
      </c>
      <c r="C184" s="331" t="s">
        <v>1349</v>
      </c>
      <c r="D184" s="331" t="s">
        <v>250</v>
      </c>
      <c r="E184" s="331" t="s">
        <v>1350</v>
      </c>
      <c r="F184" s="331" t="s">
        <v>251</v>
      </c>
      <c r="G184" s="331" t="s">
        <v>230</v>
      </c>
      <c r="H184" s="331" t="s">
        <v>176</v>
      </c>
      <c r="I184" s="332">
        <v>3.4180138568129328</v>
      </c>
      <c r="J184" s="332">
        <v>41.151162999999997</v>
      </c>
      <c r="K184" s="332">
        <v>53.186047000000002</v>
      </c>
      <c r="L184" s="332">
        <v>7.6627910000000004</v>
      </c>
      <c r="M184" s="332">
        <v>3.3139530000000001</v>
      </c>
      <c r="N184" s="332">
        <v>13.825581</v>
      </c>
      <c r="O184" s="332">
        <v>88.627906999999993</v>
      </c>
      <c r="P184" s="332">
        <v>0.61627900000000002</v>
      </c>
      <c r="Q184" s="332">
        <v>2.244186</v>
      </c>
      <c r="R184" s="332">
        <v>5.5581399999999999</v>
      </c>
      <c r="S184" s="332">
        <v>6.232558</v>
      </c>
      <c r="T184" s="332">
        <v>9.9767440000000001</v>
      </c>
      <c r="U184" s="332">
        <v>83.546510999999995</v>
      </c>
      <c r="V184" s="332">
        <v>42.418604999999999</v>
      </c>
      <c r="W184" s="331"/>
      <c r="X184" s="331" t="s">
        <v>952</v>
      </c>
      <c r="Y184" s="334">
        <v>45945</v>
      </c>
      <c r="Z184" s="331" t="s">
        <v>1151</v>
      </c>
      <c r="AA184" s="331" t="s">
        <v>897</v>
      </c>
    </row>
    <row r="185" spans="1:27" ht="15.5" x14ac:dyDescent="0.35">
      <c r="A185" s="330" t="s">
        <v>1351</v>
      </c>
      <c r="B185" s="331" t="s">
        <v>1352</v>
      </c>
      <c r="C185" s="331" t="s">
        <v>394</v>
      </c>
      <c r="D185" s="331" t="s">
        <v>180</v>
      </c>
      <c r="E185" s="331" t="s">
        <v>1353</v>
      </c>
      <c r="F185" s="331" t="s">
        <v>181</v>
      </c>
      <c r="G185" s="331" t="s">
        <v>230</v>
      </c>
      <c r="H185" s="331" t="s">
        <v>5</v>
      </c>
      <c r="I185" s="332">
        <v>3.1594827586206899</v>
      </c>
      <c r="J185" s="332">
        <v>2.9651160000000001</v>
      </c>
      <c r="K185" s="332">
        <v>4.0465119999999999</v>
      </c>
      <c r="L185" s="332">
        <v>1.2906979999999999</v>
      </c>
      <c r="M185" s="332">
        <v>0.86046500000000004</v>
      </c>
      <c r="N185" s="332">
        <v>3.732558</v>
      </c>
      <c r="O185" s="332">
        <v>5.4069770000000004</v>
      </c>
      <c r="P185" s="332">
        <v>2.3255999999999999E-2</v>
      </c>
      <c r="Q185" s="332">
        <v>0</v>
      </c>
      <c r="R185" s="332">
        <v>1.767442</v>
      </c>
      <c r="S185" s="332">
        <v>1.3023260000000001</v>
      </c>
      <c r="T185" s="332">
        <v>1.1976739999999999</v>
      </c>
      <c r="U185" s="332">
        <v>4.8953490000000004</v>
      </c>
      <c r="V185" s="332">
        <v>5.5</v>
      </c>
      <c r="W185" s="331"/>
      <c r="X185" s="331" t="s">
        <v>896</v>
      </c>
      <c r="Y185" s="333">
        <v>45246</v>
      </c>
      <c r="Z185" s="331" t="s">
        <v>559</v>
      </c>
      <c r="AA185" s="331" t="s">
        <v>897</v>
      </c>
    </row>
    <row r="186" spans="1:27" ht="15.5" x14ac:dyDescent="0.35">
      <c r="A186" s="330" t="s">
        <v>408</v>
      </c>
      <c r="B186" s="331" t="s">
        <v>1354</v>
      </c>
      <c r="C186" s="331" t="s">
        <v>409</v>
      </c>
      <c r="D186" s="331" t="s">
        <v>410</v>
      </c>
      <c r="E186" s="331" t="s">
        <v>1355</v>
      </c>
      <c r="F186" s="331" t="s">
        <v>285</v>
      </c>
      <c r="G186" s="331" t="s">
        <v>230</v>
      </c>
      <c r="H186" s="331" t="s">
        <v>176</v>
      </c>
      <c r="I186" s="332">
        <v>45.655172413793103</v>
      </c>
      <c r="J186" s="332">
        <v>3.8023259999999999</v>
      </c>
      <c r="K186" s="332">
        <v>11.546512</v>
      </c>
      <c r="L186" s="332">
        <v>5.5232559999999999</v>
      </c>
      <c r="M186" s="332">
        <v>0</v>
      </c>
      <c r="N186" s="332">
        <v>3.7093020000000001</v>
      </c>
      <c r="O186" s="332">
        <v>14.581395000000001</v>
      </c>
      <c r="P186" s="332">
        <v>1.116279</v>
      </c>
      <c r="Q186" s="332">
        <v>1.4651160000000001</v>
      </c>
      <c r="R186" s="332">
        <v>4.1627910000000004</v>
      </c>
      <c r="S186" s="332">
        <v>1.127907</v>
      </c>
      <c r="T186" s="332">
        <v>0.67441899999999999</v>
      </c>
      <c r="U186" s="332">
        <v>14.906976999999999</v>
      </c>
      <c r="V186" s="332">
        <v>14.581395000000001</v>
      </c>
      <c r="W186" s="331"/>
      <c r="X186" s="331" t="s">
        <v>395</v>
      </c>
      <c r="Y186" s="333">
        <v>45359</v>
      </c>
      <c r="Z186" s="331" t="s">
        <v>987</v>
      </c>
      <c r="AA186" s="331" t="s">
        <v>897</v>
      </c>
    </row>
    <row r="187" spans="1:27" ht="15.5" x14ac:dyDescent="0.35">
      <c r="A187" s="330" t="s">
        <v>1356</v>
      </c>
      <c r="B187" s="331" t="s">
        <v>1357</v>
      </c>
      <c r="C187" s="331" t="s">
        <v>1358</v>
      </c>
      <c r="D187" s="331" t="s">
        <v>396</v>
      </c>
      <c r="E187" s="331" t="s">
        <v>1359</v>
      </c>
      <c r="F187" s="331" t="s">
        <v>314</v>
      </c>
      <c r="G187" s="331" t="s">
        <v>230</v>
      </c>
      <c r="H187" s="331" t="s">
        <v>176</v>
      </c>
      <c r="I187" s="332">
        <v>1.96875</v>
      </c>
      <c r="J187" s="332">
        <v>0.29069800000000001</v>
      </c>
      <c r="K187" s="332">
        <v>0.94186000000000003</v>
      </c>
      <c r="L187" s="332">
        <v>0.10465099999999999</v>
      </c>
      <c r="M187" s="332">
        <v>0</v>
      </c>
      <c r="N187" s="332">
        <v>0.25581399999999999</v>
      </c>
      <c r="O187" s="332">
        <v>0.83720899999999998</v>
      </c>
      <c r="P187" s="332">
        <v>9.3022999999999995E-2</v>
      </c>
      <c r="Q187" s="332">
        <v>0.15116299999999999</v>
      </c>
      <c r="R187" s="332">
        <v>0.23255799999999999</v>
      </c>
      <c r="S187" s="332">
        <v>3.4883999999999998E-2</v>
      </c>
      <c r="T187" s="332">
        <v>0.15116299999999999</v>
      </c>
      <c r="U187" s="332">
        <v>0.918605</v>
      </c>
      <c r="V187" s="332">
        <v>0.918605</v>
      </c>
      <c r="W187" s="331"/>
      <c r="X187" s="331" t="s">
        <v>896</v>
      </c>
      <c r="Y187" s="333">
        <v>45134</v>
      </c>
      <c r="Z187" s="331" t="s">
        <v>559</v>
      </c>
      <c r="AA187" s="331" t="s">
        <v>897</v>
      </c>
    </row>
    <row r="188" spans="1:27" ht="15.5" x14ac:dyDescent="0.35">
      <c r="A188" s="330" t="s">
        <v>573</v>
      </c>
      <c r="B188" s="331" t="s">
        <v>588</v>
      </c>
      <c r="C188" s="331" t="s">
        <v>572</v>
      </c>
      <c r="D188" s="331" t="s">
        <v>407</v>
      </c>
      <c r="E188" s="331" t="s">
        <v>1360</v>
      </c>
      <c r="F188" s="331" t="s">
        <v>24</v>
      </c>
      <c r="G188" s="331" t="s">
        <v>300</v>
      </c>
      <c r="H188" s="331" t="s">
        <v>176</v>
      </c>
      <c r="I188" s="332">
        <v>3.101818181818182</v>
      </c>
      <c r="J188" s="332">
        <v>12.988372</v>
      </c>
      <c r="K188" s="332">
        <v>2.7790699999999999</v>
      </c>
      <c r="L188" s="332">
        <v>2.139535</v>
      </c>
      <c r="M188" s="332">
        <v>0.77907000000000004</v>
      </c>
      <c r="N188" s="332">
        <v>2.255814</v>
      </c>
      <c r="O188" s="332">
        <v>14.883721</v>
      </c>
      <c r="P188" s="332">
        <v>4.6511999999999998E-2</v>
      </c>
      <c r="Q188" s="332">
        <v>1.5</v>
      </c>
      <c r="R188" s="332">
        <v>2.3488370000000001</v>
      </c>
      <c r="S188" s="332">
        <v>0.81395300000000004</v>
      </c>
      <c r="T188" s="332">
        <v>0.69767400000000002</v>
      </c>
      <c r="U188" s="332">
        <v>14.825581</v>
      </c>
      <c r="V188" s="332">
        <v>10.418604999999999</v>
      </c>
      <c r="W188" s="332">
        <v>100</v>
      </c>
      <c r="X188" s="331"/>
      <c r="Y188" s="331"/>
      <c r="Z188" s="331"/>
      <c r="AA188" s="331"/>
    </row>
    <row r="189" spans="1:27" ht="15.5" x14ac:dyDescent="0.35">
      <c r="A189" s="330" t="s">
        <v>367</v>
      </c>
      <c r="B189" s="331" t="s">
        <v>368</v>
      </c>
      <c r="C189" s="331" t="s">
        <v>369</v>
      </c>
      <c r="D189" s="331" t="s">
        <v>195</v>
      </c>
      <c r="E189" s="331" t="s">
        <v>1361</v>
      </c>
      <c r="F189" s="331" t="s">
        <v>206</v>
      </c>
      <c r="G189" s="331" t="s">
        <v>194</v>
      </c>
      <c r="H189" s="331" t="s">
        <v>176</v>
      </c>
      <c r="I189" s="332">
        <v>59.515873015873019</v>
      </c>
      <c r="J189" s="332">
        <v>264.54651200000001</v>
      </c>
      <c r="K189" s="332">
        <v>44.383721000000001</v>
      </c>
      <c r="L189" s="332">
        <v>23.604651</v>
      </c>
      <c r="M189" s="332">
        <v>29.395349</v>
      </c>
      <c r="N189" s="332">
        <v>65.930233000000001</v>
      </c>
      <c r="O189" s="332">
        <v>233.77906999999999</v>
      </c>
      <c r="P189" s="332">
        <v>1.8372090000000001</v>
      </c>
      <c r="Q189" s="332">
        <v>60.383721000000001</v>
      </c>
      <c r="R189" s="332">
        <v>41.790697999999999</v>
      </c>
      <c r="S189" s="332">
        <v>12.837209</v>
      </c>
      <c r="T189" s="332">
        <v>16.709302000000001</v>
      </c>
      <c r="U189" s="332">
        <v>290.59302300000002</v>
      </c>
      <c r="V189" s="332">
        <v>171.476744</v>
      </c>
      <c r="W189" s="332">
        <v>100</v>
      </c>
      <c r="X189" s="331" t="s">
        <v>896</v>
      </c>
      <c r="Y189" s="333">
        <v>45407</v>
      </c>
      <c r="Z189" s="331" t="s">
        <v>559</v>
      </c>
      <c r="AA189" s="331" t="s">
        <v>897</v>
      </c>
    </row>
    <row r="190" spans="1:27" ht="15.5" x14ac:dyDescent="0.35">
      <c r="A190" s="330" t="s">
        <v>1362</v>
      </c>
      <c r="B190" s="331" t="s">
        <v>1363</v>
      </c>
      <c r="C190" s="331" t="s">
        <v>1364</v>
      </c>
      <c r="D190" s="331" t="s">
        <v>356</v>
      </c>
      <c r="E190" s="331" t="s">
        <v>1365</v>
      </c>
      <c r="F190" s="331" t="s">
        <v>296</v>
      </c>
      <c r="G190" s="331" t="s">
        <v>230</v>
      </c>
      <c r="H190" s="331" t="s">
        <v>176</v>
      </c>
      <c r="I190" s="332">
        <v>21.6952380952381</v>
      </c>
      <c r="J190" s="332">
        <v>5.3255809999999997</v>
      </c>
      <c r="K190" s="332">
        <v>4.1395350000000004</v>
      </c>
      <c r="L190" s="332">
        <v>5.7093020000000001</v>
      </c>
      <c r="M190" s="332">
        <v>5.4418600000000001</v>
      </c>
      <c r="N190" s="332">
        <v>11.360465</v>
      </c>
      <c r="O190" s="332">
        <v>6.988372</v>
      </c>
      <c r="P190" s="332">
        <v>0.59302299999999997</v>
      </c>
      <c r="Q190" s="332">
        <v>1.6744190000000001</v>
      </c>
      <c r="R190" s="332">
        <v>4.0465119999999999</v>
      </c>
      <c r="S190" s="332">
        <v>5.0232559999999999</v>
      </c>
      <c r="T190" s="332">
        <v>5.0465119999999999</v>
      </c>
      <c r="U190" s="332">
        <v>6.5</v>
      </c>
      <c r="V190" s="332">
        <v>13.127907</v>
      </c>
      <c r="W190" s="331"/>
      <c r="X190" s="331"/>
      <c r="Y190" s="331" t="s">
        <v>953</v>
      </c>
      <c r="Z190" s="331"/>
      <c r="AA190" s="331"/>
    </row>
    <row r="191" spans="1:27" ht="15.5" x14ac:dyDescent="0.35">
      <c r="A191" s="330" t="s">
        <v>1366</v>
      </c>
      <c r="B191" s="331" t="s">
        <v>1367</v>
      </c>
      <c r="C191" s="331" t="s">
        <v>1368</v>
      </c>
      <c r="D191" s="331" t="s">
        <v>322</v>
      </c>
      <c r="E191" s="331" t="s">
        <v>1369</v>
      </c>
      <c r="F191" s="331" t="s">
        <v>29</v>
      </c>
      <c r="G191" s="331" t="s">
        <v>230</v>
      </c>
      <c r="H191" s="331" t="s">
        <v>176</v>
      </c>
      <c r="I191" s="332">
        <v>17.208333333333329</v>
      </c>
      <c r="J191" s="332">
        <v>5.0813949999999997</v>
      </c>
      <c r="K191" s="332">
        <v>1.360465</v>
      </c>
      <c r="L191" s="332">
        <v>6.3720929999999996</v>
      </c>
      <c r="M191" s="332">
        <v>2.2209300000000001</v>
      </c>
      <c r="N191" s="332">
        <v>3.988372</v>
      </c>
      <c r="O191" s="332">
        <v>11.046512</v>
      </c>
      <c r="P191" s="332">
        <v>0</v>
      </c>
      <c r="Q191" s="332">
        <v>0</v>
      </c>
      <c r="R191" s="332">
        <v>0.77907000000000004</v>
      </c>
      <c r="S191" s="332">
        <v>2.395349</v>
      </c>
      <c r="T191" s="332">
        <v>1.0697669999999999</v>
      </c>
      <c r="U191" s="332">
        <v>10.790698000000001</v>
      </c>
      <c r="V191" s="332">
        <v>7.9302330000000003</v>
      </c>
      <c r="W191" s="331"/>
      <c r="X191" s="331" t="s">
        <v>952</v>
      </c>
      <c r="Y191" s="334">
        <v>45776</v>
      </c>
      <c r="Z191" s="331" t="s">
        <v>559</v>
      </c>
      <c r="AA191" s="331" t="s">
        <v>897</v>
      </c>
    </row>
    <row r="192" spans="1:27" ht="15.5" x14ac:dyDescent="0.35">
      <c r="A192" s="330" t="s">
        <v>1370</v>
      </c>
      <c r="B192" s="331" t="s">
        <v>1371</v>
      </c>
      <c r="C192" s="331" t="s">
        <v>1372</v>
      </c>
      <c r="D192" s="331" t="s">
        <v>362</v>
      </c>
      <c r="E192" s="331" t="s">
        <v>1373</v>
      </c>
      <c r="F192" s="331" t="s">
        <v>29</v>
      </c>
      <c r="G192" s="331" t="s">
        <v>230</v>
      </c>
      <c r="H192" s="331" t="s">
        <v>176</v>
      </c>
      <c r="I192" s="332">
        <v>1.953846153846154</v>
      </c>
      <c r="J192" s="332">
        <v>3.4883999999999998E-2</v>
      </c>
      <c r="K192" s="332">
        <v>0.24418599999999999</v>
      </c>
      <c r="L192" s="332">
        <v>0.40697699999999998</v>
      </c>
      <c r="M192" s="332">
        <v>0.80232599999999998</v>
      </c>
      <c r="N192" s="332">
        <v>1.3139529999999999</v>
      </c>
      <c r="O192" s="332">
        <v>0.16279099999999999</v>
      </c>
      <c r="P192" s="332">
        <v>0</v>
      </c>
      <c r="Q192" s="332">
        <v>1.1627999999999999E-2</v>
      </c>
      <c r="R192" s="332">
        <v>1.372093</v>
      </c>
      <c r="S192" s="332">
        <v>4.6511999999999998E-2</v>
      </c>
      <c r="T192" s="332">
        <v>0</v>
      </c>
      <c r="U192" s="332">
        <v>6.9766999999999996E-2</v>
      </c>
      <c r="V192" s="332">
        <v>1.2209300000000001</v>
      </c>
      <c r="W192" s="331"/>
      <c r="X192" s="331"/>
      <c r="Y192" s="331"/>
      <c r="Z192" s="331"/>
      <c r="AA192" s="331"/>
    </row>
    <row r="193" spans="1:27" ht="15.5" x14ac:dyDescent="0.35">
      <c r="A193" s="330" t="s">
        <v>11</v>
      </c>
      <c r="B193" s="331" t="s">
        <v>365</v>
      </c>
      <c r="C193" s="331" t="s">
        <v>366</v>
      </c>
      <c r="D193" s="331" t="s">
        <v>320</v>
      </c>
      <c r="E193" s="331" t="s">
        <v>1374</v>
      </c>
      <c r="F193" s="331" t="s">
        <v>321</v>
      </c>
      <c r="G193" s="331" t="s">
        <v>194</v>
      </c>
      <c r="H193" s="331" t="s">
        <v>176</v>
      </c>
      <c r="I193" s="332">
        <v>29.523529411764709</v>
      </c>
      <c r="J193" s="332">
        <v>35.081395000000001</v>
      </c>
      <c r="K193" s="332">
        <v>13.197673999999999</v>
      </c>
      <c r="L193" s="332">
        <v>7.6162789999999996</v>
      </c>
      <c r="M193" s="332">
        <v>4.244186</v>
      </c>
      <c r="N193" s="332">
        <v>12.837209</v>
      </c>
      <c r="O193" s="332">
        <v>42.918604000000002</v>
      </c>
      <c r="P193" s="332">
        <v>0.65116300000000005</v>
      </c>
      <c r="Q193" s="332">
        <v>3.732558</v>
      </c>
      <c r="R193" s="332">
        <v>1.3023260000000001</v>
      </c>
      <c r="S193" s="332">
        <v>2.3255810000000001</v>
      </c>
      <c r="T193" s="332">
        <v>10.837209</v>
      </c>
      <c r="U193" s="332">
        <v>45.674418000000003</v>
      </c>
      <c r="V193" s="332">
        <v>32.790697999999999</v>
      </c>
      <c r="W193" s="331"/>
      <c r="X193" s="331" t="s">
        <v>896</v>
      </c>
      <c r="Y193" s="333">
        <v>45596</v>
      </c>
      <c r="Z193" s="331" t="s">
        <v>559</v>
      </c>
      <c r="AA193" s="331" t="s">
        <v>897</v>
      </c>
    </row>
    <row r="194" spans="1:27" ht="15.5" x14ac:dyDescent="0.35">
      <c r="A194" s="330" t="s">
        <v>16</v>
      </c>
      <c r="B194" s="331" t="s">
        <v>293</v>
      </c>
      <c r="C194" s="331" t="s">
        <v>294</v>
      </c>
      <c r="D194" s="331" t="s">
        <v>295</v>
      </c>
      <c r="E194" s="331" t="s">
        <v>1375</v>
      </c>
      <c r="F194" s="331" t="s">
        <v>296</v>
      </c>
      <c r="G194" s="331" t="s">
        <v>230</v>
      </c>
      <c r="H194" s="331" t="s">
        <v>5</v>
      </c>
      <c r="I194" s="332">
        <v>24.18018018018018</v>
      </c>
      <c r="J194" s="332">
        <v>28.662790999999999</v>
      </c>
      <c r="K194" s="332">
        <v>27.034884000000002</v>
      </c>
      <c r="L194" s="332">
        <v>32.779069999999997</v>
      </c>
      <c r="M194" s="332">
        <v>10.476744</v>
      </c>
      <c r="N194" s="332">
        <v>30.058140000000002</v>
      </c>
      <c r="O194" s="332">
        <v>62.069766999999999</v>
      </c>
      <c r="P194" s="332">
        <v>4.1976740000000001</v>
      </c>
      <c r="Q194" s="332">
        <v>2.627907</v>
      </c>
      <c r="R194" s="332">
        <v>19.802326000000001</v>
      </c>
      <c r="S194" s="332">
        <v>6.8023259999999999</v>
      </c>
      <c r="T194" s="332">
        <v>12.918604999999999</v>
      </c>
      <c r="U194" s="332">
        <v>59.430233000000001</v>
      </c>
      <c r="V194" s="332">
        <v>59.569766999999999</v>
      </c>
      <c r="W194" s="331"/>
      <c r="X194" s="331" t="s">
        <v>896</v>
      </c>
      <c r="Y194" s="333">
        <v>45414</v>
      </c>
      <c r="Z194" s="331" t="s">
        <v>559</v>
      </c>
      <c r="AA194" s="331" t="s">
        <v>897</v>
      </c>
    </row>
    <row r="195" spans="1:27" ht="15.5" x14ac:dyDescent="0.35">
      <c r="A195" s="330" t="s">
        <v>1376</v>
      </c>
      <c r="B195" s="331" t="s">
        <v>1377</v>
      </c>
      <c r="C195" s="331" t="s">
        <v>1378</v>
      </c>
      <c r="D195" s="331" t="s">
        <v>362</v>
      </c>
      <c r="E195" s="331" t="s">
        <v>1379</v>
      </c>
      <c r="F195" s="331" t="s">
        <v>296</v>
      </c>
      <c r="G195" s="331" t="s">
        <v>230</v>
      </c>
      <c r="H195" s="331" t="s">
        <v>176</v>
      </c>
      <c r="I195" s="332">
        <v>29.285714285714281</v>
      </c>
      <c r="J195" s="332">
        <v>4.9069770000000004</v>
      </c>
      <c r="K195" s="332">
        <v>1.2906979999999999</v>
      </c>
      <c r="L195" s="332">
        <v>1.767442</v>
      </c>
      <c r="M195" s="332">
        <v>3.011628</v>
      </c>
      <c r="N195" s="332">
        <v>4.732558</v>
      </c>
      <c r="O195" s="332">
        <v>6.244186</v>
      </c>
      <c r="P195" s="332">
        <v>0</v>
      </c>
      <c r="Q195" s="332">
        <v>0</v>
      </c>
      <c r="R195" s="332">
        <v>2.104651</v>
      </c>
      <c r="S195" s="332">
        <v>1.5465120000000001</v>
      </c>
      <c r="T195" s="332">
        <v>2.0465119999999999</v>
      </c>
      <c r="U195" s="332">
        <v>5.2790699999999999</v>
      </c>
      <c r="V195" s="332">
        <v>7.0930229999999996</v>
      </c>
      <c r="W195" s="331"/>
      <c r="X195" s="331"/>
      <c r="Y195" s="331"/>
      <c r="Z195" s="331"/>
      <c r="AA195" s="331"/>
    </row>
    <row r="196" spans="1:27" ht="15.5" x14ac:dyDescent="0.35">
      <c r="A196" s="330" t="s">
        <v>420</v>
      </c>
      <c r="B196" s="331" t="s">
        <v>1380</v>
      </c>
      <c r="C196" s="331" t="s">
        <v>421</v>
      </c>
      <c r="D196" s="331" t="s">
        <v>422</v>
      </c>
      <c r="E196" s="331" t="s">
        <v>1381</v>
      </c>
      <c r="F196" s="331" t="s">
        <v>263</v>
      </c>
      <c r="G196" s="331" t="s">
        <v>194</v>
      </c>
      <c r="H196" s="331" t="s">
        <v>5</v>
      </c>
      <c r="I196" s="332">
        <v>10.25847457627119</v>
      </c>
      <c r="J196" s="332">
        <v>4.3720929999999996</v>
      </c>
      <c r="K196" s="332">
        <v>10.872093</v>
      </c>
      <c r="L196" s="332">
        <v>4.2906979999999999</v>
      </c>
      <c r="M196" s="332">
        <v>2.2209300000000001</v>
      </c>
      <c r="N196" s="332">
        <v>5.3255809999999997</v>
      </c>
      <c r="O196" s="332">
        <v>15.255814000000001</v>
      </c>
      <c r="P196" s="332">
        <v>4.6511999999999998E-2</v>
      </c>
      <c r="Q196" s="332">
        <v>1.127907</v>
      </c>
      <c r="R196" s="332">
        <v>3.2906979999999999</v>
      </c>
      <c r="S196" s="332">
        <v>1.3372090000000001</v>
      </c>
      <c r="T196" s="332">
        <v>1.6627909999999999</v>
      </c>
      <c r="U196" s="332">
        <v>15.465116</v>
      </c>
      <c r="V196" s="332">
        <v>10.616279</v>
      </c>
      <c r="W196" s="331"/>
      <c r="X196" s="331" t="s">
        <v>896</v>
      </c>
      <c r="Y196" s="333">
        <v>45561</v>
      </c>
      <c r="Z196" s="331" t="s">
        <v>559</v>
      </c>
      <c r="AA196" s="331" t="s">
        <v>897</v>
      </c>
    </row>
    <row r="197" spans="1:27" ht="15.5" x14ac:dyDescent="0.35">
      <c r="A197" s="330" t="s">
        <v>1382</v>
      </c>
      <c r="B197" s="331" t="s">
        <v>239</v>
      </c>
      <c r="C197" s="331" t="s">
        <v>240</v>
      </c>
      <c r="D197" s="331" t="s">
        <v>192</v>
      </c>
      <c r="E197" s="331" t="s">
        <v>1383</v>
      </c>
      <c r="F197" s="331" t="s">
        <v>193</v>
      </c>
      <c r="G197" s="331" t="s">
        <v>175</v>
      </c>
      <c r="H197" s="331" t="s">
        <v>176</v>
      </c>
      <c r="I197" s="332">
        <v>44.633723653395784</v>
      </c>
      <c r="J197" s="332">
        <v>597.69767400000001</v>
      </c>
      <c r="K197" s="332">
        <v>131.90697700000001</v>
      </c>
      <c r="L197" s="332">
        <v>199.25581399999999</v>
      </c>
      <c r="M197" s="332">
        <v>53.825581</v>
      </c>
      <c r="N197" s="332">
        <v>0.13953399999999999</v>
      </c>
      <c r="O197" s="332">
        <v>1.9534879999999999</v>
      </c>
      <c r="P197" s="332">
        <v>158</v>
      </c>
      <c r="Q197" s="332">
        <v>822.59302300000002</v>
      </c>
      <c r="R197" s="332">
        <v>91.348837000000003</v>
      </c>
      <c r="S197" s="332">
        <v>41.186047000000002</v>
      </c>
      <c r="T197" s="332">
        <v>47.186047000000002</v>
      </c>
      <c r="U197" s="332">
        <v>802.96511599999997</v>
      </c>
      <c r="V197" s="332">
        <v>588.29069800000002</v>
      </c>
      <c r="W197" s="332">
        <v>700</v>
      </c>
      <c r="X197" s="331" t="s">
        <v>896</v>
      </c>
      <c r="Y197" s="333">
        <v>45722</v>
      </c>
      <c r="Z197" s="331" t="s">
        <v>574</v>
      </c>
      <c r="AA197" s="331" t="s">
        <v>897</v>
      </c>
    </row>
    <row r="198" spans="1:27" ht="15.5" x14ac:dyDescent="0.35">
      <c r="A198" s="330" t="s">
        <v>15</v>
      </c>
      <c r="B198" s="331" t="s">
        <v>182</v>
      </c>
      <c r="C198" s="331" t="s">
        <v>183</v>
      </c>
      <c r="D198" s="331" t="s">
        <v>184</v>
      </c>
      <c r="E198" s="331" t="s">
        <v>1384</v>
      </c>
      <c r="F198" s="331" t="s">
        <v>185</v>
      </c>
      <c r="G198" s="331" t="s">
        <v>186</v>
      </c>
      <c r="H198" s="331" t="s">
        <v>176</v>
      </c>
      <c r="I198" s="332">
        <v>45.191819026960033</v>
      </c>
      <c r="J198" s="332">
        <v>965.80232599999999</v>
      </c>
      <c r="K198" s="332">
        <v>332.74418600000001</v>
      </c>
      <c r="L198" s="332">
        <v>291.40697699999998</v>
      </c>
      <c r="M198" s="332">
        <v>155.74418600000001</v>
      </c>
      <c r="N198" s="332">
        <v>495.96511600000002</v>
      </c>
      <c r="O198" s="332">
        <v>1120.593024</v>
      </c>
      <c r="P198" s="332">
        <v>45.953488</v>
      </c>
      <c r="Q198" s="332">
        <v>83.186047000000002</v>
      </c>
      <c r="R198" s="332">
        <v>168.79069799999999</v>
      </c>
      <c r="S198" s="332">
        <v>106</v>
      </c>
      <c r="T198" s="332">
        <v>340.60465099999999</v>
      </c>
      <c r="U198" s="332">
        <v>1130.3023250000001</v>
      </c>
      <c r="V198" s="332">
        <v>977.68604700000003</v>
      </c>
      <c r="W198" s="332">
        <v>1350</v>
      </c>
      <c r="X198" s="331" t="s">
        <v>896</v>
      </c>
      <c r="Y198" s="333">
        <v>45694</v>
      </c>
      <c r="Z198" s="331" t="s">
        <v>574</v>
      </c>
      <c r="AA198" s="331" t="s">
        <v>897</v>
      </c>
    </row>
    <row r="199" spans="1:27" ht="15.5" x14ac:dyDescent="0.35">
      <c r="A199" s="330" t="s">
        <v>836</v>
      </c>
      <c r="B199" s="331" t="s">
        <v>363</v>
      </c>
      <c r="C199" s="331" t="s">
        <v>364</v>
      </c>
      <c r="D199" s="331" t="s">
        <v>326</v>
      </c>
      <c r="E199" s="331" t="s">
        <v>1385</v>
      </c>
      <c r="F199" s="331" t="s">
        <v>321</v>
      </c>
      <c r="G199" s="331" t="s">
        <v>194</v>
      </c>
      <c r="H199" s="331" t="s">
        <v>5</v>
      </c>
      <c r="I199" s="332">
        <v>39.689655172413786</v>
      </c>
      <c r="J199" s="332">
        <v>31.406977000000001</v>
      </c>
      <c r="K199" s="332">
        <v>7.1511630000000004</v>
      </c>
      <c r="L199" s="332">
        <v>2.3023259999999999</v>
      </c>
      <c r="M199" s="332">
        <v>3.627907</v>
      </c>
      <c r="N199" s="332">
        <v>9.5813950000000006</v>
      </c>
      <c r="O199" s="332">
        <v>34.906976999999998</v>
      </c>
      <c r="P199" s="332">
        <v>0</v>
      </c>
      <c r="Q199" s="332">
        <v>0</v>
      </c>
      <c r="R199" s="332">
        <v>4.7906979999999999</v>
      </c>
      <c r="S199" s="332">
        <v>3.2906979999999999</v>
      </c>
      <c r="T199" s="332">
        <v>3.8139530000000001</v>
      </c>
      <c r="U199" s="332">
        <v>32.593024</v>
      </c>
      <c r="V199" s="332">
        <v>27.872093</v>
      </c>
      <c r="W199" s="331"/>
      <c r="X199" s="331" t="s">
        <v>896</v>
      </c>
      <c r="Y199" s="333">
        <v>45386</v>
      </c>
      <c r="Z199" s="331" t="s">
        <v>559</v>
      </c>
      <c r="AA199" s="331" t="s">
        <v>897</v>
      </c>
    </row>
    <row r="200" spans="1:27" ht="15.5" x14ac:dyDescent="0.35">
      <c r="A200" s="330" t="s">
        <v>1386</v>
      </c>
      <c r="B200" s="331" t="s">
        <v>1387</v>
      </c>
      <c r="C200" s="331" t="s">
        <v>1388</v>
      </c>
      <c r="D200" s="331" t="s">
        <v>373</v>
      </c>
      <c r="E200" s="331" t="s">
        <v>1389</v>
      </c>
      <c r="F200" s="331" t="s">
        <v>29</v>
      </c>
      <c r="G200" s="331" t="s">
        <v>230</v>
      </c>
      <c r="H200" s="331" t="s">
        <v>176</v>
      </c>
      <c r="I200" s="332">
        <v>16.952173913043481</v>
      </c>
      <c r="J200" s="332">
        <v>67.5</v>
      </c>
      <c r="K200" s="332">
        <v>13.290698000000001</v>
      </c>
      <c r="L200" s="332">
        <v>16.279070000000001</v>
      </c>
      <c r="M200" s="332">
        <v>6.4186050000000003</v>
      </c>
      <c r="N200" s="332">
        <v>16.709302000000001</v>
      </c>
      <c r="O200" s="332">
        <v>77.674419</v>
      </c>
      <c r="P200" s="332">
        <v>0.74418600000000001</v>
      </c>
      <c r="Q200" s="332">
        <v>8.3604649999999996</v>
      </c>
      <c r="R200" s="332">
        <v>6.1976740000000001</v>
      </c>
      <c r="S200" s="332">
        <v>6.988372</v>
      </c>
      <c r="T200" s="332">
        <v>16.616278999999999</v>
      </c>
      <c r="U200" s="332">
        <v>73.686047000000002</v>
      </c>
      <c r="V200" s="332">
        <v>46.918604999999999</v>
      </c>
      <c r="W200" s="331"/>
      <c r="X200" s="331"/>
      <c r="Y200" s="331"/>
      <c r="Z200" s="331"/>
      <c r="AA200" s="331"/>
    </row>
    <row r="201" spans="1:27" ht="15.5" x14ac:dyDescent="0.35">
      <c r="A201" s="330" t="s">
        <v>177</v>
      </c>
      <c r="B201" s="331" t="s">
        <v>178</v>
      </c>
      <c r="C201" s="331" t="s">
        <v>179</v>
      </c>
      <c r="D201" s="331" t="s">
        <v>180</v>
      </c>
      <c r="E201" s="331" t="s">
        <v>1390</v>
      </c>
      <c r="F201" s="331" t="s">
        <v>181</v>
      </c>
      <c r="G201" s="331" t="s">
        <v>175</v>
      </c>
      <c r="H201" s="331" t="s">
        <v>176</v>
      </c>
      <c r="I201" s="332">
        <v>50.399051133368467</v>
      </c>
      <c r="J201" s="332">
        <v>856.22092999999995</v>
      </c>
      <c r="K201" s="332">
        <v>553.63953500000002</v>
      </c>
      <c r="L201" s="332">
        <v>314.91860500000001</v>
      </c>
      <c r="M201" s="332">
        <v>276.06976700000001</v>
      </c>
      <c r="N201" s="332">
        <v>614.40697699999998</v>
      </c>
      <c r="O201" s="332">
        <v>1083.7441859999999</v>
      </c>
      <c r="P201" s="332">
        <v>62.430233000000001</v>
      </c>
      <c r="Q201" s="332">
        <v>240.26744199999999</v>
      </c>
      <c r="R201" s="332">
        <v>341.09302300000002</v>
      </c>
      <c r="S201" s="332">
        <v>213.523256</v>
      </c>
      <c r="T201" s="332">
        <v>233.12790699999999</v>
      </c>
      <c r="U201" s="332">
        <v>1213.1046510000001</v>
      </c>
      <c r="V201" s="332">
        <v>1259.5</v>
      </c>
      <c r="W201" s="332">
        <v>1600</v>
      </c>
      <c r="X201" s="331" t="s">
        <v>896</v>
      </c>
      <c r="Y201" s="333">
        <v>45736</v>
      </c>
      <c r="Z201" s="331" t="s">
        <v>574</v>
      </c>
      <c r="AA201" s="331" t="s">
        <v>897</v>
      </c>
    </row>
    <row r="202" spans="1:27" ht="15.5" x14ac:dyDescent="0.35">
      <c r="A202" s="330" t="s">
        <v>349</v>
      </c>
      <c r="B202" s="331" t="s">
        <v>350</v>
      </c>
      <c r="C202" s="331" t="s">
        <v>351</v>
      </c>
      <c r="D202" s="331" t="s">
        <v>352</v>
      </c>
      <c r="E202" s="331" t="s">
        <v>1391</v>
      </c>
      <c r="F202" s="331" t="s">
        <v>292</v>
      </c>
      <c r="G202" s="331" t="s">
        <v>194</v>
      </c>
      <c r="H202" s="331" t="s">
        <v>176</v>
      </c>
      <c r="I202" s="332">
        <v>40.888888888888893</v>
      </c>
      <c r="J202" s="332">
        <v>37.418604999999999</v>
      </c>
      <c r="K202" s="332">
        <v>2.9534880000000001</v>
      </c>
      <c r="L202" s="332">
        <v>58.302326000000001</v>
      </c>
      <c r="M202" s="332">
        <v>45.5</v>
      </c>
      <c r="N202" s="332">
        <v>44.418604999999999</v>
      </c>
      <c r="O202" s="332">
        <v>79.290698000000006</v>
      </c>
      <c r="P202" s="332">
        <v>1.6627909999999999</v>
      </c>
      <c r="Q202" s="332">
        <v>18.802326000000001</v>
      </c>
      <c r="R202" s="332">
        <v>26.906977000000001</v>
      </c>
      <c r="S202" s="332">
        <v>11.953488</v>
      </c>
      <c r="T202" s="332">
        <v>10.523256</v>
      </c>
      <c r="U202" s="332">
        <v>94.790698000000006</v>
      </c>
      <c r="V202" s="332">
        <v>61.046512</v>
      </c>
      <c r="W202" s="331"/>
      <c r="X202" s="331" t="s">
        <v>896</v>
      </c>
      <c r="Y202" s="333">
        <v>45743</v>
      </c>
      <c r="Z202" s="331" t="s">
        <v>559</v>
      </c>
      <c r="AA202" s="331" t="s">
        <v>897</v>
      </c>
    </row>
    <row r="203" spans="1:27" ht="15.5" x14ac:dyDescent="0.35">
      <c r="A203" s="330" t="s">
        <v>1392</v>
      </c>
      <c r="B203" s="331" t="s">
        <v>1393</v>
      </c>
      <c r="C203" s="331" t="s">
        <v>1394</v>
      </c>
      <c r="D203" s="331" t="s">
        <v>1269</v>
      </c>
      <c r="E203" s="331" t="s">
        <v>1395</v>
      </c>
      <c r="F203" s="331" t="s">
        <v>257</v>
      </c>
      <c r="G203" s="331" t="s">
        <v>230</v>
      </c>
      <c r="H203" s="331" t="s">
        <v>176</v>
      </c>
      <c r="I203" s="332">
        <v>11.55384615384615</v>
      </c>
      <c r="J203" s="332">
        <v>2.883721</v>
      </c>
      <c r="K203" s="332">
        <v>3.2093020000000001</v>
      </c>
      <c r="L203" s="332">
        <v>3.3023259999999999</v>
      </c>
      <c r="M203" s="332">
        <v>0.69767400000000002</v>
      </c>
      <c r="N203" s="332">
        <v>5.0232559999999999</v>
      </c>
      <c r="O203" s="332">
        <v>4.9418600000000001</v>
      </c>
      <c r="P203" s="332">
        <v>0</v>
      </c>
      <c r="Q203" s="332">
        <v>0.12790699999999999</v>
      </c>
      <c r="R203" s="332">
        <v>3.732558</v>
      </c>
      <c r="S203" s="332">
        <v>0.44185999999999998</v>
      </c>
      <c r="T203" s="332">
        <v>1.3023260000000001</v>
      </c>
      <c r="U203" s="332">
        <v>4.6162789999999996</v>
      </c>
      <c r="V203" s="332">
        <v>7.1976740000000001</v>
      </c>
      <c r="W203" s="331"/>
      <c r="X203" s="331" t="s">
        <v>1018</v>
      </c>
      <c r="Y203" s="333">
        <v>45785</v>
      </c>
      <c r="Z203" s="331" t="s">
        <v>559</v>
      </c>
      <c r="AA203" s="331" t="s">
        <v>897</v>
      </c>
    </row>
    <row r="204" spans="1:27" ht="15.5" x14ac:dyDescent="0.35">
      <c r="A204" s="330" t="s">
        <v>754</v>
      </c>
      <c r="B204" s="331" t="s">
        <v>264</v>
      </c>
      <c r="C204" s="331" t="s">
        <v>28</v>
      </c>
      <c r="D204" s="331" t="s">
        <v>184</v>
      </c>
      <c r="E204" s="331" t="s">
        <v>1396</v>
      </c>
      <c r="F204" s="331" t="s">
        <v>185</v>
      </c>
      <c r="G204" s="331" t="s">
        <v>186</v>
      </c>
      <c r="H204" s="331" t="s">
        <v>5</v>
      </c>
      <c r="I204" s="332">
        <v>40.989949748743719</v>
      </c>
      <c r="J204" s="332">
        <v>255.56976700000001</v>
      </c>
      <c r="K204" s="332">
        <v>46.755814000000001</v>
      </c>
      <c r="L204" s="332">
        <v>95.965115999999995</v>
      </c>
      <c r="M204" s="332">
        <v>53.616278999999999</v>
      </c>
      <c r="N204" s="332">
        <v>126.476744</v>
      </c>
      <c r="O204" s="332">
        <v>325.43023299999999</v>
      </c>
      <c r="P204" s="332">
        <v>0</v>
      </c>
      <c r="Q204" s="332">
        <v>0</v>
      </c>
      <c r="R204" s="332">
        <v>56.511628000000002</v>
      </c>
      <c r="S204" s="332">
        <v>47.488371999999998</v>
      </c>
      <c r="T204" s="332">
        <v>59.011628000000002</v>
      </c>
      <c r="U204" s="332">
        <v>288.89534900000001</v>
      </c>
      <c r="V204" s="332">
        <v>244.08139499999999</v>
      </c>
      <c r="W204" s="332">
        <v>461</v>
      </c>
      <c r="X204" s="331" t="s">
        <v>896</v>
      </c>
      <c r="Y204" s="333">
        <v>45645</v>
      </c>
      <c r="Z204" s="331" t="s">
        <v>574</v>
      </c>
      <c r="AA204" s="331" t="s">
        <v>897</v>
      </c>
    </row>
    <row r="205" spans="1:27" ht="15.5" x14ac:dyDescent="0.35">
      <c r="A205" s="330" t="s">
        <v>1397</v>
      </c>
      <c r="B205" s="331" t="s">
        <v>1398</v>
      </c>
      <c r="C205" s="331" t="s">
        <v>1399</v>
      </c>
      <c r="D205" s="331" t="s">
        <v>396</v>
      </c>
      <c r="E205" s="331" t="s">
        <v>1400</v>
      </c>
      <c r="F205" s="331" t="s">
        <v>314</v>
      </c>
      <c r="G205" s="331" t="s">
        <v>230</v>
      </c>
      <c r="H205" s="331" t="s">
        <v>176</v>
      </c>
      <c r="I205" s="332">
        <v>3.0070671378091869</v>
      </c>
      <c r="J205" s="332">
        <v>2.7093020000000001</v>
      </c>
      <c r="K205" s="332">
        <v>5.1279070000000004</v>
      </c>
      <c r="L205" s="332">
        <v>1.2790699999999999</v>
      </c>
      <c r="M205" s="332">
        <v>0.75581399999999999</v>
      </c>
      <c r="N205" s="332">
        <v>2.755814</v>
      </c>
      <c r="O205" s="332">
        <v>6.1395350000000004</v>
      </c>
      <c r="P205" s="332">
        <v>3.4883999999999998E-2</v>
      </c>
      <c r="Q205" s="332">
        <v>0.94186000000000003</v>
      </c>
      <c r="R205" s="332">
        <v>1.5813950000000001</v>
      </c>
      <c r="S205" s="332">
        <v>1.744186</v>
      </c>
      <c r="T205" s="332">
        <v>2.4651160000000001</v>
      </c>
      <c r="U205" s="332">
        <v>4.0813959999999998</v>
      </c>
      <c r="V205" s="332">
        <v>4.732558</v>
      </c>
      <c r="W205" s="331"/>
      <c r="X205" s="331" t="s">
        <v>395</v>
      </c>
      <c r="Y205" s="334">
        <v>45631</v>
      </c>
      <c r="Z205" s="331" t="s">
        <v>987</v>
      </c>
      <c r="AA205" s="331" t="s">
        <v>897</v>
      </c>
    </row>
    <row r="206" spans="1:27" ht="15.5" x14ac:dyDescent="0.35">
      <c r="A206" s="330" t="s">
        <v>1401</v>
      </c>
      <c r="B206" s="331" t="s">
        <v>298</v>
      </c>
      <c r="C206" s="331" t="s">
        <v>299</v>
      </c>
      <c r="D206" s="331" t="s">
        <v>218</v>
      </c>
      <c r="E206" s="331" t="s">
        <v>1402</v>
      </c>
      <c r="F206" s="331" t="s">
        <v>219</v>
      </c>
      <c r="G206" s="331" t="s">
        <v>194</v>
      </c>
      <c r="H206" s="331" t="s">
        <v>5</v>
      </c>
      <c r="I206" s="332">
        <v>106.04096385542169</v>
      </c>
      <c r="J206" s="332">
        <v>306.20930199999998</v>
      </c>
      <c r="K206" s="332">
        <v>80.872093000000007</v>
      </c>
      <c r="L206" s="332">
        <v>0.11627899999999999</v>
      </c>
      <c r="M206" s="332">
        <v>3.4883999999999998E-2</v>
      </c>
      <c r="N206" s="332">
        <v>52.5</v>
      </c>
      <c r="O206" s="332">
        <v>334.73255799999998</v>
      </c>
      <c r="P206" s="332">
        <v>0</v>
      </c>
      <c r="Q206" s="332">
        <v>0</v>
      </c>
      <c r="R206" s="332">
        <v>7.1744190000000003</v>
      </c>
      <c r="S206" s="332">
        <v>9.0813950000000006</v>
      </c>
      <c r="T206" s="332">
        <v>36.197673999999999</v>
      </c>
      <c r="U206" s="332">
        <v>334.77906999999999</v>
      </c>
      <c r="V206" s="332">
        <v>172.06976700000001</v>
      </c>
      <c r="W206" s="332">
        <v>505</v>
      </c>
      <c r="X206" s="331" t="s">
        <v>896</v>
      </c>
      <c r="Y206" s="333">
        <v>45589</v>
      </c>
      <c r="Z206" s="331" t="s">
        <v>574</v>
      </c>
      <c r="AA206" s="331" t="s">
        <v>897</v>
      </c>
    </row>
    <row r="207" spans="1:27" ht="15.5" x14ac:dyDescent="0.35">
      <c r="A207" s="330" t="s">
        <v>1403</v>
      </c>
      <c r="B207" s="331" t="s">
        <v>1404</v>
      </c>
      <c r="C207" s="331" t="s">
        <v>1405</v>
      </c>
      <c r="D207" s="331" t="s">
        <v>311</v>
      </c>
      <c r="E207" s="331" t="s">
        <v>1406</v>
      </c>
      <c r="F207" s="331" t="s">
        <v>245</v>
      </c>
      <c r="G207" s="331" t="s">
        <v>194</v>
      </c>
      <c r="H207" s="331" t="s">
        <v>176</v>
      </c>
      <c r="I207" s="332">
        <v>5.9907161803713516</v>
      </c>
      <c r="J207" s="332">
        <v>38.151162999999997</v>
      </c>
      <c r="K207" s="332">
        <v>6</v>
      </c>
      <c r="L207" s="332">
        <v>3.7093020000000001</v>
      </c>
      <c r="M207" s="332">
        <v>1.0813950000000001</v>
      </c>
      <c r="N207" s="332">
        <v>6.511628</v>
      </c>
      <c r="O207" s="332">
        <v>35.604650999999997</v>
      </c>
      <c r="P207" s="332">
        <v>0.56976700000000002</v>
      </c>
      <c r="Q207" s="332">
        <v>6.255814</v>
      </c>
      <c r="R207" s="332">
        <v>2.8488370000000001</v>
      </c>
      <c r="S207" s="332">
        <v>2.8372090000000001</v>
      </c>
      <c r="T207" s="332">
        <v>3.4302329999999999</v>
      </c>
      <c r="U207" s="332">
        <v>39.825581</v>
      </c>
      <c r="V207" s="332">
        <v>16.767441999999999</v>
      </c>
      <c r="W207" s="331"/>
      <c r="X207" s="331" t="s">
        <v>896</v>
      </c>
      <c r="Y207" s="333">
        <v>45554</v>
      </c>
      <c r="Z207" s="331" t="s">
        <v>559</v>
      </c>
      <c r="AA207" s="331" t="s">
        <v>897</v>
      </c>
    </row>
    <row r="208" spans="1:27" ht="15.5" x14ac:dyDescent="0.35">
      <c r="A208" s="330" t="s">
        <v>1407</v>
      </c>
      <c r="B208" s="331" t="s">
        <v>1408</v>
      </c>
      <c r="C208" s="331" t="s">
        <v>253</v>
      </c>
      <c r="D208" s="331" t="s">
        <v>254</v>
      </c>
      <c r="E208" s="331" t="s">
        <v>1409</v>
      </c>
      <c r="F208" s="331" t="s">
        <v>24</v>
      </c>
      <c r="G208" s="331" t="s">
        <v>194</v>
      </c>
      <c r="H208" s="331" t="s">
        <v>176</v>
      </c>
      <c r="I208" s="332">
        <v>0.93453145057766362</v>
      </c>
      <c r="J208" s="332">
        <v>2.755814</v>
      </c>
      <c r="K208" s="332">
        <v>1.1627909999999999</v>
      </c>
      <c r="L208" s="332">
        <v>3.0930230000000001</v>
      </c>
      <c r="M208" s="332">
        <v>2.1860469999999999</v>
      </c>
      <c r="N208" s="332">
        <v>1.8255809999999999</v>
      </c>
      <c r="O208" s="332">
        <v>5.9418600000000001</v>
      </c>
      <c r="P208" s="332">
        <v>0.10465099999999999</v>
      </c>
      <c r="Q208" s="332">
        <v>1.3255809999999999</v>
      </c>
      <c r="R208" s="332">
        <v>1.8488370000000001</v>
      </c>
      <c r="S208" s="332">
        <v>0.39534900000000001</v>
      </c>
      <c r="T208" s="332">
        <v>0.25581399999999999</v>
      </c>
      <c r="U208" s="332">
        <v>6.6976740000000001</v>
      </c>
      <c r="V208" s="332">
        <v>3.2790699999999999</v>
      </c>
      <c r="W208" s="331"/>
      <c r="X208" s="331"/>
      <c r="Y208" s="331"/>
      <c r="Z208" s="331"/>
      <c r="AA208" s="331"/>
    </row>
    <row r="209" spans="1:27" ht="15.5" x14ac:dyDescent="0.35">
      <c r="A209" s="330" t="s">
        <v>1410</v>
      </c>
      <c r="B209" s="331" t="s">
        <v>1411</v>
      </c>
      <c r="C209" s="331" t="s">
        <v>1412</v>
      </c>
      <c r="D209" s="331" t="s">
        <v>560</v>
      </c>
      <c r="E209" s="331" t="s">
        <v>1413</v>
      </c>
      <c r="F209" s="331" t="s">
        <v>292</v>
      </c>
      <c r="G209" s="331" t="s">
        <v>230</v>
      </c>
      <c r="H209" s="331" t="s">
        <v>5</v>
      </c>
      <c r="I209" s="332">
        <v>97.8</v>
      </c>
      <c r="J209" s="332">
        <v>0</v>
      </c>
      <c r="K209" s="332">
        <v>0</v>
      </c>
      <c r="L209" s="332">
        <v>4.0813949999999997</v>
      </c>
      <c r="M209" s="332">
        <v>5.0232559999999999</v>
      </c>
      <c r="N209" s="332">
        <v>3.0232559999999999</v>
      </c>
      <c r="O209" s="332">
        <v>6.0813949999999997</v>
      </c>
      <c r="P209" s="332">
        <v>0</v>
      </c>
      <c r="Q209" s="332">
        <v>0</v>
      </c>
      <c r="R209" s="332">
        <v>2</v>
      </c>
      <c r="S209" s="332">
        <v>2.3255999999999999E-2</v>
      </c>
      <c r="T209" s="332">
        <v>1</v>
      </c>
      <c r="U209" s="332">
        <v>6.0813949999999997</v>
      </c>
      <c r="V209" s="332">
        <v>6.9186050000000003</v>
      </c>
      <c r="W209" s="331"/>
      <c r="X209" s="331" t="s">
        <v>952</v>
      </c>
      <c r="Y209" s="334">
        <v>45631</v>
      </c>
      <c r="Z209" s="331" t="s">
        <v>559</v>
      </c>
      <c r="AA209" s="331" t="s">
        <v>897</v>
      </c>
    </row>
    <row r="210" spans="1:27" ht="15.5" x14ac:dyDescent="0.35">
      <c r="A210" s="330" t="s">
        <v>1414</v>
      </c>
      <c r="B210" s="331" t="s">
        <v>1415</v>
      </c>
      <c r="C210" s="331" t="s">
        <v>1416</v>
      </c>
      <c r="D210" s="331" t="s">
        <v>1269</v>
      </c>
      <c r="E210" s="331" t="s">
        <v>1417</v>
      </c>
      <c r="F210" s="331" t="s">
        <v>314</v>
      </c>
      <c r="G210" s="331" t="s">
        <v>194</v>
      </c>
      <c r="H210" s="331" t="s">
        <v>176</v>
      </c>
      <c r="I210" s="332">
        <v>2.9804964539007091</v>
      </c>
      <c r="J210" s="332">
        <v>8.1627910000000004</v>
      </c>
      <c r="K210" s="332">
        <v>9.3604649999999996</v>
      </c>
      <c r="L210" s="332">
        <v>2.116279</v>
      </c>
      <c r="M210" s="332">
        <v>1.383721</v>
      </c>
      <c r="N210" s="332">
        <v>5.244186</v>
      </c>
      <c r="O210" s="332">
        <v>14.755814000000001</v>
      </c>
      <c r="P210" s="332">
        <v>0.13953499999999999</v>
      </c>
      <c r="Q210" s="332">
        <v>0.88372099999999998</v>
      </c>
      <c r="R210" s="332">
        <v>4.488372</v>
      </c>
      <c r="S210" s="332">
        <v>2.1627909999999999</v>
      </c>
      <c r="T210" s="332">
        <v>3.732558</v>
      </c>
      <c r="U210" s="332">
        <v>10.639535</v>
      </c>
      <c r="V210" s="332">
        <v>10.802326000000001</v>
      </c>
      <c r="W210" s="331"/>
      <c r="X210" s="331" t="s">
        <v>952</v>
      </c>
      <c r="Y210" s="334">
        <v>45831</v>
      </c>
      <c r="Z210" s="331" t="s">
        <v>1236</v>
      </c>
      <c r="AA210" s="331" t="s">
        <v>897</v>
      </c>
    </row>
    <row r="211" spans="1:27" ht="15.5" x14ac:dyDescent="0.35">
      <c r="A211" s="330" t="s">
        <v>1418</v>
      </c>
      <c r="B211" s="331" t="s">
        <v>1419</v>
      </c>
      <c r="C211" s="331" t="s">
        <v>1420</v>
      </c>
      <c r="D211" s="331" t="s">
        <v>184</v>
      </c>
      <c r="E211" s="331" t="s">
        <v>1421</v>
      </c>
      <c r="F211" s="331" t="s">
        <v>223</v>
      </c>
      <c r="G211" s="331" t="s">
        <v>230</v>
      </c>
      <c r="H211" s="331" t="s">
        <v>176</v>
      </c>
      <c r="I211" s="331"/>
      <c r="J211" s="332">
        <v>0</v>
      </c>
      <c r="K211" s="332">
        <v>14</v>
      </c>
      <c r="L211" s="332">
        <v>0</v>
      </c>
      <c r="M211" s="332">
        <v>0</v>
      </c>
      <c r="N211" s="332">
        <v>0</v>
      </c>
      <c r="O211" s="332">
        <v>14</v>
      </c>
      <c r="P211" s="332">
        <v>0</v>
      </c>
      <c r="Q211" s="332">
        <v>0</v>
      </c>
      <c r="R211" s="332">
        <v>0</v>
      </c>
      <c r="S211" s="332">
        <v>0</v>
      </c>
      <c r="T211" s="332">
        <v>0</v>
      </c>
      <c r="U211" s="332">
        <v>14</v>
      </c>
      <c r="V211" s="332">
        <v>0</v>
      </c>
      <c r="W211" s="331"/>
      <c r="X211" s="331"/>
      <c r="Y211" s="331" t="s">
        <v>953</v>
      </c>
      <c r="Z211" s="331"/>
      <c r="AA211" s="331"/>
    </row>
    <row r="212" spans="1:27" ht="15.5" x14ac:dyDescent="0.35">
      <c r="A212" s="330" t="s">
        <v>1422</v>
      </c>
      <c r="B212" s="331" t="s">
        <v>1423</v>
      </c>
      <c r="C212" s="331" t="s">
        <v>1424</v>
      </c>
      <c r="D212" s="331" t="s">
        <v>254</v>
      </c>
      <c r="E212" s="331" t="s">
        <v>1425</v>
      </c>
      <c r="F212" s="331" t="s">
        <v>24</v>
      </c>
      <c r="G212" s="331" t="s">
        <v>230</v>
      </c>
      <c r="H212" s="331" t="s">
        <v>176</v>
      </c>
      <c r="I212" s="332">
        <v>2.53125</v>
      </c>
      <c r="J212" s="332">
        <v>15.593023000000001</v>
      </c>
      <c r="K212" s="332">
        <v>5.8372089999999996</v>
      </c>
      <c r="L212" s="332">
        <v>2.116279</v>
      </c>
      <c r="M212" s="332">
        <v>2.395349</v>
      </c>
      <c r="N212" s="332">
        <v>4.8139529999999997</v>
      </c>
      <c r="O212" s="332">
        <v>21.127907</v>
      </c>
      <c r="P212" s="332">
        <v>0</v>
      </c>
      <c r="Q212" s="332">
        <v>0</v>
      </c>
      <c r="R212" s="332">
        <v>2.5</v>
      </c>
      <c r="S212" s="332">
        <v>1.5930230000000001</v>
      </c>
      <c r="T212" s="332">
        <v>2.139535</v>
      </c>
      <c r="U212" s="332">
        <v>19.709302000000001</v>
      </c>
      <c r="V212" s="332">
        <v>10.081395000000001</v>
      </c>
      <c r="W212" s="331"/>
      <c r="X212" s="331" t="s">
        <v>952</v>
      </c>
      <c r="Y212" s="334">
        <v>45744</v>
      </c>
      <c r="Z212" s="331" t="s">
        <v>559</v>
      </c>
      <c r="AA212" s="331" t="s">
        <v>897</v>
      </c>
    </row>
    <row r="213" spans="1:27" ht="15.5" x14ac:dyDescent="0.35">
      <c r="A213" s="330" t="s">
        <v>1426</v>
      </c>
      <c r="B213" s="331" t="s">
        <v>1427</v>
      </c>
      <c r="C213" s="331" t="s">
        <v>1428</v>
      </c>
      <c r="D213" s="331" t="s">
        <v>414</v>
      </c>
      <c r="E213" s="331" t="s">
        <v>1429</v>
      </c>
      <c r="F213" s="331" t="s">
        <v>296</v>
      </c>
      <c r="G213" s="331" t="s">
        <v>230</v>
      </c>
      <c r="H213" s="331" t="s">
        <v>176</v>
      </c>
      <c r="I213" s="332">
        <v>3.285714285714286</v>
      </c>
      <c r="J213" s="332">
        <v>0.476744</v>
      </c>
      <c r="K213" s="332">
        <v>0.74418600000000001</v>
      </c>
      <c r="L213" s="332">
        <v>0.23255799999999999</v>
      </c>
      <c r="M213" s="332">
        <v>0</v>
      </c>
      <c r="N213" s="332">
        <v>0.23255799999999999</v>
      </c>
      <c r="O213" s="332">
        <v>0.94186000000000003</v>
      </c>
      <c r="P213" s="332">
        <v>0.19767399999999999</v>
      </c>
      <c r="Q213" s="332">
        <v>8.1394999999999995E-2</v>
      </c>
      <c r="R213" s="332">
        <v>0.10465099999999999</v>
      </c>
      <c r="S213" s="332">
        <v>0.20930199999999999</v>
      </c>
      <c r="T213" s="332">
        <v>0.11627899999999999</v>
      </c>
      <c r="U213" s="332">
        <v>1.0232559999999999</v>
      </c>
      <c r="V213" s="332">
        <v>1.0813950000000001</v>
      </c>
      <c r="W213" s="331"/>
      <c r="X213" s="334" t="s">
        <v>395</v>
      </c>
      <c r="Y213" s="334">
        <v>45645</v>
      </c>
      <c r="Z213" s="331" t="s">
        <v>987</v>
      </c>
      <c r="AA213" s="331" t="s">
        <v>897</v>
      </c>
    </row>
    <row r="214" spans="1:27" ht="15.5" x14ac:dyDescent="0.35">
      <c r="A214" s="330" t="s">
        <v>434</v>
      </c>
      <c r="B214" s="331" t="s">
        <v>435</v>
      </c>
      <c r="C214" s="331" t="s">
        <v>436</v>
      </c>
      <c r="D214" s="331" t="s">
        <v>437</v>
      </c>
      <c r="E214" s="331" t="s">
        <v>1430</v>
      </c>
      <c r="F214" s="331" t="s">
        <v>193</v>
      </c>
      <c r="G214" s="331" t="s">
        <v>230</v>
      </c>
      <c r="H214" s="331" t="s">
        <v>176</v>
      </c>
      <c r="I214" s="332">
        <v>1.836363636363636</v>
      </c>
      <c r="J214" s="332">
        <v>0.53488400000000003</v>
      </c>
      <c r="K214" s="332">
        <v>2.6860469999999999</v>
      </c>
      <c r="L214" s="332">
        <v>2.116279</v>
      </c>
      <c r="M214" s="332">
        <v>0.43023299999999998</v>
      </c>
      <c r="N214" s="332">
        <v>1.139535</v>
      </c>
      <c r="O214" s="332">
        <v>4.255814</v>
      </c>
      <c r="P214" s="332">
        <v>9.3022999999999995E-2</v>
      </c>
      <c r="Q214" s="332">
        <v>0.27906999999999998</v>
      </c>
      <c r="R214" s="332">
        <v>0.65116300000000005</v>
      </c>
      <c r="S214" s="332">
        <v>0.51162799999999997</v>
      </c>
      <c r="T214" s="332">
        <v>0.46511599999999997</v>
      </c>
      <c r="U214" s="332">
        <v>4.1395350000000004</v>
      </c>
      <c r="V214" s="332">
        <v>3.5</v>
      </c>
      <c r="W214" s="331"/>
      <c r="X214" s="331" t="s">
        <v>1018</v>
      </c>
      <c r="Y214" s="333">
        <v>45771</v>
      </c>
      <c r="Z214" s="331" t="s">
        <v>559</v>
      </c>
      <c r="AA214" s="331" t="s">
        <v>897</v>
      </c>
    </row>
    <row r="215" spans="1:27" ht="31" x14ac:dyDescent="0.35">
      <c r="A215" s="330" t="s">
        <v>1431</v>
      </c>
      <c r="B215" s="331" t="s">
        <v>1432</v>
      </c>
      <c r="C215" s="331" t="s">
        <v>1433</v>
      </c>
      <c r="D215" s="331" t="s">
        <v>396</v>
      </c>
      <c r="E215" s="331" t="s">
        <v>1434</v>
      </c>
      <c r="F215" s="331" t="s">
        <v>314</v>
      </c>
      <c r="G215" s="331" t="s">
        <v>230</v>
      </c>
      <c r="H215" s="331" t="s">
        <v>176</v>
      </c>
      <c r="I215" s="332">
        <v>5.2155688622754486</v>
      </c>
      <c r="J215" s="332">
        <v>6.9767440000000001</v>
      </c>
      <c r="K215" s="332">
        <v>4.3953490000000004</v>
      </c>
      <c r="L215" s="332">
        <v>0.11627899999999999</v>
      </c>
      <c r="M215" s="332">
        <v>3.4883999999999998E-2</v>
      </c>
      <c r="N215" s="332">
        <v>3.127907</v>
      </c>
      <c r="O215" s="332">
        <v>8.1627910000000004</v>
      </c>
      <c r="P215" s="332">
        <v>0</v>
      </c>
      <c r="Q215" s="332">
        <v>0.23255799999999999</v>
      </c>
      <c r="R215" s="332">
        <v>2.860465</v>
      </c>
      <c r="S215" s="332">
        <v>0.94186000000000003</v>
      </c>
      <c r="T215" s="332">
        <v>2.7790699999999999</v>
      </c>
      <c r="U215" s="332">
        <v>4.9418600000000001</v>
      </c>
      <c r="V215" s="332">
        <v>5.3720929999999996</v>
      </c>
      <c r="W215" s="331"/>
      <c r="X215" s="331" t="s">
        <v>395</v>
      </c>
      <c r="Y215" s="333">
        <v>44602</v>
      </c>
      <c r="Z215" s="331" t="s">
        <v>987</v>
      </c>
      <c r="AA215" s="331" t="s">
        <v>897</v>
      </c>
    </row>
    <row r="216" spans="1:27" ht="15.5" x14ac:dyDescent="0.35">
      <c r="A216" s="330" t="s">
        <v>397</v>
      </c>
      <c r="B216" s="331" t="s">
        <v>1435</v>
      </c>
      <c r="C216" s="331" t="s">
        <v>398</v>
      </c>
      <c r="D216" s="331" t="s">
        <v>313</v>
      </c>
      <c r="E216" s="331" t="s">
        <v>1436</v>
      </c>
      <c r="F216" s="331" t="s">
        <v>314</v>
      </c>
      <c r="G216" s="331" t="s">
        <v>230</v>
      </c>
      <c r="H216" s="331" t="s">
        <v>176</v>
      </c>
      <c r="I216" s="332">
        <v>19.438271604938269</v>
      </c>
      <c r="J216" s="332">
        <v>5.4186050000000003</v>
      </c>
      <c r="K216" s="332">
        <v>16.116278999999999</v>
      </c>
      <c r="L216" s="332">
        <v>16.593022999999999</v>
      </c>
      <c r="M216" s="332">
        <v>13.209301999999999</v>
      </c>
      <c r="N216" s="332">
        <v>19.965115999999998</v>
      </c>
      <c r="O216" s="332">
        <v>30.151163</v>
      </c>
      <c r="P216" s="332">
        <v>0</v>
      </c>
      <c r="Q216" s="332">
        <v>1.2209300000000001</v>
      </c>
      <c r="R216" s="332">
        <v>16.581395000000001</v>
      </c>
      <c r="S216" s="332">
        <v>4.4186050000000003</v>
      </c>
      <c r="T216" s="332">
        <v>6.732558</v>
      </c>
      <c r="U216" s="332">
        <v>23.604651</v>
      </c>
      <c r="V216" s="332">
        <v>26.267441999999999</v>
      </c>
      <c r="W216" s="331"/>
      <c r="X216" s="331" t="s">
        <v>896</v>
      </c>
      <c r="Y216" s="333">
        <v>45603</v>
      </c>
      <c r="Z216" s="331" t="s">
        <v>559</v>
      </c>
      <c r="AA216" s="331" t="s">
        <v>897</v>
      </c>
    </row>
    <row r="217" spans="1:27" ht="15.5" x14ac:dyDescent="0.35">
      <c r="A217" s="330" t="s">
        <v>22</v>
      </c>
      <c r="B217" s="331" t="s">
        <v>346</v>
      </c>
      <c r="C217" s="331" t="s">
        <v>272</v>
      </c>
      <c r="D217" s="331" t="s">
        <v>184</v>
      </c>
      <c r="E217" s="331" t="s">
        <v>1191</v>
      </c>
      <c r="F217" s="331" t="s">
        <v>565</v>
      </c>
      <c r="G217" s="331" t="s">
        <v>175</v>
      </c>
      <c r="H217" s="331" t="s">
        <v>176</v>
      </c>
      <c r="I217" s="332">
        <v>78.505084745762716</v>
      </c>
      <c r="J217" s="332">
        <v>324.96511600000002</v>
      </c>
      <c r="K217" s="332">
        <v>20.220929999999999</v>
      </c>
      <c r="L217" s="332">
        <v>43.244185999999999</v>
      </c>
      <c r="M217" s="332">
        <v>50.476743999999997</v>
      </c>
      <c r="N217" s="332">
        <v>47.848837000000003</v>
      </c>
      <c r="O217" s="332">
        <v>380.73255799999998</v>
      </c>
      <c r="P217" s="332">
        <v>2.6976740000000001</v>
      </c>
      <c r="Q217" s="332">
        <v>7.6279070000000004</v>
      </c>
      <c r="R217" s="332">
        <v>19.593022999999999</v>
      </c>
      <c r="S217" s="332">
        <v>15.104651</v>
      </c>
      <c r="T217" s="332">
        <v>25.872093</v>
      </c>
      <c r="U217" s="332">
        <v>378.33720899999997</v>
      </c>
      <c r="V217" s="332">
        <v>235.639535</v>
      </c>
      <c r="W217" s="332">
        <v>250</v>
      </c>
      <c r="X217" s="331" t="s">
        <v>896</v>
      </c>
      <c r="Y217" s="333">
        <v>45694</v>
      </c>
      <c r="Z217" s="331" t="s">
        <v>574</v>
      </c>
      <c r="AA217" s="331" t="s">
        <v>897</v>
      </c>
    </row>
    <row r="218" spans="1:27" ht="15.5" x14ac:dyDescent="0.35">
      <c r="A218" s="330" t="s">
        <v>1437</v>
      </c>
      <c r="B218" s="331" t="s">
        <v>1438</v>
      </c>
      <c r="C218" s="331" t="s">
        <v>1439</v>
      </c>
      <c r="D218" s="331" t="s">
        <v>396</v>
      </c>
      <c r="E218" s="331" t="s">
        <v>1440</v>
      </c>
      <c r="F218" s="331" t="s">
        <v>314</v>
      </c>
      <c r="G218" s="331" t="s">
        <v>230</v>
      </c>
      <c r="H218" s="331" t="s">
        <v>176</v>
      </c>
      <c r="I218" s="332">
        <v>2.835294117647059</v>
      </c>
      <c r="J218" s="332">
        <v>3.5581399999999999</v>
      </c>
      <c r="K218" s="332">
        <v>2.255814</v>
      </c>
      <c r="L218" s="332">
        <v>0.10465099999999999</v>
      </c>
      <c r="M218" s="332">
        <v>0.13953499999999999</v>
      </c>
      <c r="N218" s="332">
        <v>1.4767440000000001</v>
      </c>
      <c r="O218" s="332">
        <v>4.1395350000000004</v>
      </c>
      <c r="P218" s="332">
        <v>0</v>
      </c>
      <c r="Q218" s="332">
        <v>0.44185999999999998</v>
      </c>
      <c r="R218" s="332">
        <v>1.0465120000000001</v>
      </c>
      <c r="S218" s="332">
        <v>0.953488</v>
      </c>
      <c r="T218" s="332">
        <v>1.2209300000000001</v>
      </c>
      <c r="U218" s="332">
        <v>2.8372090000000001</v>
      </c>
      <c r="V218" s="332">
        <v>3.4534880000000001</v>
      </c>
      <c r="W218" s="331"/>
      <c r="X218" s="331"/>
      <c r="Y218" s="331"/>
      <c r="Z218" s="331"/>
      <c r="AA218" s="331"/>
    </row>
    <row r="219" spans="1:27" ht="15.5" x14ac:dyDescent="0.35">
      <c r="A219" s="330" t="s">
        <v>1441</v>
      </c>
      <c r="B219" s="331" t="s">
        <v>1442</v>
      </c>
      <c r="C219" s="331" t="s">
        <v>1443</v>
      </c>
      <c r="D219" s="331" t="s">
        <v>433</v>
      </c>
      <c r="E219" s="331" t="s">
        <v>1444</v>
      </c>
      <c r="F219" s="331" t="s">
        <v>193</v>
      </c>
      <c r="G219" s="331" t="s">
        <v>175</v>
      </c>
      <c r="H219" s="331" t="s">
        <v>176</v>
      </c>
      <c r="I219" s="332">
        <v>10.67043847241867</v>
      </c>
      <c r="J219" s="332">
        <v>172.27906999999999</v>
      </c>
      <c r="K219" s="332">
        <v>21.279070000000001</v>
      </c>
      <c r="L219" s="332">
        <v>22.476744</v>
      </c>
      <c r="M219" s="332">
        <v>9.5930230000000005</v>
      </c>
      <c r="N219" s="332">
        <v>26.209302000000001</v>
      </c>
      <c r="O219" s="332">
        <v>199.41860500000001</v>
      </c>
      <c r="P219" s="332">
        <v>0</v>
      </c>
      <c r="Q219" s="332">
        <v>0</v>
      </c>
      <c r="R219" s="332">
        <v>14.5</v>
      </c>
      <c r="S219" s="332">
        <v>8.3488369999999996</v>
      </c>
      <c r="T219" s="332">
        <v>19.081395000000001</v>
      </c>
      <c r="U219" s="332">
        <v>183.69767400000001</v>
      </c>
      <c r="V219" s="332">
        <v>78.662790999999999</v>
      </c>
      <c r="W219" s="332">
        <v>450</v>
      </c>
      <c r="X219" s="331" t="s">
        <v>952</v>
      </c>
      <c r="Y219" s="334">
        <v>45723</v>
      </c>
      <c r="Z219" s="331" t="s">
        <v>559</v>
      </c>
      <c r="AA219" s="331" t="s">
        <v>897</v>
      </c>
    </row>
    <row r="220" spans="1:27" ht="15.5" x14ac:dyDescent="0.35">
      <c r="A220" s="330" t="s">
        <v>189</v>
      </c>
      <c r="B220" s="331" t="s">
        <v>190</v>
      </c>
      <c r="C220" s="331" t="s">
        <v>191</v>
      </c>
      <c r="D220" s="331" t="s">
        <v>192</v>
      </c>
      <c r="E220" s="331" t="s">
        <v>1445</v>
      </c>
      <c r="F220" s="331" t="s">
        <v>193</v>
      </c>
      <c r="G220" s="331" t="s">
        <v>175</v>
      </c>
      <c r="H220" s="331" t="s">
        <v>5</v>
      </c>
      <c r="I220" s="332">
        <v>36.734449219633568</v>
      </c>
      <c r="J220" s="332">
        <v>899.20930199999998</v>
      </c>
      <c r="K220" s="332">
        <v>178.77906999999999</v>
      </c>
      <c r="L220" s="332">
        <v>263.46511600000002</v>
      </c>
      <c r="M220" s="332">
        <v>176.56976700000001</v>
      </c>
      <c r="N220" s="332">
        <v>368.81395300000003</v>
      </c>
      <c r="O220" s="332">
        <v>1149.1744189999999</v>
      </c>
      <c r="P220" s="332">
        <v>0</v>
      </c>
      <c r="Q220" s="332">
        <v>3.4883999999999998E-2</v>
      </c>
      <c r="R220" s="332">
        <v>191.151163</v>
      </c>
      <c r="S220" s="332">
        <v>102.488372</v>
      </c>
      <c r="T220" s="332">
        <v>128.662791</v>
      </c>
      <c r="U220" s="332">
        <v>1095.72093</v>
      </c>
      <c r="V220" s="332">
        <v>1049.1279070000001</v>
      </c>
      <c r="W220" s="332">
        <v>946</v>
      </c>
      <c r="X220" s="331" t="s">
        <v>896</v>
      </c>
      <c r="Y220" s="333">
        <v>45673</v>
      </c>
      <c r="Z220" s="331" t="s">
        <v>574</v>
      </c>
      <c r="AA220" s="331" t="s">
        <v>897</v>
      </c>
    </row>
    <row r="221" spans="1:27" ht="15.5" x14ac:dyDescent="0.35">
      <c r="A221" s="330" t="s">
        <v>564</v>
      </c>
      <c r="B221" s="331" t="s">
        <v>583</v>
      </c>
      <c r="C221" s="331" t="s">
        <v>563</v>
      </c>
      <c r="D221" s="331" t="s">
        <v>362</v>
      </c>
      <c r="E221" s="331" t="s">
        <v>1446</v>
      </c>
      <c r="F221" s="331" t="s">
        <v>296</v>
      </c>
      <c r="G221" s="331" t="s">
        <v>230</v>
      </c>
      <c r="H221" s="331" t="s">
        <v>176</v>
      </c>
      <c r="I221" s="332">
        <v>24.753554502369671</v>
      </c>
      <c r="J221" s="332">
        <v>25.872093</v>
      </c>
      <c r="K221" s="332">
        <v>11.895349</v>
      </c>
      <c r="L221" s="332">
        <v>10.593023000000001</v>
      </c>
      <c r="M221" s="332">
        <v>12.244185999999999</v>
      </c>
      <c r="N221" s="332">
        <v>23.058139000000001</v>
      </c>
      <c r="O221" s="332">
        <v>30.918604999999999</v>
      </c>
      <c r="P221" s="332">
        <v>1.627907</v>
      </c>
      <c r="Q221" s="332">
        <v>5</v>
      </c>
      <c r="R221" s="332">
        <v>11.023256</v>
      </c>
      <c r="S221" s="332">
        <v>6.5465119999999999</v>
      </c>
      <c r="T221" s="332">
        <v>10.372093</v>
      </c>
      <c r="U221" s="332">
        <v>32.662790999999999</v>
      </c>
      <c r="V221" s="332">
        <v>33.313952999999998</v>
      </c>
      <c r="W221" s="331"/>
      <c r="X221" s="331" t="s">
        <v>1018</v>
      </c>
      <c r="Y221" s="333">
        <v>45834</v>
      </c>
      <c r="Z221" s="331" t="s">
        <v>1236</v>
      </c>
      <c r="AA221" s="331" t="s">
        <v>897</v>
      </c>
    </row>
    <row r="222" spans="1:27" ht="15.5" x14ac:dyDescent="0.35">
      <c r="A222" s="330" t="s">
        <v>342</v>
      </c>
      <c r="B222" s="331" t="s">
        <v>343</v>
      </c>
      <c r="C222" s="331" t="s">
        <v>344</v>
      </c>
      <c r="D222" s="331" t="s">
        <v>345</v>
      </c>
      <c r="E222" s="331" t="s">
        <v>1447</v>
      </c>
      <c r="F222" s="331" t="s">
        <v>292</v>
      </c>
      <c r="G222" s="331" t="s">
        <v>230</v>
      </c>
      <c r="H222" s="331" t="s">
        <v>176</v>
      </c>
      <c r="I222" s="332">
        <v>35.134920634920633</v>
      </c>
      <c r="J222" s="332">
        <v>41.186047000000002</v>
      </c>
      <c r="K222" s="332">
        <v>5.5232559999999999</v>
      </c>
      <c r="L222" s="332">
        <v>36.488371999999998</v>
      </c>
      <c r="M222" s="332">
        <v>32.511628000000002</v>
      </c>
      <c r="N222" s="332">
        <v>36.953488</v>
      </c>
      <c r="O222" s="332">
        <v>78.174419</v>
      </c>
      <c r="P222" s="332">
        <v>5.8139999999999997E-2</v>
      </c>
      <c r="Q222" s="332">
        <v>0.52325600000000005</v>
      </c>
      <c r="R222" s="332">
        <v>26.720929999999999</v>
      </c>
      <c r="S222" s="332">
        <v>6.3720929999999996</v>
      </c>
      <c r="T222" s="332">
        <v>8.9302329999999994</v>
      </c>
      <c r="U222" s="332">
        <v>73.686046000000005</v>
      </c>
      <c r="V222" s="332">
        <v>50.534883999999998</v>
      </c>
      <c r="W222" s="331"/>
      <c r="X222" s="331" t="s">
        <v>896</v>
      </c>
      <c r="Y222" s="333">
        <v>45379</v>
      </c>
      <c r="Z222" s="331" t="s">
        <v>559</v>
      </c>
      <c r="AA222" s="331" t="s">
        <v>897</v>
      </c>
    </row>
  </sheetData>
  <mergeCells count="5">
    <mergeCell ref="A9:H9"/>
    <mergeCell ref="J9:M9"/>
    <mergeCell ref="N9:Q9"/>
    <mergeCell ref="R9:U9"/>
    <mergeCell ref="W9:A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159C-1416-402F-AF3D-9C7CB8633305}">
  <dimension ref="A1:F116"/>
  <sheetViews>
    <sheetView zoomScale="80" zoomScaleNormal="80" workbookViewId="0">
      <selection sqref="A1:B4"/>
    </sheetView>
  </sheetViews>
  <sheetFormatPr defaultRowHeight="14.5" x14ac:dyDescent="0.35"/>
  <cols>
    <col min="1" max="1" width="52.26953125" customWidth="1"/>
    <col min="2" max="2" width="40.7265625" customWidth="1"/>
  </cols>
  <sheetData>
    <row r="1" spans="1:6" ht="26.15" customHeight="1" x14ac:dyDescent="0.35">
      <c r="A1" s="459" t="s">
        <v>1448</v>
      </c>
      <c r="B1" s="459"/>
      <c r="C1" s="335"/>
      <c r="D1" s="335"/>
      <c r="E1" s="335"/>
      <c r="F1" s="335"/>
    </row>
    <row r="2" spans="1:6" ht="15" customHeight="1" x14ac:dyDescent="0.35">
      <c r="A2" s="459"/>
      <c r="B2" s="459"/>
    </row>
    <row r="3" spans="1:6" x14ac:dyDescent="0.35">
      <c r="A3" s="459"/>
      <c r="B3" s="459"/>
    </row>
    <row r="4" spans="1:6" ht="15" thickBot="1" x14ac:dyDescent="0.4">
      <c r="A4" s="460"/>
      <c r="B4" s="460"/>
    </row>
    <row r="5" spans="1:6" x14ac:dyDescent="0.35">
      <c r="A5" s="461" t="s">
        <v>1449</v>
      </c>
      <c r="B5" s="462"/>
    </row>
    <row r="6" spans="1:6" x14ac:dyDescent="0.35">
      <c r="A6" s="336" t="s">
        <v>1450</v>
      </c>
      <c r="B6" s="336" t="s">
        <v>1451</v>
      </c>
    </row>
    <row r="7" spans="1:6" x14ac:dyDescent="0.35">
      <c r="A7" s="117" t="s">
        <v>15</v>
      </c>
      <c r="B7" s="117">
        <v>101</v>
      </c>
    </row>
    <row r="8" spans="1:6" x14ac:dyDescent="0.35">
      <c r="A8" s="117" t="s">
        <v>748</v>
      </c>
      <c r="B8" s="117">
        <v>95</v>
      </c>
    </row>
    <row r="9" spans="1:6" x14ac:dyDescent="0.35">
      <c r="A9" s="117" t="s">
        <v>770</v>
      </c>
      <c r="B9" s="117">
        <v>94</v>
      </c>
    </row>
    <row r="10" spans="1:6" x14ac:dyDescent="0.35">
      <c r="A10" s="117" t="s">
        <v>255</v>
      </c>
      <c r="B10" s="117">
        <v>79</v>
      </c>
    </row>
    <row r="11" spans="1:6" x14ac:dyDescent="0.35">
      <c r="A11" s="117" t="s">
        <v>1291</v>
      </c>
      <c r="B11" s="117">
        <v>63</v>
      </c>
    </row>
    <row r="12" spans="1:6" x14ac:dyDescent="0.35">
      <c r="A12" s="117" t="s">
        <v>199</v>
      </c>
      <c r="B12" s="117">
        <v>56</v>
      </c>
    </row>
    <row r="13" spans="1:6" x14ac:dyDescent="0.35">
      <c r="A13" s="117" t="s">
        <v>220</v>
      </c>
      <c r="B13" s="117">
        <v>46</v>
      </c>
    </row>
    <row r="14" spans="1:6" x14ac:dyDescent="0.35">
      <c r="A14" s="117" t="s">
        <v>301</v>
      </c>
      <c r="B14" s="117">
        <v>42</v>
      </c>
    </row>
    <row r="15" spans="1:6" x14ac:dyDescent="0.35">
      <c r="A15" s="117" t="s">
        <v>231</v>
      </c>
      <c r="B15" s="117">
        <v>39</v>
      </c>
    </row>
    <row r="16" spans="1:6" x14ac:dyDescent="0.35">
      <c r="A16" s="117" t="s">
        <v>946</v>
      </c>
      <c r="B16" s="117">
        <v>34</v>
      </c>
    </row>
    <row r="17" spans="1:2" x14ac:dyDescent="0.35">
      <c r="A17" s="117" t="s">
        <v>280</v>
      </c>
      <c r="B17" s="117">
        <v>32</v>
      </c>
    </row>
    <row r="18" spans="1:2" x14ac:dyDescent="0.35">
      <c r="A18" s="117" t="s">
        <v>978</v>
      </c>
      <c r="B18" s="117">
        <v>26</v>
      </c>
    </row>
    <row r="19" spans="1:2" x14ac:dyDescent="0.35">
      <c r="A19" s="117" t="s">
        <v>10</v>
      </c>
      <c r="B19" s="117">
        <v>23</v>
      </c>
    </row>
    <row r="20" spans="1:2" x14ac:dyDescent="0.35">
      <c r="A20" s="117" t="s">
        <v>252</v>
      </c>
      <c r="B20" s="117">
        <v>23</v>
      </c>
    </row>
    <row r="21" spans="1:2" x14ac:dyDescent="0.35">
      <c r="A21" s="117" t="s">
        <v>234</v>
      </c>
      <c r="B21" s="117">
        <v>22</v>
      </c>
    </row>
    <row r="22" spans="1:2" x14ac:dyDescent="0.35">
      <c r="A22" s="117" t="s">
        <v>728</v>
      </c>
      <c r="B22" s="117">
        <v>21</v>
      </c>
    </row>
    <row r="23" spans="1:2" x14ac:dyDescent="0.35">
      <c r="A23" s="117" t="s">
        <v>327</v>
      </c>
      <c r="B23" s="117">
        <v>16</v>
      </c>
    </row>
    <row r="24" spans="1:2" x14ac:dyDescent="0.35">
      <c r="A24" s="117" t="s">
        <v>579</v>
      </c>
      <c r="B24" s="117">
        <v>14</v>
      </c>
    </row>
    <row r="25" spans="1:2" x14ac:dyDescent="0.35">
      <c r="A25" s="117" t="s">
        <v>32</v>
      </c>
      <c r="B25" s="117">
        <v>14</v>
      </c>
    </row>
    <row r="26" spans="1:2" x14ac:dyDescent="0.35">
      <c r="A26" s="117" t="s">
        <v>958</v>
      </c>
      <c r="B26" s="117">
        <v>13</v>
      </c>
    </row>
    <row r="27" spans="1:2" x14ac:dyDescent="0.35">
      <c r="A27" s="117" t="s">
        <v>215</v>
      </c>
      <c r="B27" s="117">
        <v>13</v>
      </c>
    </row>
    <row r="28" spans="1:2" x14ac:dyDescent="0.35">
      <c r="A28" s="117" t="s">
        <v>1084</v>
      </c>
      <c r="B28" s="117">
        <v>13</v>
      </c>
    </row>
    <row r="29" spans="1:2" x14ac:dyDescent="0.35">
      <c r="A29" s="117" t="s">
        <v>11</v>
      </c>
      <c r="B29" s="117">
        <v>10</v>
      </c>
    </row>
    <row r="30" spans="1:2" x14ac:dyDescent="0.35">
      <c r="A30" s="117" t="s">
        <v>17</v>
      </c>
      <c r="B30" s="117">
        <v>10</v>
      </c>
    </row>
    <row r="31" spans="1:2" x14ac:dyDescent="0.35">
      <c r="A31" s="117" t="s">
        <v>241</v>
      </c>
      <c r="B31" s="117">
        <v>9</v>
      </c>
    </row>
    <row r="32" spans="1:2" x14ac:dyDescent="0.35">
      <c r="A32" s="117" t="s">
        <v>8</v>
      </c>
      <c r="B32" s="117">
        <v>8</v>
      </c>
    </row>
    <row r="33" spans="1:2" x14ac:dyDescent="0.35">
      <c r="A33" s="117" t="s">
        <v>1052</v>
      </c>
      <c r="B33" s="117">
        <v>7</v>
      </c>
    </row>
    <row r="34" spans="1:2" x14ac:dyDescent="0.35">
      <c r="A34" s="117" t="s">
        <v>1382</v>
      </c>
      <c r="B34" s="117">
        <v>5</v>
      </c>
    </row>
    <row r="35" spans="1:2" x14ac:dyDescent="0.35">
      <c r="A35" s="117" t="s">
        <v>189</v>
      </c>
      <c r="B35" s="117">
        <v>5</v>
      </c>
    </row>
    <row r="36" spans="1:2" x14ac:dyDescent="0.35">
      <c r="A36" s="117" t="s">
        <v>390</v>
      </c>
      <c r="B36" s="117">
        <v>5</v>
      </c>
    </row>
    <row r="37" spans="1:2" x14ac:dyDescent="0.35">
      <c r="A37" s="117" t="s">
        <v>745</v>
      </c>
      <c r="B37" s="117">
        <v>5</v>
      </c>
    </row>
    <row r="38" spans="1:2" x14ac:dyDescent="0.35">
      <c r="A38" s="117" t="s">
        <v>22</v>
      </c>
      <c r="B38" s="117">
        <v>5</v>
      </c>
    </row>
    <row r="39" spans="1:2" x14ac:dyDescent="0.35">
      <c r="A39" s="117" t="s">
        <v>309</v>
      </c>
      <c r="B39" s="117">
        <v>4</v>
      </c>
    </row>
    <row r="40" spans="1:2" x14ac:dyDescent="0.35">
      <c r="A40" s="117" t="s">
        <v>577</v>
      </c>
      <c r="B40" s="117">
        <v>3</v>
      </c>
    </row>
    <row r="41" spans="1:2" x14ac:dyDescent="0.35">
      <c r="A41" s="117" t="s">
        <v>289</v>
      </c>
      <c r="B41" s="117">
        <v>3</v>
      </c>
    </row>
    <row r="42" spans="1:2" x14ac:dyDescent="0.35">
      <c r="A42" s="117" t="s">
        <v>806</v>
      </c>
      <c r="B42" s="117">
        <v>2</v>
      </c>
    </row>
    <row r="43" spans="1:2" x14ac:dyDescent="0.35">
      <c r="A43" s="117" t="s">
        <v>323</v>
      </c>
      <c r="B43" s="117">
        <v>2</v>
      </c>
    </row>
    <row r="44" spans="1:2" x14ac:dyDescent="0.35">
      <c r="A44" s="117" t="s">
        <v>734</v>
      </c>
      <c r="B44" s="117">
        <v>2</v>
      </c>
    </row>
    <row r="45" spans="1:2" x14ac:dyDescent="0.35">
      <c r="A45" s="117" t="s">
        <v>286</v>
      </c>
      <c r="B45" s="117">
        <v>2</v>
      </c>
    </row>
    <row r="46" spans="1:2" x14ac:dyDescent="0.35">
      <c r="A46" s="117" t="s">
        <v>759</v>
      </c>
      <c r="B46" s="117">
        <v>1</v>
      </c>
    </row>
    <row r="47" spans="1:2" x14ac:dyDescent="0.35">
      <c r="A47" s="117" t="s">
        <v>12</v>
      </c>
      <c r="B47" s="117">
        <v>1</v>
      </c>
    </row>
    <row r="48" spans="1:2" x14ac:dyDescent="0.35">
      <c r="A48" s="117" t="s">
        <v>980</v>
      </c>
      <c r="B48" s="117">
        <v>1</v>
      </c>
    </row>
    <row r="49" spans="1:2" x14ac:dyDescent="0.35">
      <c r="A49" s="117" t="s">
        <v>26</v>
      </c>
      <c r="B49" s="117">
        <v>1</v>
      </c>
    </row>
    <row r="50" spans="1:2" x14ac:dyDescent="0.35">
      <c r="A50" s="117" t="s">
        <v>13</v>
      </c>
      <c r="B50" s="117">
        <v>1</v>
      </c>
    </row>
    <row r="51" spans="1:2" x14ac:dyDescent="0.35">
      <c r="A51" s="117" t="s">
        <v>1336</v>
      </c>
      <c r="B51" s="117">
        <v>1</v>
      </c>
    </row>
    <row r="52" spans="1:2" x14ac:dyDescent="0.35">
      <c r="A52" s="117" t="s">
        <v>6</v>
      </c>
      <c r="B52" s="117">
        <v>1</v>
      </c>
    </row>
    <row r="53" spans="1:2" x14ac:dyDescent="0.35">
      <c r="A53" s="117" t="s">
        <v>36</v>
      </c>
      <c r="B53" s="117">
        <v>1</v>
      </c>
    </row>
    <row r="54" spans="1:2" x14ac:dyDescent="0.35">
      <c r="A54" s="117" t="s">
        <v>575</v>
      </c>
      <c r="B54" s="117">
        <v>1</v>
      </c>
    </row>
    <row r="55" spans="1:2" x14ac:dyDescent="0.35">
      <c r="A55" s="117" t="s">
        <v>224</v>
      </c>
      <c r="B55" s="117">
        <v>1</v>
      </c>
    </row>
    <row r="56" spans="1:2" x14ac:dyDescent="0.35">
      <c r="A56" s="117" t="s">
        <v>1137</v>
      </c>
      <c r="B56" s="117">
        <v>1</v>
      </c>
    </row>
    <row r="57" spans="1:2" x14ac:dyDescent="0.35">
      <c r="A57" s="337" t="s">
        <v>1452</v>
      </c>
      <c r="B57" s="338">
        <v>977</v>
      </c>
    </row>
    <row r="59" spans="1:2" ht="15" thickBot="1" x14ac:dyDescent="0.4"/>
    <row r="60" spans="1:2" x14ac:dyDescent="0.35">
      <c r="A60" s="461" t="s">
        <v>1453</v>
      </c>
      <c r="B60" s="462"/>
    </row>
    <row r="61" spans="1:2" x14ac:dyDescent="0.35">
      <c r="A61" s="336" t="s">
        <v>1450</v>
      </c>
      <c r="B61" s="336" t="s">
        <v>1451</v>
      </c>
    </row>
    <row r="62" spans="1:2" x14ac:dyDescent="0.35">
      <c r="A62" s="339" t="s">
        <v>15</v>
      </c>
      <c r="B62" s="117">
        <v>145</v>
      </c>
    </row>
    <row r="63" spans="1:2" x14ac:dyDescent="0.35">
      <c r="A63" s="339" t="s">
        <v>770</v>
      </c>
      <c r="B63" s="117">
        <v>105</v>
      </c>
    </row>
    <row r="64" spans="1:2" x14ac:dyDescent="0.35">
      <c r="A64" s="339" t="s">
        <v>748</v>
      </c>
      <c r="B64" s="117">
        <v>89</v>
      </c>
    </row>
    <row r="65" spans="1:2" x14ac:dyDescent="0.35">
      <c r="A65" s="339" t="s">
        <v>255</v>
      </c>
      <c r="B65" s="117">
        <v>83</v>
      </c>
    </row>
    <row r="66" spans="1:2" x14ac:dyDescent="0.35">
      <c r="A66" s="339" t="s">
        <v>1291</v>
      </c>
      <c r="B66" s="117">
        <v>65</v>
      </c>
    </row>
    <row r="67" spans="1:2" x14ac:dyDescent="0.35">
      <c r="A67" s="339" t="s">
        <v>199</v>
      </c>
      <c r="B67" s="117">
        <v>64</v>
      </c>
    </row>
    <row r="68" spans="1:2" x14ac:dyDescent="0.35">
      <c r="A68" s="339" t="s">
        <v>946</v>
      </c>
      <c r="B68" s="117">
        <v>50</v>
      </c>
    </row>
    <row r="69" spans="1:2" x14ac:dyDescent="0.35">
      <c r="A69" s="339" t="s">
        <v>301</v>
      </c>
      <c r="B69" s="117">
        <v>44</v>
      </c>
    </row>
    <row r="70" spans="1:2" x14ac:dyDescent="0.35">
      <c r="A70" s="339" t="s">
        <v>978</v>
      </c>
      <c r="B70" s="117">
        <v>40</v>
      </c>
    </row>
    <row r="71" spans="1:2" x14ac:dyDescent="0.35">
      <c r="A71" s="339" t="s">
        <v>231</v>
      </c>
      <c r="B71" s="117">
        <v>39</v>
      </c>
    </row>
    <row r="72" spans="1:2" x14ac:dyDescent="0.35">
      <c r="A72" s="339" t="s">
        <v>280</v>
      </c>
      <c r="B72" s="117">
        <v>27</v>
      </c>
    </row>
    <row r="73" spans="1:2" x14ac:dyDescent="0.35">
      <c r="A73" s="339" t="s">
        <v>220</v>
      </c>
      <c r="B73" s="117">
        <v>26</v>
      </c>
    </row>
    <row r="74" spans="1:2" x14ac:dyDescent="0.35">
      <c r="A74" s="339" t="s">
        <v>8</v>
      </c>
      <c r="B74" s="117">
        <v>25</v>
      </c>
    </row>
    <row r="75" spans="1:2" x14ac:dyDescent="0.35">
      <c r="A75" s="339" t="s">
        <v>215</v>
      </c>
      <c r="B75" s="117">
        <v>23</v>
      </c>
    </row>
    <row r="76" spans="1:2" x14ac:dyDescent="0.35">
      <c r="A76" s="339" t="s">
        <v>728</v>
      </c>
      <c r="B76" s="117">
        <v>22</v>
      </c>
    </row>
    <row r="77" spans="1:2" x14ac:dyDescent="0.35">
      <c r="A77" s="339" t="s">
        <v>327</v>
      </c>
      <c r="B77" s="117">
        <v>22</v>
      </c>
    </row>
    <row r="78" spans="1:2" x14ac:dyDescent="0.35">
      <c r="A78" s="339" t="s">
        <v>234</v>
      </c>
      <c r="B78" s="117">
        <v>19</v>
      </c>
    </row>
    <row r="79" spans="1:2" x14ac:dyDescent="0.35">
      <c r="A79" s="339" t="s">
        <v>10</v>
      </c>
      <c r="B79" s="117">
        <v>18</v>
      </c>
    </row>
    <row r="80" spans="1:2" x14ac:dyDescent="0.35">
      <c r="A80" s="339" t="s">
        <v>1084</v>
      </c>
      <c r="B80" s="117">
        <v>18</v>
      </c>
    </row>
    <row r="81" spans="1:2" x14ac:dyDescent="0.35">
      <c r="A81" s="339" t="s">
        <v>289</v>
      </c>
      <c r="B81" s="117">
        <v>17</v>
      </c>
    </row>
    <row r="82" spans="1:2" x14ac:dyDescent="0.35">
      <c r="A82" s="339" t="s">
        <v>579</v>
      </c>
      <c r="B82" s="117">
        <v>17</v>
      </c>
    </row>
    <row r="83" spans="1:2" x14ac:dyDescent="0.35">
      <c r="A83" s="339" t="s">
        <v>252</v>
      </c>
      <c r="B83" s="117">
        <v>15</v>
      </c>
    </row>
    <row r="84" spans="1:2" x14ac:dyDescent="0.35">
      <c r="A84" s="339" t="s">
        <v>32</v>
      </c>
      <c r="B84" s="117">
        <v>14</v>
      </c>
    </row>
    <row r="85" spans="1:2" x14ac:dyDescent="0.35">
      <c r="A85" s="339" t="s">
        <v>241</v>
      </c>
      <c r="B85" s="117">
        <v>11</v>
      </c>
    </row>
    <row r="86" spans="1:2" x14ac:dyDescent="0.35">
      <c r="A86" s="339" t="s">
        <v>22</v>
      </c>
      <c r="B86" s="117">
        <v>10</v>
      </c>
    </row>
    <row r="87" spans="1:2" x14ac:dyDescent="0.35">
      <c r="A87" s="339" t="s">
        <v>17</v>
      </c>
      <c r="B87" s="117">
        <v>10</v>
      </c>
    </row>
    <row r="88" spans="1:2" x14ac:dyDescent="0.35">
      <c r="A88" s="339" t="s">
        <v>734</v>
      </c>
      <c r="B88" s="117">
        <v>7</v>
      </c>
    </row>
    <row r="89" spans="1:2" x14ac:dyDescent="0.35">
      <c r="A89" s="339" t="s">
        <v>958</v>
      </c>
      <c r="B89" s="117">
        <v>7</v>
      </c>
    </row>
    <row r="90" spans="1:2" x14ac:dyDescent="0.35">
      <c r="A90" s="339" t="s">
        <v>1284</v>
      </c>
      <c r="B90" s="117">
        <v>7</v>
      </c>
    </row>
    <row r="91" spans="1:2" x14ac:dyDescent="0.35">
      <c r="A91" s="339" t="s">
        <v>11</v>
      </c>
      <c r="B91" s="117">
        <v>5</v>
      </c>
    </row>
    <row r="92" spans="1:2" x14ac:dyDescent="0.35">
      <c r="A92" s="339" t="s">
        <v>577</v>
      </c>
      <c r="B92" s="117">
        <v>5</v>
      </c>
    </row>
    <row r="93" spans="1:2" x14ac:dyDescent="0.35">
      <c r="A93" s="339" t="s">
        <v>1382</v>
      </c>
      <c r="B93" s="117">
        <v>5</v>
      </c>
    </row>
    <row r="94" spans="1:2" x14ac:dyDescent="0.35">
      <c r="A94" s="339" t="s">
        <v>309</v>
      </c>
      <c r="B94" s="117">
        <v>5</v>
      </c>
    </row>
    <row r="95" spans="1:2" x14ac:dyDescent="0.35">
      <c r="A95" s="339" t="s">
        <v>189</v>
      </c>
      <c r="B95" s="117">
        <v>5</v>
      </c>
    </row>
    <row r="96" spans="1:2" x14ac:dyDescent="0.35">
      <c r="A96" s="339" t="s">
        <v>36</v>
      </c>
      <c r="B96" s="117">
        <v>4</v>
      </c>
    </row>
    <row r="97" spans="1:2" x14ac:dyDescent="0.35">
      <c r="A97" s="339" t="s">
        <v>390</v>
      </c>
      <c r="B97" s="117">
        <v>4</v>
      </c>
    </row>
    <row r="98" spans="1:2" x14ac:dyDescent="0.35">
      <c r="A98" s="339" t="s">
        <v>13</v>
      </c>
      <c r="B98" s="117">
        <v>4</v>
      </c>
    </row>
    <row r="99" spans="1:2" x14ac:dyDescent="0.35">
      <c r="A99" s="339" t="s">
        <v>1052</v>
      </c>
      <c r="B99" s="117">
        <v>4</v>
      </c>
    </row>
    <row r="100" spans="1:2" x14ac:dyDescent="0.35">
      <c r="A100" s="339" t="s">
        <v>12</v>
      </c>
      <c r="B100" s="117">
        <v>3</v>
      </c>
    </row>
    <row r="101" spans="1:2" x14ac:dyDescent="0.35">
      <c r="A101" s="339" t="s">
        <v>177</v>
      </c>
      <c r="B101" s="117">
        <v>3</v>
      </c>
    </row>
    <row r="102" spans="1:2" x14ac:dyDescent="0.35">
      <c r="A102" s="339" t="s">
        <v>286</v>
      </c>
      <c r="B102" s="117">
        <v>2</v>
      </c>
    </row>
    <row r="103" spans="1:2" x14ac:dyDescent="0.35">
      <c r="A103" s="339" t="s">
        <v>323</v>
      </c>
      <c r="B103" s="117">
        <v>2</v>
      </c>
    </row>
    <row r="104" spans="1:2" x14ac:dyDescent="0.35">
      <c r="A104" s="339" t="s">
        <v>806</v>
      </c>
      <c r="B104" s="117">
        <v>2</v>
      </c>
    </row>
    <row r="105" spans="1:2" x14ac:dyDescent="0.35">
      <c r="A105" s="339" t="s">
        <v>980</v>
      </c>
      <c r="B105" s="117">
        <v>2</v>
      </c>
    </row>
    <row r="106" spans="1:2" x14ac:dyDescent="0.35">
      <c r="A106" s="339" t="s">
        <v>1336</v>
      </c>
      <c r="B106" s="117">
        <v>1</v>
      </c>
    </row>
    <row r="107" spans="1:2" x14ac:dyDescent="0.35">
      <c r="A107" s="339" t="s">
        <v>6</v>
      </c>
      <c r="B107" s="117">
        <v>1</v>
      </c>
    </row>
    <row r="108" spans="1:2" x14ac:dyDescent="0.35">
      <c r="A108" s="339" t="s">
        <v>16</v>
      </c>
      <c r="B108" s="117">
        <v>1</v>
      </c>
    </row>
    <row r="109" spans="1:2" x14ac:dyDescent="0.35">
      <c r="A109" s="339" t="s">
        <v>224</v>
      </c>
      <c r="B109" s="117">
        <v>1</v>
      </c>
    </row>
    <row r="110" spans="1:2" x14ac:dyDescent="0.35">
      <c r="A110" s="339" t="s">
        <v>575</v>
      </c>
      <c r="B110" s="117">
        <v>1</v>
      </c>
    </row>
    <row r="111" spans="1:2" x14ac:dyDescent="0.35">
      <c r="A111" s="339" t="s">
        <v>26</v>
      </c>
      <c r="B111" s="117">
        <v>1</v>
      </c>
    </row>
    <row r="112" spans="1:2" x14ac:dyDescent="0.35">
      <c r="A112" s="339" t="s">
        <v>832</v>
      </c>
      <c r="B112" s="117">
        <v>1</v>
      </c>
    </row>
    <row r="113" spans="1:2" x14ac:dyDescent="0.35">
      <c r="A113" s="339" t="s">
        <v>745</v>
      </c>
      <c r="B113" s="117">
        <v>1</v>
      </c>
    </row>
    <row r="114" spans="1:2" x14ac:dyDescent="0.35">
      <c r="A114" s="339" t="s">
        <v>1137</v>
      </c>
      <c r="B114" s="117">
        <v>1</v>
      </c>
    </row>
    <row r="115" spans="1:2" x14ac:dyDescent="0.35">
      <c r="A115" s="339" t="s">
        <v>759</v>
      </c>
      <c r="B115" s="117">
        <v>1</v>
      </c>
    </row>
    <row r="116" spans="1:2" x14ac:dyDescent="0.35">
      <c r="A116" s="337" t="s">
        <v>1452</v>
      </c>
      <c r="B116" s="338">
        <v>1104</v>
      </c>
    </row>
  </sheetData>
  <mergeCells count="3">
    <mergeCell ref="A1:B4"/>
    <mergeCell ref="A5:B5"/>
    <mergeCell ref="A60:B6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CC48-058F-411A-AEB5-3999658B4215}">
  <dimension ref="A1:BD306"/>
  <sheetViews>
    <sheetView zoomScale="80" zoomScaleNormal="80" workbookViewId="0">
      <selection activeCell="S54" sqref="S54"/>
    </sheetView>
  </sheetViews>
  <sheetFormatPr defaultRowHeight="15" x14ac:dyDescent="0.35"/>
  <cols>
    <col min="1" max="1" width="23.453125" customWidth="1"/>
    <col min="2" max="2" width="16.81640625" customWidth="1"/>
    <col min="3" max="3" width="37.1796875" bestFit="1" customWidth="1"/>
    <col min="4" max="4" width="34.81640625" customWidth="1"/>
    <col min="5" max="9" width="19.54296875" customWidth="1"/>
    <col min="10" max="10" width="15" customWidth="1"/>
    <col min="13" max="13" width="9.1796875" style="10"/>
  </cols>
  <sheetData>
    <row r="1" spans="1:56" ht="26.25" customHeight="1" thickBot="1" x14ac:dyDescent="0.4">
      <c r="A1" s="463" t="s">
        <v>1454</v>
      </c>
      <c r="B1" s="464"/>
      <c r="C1" s="464"/>
      <c r="D1" s="464"/>
      <c r="E1" s="340"/>
      <c r="F1" s="340"/>
      <c r="G1" s="340"/>
      <c r="H1" s="341"/>
      <c r="I1" s="10"/>
      <c r="J1" s="10"/>
      <c r="K1" s="10"/>
      <c r="L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6" ht="109.5" customHeight="1" thickBot="1" x14ac:dyDescent="0.4">
      <c r="A2" s="466" t="s">
        <v>1455</v>
      </c>
      <c r="B2" s="467"/>
      <c r="C2" s="467"/>
      <c r="D2" s="467"/>
      <c r="E2" s="467"/>
      <c r="F2" s="467"/>
      <c r="G2" s="467"/>
      <c r="H2" s="468"/>
      <c r="I2" s="10"/>
      <c r="J2" s="10"/>
      <c r="K2" s="10"/>
      <c r="L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6" x14ac:dyDescent="0.35">
      <c r="I3" s="10"/>
      <c r="J3" s="10"/>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6" ht="15.5" thickBot="1" x14ac:dyDescent="0.4">
      <c r="A4" s="342"/>
      <c r="I4" s="10"/>
      <c r="J4" s="10"/>
      <c r="K4" s="10"/>
      <c r="L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6" ht="29.25" customHeight="1" thickBot="1" x14ac:dyDescent="0.4">
      <c r="A5" s="463" t="s">
        <v>1456</v>
      </c>
      <c r="B5" s="464"/>
      <c r="C5" s="464"/>
      <c r="D5" s="465"/>
      <c r="I5" s="10"/>
      <c r="J5" s="10"/>
      <c r="K5" s="10"/>
      <c r="L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6" ht="48" customHeight="1" thickBot="1" x14ac:dyDescent="0.4">
      <c r="A6" s="343" t="s">
        <v>1457</v>
      </c>
      <c r="B6" s="344" t="s">
        <v>1458</v>
      </c>
      <c r="C6" s="344" t="s">
        <v>1459</v>
      </c>
      <c r="D6" s="344" t="s">
        <v>1460</v>
      </c>
      <c r="G6" s="345" t="s">
        <v>1461</v>
      </c>
      <c r="I6" s="10"/>
      <c r="J6" s="10"/>
      <c r="K6" s="10"/>
      <c r="L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spans="1:56" ht="15.5" thickBot="1" x14ac:dyDescent="0.4">
      <c r="A7" s="346" t="s">
        <v>1462</v>
      </c>
      <c r="B7" s="347">
        <v>41</v>
      </c>
      <c r="C7" s="347">
        <v>14.46</v>
      </c>
      <c r="D7" s="347">
        <v>19.63</v>
      </c>
      <c r="I7" s="10"/>
      <c r="J7" s="10"/>
      <c r="K7" s="10"/>
      <c r="L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row>
    <row r="8" spans="1:56" ht="15.5" thickBot="1" x14ac:dyDescent="0.4">
      <c r="A8" s="346" t="s">
        <v>1463</v>
      </c>
      <c r="B8" s="347">
        <v>10</v>
      </c>
      <c r="C8" s="347">
        <v>26.3</v>
      </c>
      <c r="D8" s="347">
        <v>29.5</v>
      </c>
      <c r="I8" s="10"/>
      <c r="J8" s="10"/>
      <c r="K8" s="10"/>
      <c r="L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row>
    <row r="9" spans="1:56" ht="15.5" thickBot="1" x14ac:dyDescent="0.4">
      <c r="A9" s="346" t="s">
        <v>1464</v>
      </c>
      <c r="B9" s="347">
        <v>231</v>
      </c>
      <c r="C9" s="347">
        <v>10.48</v>
      </c>
      <c r="D9" s="347">
        <v>12.6</v>
      </c>
      <c r="I9" s="10"/>
      <c r="J9" s="10"/>
      <c r="K9" s="10"/>
      <c r="L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row>
    <row r="10" spans="1:56" ht="45" customHeight="1" thickBot="1" x14ac:dyDescent="0.4">
      <c r="A10" s="348" t="s">
        <v>1465</v>
      </c>
      <c r="B10" s="347">
        <v>12</v>
      </c>
      <c r="C10" s="347">
        <v>20.83</v>
      </c>
      <c r="D10" s="347">
        <v>25.5</v>
      </c>
      <c r="I10" s="10"/>
      <c r="J10" s="10"/>
      <c r="K10" s="10"/>
      <c r="L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1:56" ht="15.5" thickBot="1" x14ac:dyDescent="0.4">
      <c r="A11" s="346" t="s">
        <v>1466</v>
      </c>
      <c r="B11" s="347">
        <v>2</v>
      </c>
      <c r="C11" s="347">
        <v>11</v>
      </c>
      <c r="D11" s="347">
        <v>19.5</v>
      </c>
      <c r="I11" s="10"/>
      <c r="J11" s="10"/>
      <c r="K11" s="10"/>
      <c r="L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row>
    <row r="12" spans="1:56" ht="15.5" thickBot="1" x14ac:dyDescent="0.4">
      <c r="A12" s="349" t="s">
        <v>1452</v>
      </c>
      <c r="B12" s="350">
        <v>296</v>
      </c>
      <c r="C12" s="350">
        <v>11.99</v>
      </c>
      <c r="D12" s="350">
        <v>14.72</v>
      </c>
      <c r="I12" s="10"/>
      <c r="J12" s="10"/>
      <c r="K12" s="10"/>
      <c r="L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row>
    <row r="13" spans="1:56" x14ac:dyDescent="0.35">
      <c r="I13" s="10"/>
      <c r="J13" s="10"/>
      <c r="K13" s="10"/>
      <c r="L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row>
    <row r="14" spans="1:56" x14ac:dyDescent="0.35">
      <c r="A14" s="469" t="s">
        <v>1467</v>
      </c>
      <c r="B14" s="469"/>
      <c r="C14" s="469"/>
      <c r="D14" s="469"/>
      <c r="E14" s="469"/>
      <c r="F14" s="469"/>
      <c r="G14" s="469"/>
      <c r="H14" s="469"/>
      <c r="I14" s="10"/>
      <c r="J14" s="10"/>
      <c r="K14" s="10"/>
      <c r="L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row>
    <row r="15" spans="1:56" ht="15.5" thickBot="1" x14ac:dyDescent="0.4">
      <c r="A15" s="351"/>
      <c r="B15" s="351"/>
      <c r="C15" s="351"/>
      <c r="D15" s="351"/>
      <c r="E15" s="351"/>
      <c r="F15" s="351"/>
      <c r="G15" s="351"/>
      <c r="H15" s="351"/>
      <c r="I15" s="10"/>
      <c r="J15" s="10"/>
      <c r="K15" s="10"/>
      <c r="L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row>
    <row r="16" spans="1:56" ht="28.5" customHeight="1" thickBot="1" x14ac:dyDescent="0.4">
      <c r="A16" s="463" t="s">
        <v>1468</v>
      </c>
      <c r="B16" s="464"/>
      <c r="C16" s="464"/>
      <c r="D16" s="465"/>
      <c r="I16" s="10"/>
      <c r="J16" s="10"/>
      <c r="K16" s="10"/>
      <c r="L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row>
    <row r="17" spans="1:56" ht="45.75" customHeight="1" thickBot="1" x14ac:dyDescent="0.4">
      <c r="A17" s="343" t="s">
        <v>1457</v>
      </c>
      <c r="B17" s="344" t="s">
        <v>1458</v>
      </c>
      <c r="C17" s="344" t="s">
        <v>1459</v>
      </c>
      <c r="D17" s="344" t="s">
        <v>1460</v>
      </c>
      <c r="E17" s="352"/>
      <c r="F17" s="353"/>
      <c r="G17" s="353"/>
      <c r="H17" s="353"/>
      <c r="I17" s="10"/>
      <c r="J17" s="10"/>
      <c r="K17" s="10"/>
      <c r="L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1:56" ht="15.5" thickBot="1" x14ac:dyDescent="0.4">
      <c r="A18" s="346" t="s">
        <v>1462</v>
      </c>
      <c r="B18" s="347">
        <v>52</v>
      </c>
      <c r="C18" s="354">
        <v>9.884615385</v>
      </c>
      <c r="D18" s="354">
        <v>11.42222222</v>
      </c>
      <c r="E18" s="355"/>
      <c r="F18" s="356"/>
      <c r="G18" s="356"/>
      <c r="H18" s="356"/>
      <c r="I18" s="10"/>
      <c r="J18" s="10"/>
      <c r="K18" s="10"/>
      <c r="L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ht="15.5" thickBot="1" x14ac:dyDescent="0.4">
      <c r="A19" s="346" t="s">
        <v>1463</v>
      </c>
      <c r="B19" s="347">
        <v>5</v>
      </c>
      <c r="C19" s="354">
        <v>15.2</v>
      </c>
      <c r="D19" s="354">
        <v>15.2</v>
      </c>
      <c r="I19" s="10"/>
      <c r="J19" s="10"/>
      <c r="K19" s="10"/>
      <c r="L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ht="15.5" thickBot="1" x14ac:dyDescent="0.4">
      <c r="A20" s="346" t="s">
        <v>1464</v>
      </c>
      <c r="B20" s="347">
        <v>111</v>
      </c>
      <c r="C20" s="354">
        <v>7.4864864860000004</v>
      </c>
      <c r="D20" s="354">
        <v>7.6944444440000002</v>
      </c>
      <c r="E20" s="352"/>
      <c r="F20" s="353"/>
      <c r="G20" s="353"/>
      <c r="H20" s="353"/>
      <c r="I20" s="10"/>
      <c r="J20" s="10"/>
      <c r="K20" s="10"/>
      <c r="L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ht="52.4" customHeight="1" thickBot="1" x14ac:dyDescent="0.4">
      <c r="A21" s="348" t="s">
        <v>1465</v>
      </c>
      <c r="B21" s="347">
        <v>19</v>
      </c>
      <c r="C21" s="354">
        <v>7.0526315789999998</v>
      </c>
      <c r="D21" s="354">
        <v>7.4444444440000002</v>
      </c>
      <c r="E21" s="357"/>
      <c r="F21" s="357"/>
      <c r="G21" s="357"/>
      <c r="H21" s="357"/>
      <c r="I21" s="10"/>
      <c r="J21" s="10"/>
      <c r="K21" s="10"/>
      <c r="L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ht="15.5" thickBot="1" x14ac:dyDescent="0.4">
      <c r="A22" s="346" t="s">
        <v>1466</v>
      </c>
      <c r="B22" s="347">
        <v>39</v>
      </c>
      <c r="C22" s="354">
        <v>17.410256409999999</v>
      </c>
      <c r="D22" s="354">
        <v>19.399999999999999</v>
      </c>
      <c r="E22" s="57"/>
      <c r="I22" s="10"/>
      <c r="J22" s="10"/>
      <c r="K22" s="10"/>
      <c r="L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ht="15.5" thickBot="1" x14ac:dyDescent="0.4">
      <c r="A23" s="349" t="s">
        <v>1452</v>
      </c>
      <c r="B23" s="350">
        <v>226</v>
      </c>
      <c r="C23" s="358">
        <v>11.406797971999998</v>
      </c>
      <c r="D23" s="358">
        <v>12.232222221599999</v>
      </c>
      <c r="I23" s="10"/>
      <c r="J23" s="10"/>
      <c r="K23" s="10"/>
      <c r="L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5">
      <c r="I24" s="10"/>
      <c r="J24" s="10"/>
      <c r="K24" s="10"/>
      <c r="L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x14ac:dyDescent="0.35">
      <c r="A25" s="469" t="s">
        <v>1469</v>
      </c>
      <c r="B25" s="469"/>
      <c r="C25" s="469"/>
      <c r="D25" s="469"/>
      <c r="E25" s="469"/>
      <c r="F25" s="469"/>
      <c r="G25" s="469"/>
      <c r="H25" s="469"/>
      <c r="I25" s="10"/>
      <c r="J25" s="10"/>
      <c r="K25" s="10"/>
      <c r="L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x14ac:dyDescent="0.35">
      <c r="A26" s="351" t="s">
        <v>1470</v>
      </c>
      <c r="B26" s="351"/>
      <c r="C26" s="351"/>
      <c r="D26" s="351"/>
      <c r="E26" s="351"/>
      <c r="F26" s="351"/>
      <c r="G26" s="351"/>
      <c r="H26" s="351"/>
      <c r="I26" s="10"/>
      <c r="J26" s="10"/>
      <c r="K26" s="10"/>
      <c r="L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15.5" thickBot="1" x14ac:dyDescent="0.4">
      <c r="A27" s="351"/>
      <c r="B27" s="351"/>
      <c r="C27" s="351"/>
      <c r="D27" s="351"/>
      <c r="E27" s="351"/>
      <c r="F27" s="351"/>
      <c r="G27" s="351"/>
      <c r="H27" s="351"/>
      <c r="I27" s="10"/>
      <c r="J27" s="10"/>
      <c r="K27" s="10"/>
      <c r="L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26.25" customHeight="1" thickBot="1" x14ac:dyDescent="0.4">
      <c r="A28" s="463" t="s">
        <v>1471</v>
      </c>
      <c r="B28" s="464"/>
      <c r="C28" s="464"/>
      <c r="D28" s="465"/>
      <c r="E28" s="351"/>
      <c r="F28" s="351"/>
      <c r="G28" s="351"/>
      <c r="H28" s="351"/>
      <c r="I28" s="10"/>
      <c r="J28" s="10"/>
      <c r="K28" s="10"/>
      <c r="L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48" customHeight="1" thickBot="1" x14ac:dyDescent="0.4">
      <c r="A29" s="343" t="s">
        <v>1457</v>
      </c>
      <c r="B29" s="344" t="s">
        <v>1458</v>
      </c>
      <c r="C29" s="344" t="s">
        <v>1459</v>
      </c>
      <c r="D29" s="344" t="s">
        <v>1460</v>
      </c>
      <c r="E29" s="351"/>
      <c r="F29" s="351"/>
      <c r="G29" s="351"/>
      <c r="H29" s="351"/>
      <c r="I29" s="10"/>
      <c r="J29" s="10"/>
      <c r="K29" s="10"/>
      <c r="L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5.5" thickBot="1" x14ac:dyDescent="0.4">
      <c r="A30" s="346" t="s">
        <v>1462</v>
      </c>
      <c r="B30" s="347">
        <v>59</v>
      </c>
      <c r="C30" s="354">
        <v>11.78</v>
      </c>
      <c r="D30" s="354">
        <v>35</v>
      </c>
      <c r="E30" s="351"/>
      <c r="F30" s="351"/>
      <c r="G30" s="351"/>
      <c r="H30" s="351"/>
      <c r="I30" s="10"/>
      <c r="J30" s="10"/>
      <c r="K30" s="10"/>
      <c r="L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15.5" thickBot="1" x14ac:dyDescent="0.4">
      <c r="A31" s="346" t="s">
        <v>1463</v>
      </c>
      <c r="B31" s="347">
        <v>13</v>
      </c>
      <c r="C31" s="354">
        <v>17.079999999999998</v>
      </c>
      <c r="D31" s="354">
        <v>64.540000000000006</v>
      </c>
      <c r="E31" s="351"/>
      <c r="F31" s="351"/>
      <c r="G31" s="351"/>
      <c r="H31" s="351"/>
      <c r="I31" s="10"/>
      <c r="J31" s="10"/>
      <c r="K31" s="10"/>
      <c r="L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5.5" thickBot="1" x14ac:dyDescent="0.4">
      <c r="A32" s="346" t="s">
        <v>1464</v>
      </c>
      <c r="B32" s="347">
        <v>146</v>
      </c>
      <c r="C32" s="354">
        <v>10.210000000000001</v>
      </c>
      <c r="D32" s="354">
        <v>18.420000000000002</v>
      </c>
      <c r="E32" s="351"/>
      <c r="F32" s="351"/>
      <c r="G32" s="351"/>
      <c r="H32" s="351"/>
      <c r="I32" s="10"/>
      <c r="J32" s="10"/>
      <c r="K32" s="10"/>
      <c r="L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44.9" customHeight="1" thickBot="1" x14ac:dyDescent="0.4">
      <c r="A33" s="348" t="s">
        <v>1465</v>
      </c>
      <c r="B33" s="347">
        <v>32</v>
      </c>
      <c r="C33" s="354">
        <v>4.91</v>
      </c>
      <c r="D33" s="354">
        <v>9.9700000000000006</v>
      </c>
      <c r="E33" s="351"/>
      <c r="F33" s="351"/>
      <c r="G33" s="351"/>
      <c r="H33" s="351"/>
      <c r="I33" s="10"/>
      <c r="J33" s="10"/>
      <c r="K33" s="10"/>
      <c r="L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ht="15.5" thickBot="1" x14ac:dyDescent="0.4">
      <c r="A34" s="346" t="s">
        <v>1466</v>
      </c>
      <c r="B34" s="347">
        <v>61</v>
      </c>
      <c r="C34" s="354">
        <v>50.8</v>
      </c>
      <c r="D34" s="354">
        <v>87.23</v>
      </c>
      <c r="E34" s="351"/>
      <c r="F34" s="351"/>
      <c r="G34" s="351"/>
      <c r="H34" s="351"/>
      <c r="I34" s="10"/>
      <c r="J34" s="10"/>
      <c r="K34" s="10"/>
      <c r="L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ht="15.5" thickBot="1" x14ac:dyDescent="0.4">
      <c r="A35" s="349" t="s">
        <v>1452</v>
      </c>
      <c r="B35" s="350">
        <v>311</v>
      </c>
      <c r="C35" s="358">
        <v>18.21</v>
      </c>
      <c r="D35" s="358">
        <v>36.119999999999997</v>
      </c>
      <c r="E35" s="351"/>
      <c r="F35" s="351"/>
      <c r="G35" s="351"/>
      <c r="H35" s="351"/>
      <c r="I35" s="10"/>
      <c r="J35" s="10"/>
      <c r="K35" s="10"/>
      <c r="L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x14ac:dyDescent="0.35">
      <c r="I36" s="10"/>
      <c r="J36" s="10"/>
      <c r="K36" s="10"/>
      <c r="L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x14ac:dyDescent="0.35">
      <c r="A37" s="359" t="s">
        <v>1472</v>
      </c>
      <c r="B37" s="359"/>
      <c r="C37" s="359"/>
      <c r="D37" s="359"/>
      <c r="E37" s="359"/>
      <c r="I37" s="10"/>
      <c r="J37" s="10"/>
      <c r="K37" s="10"/>
      <c r="L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x14ac:dyDescent="0.35">
      <c r="A38" s="359"/>
      <c r="B38" s="359"/>
      <c r="C38" s="359"/>
      <c r="D38" s="359"/>
      <c r="E38" s="359"/>
      <c r="I38" s="10"/>
      <c r="J38" s="10"/>
      <c r="K38" s="10"/>
      <c r="L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15.5" thickBot="1" x14ac:dyDescent="0.4">
      <c r="A39" s="359"/>
      <c r="B39" s="359"/>
      <c r="C39" s="359"/>
      <c r="D39" s="359"/>
      <c r="E39" s="359"/>
      <c r="I39" s="10"/>
      <c r="J39" s="10"/>
      <c r="K39" s="10"/>
      <c r="L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5.5" thickBot="1" x14ac:dyDescent="0.4">
      <c r="A40" s="463" t="s">
        <v>1473</v>
      </c>
      <c r="B40" s="464"/>
      <c r="C40" s="464"/>
      <c r="D40" s="465"/>
      <c r="E40" s="359"/>
      <c r="I40" s="10"/>
      <c r="J40" s="10"/>
      <c r="K40" s="10"/>
      <c r="L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45" customHeight="1" thickBot="1" x14ac:dyDescent="0.4">
      <c r="A41" s="343" t="s">
        <v>1457</v>
      </c>
      <c r="B41" s="344" t="s">
        <v>1458</v>
      </c>
      <c r="C41" s="344" t="s">
        <v>1459</v>
      </c>
      <c r="D41" s="344" t="s">
        <v>1460</v>
      </c>
      <c r="E41" s="359"/>
      <c r="I41" s="10"/>
      <c r="J41" s="10"/>
      <c r="K41" s="10"/>
      <c r="L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5.5" thickBot="1" x14ac:dyDescent="0.4">
      <c r="A42" s="346" t="s">
        <v>1462</v>
      </c>
      <c r="B42" s="347">
        <v>96</v>
      </c>
      <c r="C42" s="354">
        <v>14.614583333333334</v>
      </c>
      <c r="D42" s="354">
        <v>32.385416666666664</v>
      </c>
      <c r="E42" s="359"/>
      <c r="I42" s="10"/>
      <c r="J42" s="10"/>
      <c r="K42" s="10"/>
      <c r="L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15.5" thickBot="1" x14ac:dyDescent="0.4">
      <c r="A43" s="346" t="s">
        <v>1463</v>
      </c>
      <c r="B43" s="347">
        <v>5</v>
      </c>
      <c r="C43" s="354">
        <v>29</v>
      </c>
      <c r="D43" s="354">
        <v>57.6</v>
      </c>
      <c r="E43" s="359"/>
      <c r="I43" s="10"/>
      <c r="J43" s="10"/>
      <c r="K43" s="10"/>
      <c r="L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5.5" thickBot="1" x14ac:dyDescent="0.4">
      <c r="A44" s="346" t="s">
        <v>1464</v>
      </c>
      <c r="B44" s="347">
        <v>200</v>
      </c>
      <c r="C44" s="354">
        <v>12.205</v>
      </c>
      <c r="D44" s="354">
        <v>17.045000000000002</v>
      </c>
      <c r="E44" s="359"/>
      <c r="I44" s="10"/>
      <c r="J44" s="10"/>
      <c r="K44" s="10"/>
      <c r="L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29.5" thickBot="1" x14ac:dyDescent="0.4">
      <c r="A45" s="348" t="s">
        <v>1465</v>
      </c>
      <c r="B45" s="347">
        <v>19</v>
      </c>
      <c r="C45" s="354">
        <v>4.1052631578947372</v>
      </c>
      <c r="D45" s="354">
        <v>26</v>
      </c>
      <c r="E45" s="359"/>
      <c r="I45" s="10"/>
      <c r="J45" s="10"/>
      <c r="K45" s="10"/>
      <c r="L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ht="15.5" thickBot="1" x14ac:dyDescent="0.4">
      <c r="A46" s="346" t="s">
        <v>1466</v>
      </c>
      <c r="B46" s="347">
        <v>57</v>
      </c>
      <c r="C46" s="354">
        <v>43.210526315789473</v>
      </c>
      <c r="D46" s="354">
        <v>73.578947368421055</v>
      </c>
      <c r="E46" s="359"/>
      <c r="I46" s="10"/>
      <c r="J46" s="10"/>
      <c r="K46" s="10"/>
      <c r="L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ht="15.5" thickBot="1" x14ac:dyDescent="0.4">
      <c r="A47" s="349" t="s">
        <v>1452</v>
      </c>
      <c r="B47" s="350">
        <v>377</v>
      </c>
      <c r="C47" s="358">
        <v>17.320954907161802</v>
      </c>
      <c r="D47" s="358">
        <v>30.488063660477454</v>
      </c>
      <c r="E47" s="359"/>
      <c r="I47" s="10"/>
      <c r="J47" s="10"/>
      <c r="K47" s="10"/>
      <c r="L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x14ac:dyDescent="0.35">
      <c r="E48" s="359"/>
      <c r="I48" s="10"/>
      <c r="J48" s="10"/>
      <c r="K48" s="10"/>
      <c r="L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x14ac:dyDescent="0.35">
      <c r="A49" s="359" t="s">
        <v>1474</v>
      </c>
      <c r="B49" s="359"/>
      <c r="C49" s="359"/>
      <c r="D49" s="359"/>
      <c r="E49" s="359"/>
      <c r="I49" s="10"/>
      <c r="J49" s="10"/>
      <c r="K49" s="10"/>
      <c r="L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x14ac:dyDescent="0.35">
      <c r="A50" s="359"/>
      <c r="B50" s="359"/>
      <c r="C50" s="359"/>
      <c r="D50" s="359"/>
      <c r="E50" s="359"/>
      <c r="I50" s="10"/>
      <c r="J50" s="10"/>
      <c r="K50" s="10"/>
      <c r="L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15.5" thickBot="1" x14ac:dyDescent="0.4">
      <c r="A51" s="359"/>
      <c r="B51" s="359"/>
      <c r="C51" s="359"/>
      <c r="D51" s="359"/>
      <c r="E51" s="359"/>
      <c r="I51" s="10"/>
      <c r="J51" s="10"/>
      <c r="K51" s="10"/>
      <c r="L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15.5" thickBot="1" x14ac:dyDescent="0.4">
      <c r="A52" s="463" t="s">
        <v>1475</v>
      </c>
      <c r="B52" s="464"/>
      <c r="C52" s="464"/>
      <c r="D52" s="465"/>
      <c r="E52" s="359"/>
      <c r="I52" s="10"/>
      <c r="J52" s="10"/>
      <c r="K52" s="10"/>
      <c r="L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29.5" thickBot="1" x14ac:dyDescent="0.4">
      <c r="A53" s="343" t="s">
        <v>1457</v>
      </c>
      <c r="B53" s="344" t="s">
        <v>1458</v>
      </c>
      <c r="C53" s="344" t="s">
        <v>1459</v>
      </c>
      <c r="D53" s="344" t="s">
        <v>1460</v>
      </c>
      <c r="E53" s="359"/>
      <c r="I53" s="10"/>
      <c r="J53" s="10"/>
      <c r="K53" s="10"/>
      <c r="L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15.5" thickBot="1" x14ac:dyDescent="0.4">
      <c r="A54" s="346" t="s">
        <v>1462</v>
      </c>
      <c r="B54" s="347">
        <v>110</v>
      </c>
      <c r="C54" s="347">
        <v>14</v>
      </c>
      <c r="D54" s="354">
        <v>34.390909090909091</v>
      </c>
      <c r="E54" s="359"/>
      <c r="I54" s="10"/>
      <c r="J54" s="10"/>
      <c r="K54" s="10"/>
      <c r="L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ht="15.5" thickBot="1" x14ac:dyDescent="0.4">
      <c r="A55" s="346" t="s">
        <v>1463</v>
      </c>
      <c r="B55" s="347">
        <v>13</v>
      </c>
      <c r="C55" s="354">
        <v>20.46153846153846</v>
      </c>
      <c r="D55" s="347">
        <v>31</v>
      </c>
      <c r="E55" s="359"/>
      <c r="I55" s="10"/>
      <c r="J55" s="10"/>
      <c r="K55" s="10"/>
      <c r="L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ht="15.5" thickBot="1" x14ac:dyDescent="0.4">
      <c r="A56" s="346" t="s">
        <v>1464</v>
      </c>
      <c r="B56" s="347">
        <v>178</v>
      </c>
      <c r="C56" s="354">
        <v>10.258426966292134</v>
      </c>
      <c r="D56" s="354">
        <v>18.713483146067414</v>
      </c>
      <c r="E56" s="359"/>
      <c r="I56" s="10"/>
      <c r="J56" s="10"/>
      <c r="K56" s="10"/>
      <c r="L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29.5" thickBot="1" x14ac:dyDescent="0.4">
      <c r="A57" s="348" t="s">
        <v>1465</v>
      </c>
      <c r="B57" s="347">
        <v>17</v>
      </c>
      <c r="C57" s="354">
        <v>8.0588235294117645</v>
      </c>
      <c r="D57" s="354">
        <v>15.647058823529411</v>
      </c>
      <c r="E57" s="359"/>
      <c r="I57" s="10"/>
      <c r="J57" s="10"/>
      <c r="K57" s="10"/>
      <c r="L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ht="15.5" thickBot="1" x14ac:dyDescent="0.4">
      <c r="A58" s="346" t="s">
        <v>1466</v>
      </c>
      <c r="B58" s="347">
        <v>55</v>
      </c>
      <c r="C58" s="354">
        <v>62.18181818181818</v>
      </c>
      <c r="D58" s="354">
        <v>90.618181818181824</v>
      </c>
      <c r="E58" s="359"/>
      <c r="I58" s="10"/>
      <c r="J58" s="10"/>
      <c r="K58" s="10"/>
      <c r="L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ht="15.5" thickBot="1" x14ac:dyDescent="0.4">
      <c r="A59" s="349" t="s">
        <v>1452</v>
      </c>
      <c r="B59" s="350">
        <v>373</v>
      </c>
      <c r="C59" s="358">
        <v>19.273458445040216</v>
      </c>
      <c r="D59" s="358">
        <v>34.227882037533512</v>
      </c>
      <c r="E59" s="359"/>
      <c r="I59" s="10"/>
      <c r="J59" s="10"/>
      <c r="K59" s="10"/>
      <c r="L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x14ac:dyDescent="0.35">
      <c r="E60" s="359"/>
      <c r="I60" s="10"/>
      <c r="J60" s="10"/>
      <c r="K60" s="10"/>
      <c r="L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x14ac:dyDescent="0.35">
      <c r="A61" s="359" t="s">
        <v>1476</v>
      </c>
      <c r="B61" s="359"/>
      <c r="C61" s="359"/>
      <c r="D61" s="359"/>
      <c r="E61" s="359"/>
      <c r="I61" s="10"/>
      <c r="J61" s="10"/>
      <c r="K61" s="10"/>
      <c r="L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x14ac:dyDescent="0.35">
      <c r="A62" s="359"/>
      <c r="B62" s="359"/>
      <c r="C62" s="359"/>
      <c r="D62" s="359"/>
      <c r="E62" s="359"/>
      <c r="I62" s="10"/>
      <c r="J62" s="10"/>
      <c r="K62" s="10"/>
      <c r="L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ht="15.5" thickBot="1" x14ac:dyDescent="0.4">
      <c r="A63" s="359"/>
      <c r="B63" s="359"/>
      <c r="C63" s="359"/>
      <c r="D63" s="359"/>
      <c r="E63" s="359"/>
      <c r="I63" s="10"/>
      <c r="J63" s="10"/>
      <c r="K63" s="10"/>
      <c r="L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ht="15.5" thickBot="1" x14ac:dyDescent="0.4">
      <c r="A64" s="463" t="s">
        <v>1477</v>
      </c>
      <c r="B64" s="464"/>
      <c r="C64" s="464"/>
      <c r="D64" s="465"/>
      <c r="E64" s="359"/>
      <c r="I64" s="10"/>
      <c r="J64" s="10"/>
      <c r="K64" s="10"/>
      <c r="L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ht="29.5" thickBot="1" x14ac:dyDescent="0.4">
      <c r="A65" s="343" t="s">
        <v>1457</v>
      </c>
      <c r="B65" s="344" t="s">
        <v>1458</v>
      </c>
      <c r="C65" s="344" t="s">
        <v>1459</v>
      </c>
      <c r="D65" s="344" t="s">
        <v>1460</v>
      </c>
      <c r="E65" s="359"/>
      <c r="I65" s="10"/>
      <c r="J65" s="10"/>
      <c r="K65" s="10"/>
      <c r="L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ht="15.5" thickBot="1" x14ac:dyDescent="0.4">
      <c r="A66" s="346" t="s">
        <v>1462</v>
      </c>
      <c r="B66" s="347">
        <v>125</v>
      </c>
      <c r="C66" s="354">
        <v>14.151999999999999</v>
      </c>
      <c r="D66" s="354">
        <v>37.479999999999997</v>
      </c>
      <c r="E66" s="359"/>
      <c r="I66" s="10"/>
      <c r="J66" s="10"/>
      <c r="K66" s="10"/>
      <c r="L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ht="15.5" thickBot="1" x14ac:dyDescent="0.4">
      <c r="A67" s="346" t="s">
        <v>1463</v>
      </c>
      <c r="B67" s="347">
        <v>26</v>
      </c>
      <c r="C67" s="354">
        <v>15.76923076923077</v>
      </c>
      <c r="D67" s="354">
        <v>36.538461538461497</v>
      </c>
      <c r="E67" s="359"/>
      <c r="I67" s="10"/>
      <c r="J67" s="10"/>
      <c r="K67" s="10"/>
      <c r="L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ht="15.5" thickBot="1" x14ac:dyDescent="0.4">
      <c r="A68" s="346" t="s">
        <v>1464</v>
      </c>
      <c r="B68" s="347">
        <v>184</v>
      </c>
      <c r="C68" s="354">
        <v>11.804347826086957</v>
      </c>
      <c r="D68" s="354">
        <v>17.815217391304348</v>
      </c>
      <c r="E68" s="359"/>
      <c r="I68" s="10"/>
      <c r="J68" s="10"/>
      <c r="K68" s="10"/>
      <c r="L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ht="29.5" thickBot="1" x14ac:dyDescent="0.4">
      <c r="A69" s="348" t="s">
        <v>1465</v>
      </c>
      <c r="B69" s="347">
        <v>23</v>
      </c>
      <c r="C69" s="354">
        <v>14.478260869565217</v>
      </c>
      <c r="D69" s="354">
        <v>33.478260869565219</v>
      </c>
      <c r="E69" s="359"/>
      <c r="I69" s="10"/>
      <c r="J69" s="10"/>
      <c r="K69" s="10"/>
      <c r="L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ht="15.5" thickBot="1" x14ac:dyDescent="0.4">
      <c r="A70" s="346" t="s">
        <v>1466</v>
      </c>
      <c r="B70" s="347">
        <v>60</v>
      </c>
      <c r="C70" s="354">
        <v>68.38333333333334</v>
      </c>
      <c r="D70" s="354">
        <v>118.1</v>
      </c>
      <c r="E70" s="359"/>
      <c r="I70" s="10"/>
      <c r="J70" s="10"/>
      <c r="K70" s="10"/>
      <c r="L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ht="15.5" thickBot="1" x14ac:dyDescent="0.4">
      <c r="A71" s="349" t="s">
        <v>1452</v>
      </c>
      <c r="B71" s="350">
        <v>418</v>
      </c>
      <c r="C71" s="358">
        <v>21.02153110047847</v>
      </c>
      <c r="D71" s="358">
        <v>40.117224880382778</v>
      </c>
      <c r="E71" s="359"/>
      <c r="I71" s="10"/>
      <c r="J71" s="10"/>
      <c r="K71" s="10"/>
      <c r="L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x14ac:dyDescent="0.35">
      <c r="A72" s="359"/>
      <c r="B72" s="359"/>
      <c r="C72" s="359"/>
      <c r="D72" s="359"/>
      <c r="E72" s="359"/>
      <c r="I72" s="10"/>
      <c r="J72" s="10"/>
      <c r="K72" s="10"/>
      <c r="L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x14ac:dyDescent="0.35">
      <c r="A73" s="359" t="s">
        <v>1478</v>
      </c>
      <c r="B73" s="359"/>
      <c r="C73" s="359"/>
      <c r="D73" s="359"/>
      <c r="E73" s="359"/>
      <c r="I73" s="10"/>
      <c r="J73" s="10"/>
      <c r="K73" s="10"/>
      <c r="L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x14ac:dyDescent="0.35">
      <c r="A74" s="359"/>
      <c r="B74" s="359"/>
      <c r="C74" s="359"/>
      <c r="D74" s="359"/>
      <c r="E74" s="359"/>
      <c r="I74" s="10"/>
      <c r="J74" s="10"/>
      <c r="K74" s="10"/>
      <c r="L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ht="15.5" thickBot="1" x14ac:dyDescent="0.4">
      <c r="A75" s="359"/>
      <c r="B75" s="359"/>
      <c r="C75" s="359"/>
      <c r="D75" s="359"/>
      <c r="E75" s="359"/>
      <c r="I75" s="10"/>
      <c r="J75" s="10"/>
      <c r="K75" s="10"/>
      <c r="L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ht="15.5" thickBot="1" x14ac:dyDescent="0.4">
      <c r="A76" s="463" t="s">
        <v>1479</v>
      </c>
      <c r="B76" s="464"/>
      <c r="C76" s="464"/>
      <c r="D76" s="465"/>
      <c r="E76" s="359"/>
      <c r="I76" s="10"/>
      <c r="J76" s="10"/>
      <c r="K76" s="10"/>
      <c r="L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ht="29.5" thickBot="1" x14ac:dyDescent="0.4">
      <c r="A77" s="343" t="s">
        <v>1457</v>
      </c>
      <c r="B77" s="344" t="s">
        <v>1458</v>
      </c>
      <c r="C77" s="344" t="s">
        <v>1459</v>
      </c>
      <c r="D77" s="344" t="s">
        <v>1460</v>
      </c>
      <c r="E77" s="359"/>
      <c r="I77" s="10"/>
      <c r="J77" s="10"/>
      <c r="K77" s="10"/>
      <c r="L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ht="15.5" thickBot="1" x14ac:dyDescent="0.4">
      <c r="A78" s="346" t="s">
        <v>1462</v>
      </c>
      <c r="B78" s="347">
        <v>126</v>
      </c>
      <c r="C78" s="354">
        <v>13.365079365079366</v>
      </c>
      <c r="D78" s="354">
        <v>43.261904761904759</v>
      </c>
      <c r="E78" s="359"/>
      <c r="I78" s="10"/>
      <c r="J78" s="10"/>
      <c r="K78" s="10"/>
      <c r="L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ht="15.5" thickBot="1" x14ac:dyDescent="0.4">
      <c r="A79" s="346" t="s">
        <v>1463</v>
      </c>
      <c r="B79" s="347">
        <v>12</v>
      </c>
      <c r="C79" s="354">
        <v>15.916666666666666</v>
      </c>
      <c r="D79" s="354">
        <v>19.416666666666668</v>
      </c>
      <c r="E79" s="359"/>
      <c r="I79" s="10"/>
      <c r="J79" s="10"/>
      <c r="K79" s="10"/>
      <c r="L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ht="15.5" thickBot="1" x14ac:dyDescent="0.4">
      <c r="A80" s="346" t="s">
        <v>1464</v>
      </c>
      <c r="B80" s="347">
        <v>95</v>
      </c>
      <c r="C80" s="354">
        <v>14.684210526315789</v>
      </c>
      <c r="D80" s="354">
        <v>24.821052631578947</v>
      </c>
      <c r="E80" s="359"/>
      <c r="I80" s="10"/>
      <c r="J80" s="10"/>
      <c r="K80" s="10"/>
      <c r="L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ht="29.5" thickBot="1" x14ac:dyDescent="0.4">
      <c r="A81" s="348" t="s">
        <v>1465</v>
      </c>
      <c r="B81" s="347">
        <v>40</v>
      </c>
      <c r="C81" s="354">
        <v>7.85</v>
      </c>
      <c r="D81" s="354">
        <v>44.274999999999999</v>
      </c>
      <c r="E81" s="359"/>
      <c r="I81" s="10"/>
      <c r="J81" s="10"/>
      <c r="K81" s="10"/>
      <c r="L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ht="15.5" thickBot="1" x14ac:dyDescent="0.4">
      <c r="A82" s="346" t="s">
        <v>1466</v>
      </c>
      <c r="B82" s="347">
        <v>78</v>
      </c>
      <c r="C82" s="354">
        <v>53.756410256410255</v>
      </c>
      <c r="D82" s="354">
        <v>94.974358974358978</v>
      </c>
      <c r="E82" s="359"/>
      <c r="I82" s="10"/>
      <c r="J82" s="10"/>
      <c r="K82" s="10"/>
      <c r="L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ht="15.5" thickBot="1" x14ac:dyDescent="0.4">
      <c r="A83" s="349" t="s">
        <v>1452</v>
      </c>
      <c r="B83" s="350">
        <v>351</v>
      </c>
      <c r="C83" s="358">
        <v>22.156695156695157</v>
      </c>
      <c r="D83" s="358">
        <v>49.06267806267806</v>
      </c>
      <c r="E83" s="359"/>
      <c r="I83" s="10"/>
      <c r="J83" s="10"/>
      <c r="K83" s="10"/>
      <c r="L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x14ac:dyDescent="0.35">
      <c r="A84" s="359"/>
      <c r="B84" s="359"/>
      <c r="C84" s="359"/>
      <c r="D84" s="359"/>
      <c r="E84" s="359"/>
      <c r="I84" s="10"/>
      <c r="J84" s="10"/>
      <c r="K84" s="10"/>
      <c r="L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x14ac:dyDescent="0.35">
      <c r="A85" s="359" t="s">
        <v>1480</v>
      </c>
      <c r="B85" s="359"/>
      <c r="C85" s="359"/>
      <c r="D85" s="359"/>
      <c r="E85" s="359"/>
      <c r="I85" s="10"/>
      <c r="J85" s="10"/>
      <c r="K85" s="10"/>
      <c r="L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x14ac:dyDescent="0.35">
      <c r="A86" s="359"/>
      <c r="B86" s="359"/>
      <c r="C86" s="359"/>
      <c r="D86" s="359"/>
      <c r="E86" s="359"/>
      <c r="I86" s="10"/>
      <c r="J86" s="10"/>
      <c r="K86" s="10"/>
      <c r="L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ht="15.5" thickBot="1" x14ac:dyDescent="0.4">
      <c r="A87" s="359"/>
      <c r="B87" s="359"/>
      <c r="C87" s="359"/>
      <c r="D87" s="359"/>
      <c r="E87" s="359"/>
      <c r="I87" s="10"/>
      <c r="J87" s="10"/>
      <c r="K87" s="10"/>
      <c r="L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ht="15.5" thickBot="1" x14ac:dyDescent="0.4">
      <c r="A88" s="463" t="s">
        <v>1481</v>
      </c>
      <c r="B88" s="464"/>
      <c r="C88" s="464"/>
      <c r="D88" s="465"/>
      <c r="E88" s="359"/>
      <c r="I88" s="10"/>
      <c r="J88" s="10"/>
      <c r="K88" s="10"/>
      <c r="L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ht="29.5" thickBot="1" x14ac:dyDescent="0.4">
      <c r="A89" s="343" t="s">
        <v>1457</v>
      </c>
      <c r="B89" s="344" t="s">
        <v>1458</v>
      </c>
      <c r="C89" s="344" t="s">
        <v>1459</v>
      </c>
      <c r="D89" s="344" t="s">
        <v>1460</v>
      </c>
      <c r="E89" s="359"/>
      <c r="I89" s="10"/>
      <c r="J89" s="10"/>
      <c r="K89" s="10"/>
      <c r="L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ht="15.5" thickBot="1" x14ac:dyDescent="0.4">
      <c r="A90" s="346" t="s">
        <v>1462</v>
      </c>
      <c r="B90" s="347">
        <v>131</v>
      </c>
      <c r="C90" s="354">
        <v>13.557251908396946</v>
      </c>
      <c r="D90" s="354">
        <v>39.541984732824424</v>
      </c>
      <c r="E90" s="359"/>
      <c r="I90" s="10"/>
      <c r="J90" s="10"/>
      <c r="K90" s="10"/>
      <c r="L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ht="15.5" thickBot="1" x14ac:dyDescent="0.4">
      <c r="A91" s="346" t="s">
        <v>1463</v>
      </c>
      <c r="B91" s="347">
        <v>9</v>
      </c>
      <c r="C91" s="354">
        <v>19.666666666666668</v>
      </c>
      <c r="D91" s="354">
        <v>45.555555555555557</v>
      </c>
      <c r="E91" s="359"/>
      <c r="I91" s="10"/>
      <c r="J91" s="10"/>
      <c r="K91" s="10"/>
      <c r="L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ht="15.5" thickBot="1" x14ac:dyDescent="0.4">
      <c r="A92" s="346" t="s">
        <v>1464</v>
      </c>
      <c r="B92" s="347">
        <v>231</v>
      </c>
      <c r="C92" s="354">
        <v>11.103896103896103</v>
      </c>
      <c r="D92" s="354">
        <v>19.826839826839826</v>
      </c>
      <c r="E92" s="359"/>
      <c r="I92" s="10"/>
      <c r="J92" s="10"/>
      <c r="K92" s="10"/>
      <c r="L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ht="29.5" thickBot="1" x14ac:dyDescent="0.4">
      <c r="A93" s="348" t="s">
        <v>1465</v>
      </c>
      <c r="B93" s="347">
        <v>46</v>
      </c>
      <c r="C93" s="354">
        <v>7.1956521739130439</v>
      </c>
      <c r="D93" s="354">
        <v>28.195652173913043</v>
      </c>
      <c r="E93" s="359"/>
      <c r="I93" s="10"/>
      <c r="J93" s="10"/>
      <c r="K93" s="10"/>
      <c r="L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ht="15.5" thickBot="1" x14ac:dyDescent="0.4">
      <c r="A94" s="346" t="s">
        <v>1466</v>
      </c>
      <c r="B94" s="347">
        <v>80</v>
      </c>
      <c r="C94" s="354">
        <v>65.037499999999994</v>
      </c>
      <c r="D94" s="354">
        <v>105.7625</v>
      </c>
      <c r="E94" s="359"/>
      <c r="I94" s="10"/>
      <c r="J94" s="10"/>
      <c r="K94" s="10"/>
      <c r="L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ht="15.5" thickBot="1" x14ac:dyDescent="0.4">
      <c r="A95" s="349" t="s">
        <v>1452</v>
      </c>
      <c r="B95" s="350">
        <v>497</v>
      </c>
      <c r="C95" s="358">
        <v>20.225352112676056</v>
      </c>
      <c r="D95" s="358">
        <v>40.096579476861166</v>
      </c>
      <c r="E95" s="359"/>
      <c r="I95" s="10"/>
      <c r="J95" s="10"/>
      <c r="K95" s="10"/>
      <c r="L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x14ac:dyDescent="0.35">
      <c r="A96" s="359"/>
      <c r="B96" s="359"/>
      <c r="C96" s="359"/>
      <c r="D96" s="359"/>
      <c r="E96" s="359"/>
      <c r="I96" s="10"/>
      <c r="J96" s="10"/>
      <c r="K96" s="10"/>
      <c r="L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x14ac:dyDescent="0.35">
      <c r="A97" s="359" t="s">
        <v>1482</v>
      </c>
      <c r="B97" s="359"/>
      <c r="C97" s="359"/>
      <c r="D97" s="359"/>
      <c r="E97" s="359"/>
      <c r="I97" s="10"/>
      <c r="J97" s="10"/>
      <c r="K97" s="10"/>
      <c r="L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x14ac:dyDescent="0.35">
      <c r="A98" s="359"/>
      <c r="B98" s="359"/>
      <c r="C98" s="359"/>
      <c r="D98" s="359"/>
      <c r="E98" s="359"/>
      <c r="I98" s="10"/>
      <c r="J98" s="10"/>
      <c r="K98" s="10"/>
      <c r="L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ht="15.5" thickBot="1" x14ac:dyDescent="0.4">
      <c r="A99" s="359"/>
      <c r="B99" s="359"/>
      <c r="C99" s="359"/>
      <c r="D99" s="359"/>
      <c r="E99" s="359"/>
      <c r="I99" s="10"/>
      <c r="J99" s="10"/>
      <c r="K99" s="10"/>
      <c r="L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ht="15.5" thickBot="1" x14ac:dyDescent="0.4">
      <c r="A100" s="463" t="s">
        <v>1483</v>
      </c>
      <c r="B100" s="464"/>
      <c r="C100" s="464"/>
      <c r="D100" s="465"/>
      <c r="E100" s="359"/>
      <c r="I100" s="10"/>
      <c r="J100" s="10"/>
      <c r="K100" s="10"/>
      <c r="L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ht="29.5" thickBot="1" x14ac:dyDescent="0.4">
      <c r="A101" s="343" t="s">
        <v>1457</v>
      </c>
      <c r="B101" s="344" t="s">
        <v>1458</v>
      </c>
      <c r="C101" s="344" t="s">
        <v>1459</v>
      </c>
      <c r="D101" s="344" t="s">
        <v>1460</v>
      </c>
      <c r="E101" s="359"/>
      <c r="I101" s="10"/>
      <c r="J101" s="10"/>
      <c r="K101" s="10"/>
      <c r="L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ht="15.5" thickBot="1" x14ac:dyDescent="0.4">
      <c r="A102" s="346" t="s">
        <v>1462</v>
      </c>
      <c r="B102" s="347">
        <v>140</v>
      </c>
      <c r="C102" s="354">
        <v>30.09054034391535</v>
      </c>
      <c r="D102" s="354">
        <v>52.017708746693103</v>
      </c>
      <c r="E102" s="359"/>
      <c r="I102" s="10"/>
      <c r="J102" s="10"/>
      <c r="K102" s="10"/>
      <c r="L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ht="15.5" thickBot="1" x14ac:dyDescent="0.4">
      <c r="A103" s="346" t="s">
        <v>1463</v>
      </c>
      <c r="B103" s="347">
        <v>13</v>
      </c>
      <c r="C103" s="354">
        <v>84.17749821937322</v>
      </c>
      <c r="D103" s="354">
        <v>136.59158030626779</v>
      </c>
      <c r="E103" s="359"/>
      <c r="I103" s="10"/>
      <c r="J103" s="10"/>
      <c r="K103" s="10"/>
      <c r="L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ht="15.5" thickBot="1" x14ac:dyDescent="0.4">
      <c r="A104" s="346" t="s">
        <v>1484</v>
      </c>
      <c r="B104" s="347">
        <v>96</v>
      </c>
      <c r="C104" s="354">
        <v>13.575856119791666</v>
      </c>
      <c r="D104" s="354">
        <v>19.428074966242285</v>
      </c>
      <c r="E104" s="359"/>
      <c r="I104" s="10"/>
      <c r="J104" s="10"/>
      <c r="K104" s="10"/>
      <c r="L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ht="29.5" thickBot="1" x14ac:dyDescent="0.4">
      <c r="A105" s="348" t="s">
        <v>1465</v>
      </c>
      <c r="B105" s="347">
        <v>51</v>
      </c>
      <c r="C105" s="354">
        <v>20.052869462599855</v>
      </c>
      <c r="D105" s="354">
        <v>34.352804330065361</v>
      </c>
      <c r="E105" s="359"/>
      <c r="I105" s="10"/>
      <c r="J105" s="10"/>
      <c r="K105" s="10"/>
      <c r="L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ht="15.5" thickBot="1" x14ac:dyDescent="0.4">
      <c r="A106" s="346" t="s">
        <v>1466</v>
      </c>
      <c r="B106" s="347">
        <v>91</v>
      </c>
      <c r="C106" s="354">
        <v>117.87915801790803</v>
      </c>
      <c r="D106" s="354">
        <v>145.73506817256822</v>
      </c>
      <c r="E106" s="359"/>
      <c r="I106" s="10"/>
      <c r="J106" s="10"/>
      <c r="K106" s="10"/>
      <c r="L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ht="15.5" thickBot="1" x14ac:dyDescent="0.4">
      <c r="A107" s="349" t="s">
        <v>1452</v>
      </c>
      <c r="B107" s="350">
        <v>391</v>
      </c>
      <c r="C107" s="358">
        <v>46.956432313867566</v>
      </c>
      <c r="D107" s="358">
        <v>66.335419922800014</v>
      </c>
      <c r="E107" s="359"/>
      <c r="I107" s="10"/>
      <c r="J107" s="10"/>
      <c r="K107" s="10"/>
      <c r="L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x14ac:dyDescent="0.35">
      <c r="A108" s="359"/>
      <c r="B108" s="359"/>
      <c r="C108" s="359"/>
      <c r="D108" s="359"/>
      <c r="E108" s="359"/>
      <c r="I108" s="10"/>
      <c r="J108" s="10"/>
      <c r="K108" s="10"/>
      <c r="L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x14ac:dyDescent="0.35">
      <c r="A109" s="359" t="s">
        <v>1485</v>
      </c>
      <c r="B109" s="359"/>
      <c r="C109" s="359"/>
      <c r="D109" s="359"/>
      <c r="E109" s="359"/>
      <c r="I109" s="10"/>
      <c r="J109" s="10"/>
      <c r="K109" s="10"/>
      <c r="L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x14ac:dyDescent="0.35">
      <c r="A110" s="359"/>
      <c r="B110" s="359"/>
      <c r="C110" s="359"/>
      <c r="D110" s="359"/>
      <c r="E110" s="359"/>
      <c r="I110" s="10"/>
      <c r="J110" s="10"/>
      <c r="K110" s="10"/>
      <c r="L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ht="15.5" thickBot="1" x14ac:dyDescent="0.4">
      <c r="A111" s="359"/>
      <c r="B111" s="359"/>
      <c r="C111" s="359"/>
      <c r="D111" s="359"/>
      <c r="E111" s="359"/>
      <c r="I111" s="10"/>
      <c r="J111" s="10"/>
      <c r="K111" s="10"/>
      <c r="L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ht="15.5" thickBot="1" x14ac:dyDescent="0.4">
      <c r="A112" s="463" t="s">
        <v>1486</v>
      </c>
      <c r="B112" s="464"/>
      <c r="C112" s="464"/>
      <c r="D112" s="465"/>
      <c r="E112" s="359"/>
      <c r="I112" s="10"/>
      <c r="J112" s="10"/>
      <c r="K112" s="10"/>
      <c r="L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ht="29.5" thickBot="1" x14ac:dyDescent="0.4">
      <c r="A113" s="343" t="s">
        <v>1457</v>
      </c>
      <c r="B113" s="344" t="s">
        <v>1458</v>
      </c>
      <c r="C113" s="344" t="s">
        <v>1459</v>
      </c>
      <c r="D113" s="344" t="s">
        <v>1460</v>
      </c>
      <c r="E113" s="359"/>
      <c r="I113" s="10"/>
      <c r="J113" s="10"/>
      <c r="K113" s="10"/>
      <c r="L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ht="15.5" thickBot="1" x14ac:dyDescent="0.4">
      <c r="A114" s="346" t="s">
        <v>1462</v>
      </c>
      <c r="B114" s="347">
        <v>167</v>
      </c>
      <c r="C114" s="354">
        <v>30.496791417165674</v>
      </c>
      <c r="D114" s="354">
        <v>43.280074573076057</v>
      </c>
      <c r="E114" s="359"/>
      <c r="I114" s="10"/>
      <c r="J114" s="10"/>
      <c r="K114" s="10"/>
      <c r="L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ht="15.5" thickBot="1" x14ac:dyDescent="0.4">
      <c r="A115" s="346" t="s">
        <v>1463</v>
      </c>
      <c r="B115" s="347">
        <v>28</v>
      </c>
      <c r="C115" s="354">
        <v>53.039998346560843</v>
      </c>
      <c r="D115" s="354">
        <v>79.322636408730162</v>
      </c>
      <c r="E115" s="359"/>
      <c r="I115" s="10"/>
      <c r="J115" s="10"/>
      <c r="K115" s="10"/>
      <c r="L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ht="15.5" thickBot="1" x14ac:dyDescent="0.4">
      <c r="A116" s="346" t="s">
        <v>1484</v>
      </c>
      <c r="B116" s="347">
        <v>76</v>
      </c>
      <c r="C116" s="354">
        <v>17.020504385964916</v>
      </c>
      <c r="D116" s="354">
        <v>22.364155854044846</v>
      </c>
      <c r="E116" s="359"/>
      <c r="I116" s="10"/>
      <c r="J116" s="10"/>
      <c r="K116" s="10"/>
      <c r="L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ht="29.5" thickBot="1" x14ac:dyDescent="0.4">
      <c r="A117" s="348" t="s">
        <v>1465</v>
      </c>
      <c r="B117" s="347">
        <v>63</v>
      </c>
      <c r="C117" s="354">
        <v>24.704727917401531</v>
      </c>
      <c r="D117" s="354">
        <v>37.624253380364486</v>
      </c>
      <c r="E117" s="359"/>
      <c r="I117" s="10"/>
      <c r="J117" s="10"/>
      <c r="K117" s="10"/>
      <c r="L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ht="15.5" thickBot="1" x14ac:dyDescent="0.4">
      <c r="A118" s="346" t="s">
        <v>1466</v>
      </c>
      <c r="B118" s="347">
        <v>112</v>
      </c>
      <c r="C118" s="354">
        <v>86.869546647652129</v>
      </c>
      <c r="D118" s="354">
        <v>97.625310019841308</v>
      </c>
      <c r="E118" s="359"/>
      <c r="I118" s="10"/>
      <c r="J118" s="10"/>
      <c r="K118" s="10"/>
      <c r="L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ht="15.5" thickBot="1" x14ac:dyDescent="0.4">
      <c r="A119" s="349" t="s">
        <v>1452</v>
      </c>
      <c r="B119" s="350">
        <v>446</v>
      </c>
      <c r="C119" s="358">
        <v>42.953877885733277</v>
      </c>
      <c r="D119" s="358">
        <v>54.82700628529318</v>
      </c>
      <c r="E119" s="359"/>
      <c r="I119" s="10"/>
      <c r="J119" s="10"/>
      <c r="K119" s="10"/>
      <c r="L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x14ac:dyDescent="0.35">
      <c r="A120" s="359"/>
      <c r="B120" s="359"/>
      <c r="C120" s="359"/>
      <c r="D120" s="359"/>
      <c r="E120" s="359"/>
      <c r="I120" s="10"/>
      <c r="J120" s="10"/>
      <c r="K120" s="10"/>
      <c r="L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x14ac:dyDescent="0.35">
      <c r="A121" s="359" t="s">
        <v>1487</v>
      </c>
      <c r="B121" s="359"/>
      <c r="C121" s="359"/>
      <c r="D121" s="359"/>
      <c r="E121" s="359"/>
      <c r="I121" s="10"/>
      <c r="J121" s="10"/>
      <c r="K121" s="10"/>
      <c r="L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x14ac:dyDescent="0.35">
      <c r="A122" s="359"/>
      <c r="B122" s="359"/>
      <c r="D122" s="359"/>
      <c r="E122" s="359"/>
      <c r="I122" s="10"/>
      <c r="J122" s="10"/>
      <c r="K122" s="10"/>
      <c r="L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ht="15.5" thickBot="1" x14ac:dyDescent="0.4">
      <c r="A123" s="359"/>
      <c r="B123" s="359"/>
      <c r="C123" s="359"/>
      <c r="D123" s="359"/>
      <c r="E123" s="359"/>
      <c r="I123" s="10"/>
      <c r="J123" s="10"/>
      <c r="K123" s="10"/>
      <c r="L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ht="15.5" thickBot="1" x14ac:dyDescent="0.4">
      <c r="A124" s="463" t="s">
        <v>1488</v>
      </c>
      <c r="B124" s="464"/>
      <c r="C124" s="464"/>
      <c r="D124" s="465"/>
      <c r="E124" s="359"/>
      <c r="I124" s="10"/>
      <c r="J124" s="10"/>
      <c r="K124" s="10"/>
      <c r="L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ht="29.5" thickBot="1" x14ac:dyDescent="0.4">
      <c r="A125" s="343" t="s">
        <v>1457</v>
      </c>
      <c r="B125" s="344" t="s">
        <v>1458</v>
      </c>
      <c r="C125" s="344" t="s">
        <v>1459</v>
      </c>
      <c r="D125" s="344" t="s">
        <v>1460</v>
      </c>
      <c r="E125" s="359"/>
      <c r="I125" s="10"/>
      <c r="J125" s="10"/>
      <c r="K125" s="10"/>
      <c r="L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ht="15.5" thickBot="1" x14ac:dyDescent="0.4">
      <c r="A126" s="346" t="s">
        <v>1462</v>
      </c>
      <c r="B126" s="347">
        <v>227</v>
      </c>
      <c r="C126" s="354">
        <v>26.80917018477729</v>
      </c>
      <c r="D126" s="354">
        <v>30.277023044499728</v>
      </c>
      <c r="E126" s="359"/>
      <c r="I126" s="10"/>
      <c r="J126" s="10"/>
      <c r="K126" s="10"/>
      <c r="L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ht="15.5" thickBot="1" x14ac:dyDescent="0.4">
      <c r="A127" s="346" t="s">
        <v>1463</v>
      </c>
      <c r="B127" s="347">
        <v>30</v>
      </c>
      <c r="C127" s="354">
        <v>54.698950617283955</v>
      </c>
      <c r="D127" s="354">
        <v>56.585121328224787</v>
      </c>
      <c r="E127" s="359"/>
      <c r="I127" s="10"/>
      <c r="J127" s="10"/>
      <c r="K127" s="10"/>
      <c r="L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ht="15.5" thickBot="1" x14ac:dyDescent="0.4">
      <c r="A128" s="346" t="s">
        <v>1484</v>
      </c>
      <c r="B128" s="347">
        <v>104</v>
      </c>
      <c r="C128" s="354">
        <v>17.958786725427352</v>
      </c>
      <c r="D128" s="354">
        <v>18.677138194444446</v>
      </c>
      <c r="E128" s="359"/>
      <c r="I128" s="10"/>
      <c r="J128" s="10"/>
      <c r="K128" s="10"/>
      <c r="L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ht="29.5" thickBot="1" x14ac:dyDescent="0.4">
      <c r="A129" s="348" t="s">
        <v>1465</v>
      </c>
      <c r="B129" s="347">
        <v>71</v>
      </c>
      <c r="C129" s="354">
        <v>26.996334441836201</v>
      </c>
      <c r="D129" s="354">
        <v>28.608055901050303</v>
      </c>
      <c r="E129" s="359"/>
      <c r="I129" s="10"/>
      <c r="J129" s="10"/>
      <c r="K129" s="10"/>
      <c r="L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ht="15.5" thickBot="1" x14ac:dyDescent="0.4">
      <c r="A130" s="346" t="s">
        <v>1466</v>
      </c>
      <c r="B130" s="347">
        <v>113</v>
      </c>
      <c r="C130" s="354">
        <v>78.685321923139981</v>
      </c>
      <c r="D130" s="354">
        <v>88.914413773148169</v>
      </c>
      <c r="E130" s="359"/>
      <c r="I130" s="10"/>
      <c r="J130" s="10"/>
      <c r="K130" s="10"/>
      <c r="L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row>
    <row r="131" spans="1:56" ht="15.5" thickBot="1" x14ac:dyDescent="0.4">
      <c r="A131" s="349" t="s">
        <v>1452</v>
      </c>
      <c r="B131" s="350">
        <v>545</v>
      </c>
      <c r="C131" s="358">
        <v>37.435862555215763</v>
      </c>
      <c r="D131" s="358">
        <v>43.502228342414924</v>
      </c>
      <c r="E131" s="359"/>
      <c r="I131" s="10"/>
      <c r="J131" s="10"/>
      <c r="K131" s="10"/>
      <c r="L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row>
    <row r="132" spans="1:56" x14ac:dyDescent="0.35">
      <c r="A132" s="359"/>
      <c r="B132" s="359"/>
      <c r="C132" s="359"/>
      <c r="D132" s="359"/>
      <c r="E132" s="359"/>
      <c r="I132" s="10"/>
      <c r="J132" s="10"/>
      <c r="K132" s="10"/>
      <c r="L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row>
    <row r="133" spans="1:56" x14ac:dyDescent="0.35">
      <c r="A133" s="359" t="s">
        <v>1489</v>
      </c>
      <c r="B133" s="359"/>
      <c r="C133" s="359"/>
      <c r="D133" s="359"/>
      <c r="E133" s="359"/>
      <c r="I133" s="10"/>
      <c r="J133" s="10"/>
      <c r="K133" s="10"/>
      <c r="L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row>
    <row r="134" spans="1:56" x14ac:dyDescent="0.35">
      <c r="A134" s="359"/>
      <c r="B134" s="359"/>
      <c r="C134" s="359"/>
      <c r="D134" s="359"/>
      <c r="E134" s="359"/>
      <c r="I134" s="10"/>
      <c r="J134" s="10"/>
      <c r="K134" s="10"/>
      <c r="L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row>
    <row r="135" spans="1:56" ht="15.5" thickBot="1" x14ac:dyDescent="0.4"/>
    <row r="136" spans="1:56" ht="15.5" thickBot="1" x14ac:dyDescent="0.4">
      <c r="A136" s="463" t="s">
        <v>1490</v>
      </c>
      <c r="B136" s="464"/>
      <c r="C136" s="464"/>
      <c r="D136" s="465"/>
      <c r="E136" s="359"/>
      <c r="I136" s="10"/>
      <c r="J136" s="10"/>
      <c r="K136" s="10"/>
      <c r="L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row>
    <row r="137" spans="1:56" ht="29.5" thickBot="1" x14ac:dyDescent="0.4">
      <c r="A137" s="343" t="s">
        <v>1457</v>
      </c>
      <c r="B137" s="344" t="s">
        <v>1458</v>
      </c>
      <c r="C137" s="344" t="s">
        <v>1459</v>
      </c>
      <c r="D137" s="344" t="s">
        <v>1460</v>
      </c>
      <c r="E137" s="359"/>
      <c r="I137" s="10"/>
      <c r="J137" s="10"/>
      <c r="K137" s="10"/>
      <c r="L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row>
    <row r="138" spans="1:56" ht="15.5" thickBot="1" x14ac:dyDescent="0.4">
      <c r="A138" s="346" t="s">
        <v>1462</v>
      </c>
      <c r="B138" s="347">
        <v>217</v>
      </c>
      <c r="C138" s="354">
        <v>29.896837344256692</v>
      </c>
      <c r="D138" s="354">
        <v>37.285136228182196</v>
      </c>
      <c r="E138" s="359"/>
      <c r="I138" s="10"/>
      <c r="J138" s="10"/>
      <c r="K138" s="10"/>
      <c r="L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row>
    <row r="139" spans="1:56" ht="15.5" thickBot="1" x14ac:dyDescent="0.4">
      <c r="A139" s="346" t="s">
        <v>1463</v>
      </c>
      <c r="B139" s="347">
        <v>32</v>
      </c>
      <c r="C139" s="354">
        <v>55.759871961805551</v>
      </c>
      <c r="D139" s="354">
        <v>71.372636111111106</v>
      </c>
      <c r="E139" s="359"/>
      <c r="I139" s="10"/>
      <c r="J139" s="10"/>
      <c r="K139" s="10"/>
      <c r="L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row>
    <row r="140" spans="1:56" ht="15.5" thickBot="1" x14ac:dyDescent="0.4">
      <c r="A140" s="346" t="s">
        <v>1484</v>
      </c>
      <c r="B140" s="347">
        <v>61</v>
      </c>
      <c r="C140" s="354">
        <v>17.079201388888894</v>
      </c>
      <c r="D140" s="354">
        <v>19.657194051362691</v>
      </c>
      <c r="E140" s="359"/>
      <c r="I140" s="10"/>
      <c r="J140" s="10"/>
      <c r="K140" s="10"/>
      <c r="L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row>
    <row r="141" spans="1:56" ht="29.5" thickBot="1" x14ac:dyDescent="0.4">
      <c r="A141" s="348" t="s">
        <v>1465</v>
      </c>
      <c r="B141" s="347">
        <v>69</v>
      </c>
      <c r="C141" s="354">
        <v>38.828809883252809</v>
      </c>
      <c r="D141" s="354">
        <v>44.653131365740727</v>
      </c>
      <c r="E141" s="359"/>
      <c r="I141" s="10"/>
      <c r="J141" s="10"/>
      <c r="K141" s="10"/>
      <c r="L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row>
    <row r="142" spans="1:56" ht="15.5" thickBot="1" x14ac:dyDescent="0.4">
      <c r="A142" s="346" t="s">
        <v>1466</v>
      </c>
      <c r="B142" s="347">
        <v>96</v>
      </c>
      <c r="C142" s="354">
        <v>84.002954764660487</v>
      </c>
      <c r="D142" s="354">
        <v>90.609928734914689</v>
      </c>
      <c r="E142" s="359"/>
      <c r="I142" s="10"/>
      <c r="J142" s="10"/>
      <c r="K142" s="10"/>
      <c r="L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row>
    <row r="143" spans="1:56" ht="15.5" thickBot="1" x14ac:dyDescent="0.4">
      <c r="A143" s="349" t="s">
        <v>1452</v>
      </c>
      <c r="B143" s="350">
        <v>475</v>
      </c>
      <c r="C143" s="358">
        <v>42.225752485380141</v>
      </c>
      <c r="D143" s="358">
        <v>50.018035986422859</v>
      </c>
      <c r="E143" s="359"/>
      <c r="I143" s="10"/>
      <c r="J143" s="10"/>
      <c r="K143" s="10"/>
      <c r="L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row>
    <row r="144" spans="1:56" x14ac:dyDescent="0.35">
      <c r="A144" s="359"/>
      <c r="B144" s="359"/>
      <c r="C144" s="359"/>
      <c r="D144" s="359"/>
      <c r="E144" s="359"/>
      <c r="I144" s="10"/>
      <c r="J144" s="10"/>
      <c r="K144" s="10"/>
      <c r="L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row>
    <row r="145" spans="1:56" x14ac:dyDescent="0.35">
      <c r="A145" s="359" t="s">
        <v>1491</v>
      </c>
      <c r="B145" s="359"/>
      <c r="C145" s="359"/>
      <c r="D145" s="359"/>
      <c r="E145" s="359"/>
      <c r="I145" s="10"/>
      <c r="J145" s="10"/>
      <c r="K145" s="10"/>
      <c r="L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row>
    <row r="146" spans="1:56" x14ac:dyDescent="0.35">
      <c r="A146" s="359"/>
      <c r="B146" s="359"/>
      <c r="C146" s="359"/>
      <c r="D146" s="359"/>
      <c r="E146" s="359"/>
      <c r="I146" s="10"/>
      <c r="J146" s="10"/>
      <c r="K146" s="10"/>
      <c r="L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row>
    <row r="147" spans="1:56" ht="15.5" thickBot="1" x14ac:dyDescent="0.4">
      <c r="A147" s="359"/>
      <c r="B147" s="359"/>
      <c r="C147" s="359"/>
      <c r="D147" s="359"/>
      <c r="E147" s="359"/>
      <c r="I147" s="10"/>
      <c r="J147" s="10"/>
      <c r="K147" s="10"/>
      <c r="L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row>
    <row r="148" spans="1:56" ht="15.5" thickBot="1" x14ac:dyDescent="0.4">
      <c r="A148" s="463" t="s">
        <v>1492</v>
      </c>
      <c r="B148" s="464"/>
      <c r="C148" s="464"/>
      <c r="D148" s="465"/>
      <c r="E148" s="359"/>
      <c r="I148" s="10"/>
      <c r="J148" s="10"/>
      <c r="K148" s="10"/>
      <c r="L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row>
    <row r="149" spans="1:56" ht="29.5" thickBot="1" x14ac:dyDescent="0.4">
      <c r="A149" s="343" t="s">
        <v>1457</v>
      </c>
      <c r="B149" s="344" t="s">
        <v>1458</v>
      </c>
      <c r="C149" s="344" t="s">
        <v>1459</v>
      </c>
      <c r="D149" s="344" t="s">
        <v>1460</v>
      </c>
      <c r="E149" s="359"/>
      <c r="I149" s="10"/>
      <c r="J149" s="10"/>
      <c r="K149" s="10"/>
      <c r="L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1:56" ht="15.5" thickBot="1" x14ac:dyDescent="0.4">
      <c r="A150" s="346" t="s">
        <v>1462</v>
      </c>
      <c r="B150" s="347">
        <v>170</v>
      </c>
      <c r="C150" s="354">
        <v>33.082036492374733</v>
      </c>
      <c r="D150" s="354">
        <v>41.05070221681536</v>
      </c>
      <c r="E150" s="359"/>
      <c r="I150" s="10"/>
      <c r="J150" s="10"/>
      <c r="K150" s="10"/>
      <c r="L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row>
    <row r="151" spans="1:56" ht="15.5" thickBot="1" x14ac:dyDescent="0.4">
      <c r="A151" s="346" t="s">
        <v>1463</v>
      </c>
      <c r="B151" s="347">
        <v>40</v>
      </c>
      <c r="C151" s="354">
        <v>55.915337094907407</v>
      </c>
      <c r="D151" s="354">
        <v>60.449013075575579</v>
      </c>
      <c r="E151" s="359"/>
      <c r="I151" s="10"/>
      <c r="J151" s="10"/>
      <c r="K151" s="10"/>
      <c r="L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row>
    <row r="152" spans="1:56" ht="15.5" thickBot="1" x14ac:dyDescent="0.4">
      <c r="A152" s="346" t="s">
        <v>1484</v>
      </c>
      <c r="B152" s="347">
        <v>90</v>
      </c>
      <c r="C152" s="354">
        <v>8.4658746141975278</v>
      </c>
      <c r="D152" s="354">
        <v>9.179864039491294</v>
      </c>
      <c r="E152" s="359"/>
      <c r="I152" s="10"/>
      <c r="J152" s="10"/>
      <c r="K152" s="10"/>
      <c r="L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row>
    <row r="153" spans="1:56" ht="29.5" thickBot="1" x14ac:dyDescent="0.4">
      <c r="A153" s="348" t="s">
        <v>1465</v>
      </c>
      <c r="B153" s="347">
        <v>85</v>
      </c>
      <c r="C153" s="354">
        <v>34.169700435729844</v>
      </c>
      <c r="D153" s="354">
        <v>39.248980230230224</v>
      </c>
      <c r="E153" s="359"/>
      <c r="I153" s="10"/>
      <c r="J153" s="10"/>
      <c r="K153" s="10"/>
      <c r="L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row>
    <row r="154" spans="1:56" ht="15.5" thickBot="1" x14ac:dyDescent="0.4">
      <c r="A154" s="346" t="s">
        <v>1466</v>
      </c>
      <c r="B154" s="347">
        <v>105</v>
      </c>
      <c r="C154" s="354">
        <v>68.099399250440896</v>
      </c>
      <c r="D154" s="354">
        <v>76.068477886130793</v>
      </c>
      <c r="E154" s="359"/>
      <c r="I154" s="10"/>
      <c r="J154" s="10"/>
      <c r="K154" s="10"/>
      <c r="L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row>
    <row r="155" spans="1:56" ht="15.5" thickBot="1" x14ac:dyDescent="0.4">
      <c r="A155" s="349" t="s">
        <v>1452</v>
      </c>
      <c r="B155" s="350">
        <v>490</v>
      </c>
      <c r="C155" s="358">
        <v>38.117040532879855</v>
      </c>
      <c r="D155" s="358">
        <v>43.946705555555596</v>
      </c>
      <c r="E155" s="359"/>
      <c r="I155" s="10"/>
      <c r="J155" s="10"/>
      <c r="K155" s="10"/>
      <c r="L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row>
    <row r="156" spans="1:56" x14ac:dyDescent="0.35">
      <c r="A156" s="359"/>
      <c r="B156" s="359"/>
      <c r="C156" s="359"/>
      <c r="D156" s="359"/>
      <c r="E156" s="359"/>
      <c r="I156" s="10"/>
      <c r="J156" s="10"/>
      <c r="K156" s="10"/>
      <c r="L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row>
    <row r="157" spans="1:56" x14ac:dyDescent="0.35">
      <c r="A157" s="359" t="s">
        <v>1493</v>
      </c>
      <c r="B157" s="359"/>
      <c r="C157" s="359"/>
      <c r="D157" s="359"/>
      <c r="E157" s="359"/>
      <c r="I157" s="10"/>
      <c r="J157" s="10"/>
      <c r="K157" s="10"/>
      <c r="L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row>
    <row r="158" spans="1:56" x14ac:dyDescent="0.35">
      <c r="A158" s="359"/>
      <c r="B158" s="359"/>
      <c r="C158" s="359"/>
      <c r="D158" s="359"/>
      <c r="E158" s="359"/>
      <c r="I158" s="10"/>
      <c r="J158" s="10"/>
      <c r="K158" s="10"/>
      <c r="L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row>
    <row r="159" spans="1:56" ht="15.5" thickBot="1" x14ac:dyDescent="0.4">
      <c r="A159" s="359"/>
      <c r="B159" s="359"/>
      <c r="C159" s="359"/>
      <c r="D159" s="359"/>
      <c r="E159" s="359"/>
      <c r="I159" s="10"/>
      <c r="J159" s="10"/>
      <c r="K159" s="10"/>
      <c r="L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row>
    <row r="160" spans="1:56" ht="15.5" thickBot="1" x14ac:dyDescent="0.4">
      <c r="A160" s="463" t="s">
        <v>1494</v>
      </c>
      <c r="B160" s="464"/>
      <c r="C160" s="464"/>
      <c r="D160" s="465"/>
      <c r="E160" s="359"/>
      <c r="I160" s="10"/>
      <c r="J160" s="10"/>
      <c r="K160" s="10"/>
      <c r="L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row>
    <row r="161" spans="1:56" ht="29.5" thickBot="1" x14ac:dyDescent="0.4">
      <c r="A161" s="343" t="s">
        <v>1457</v>
      </c>
      <c r="B161" s="344" t="s">
        <v>1458</v>
      </c>
      <c r="C161" s="344" t="s">
        <v>1459</v>
      </c>
      <c r="D161" s="344" t="s">
        <v>1460</v>
      </c>
      <c r="E161" s="359"/>
      <c r="I161" s="10"/>
      <c r="J161" s="10"/>
      <c r="K161" s="10"/>
      <c r="L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row>
    <row r="162" spans="1:56" ht="15.5" thickBot="1" x14ac:dyDescent="0.4">
      <c r="A162" s="346" t="s">
        <v>1462</v>
      </c>
      <c r="B162" s="347">
        <v>162</v>
      </c>
      <c r="C162" s="354">
        <v>35.07</v>
      </c>
      <c r="D162" s="354">
        <v>50.28</v>
      </c>
      <c r="E162" s="359"/>
      <c r="I162" s="10"/>
      <c r="J162" s="10"/>
      <c r="K162" s="10"/>
      <c r="L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row>
    <row r="163" spans="1:56" ht="15.5" thickBot="1" x14ac:dyDescent="0.4">
      <c r="A163" s="346" t="s">
        <v>1463</v>
      </c>
      <c r="B163" s="347">
        <v>45</v>
      </c>
      <c r="C163" s="354">
        <v>86.56</v>
      </c>
      <c r="D163" s="354">
        <v>114.57</v>
      </c>
      <c r="E163" s="359"/>
      <c r="I163" s="10"/>
      <c r="J163" s="10"/>
      <c r="K163" s="10"/>
      <c r="L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row>
    <row r="164" spans="1:56" ht="15.5" thickBot="1" x14ac:dyDescent="0.4">
      <c r="A164" s="346" t="s">
        <v>1484</v>
      </c>
      <c r="B164" s="347">
        <v>131</v>
      </c>
      <c r="C164" s="354">
        <v>11.53</v>
      </c>
      <c r="D164" s="354">
        <v>14.39</v>
      </c>
      <c r="E164" s="359"/>
      <c r="I164" s="10"/>
      <c r="J164" s="10"/>
      <c r="K164" s="10"/>
      <c r="L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row>
    <row r="165" spans="1:56" ht="29.5" thickBot="1" x14ac:dyDescent="0.4">
      <c r="A165" s="348" t="s">
        <v>1465</v>
      </c>
      <c r="B165" s="347">
        <v>106</v>
      </c>
      <c r="C165" s="354">
        <v>19.5</v>
      </c>
      <c r="D165" s="354">
        <v>24.61</v>
      </c>
      <c r="E165" s="359"/>
      <c r="I165" s="10"/>
      <c r="J165" s="10"/>
      <c r="K165" s="10"/>
      <c r="L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row>
    <row r="166" spans="1:56" ht="15.5" thickBot="1" x14ac:dyDescent="0.4">
      <c r="A166" s="346" t="s">
        <v>1466</v>
      </c>
      <c r="B166" s="347">
        <v>122</v>
      </c>
      <c r="C166" s="354">
        <v>94.72</v>
      </c>
      <c r="D166" s="354">
        <v>120.38</v>
      </c>
      <c r="E166" s="359"/>
      <c r="I166" s="10"/>
      <c r="J166" s="10"/>
      <c r="K166" s="10"/>
      <c r="L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row>
    <row r="167" spans="1:56" ht="15.5" thickBot="1" x14ac:dyDescent="0.4">
      <c r="A167" s="349" t="s">
        <v>1452</v>
      </c>
      <c r="B167" s="350">
        <v>566</v>
      </c>
      <c r="C167" s="358">
        <v>49.48</v>
      </c>
      <c r="D167" s="358">
        <v>64.849999999999994</v>
      </c>
      <c r="E167" s="359"/>
      <c r="I167" s="10"/>
      <c r="J167" s="10"/>
      <c r="K167" s="10"/>
      <c r="L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row>
    <row r="168" spans="1:56" x14ac:dyDescent="0.35">
      <c r="A168" s="359"/>
      <c r="B168" s="359"/>
      <c r="C168" s="359"/>
      <c r="D168" s="359"/>
      <c r="E168" s="359"/>
      <c r="I168" s="10"/>
      <c r="J168" s="10"/>
      <c r="K168" s="10"/>
      <c r="L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row>
    <row r="169" spans="1:56" x14ac:dyDescent="0.35">
      <c r="A169" s="359" t="s">
        <v>1495</v>
      </c>
      <c r="B169" s="359"/>
      <c r="C169" s="359"/>
      <c r="D169" s="359"/>
      <c r="E169" s="359"/>
      <c r="I169" s="10"/>
      <c r="J169" s="10"/>
      <c r="K169" s="10"/>
      <c r="L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row>
    <row r="170" spans="1:56" x14ac:dyDescent="0.35">
      <c r="A170" s="359"/>
      <c r="B170" s="359"/>
      <c r="C170" s="359"/>
      <c r="D170" s="359"/>
      <c r="E170" s="359"/>
      <c r="I170" s="10"/>
      <c r="J170" s="10"/>
      <c r="K170" s="10"/>
      <c r="L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row>
    <row r="172" spans="1:56" x14ac:dyDescent="0.35">
      <c r="A172" s="470" t="s">
        <v>1496</v>
      </c>
      <c r="B172" s="471"/>
      <c r="C172" s="471"/>
      <c r="D172" s="471"/>
      <c r="E172" s="471"/>
      <c r="F172" s="471"/>
      <c r="G172" s="471"/>
      <c r="H172" s="471"/>
      <c r="I172" s="10"/>
      <c r="J172" s="10"/>
      <c r="K172" s="10"/>
      <c r="L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row>
    <row r="173" spans="1:56" ht="15.65" customHeight="1" x14ac:dyDescent="0.35">
      <c r="A173" s="472" t="s">
        <v>1497</v>
      </c>
      <c r="B173" s="473"/>
      <c r="C173" s="473"/>
      <c r="D173" s="473"/>
      <c r="E173" s="473"/>
      <c r="F173" s="473"/>
      <c r="G173" s="473"/>
      <c r="H173" s="473"/>
      <c r="I173" s="10"/>
      <c r="J173" s="10"/>
      <c r="K173" s="10"/>
      <c r="L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row>
    <row r="174" spans="1:56" x14ac:dyDescent="0.35">
      <c r="I174" s="10"/>
      <c r="J174" s="10"/>
      <c r="K174" s="10"/>
      <c r="L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row>
    <row r="175" spans="1:56" x14ac:dyDescent="0.35">
      <c r="A175" s="470" t="s">
        <v>1498</v>
      </c>
      <c r="B175" s="471"/>
      <c r="C175" s="471"/>
      <c r="D175" s="471"/>
      <c r="E175" s="471"/>
      <c r="F175" s="471"/>
      <c r="G175" s="471"/>
      <c r="H175" s="471"/>
      <c r="I175" s="10"/>
      <c r="J175" s="10"/>
      <c r="K175" s="10"/>
      <c r="L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row>
    <row r="176" spans="1:56" x14ac:dyDescent="0.35">
      <c r="A176" s="474" t="s">
        <v>1499</v>
      </c>
      <c r="B176" s="475"/>
      <c r="C176" s="475"/>
      <c r="D176" s="475"/>
      <c r="E176" s="475"/>
      <c r="F176" s="475"/>
      <c r="G176" s="475"/>
      <c r="H176" s="475"/>
      <c r="I176" s="10"/>
      <c r="J176" s="10"/>
      <c r="K176" s="10"/>
      <c r="L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row>
    <row r="177" spans="1:56" x14ac:dyDescent="0.35">
      <c r="A177" s="357"/>
      <c r="B177" s="357"/>
      <c r="C177" s="357"/>
      <c r="D177" s="357"/>
      <c r="E177" s="357"/>
      <c r="F177" s="357"/>
      <c r="G177" s="357"/>
      <c r="H177" s="357"/>
      <c r="I177" s="10"/>
      <c r="J177" s="10"/>
      <c r="K177" s="10"/>
      <c r="L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row>
    <row r="178" spans="1:56" x14ac:dyDescent="0.35">
      <c r="A178" s="357"/>
      <c r="B178" s="357"/>
      <c r="C178" s="357"/>
      <c r="D178" s="357"/>
      <c r="E178" s="357"/>
      <c r="F178" s="357"/>
      <c r="G178" s="357"/>
      <c r="H178" s="357"/>
      <c r="I178" s="10"/>
      <c r="J178" s="10"/>
      <c r="K178" s="10"/>
      <c r="L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row>
    <row r="179" spans="1:56" x14ac:dyDescent="0.35">
      <c r="A179" s="357"/>
      <c r="B179" s="357"/>
      <c r="C179" s="357"/>
      <c r="D179" s="357"/>
      <c r="E179" s="357"/>
      <c r="F179" s="357"/>
      <c r="G179" s="357"/>
      <c r="H179" s="357"/>
      <c r="I179" s="10"/>
      <c r="J179" s="10"/>
      <c r="K179" s="10"/>
      <c r="L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row>
    <row r="180" spans="1:56" x14ac:dyDescent="0.35">
      <c r="A180" s="360"/>
      <c r="B180" s="360"/>
      <c r="C180" s="360"/>
      <c r="D180" s="360"/>
      <c r="E180" s="357"/>
      <c r="F180" s="357"/>
      <c r="G180" s="357"/>
      <c r="H180" s="357"/>
      <c r="I180" s="10"/>
      <c r="J180" s="10"/>
      <c r="K180" s="10"/>
      <c r="L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row>
    <row r="181" spans="1:56" x14ac:dyDescent="0.35">
      <c r="A181" s="360"/>
      <c r="B181" s="360"/>
      <c r="C181" s="360"/>
      <c r="D181" s="360"/>
      <c r="E181" s="357"/>
      <c r="F181" s="357"/>
      <c r="G181" s="357"/>
      <c r="H181" s="357"/>
      <c r="I181" s="10"/>
      <c r="J181" s="10"/>
      <c r="K181" s="10"/>
      <c r="L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row>
    <row r="182" spans="1:56" x14ac:dyDescent="0.35">
      <c r="A182" s="360"/>
      <c r="B182" s="360"/>
      <c r="C182" s="360"/>
      <c r="D182" s="360"/>
      <c r="E182" s="357"/>
      <c r="F182" s="357"/>
      <c r="G182" s="357"/>
      <c r="H182" s="357"/>
      <c r="I182" s="10"/>
      <c r="J182" s="10"/>
      <c r="K182" s="10"/>
      <c r="L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row>
    <row r="183" spans="1:56" x14ac:dyDescent="0.35">
      <c r="A183" s="360"/>
      <c r="B183" s="360"/>
      <c r="C183" s="360"/>
      <c r="D183" s="360"/>
      <c r="E183" s="357"/>
      <c r="F183" s="357"/>
      <c r="G183" s="357"/>
      <c r="H183" s="357"/>
      <c r="I183" s="10"/>
      <c r="J183" s="10"/>
      <c r="K183" s="10"/>
      <c r="L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row>
    <row r="184" spans="1:56" x14ac:dyDescent="0.35">
      <c r="A184" s="360"/>
      <c r="B184" s="360"/>
      <c r="C184" s="360"/>
      <c r="D184" s="360"/>
      <c r="E184" s="357"/>
      <c r="F184" s="357"/>
      <c r="G184" s="357"/>
      <c r="H184" s="357"/>
      <c r="I184" s="10"/>
      <c r="J184" s="10"/>
      <c r="K184" s="10"/>
      <c r="L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row>
    <row r="185" spans="1:56" x14ac:dyDescent="0.35">
      <c r="A185" s="360"/>
      <c r="B185" s="360"/>
      <c r="C185" s="360"/>
      <c r="D185" s="360"/>
      <c r="E185" s="357"/>
      <c r="F185" s="357"/>
      <c r="G185" s="357"/>
      <c r="H185" s="357"/>
      <c r="I185" s="10"/>
      <c r="J185" s="10"/>
      <c r="K185" s="10"/>
      <c r="L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row>
    <row r="186" spans="1:56" x14ac:dyDescent="0.35">
      <c r="A186" s="360"/>
      <c r="B186" s="360"/>
      <c r="C186" s="360"/>
      <c r="D186" s="360"/>
      <c r="E186" s="357"/>
      <c r="F186" s="357"/>
      <c r="G186" s="357"/>
      <c r="H186" s="357"/>
      <c r="I186" s="10"/>
      <c r="J186" s="10"/>
      <c r="K186" s="10"/>
      <c r="L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row>
    <row r="187" spans="1:56" x14ac:dyDescent="0.35">
      <c r="A187" s="360"/>
      <c r="B187" s="360"/>
      <c r="C187" s="360"/>
      <c r="D187" s="360"/>
      <c r="E187" s="357"/>
      <c r="F187" s="357"/>
      <c r="G187" s="357"/>
      <c r="H187" s="357"/>
      <c r="I187" s="10"/>
      <c r="J187" s="10"/>
      <c r="K187" s="10"/>
      <c r="L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row>
    <row r="188" spans="1:56" x14ac:dyDescent="0.35">
      <c r="A188" s="360"/>
      <c r="B188" s="360"/>
      <c r="C188" s="360"/>
      <c r="D188" s="360"/>
      <c r="E188" s="357"/>
      <c r="F188" s="357"/>
      <c r="G188" s="357"/>
      <c r="H188" s="357"/>
      <c r="I188" s="10"/>
      <c r="J188" s="10"/>
      <c r="K188" s="10"/>
      <c r="L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row>
    <row r="189" spans="1:56" x14ac:dyDescent="0.35">
      <c r="A189" s="360"/>
      <c r="B189" s="360"/>
      <c r="C189" s="360"/>
      <c r="D189" s="360"/>
      <c r="E189" s="357"/>
      <c r="F189" s="357"/>
      <c r="G189" s="357"/>
      <c r="H189" s="357"/>
      <c r="I189" s="10"/>
      <c r="J189" s="10"/>
      <c r="K189" s="10"/>
      <c r="L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row>
    <row r="190" spans="1:56" x14ac:dyDescent="0.35">
      <c r="A190" s="360"/>
      <c r="B190" s="360"/>
      <c r="C190" s="360"/>
      <c r="D190" s="360"/>
      <c r="E190" s="357"/>
      <c r="F190" s="357"/>
      <c r="G190" s="357"/>
      <c r="H190" s="357"/>
      <c r="I190" s="10"/>
      <c r="J190" s="10"/>
      <c r="K190" s="10"/>
      <c r="L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row>
    <row r="191" spans="1:56" x14ac:dyDescent="0.35">
      <c r="A191" s="360"/>
      <c r="B191" s="360"/>
      <c r="C191" s="360"/>
      <c r="D191" s="360"/>
      <c r="E191" s="357"/>
      <c r="F191" s="357"/>
      <c r="G191" s="357"/>
      <c r="H191" s="357"/>
      <c r="I191" s="10"/>
      <c r="J191" s="10"/>
      <c r="K191" s="10"/>
      <c r="L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row>
    <row r="192" spans="1:56" x14ac:dyDescent="0.35">
      <c r="A192" s="360"/>
      <c r="B192" s="360"/>
      <c r="C192" s="360"/>
      <c r="D192" s="360"/>
      <c r="E192" s="357"/>
      <c r="F192" s="357"/>
      <c r="G192" s="357"/>
      <c r="H192" s="357"/>
      <c r="I192" s="10"/>
      <c r="J192" s="10"/>
      <c r="K192" s="10"/>
      <c r="L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row>
    <row r="193" spans="1:56" x14ac:dyDescent="0.35">
      <c r="A193" s="360"/>
      <c r="B193" s="360"/>
      <c r="C193" s="360"/>
      <c r="D193" s="360"/>
      <c r="E193" s="357"/>
      <c r="F193" s="357"/>
      <c r="G193" s="357"/>
      <c r="H193" s="357"/>
      <c r="I193" s="10"/>
      <c r="J193" s="10"/>
      <c r="K193" s="10"/>
      <c r="L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row>
    <row r="194" spans="1:56" x14ac:dyDescent="0.35">
      <c r="A194" s="360"/>
      <c r="B194" s="360"/>
      <c r="C194" s="360"/>
      <c r="D194" s="360"/>
      <c r="E194" s="357"/>
      <c r="F194" s="357"/>
      <c r="G194" s="357"/>
      <c r="H194" s="357"/>
      <c r="I194" s="10"/>
      <c r="J194" s="10"/>
      <c r="K194" s="10"/>
      <c r="L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row>
    <row r="195" spans="1:56" x14ac:dyDescent="0.35">
      <c r="A195" s="360"/>
      <c r="B195" s="360"/>
      <c r="C195" s="360"/>
      <c r="D195" s="360"/>
      <c r="E195" s="357"/>
      <c r="F195" s="357"/>
      <c r="G195" s="357"/>
      <c r="H195" s="357"/>
      <c r="I195" s="10"/>
      <c r="J195" s="10"/>
      <c r="K195" s="10"/>
      <c r="L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row>
    <row r="196" spans="1:56" x14ac:dyDescent="0.35">
      <c r="A196" s="360"/>
      <c r="B196" s="360"/>
      <c r="C196" s="360"/>
      <c r="D196" s="360"/>
      <c r="E196" s="357"/>
      <c r="F196" s="357"/>
      <c r="G196" s="357"/>
      <c r="H196" s="357"/>
      <c r="I196" s="10"/>
      <c r="J196" s="10"/>
      <c r="K196" s="10"/>
      <c r="L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row>
    <row r="197" spans="1:56" x14ac:dyDescent="0.35">
      <c r="A197" s="360"/>
      <c r="B197" s="360"/>
      <c r="C197" s="360"/>
      <c r="D197" s="360"/>
      <c r="E197" s="357"/>
      <c r="F197" s="357"/>
      <c r="G197" s="357"/>
      <c r="H197" s="357"/>
      <c r="I197" s="10"/>
      <c r="J197" s="10"/>
      <c r="K197" s="10"/>
      <c r="L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row>
    <row r="198" spans="1:56" x14ac:dyDescent="0.35">
      <c r="A198" s="360"/>
      <c r="B198" s="360"/>
      <c r="C198" s="360"/>
      <c r="D198" s="360"/>
      <c r="E198" s="357"/>
      <c r="F198" s="357"/>
      <c r="G198" s="357"/>
      <c r="H198" s="357"/>
      <c r="I198" s="10"/>
      <c r="J198" s="10"/>
      <c r="K198" s="10"/>
      <c r="L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row>
    <row r="199" spans="1:56" x14ac:dyDescent="0.35">
      <c r="A199" s="360"/>
      <c r="B199" s="360"/>
      <c r="C199" s="360"/>
      <c r="D199" s="360"/>
      <c r="E199" s="357"/>
      <c r="F199" s="357"/>
      <c r="G199" s="357"/>
      <c r="H199" s="357"/>
      <c r="I199" s="10"/>
      <c r="J199" s="10"/>
      <c r="K199" s="10"/>
      <c r="L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row>
    <row r="200" spans="1:56" x14ac:dyDescent="0.35">
      <c r="A200" s="360"/>
      <c r="B200" s="360"/>
      <c r="C200" s="360"/>
      <c r="D200" s="360"/>
      <c r="E200" s="357"/>
      <c r="F200" s="357"/>
      <c r="G200" s="357"/>
      <c r="H200" s="357"/>
      <c r="I200" s="10"/>
      <c r="J200" s="10"/>
      <c r="K200" s="10"/>
      <c r="L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row>
    <row r="201" spans="1:56" x14ac:dyDescent="0.35">
      <c r="A201" s="360"/>
      <c r="B201" s="360"/>
      <c r="C201" s="360"/>
      <c r="D201" s="360"/>
      <c r="E201" s="357"/>
      <c r="F201" s="357"/>
      <c r="G201" s="357"/>
      <c r="H201" s="357"/>
      <c r="I201" s="10"/>
      <c r="J201" s="10"/>
      <c r="K201" s="10"/>
      <c r="L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row>
    <row r="202" spans="1:56" x14ac:dyDescent="0.35">
      <c r="A202" s="360"/>
      <c r="B202" s="360"/>
      <c r="C202" s="360"/>
      <c r="D202" s="360"/>
      <c r="E202" s="357"/>
      <c r="F202" s="357"/>
      <c r="G202" s="357"/>
      <c r="H202" s="357"/>
      <c r="I202" s="10"/>
      <c r="J202" s="10"/>
      <c r="K202" s="10"/>
      <c r="L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row>
    <row r="203" spans="1:56" x14ac:dyDescent="0.35">
      <c r="A203" s="360"/>
      <c r="B203" s="360"/>
      <c r="C203" s="360"/>
      <c r="D203" s="360"/>
      <c r="E203" s="357"/>
      <c r="F203" s="357"/>
      <c r="G203" s="357"/>
      <c r="H203" s="357"/>
      <c r="I203" s="10"/>
      <c r="J203" s="10"/>
      <c r="K203" s="10"/>
      <c r="L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row>
    <row r="204" spans="1:56" x14ac:dyDescent="0.35">
      <c r="A204" s="360"/>
      <c r="B204" s="360"/>
      <c r="C204" s="360"/>
      <c r="D204" s="360"/>
      <c r="E204" s="357"/>
      <c r="F204" s="357"/>
      <c r="G204" s="357"/>
      <c r="H204" s="357"/>
      <c r="I204" s="10"/>
      <c r="J204" s="10"/>
      <c r="K204" s="10"/>
      <c r="L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row>
    <row r="205" spans="1:56" x14ac:dyDescent="0.35">
      <c r="A205" s="360"/>
      <c r="B205" s="360"/>
      <c r="C205" s="360"/>
      <c r="D205" s="360"/>
      <c r="E205" s="357"/>
      <c r="F205" s="357"/>
      <c r="G205" s="357"/>
      <c r="H205" s="357"/>
      <c r="I205" s="10"/>
      <c r="J205" s="10"/>
      <c r="K205" s="10"/>
      <c r="L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row>
    <row r="206" spans="1:56" x14ac:dyDescent="0.35">
      <c r="A206" s="360"/>
      <c r="B206" s="360"/>
      <c r="C206" s="360"/>
      <c r="D206" s="360"/>
      <c r="E206" s="357"/>
      <c r="F206" s="357"/>
      <c r="G206" s="357"/>
      <c r="H206" s="357"/>
      <c r="I206" s="10"/>
      <c r="J206" s="10"/>
      <c r="K206" s="10"/>
      <c r="L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row>
    <row r="207" spans="1:56" x14ac:dyDescent="0.35">
      <c r="A207" s="360"/>
      <c r="B207" s="360"/>
      <c r="C207" s="360"/>
      <c r="D207" s="360"/>
      <c r="E207" s="357"/>
      <c r="F207" s="357"/>
      <c r="G207" s="357"/>
      <c r="H207" s="357"/>
      <c r="I207" s="10"/>
      <c r="J207" s="10"/>
      <c r="K207" s="10"/>
      <c r="L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row>
    <row r="208" spans="1:56" x14ac:dyDescent="0.35">
      <c r="A208" s="360"/>
      <c r="B208" s="360"/>
      <c r="C208" s="360"/>
      <c r="D208" s="360"/>
      <c r="E208" s="357"/>
      <c r="F208" s="357"/>
      <c r="G208" s="357"/>
      <c r="H208" s="357"/>
      <c r="I208" s="10"/>
      <c r="J208" s="10"/>
      <c r="K208" s="10"/>
      <c r="L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row>
    <row r="209" spans="1:56" x14ac:dyDescent="0.35">
      <c r="A209" s="360"/>
      <c r="B209" s="360"/>
      <c r="C209" s="360"/>
      <c r="D209" s="360"/>
      <c r="E209" s="357"/>
      <c r="F209" s="357"/>
      <c r="G209" s="357"/>
      <c r="H209" s="357"/>
      <c r="I209" s="10"/>
      <c r="J209" s="10"/>
      <c r="K209" s="10"/>
      <c r="L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row>
    <row r="210" spans="1:56" x14ac:dyDescent="0.35">
      <c r="A210" s="360"/>
      <c r="B210" s="360"/>
      <c r="C210" s="360"/>
      <c r="D210" s="360"/>
      <c r="E210" s="357"/>
      <c r="F210" s="357"/>
      <c r="G210" s="357"/>
      <c r="H210" s="357"/>
      <c r="I210" s="10"/>
      <c r="J210" s="10"/>
      <c r="K210" s="10"/>
      <c r="L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row>
    <row r="211" spans="1:56" x14ac:dyDescent="0.35">
      <c r="A211" s="360"/>
      <c r="B211" s="360"/>
      <c r="C211" s="360"/>
      <c r="D211" s="360"/>
      <c r="E211" s="357"/>
      <c r="F211" s="357"/>
      <c r="G211" s="357"/>
      <c r="H211" s="357"/>
      <c r="I211" s="10"/>
      <c r="J211" s="10"/>
      <c r="K211" s="10"/>
      <c r="L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row>
    <row r="212" spans="1:56" x14ac:dyDescent="0.35">
      <c r="A212" s="360"/>
      <c r="B212" s="360"/>
      <c r="C212" s="360"/>
      <c r="D212" s="360"/>
      <c r="E212" s="357"/>
      <c r="F212" s="357"/>
      <c r="G212" s="357"/>
      <c r="H212" s="357"/>
      <c r="I212" s="10"/>
      <c r="J212" s="10"/>
      <c r="K212" s="10"/>
      <c r="L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row>
    <row r="213" spans="1:56" x14ac:dyDescent="0.35">
      <c r="A213" s="360"/>
      <c r="B213" s="360"/>
      <c r="C213" s="360"/>
      <c r="D213" s="360"/>
      <c r="E213" s="357"/>
      <c r="F213" s="357"/>
      <c r="G213" s="357"/>
      <c r="H213" s="357"/>
      <c r="I213" s="10"/>
      <c r="J213" s="10"/>
      <c r="K213" s="10"/>
      <c r="L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row>
    <row r="214" spans="1:56" x14ac:dyDescent="0.35">
      <c r="A214" s="360"/>
      <c r="B214" s="360"/>
      <c r="C214" s="360"/>
      <c r="D214" s="360"/>
      <c r="E214" s="357"/>
      <c r="F214" s="357"/>
      <c r="G214" s="357"/>
      <c r="H214" s="357"/>
      <c r="I214" s="10"/>
      <c r="J214" s="10"/>
      <c r="K214" s="10"/>
      <c r="L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row>
    <row r="215" spans="1:56" x14ac:dyDescent="0.35">
      <c r="A215" s="360"/>
      <c r="B215" s="360"/>
      <c r="C215" s="360"/>
      <c r="D215" s="360"/>
      <c r="E215" s="357"/>
      <c r="F215" s="357"/>
      <c r="G215" s="357"/>
      <c r="H215" s="357"/>
      <c r="I215" s="10"/>
      <c r="J215" s="10"/>
      <c r="K215" s="10"/>
      <c r="L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row>
    <row r="216" spans="1:56" x14ac:dyDescent="0.35">
      <c r="A216" s="360"/>
      <c r="B216" s="360"/>
      <c r="C216" s="360"/>
      <c r="D216" s="360"/>
      <c r="E216" s="357"/>
      <c r="F216" s="357"/>
      <c r="G216" s="357"/>
      <c r="H216" s="357"/>
      <c r="I216" s="10"/>
      <c r="J216" s="10"/>
      <c r="K216" s="10"/>
      <c r="L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row>
    <row r="217" spans="1:56" x14ac:dyDescent="0.35">
      <c r="A217" s="360"/>
      <c r="B217" s="360"/>
      <c r="C217" s="360"/>
      <c r="D217" s="360"/>
      <c r="E217" s="357"/>
      <c r="F217" s="357"/>
      <c r="G217" s="357"/>
      <c r="H217" s="357"/>
      <c r="I217" s="10"/>
      <c r="J217" s="10"/>
      <c r="K217" s="10"/>
      <c r="L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row>
    <row r="218" spans="1:56" x14ac:dyDescent="0.35">
      <c r="A218" s="360"/>
      <c r="B218" s="360"/>
      <c r="C218" s="360"/>
      <c r="D218" s="360"/>
      <c r="E218" s="357"/>
      <c r="F218" s="357"/>
      <c r="G218" s="357"/>
      <c r="H218" s="357"/>
      <c r="I218" s="10"/>
      <c r="J218" s="10"/>
      <c r="K218" s="10"/>
      <c r="L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row>
    <row r="219" spans="1:56" x14ac:dyDescent="0.35">
      <c r="A219" s="360"/>
      <c r="B219" s="360"/>
      <c r="C219" s="360"/>
      <c r="D219" s="360"/>
      <c r="E219" s="357"/>
      <c r="F219" s="357"/>
      <c r="G219" s="357"/>
      <c r="H219" s="357"/>
      <c r="I219" s="10"/>
      <c r="J219" s="10"/>
      <c r="K219" s="10"/>
      <c r="L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row>
    <row r="220" spans="1:56" x14ac:dyDescent="0.35">
      <c r="A220" s="360"/>
      <c r="B220" s="360"/>
      <c r="C220" s="360"/>
      <c r="D220" s="360"/>
      <c r="E220" s="357"/>
      <c r="F220" s="357"/>
      <c r="G220" s="357"/>
      <c r="H220" s="357"/>
      <c r="I220" s="10"/>
      <c r="J220" s="10"/>
      <c r="K220" s="10"/>
      <c r="L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row>
    <row r="221" spans="1:56" x14ac:dyDescent="0.35">
      <c r="A221" s="360"/>
      <c r="B221" s="360"/>
      <c r="C221" s="360"/>
      <c r="D221" s="360"/>
      <c r="E221" s="357"/>
      <c r="F221" s="357"/>
      <c r="G221" s="357"/>
      <c r="H221" s="357"/>
      <c r="I221" s="10"/>
      <c r="J221" s="10"/>
      <c r="K221" s="10"/>
      <c r="L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row>
    <row r="222" spans="1:56" x14ac:dyDescent="0.35">
      <c r="A222" s="360"/>
      <c r="B222" s="360"/>
      <c r="C222" s="360"/>
      <c r="D222" s="360"/>
      <c r="E222" s="357"/>
      <c r="F222" s="357"/>
      <c r="G222" s="357"/>
      <c r="H222" s="357"/>
      <c r="I222" s="10"/>
      <c r="J222" s="10"/>
      <c r="K222" s="10"/>
      <c r="L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row>
    <row r="223" spans="1:56" x14ac:dyDescent="0.35">
      <c r="A223" s="360"/>
      <c r="B223" s="360"/>
      <c r="C223" s="360"/>
      <c r="D223" s="360"/>
      <c r="E223" s="357"/>
      <c r="F223" s="357"/>
      <c r="G223" s="357"/>
      <c r="H223" s="357"/>
      <c r="I223" s="10"/>
      <c r="J223" s="10"/>
      <c r="K223" s="10"/>
      <c r="L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row>
    <row r="224" spans="1:56" x14ac:dyDescent="0.35">
      <c r="A224" s="360"/>
      <c r="B224" s="360"/>
      <c r="C224" s="360"/>
      <c r="D224" s="360"/>
      <c r="E224" s="357"/>
      <c r="F224" s="357"/>
      <c r="G224" s="357"/>
      <c r="H224" s="357"/>
      <c r="I224" s="10"/>
      <c r="J224" s="10"/>
      <c r="K224" s="10"/>
      <c r="L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row>
    <row r="225" spans="1:56" x14ac:dyDescent="0.35">
      <c r="A225" s="360"/>
      <c r="B225" s="360"/>
      <c r="C225" s="360"/>
      <c r="D225" s="360"/>
      <c r="E225" s="357"/>
      <c r="F225" s="357"/>
      <c r="G225" s="357"/>
      <c r="H225" s="357"/>
      <c r="I225" s="10"/>
      <c r="J225" s="10"/>
      <c r="K225" s="10"/>
      <c r="L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row>
    <row r="226" spans="1:56" x14ac:dyDescent="0.35">
      <c r="A226" s="360"/>
      <c r="B226" s="360"/>
      <c r="C226" s="360"/>
      <c r="D226" s="360"/>
      <c r="E226" s="357"/>
      <c r="F226" s="357"/>
      <c r="G226" s="357"/>
      <c r="H226" s="357"/>
      <c r="I226" s="10"/>
      <c r="J226" s="10"/>
      <c r="K226" s="10"/>
      <c r="L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row>
    <row r="227" spans="1:56" x14ac:dyDescent="0.35">
      <c r="A227" s="360"/>
      <c r="B227" s="360"/>
      <c r="C227" s="360"/>
      <c r="D227" s="360"/>
      <c r="E227" s="357"/>
      <c r="F227" s="357"/>
      <c r="G227" s="357"/>
      <c r="H227" s="357"/>
      <c r="I227" s="10"/>
      <c r="J227" s="10"/>
      <c r="K227" s="10"/>
      <c r="L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row>
    <row r="228" spans="1:56" x14ac:dyDescent="0.35">
      <c r="A228" s="360"/>
      <c r="B228" s="360"/>
      <c r="C228" s="360"/>
      <c r="D228" s="360"/>
      <c r="E228" s="357"/>
      <c r="F228" s="357"/>
      <c r="G228" s="357"/>
      <c r="H228" s="357"/>
      <c r="I228" s="10"/>
      <c r="J228" s="10"/>
      <c r="K228" s="10"/>
      <c r="L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row>
    <row r="229" spans="1:56" x14ac:dyDescent="0.35">
      <c r="A229" s="360"/>
      <c r="B229" s="360"/>
      <c r="C229" s="360"/>
      <c r="D229" s="360"/>
      <c r="E229" s="357"/>
      <c r="F229" s="357"/>
      <c r="G229" s="357"/>
      <c r="H229" s="357"/>
      <c r="I229" s="10"/>
      <c r="J229" s="10"/>
      <c r="K229" s="10"/>
      <c r="L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row>
    <row r="230" spans="1:56" x14ac:dyDescent="0.35">
      <c r="A230" s="360"/>
      <c r="B230" s="360"/>
      <c r="C230" s="360"/>
      <c r="D230" s="360"/>
      <c r="E230" s="357"/>
      <c r="F230" s="357"/>
      <c r="G230" s="357"/>
      <c r="H230" s="357"/>
      <c r="I230" s="10"/>
      <c r="J230" s="10"/>
      <c r="K230" s="10"/>
      <c r="L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row>
    <row r="231" spans="1:56" x14ac:dyDescent="0.35">
      <c r="A231" s="360"/>
      <c r="B231" s="360"/>
      <c r="C231" s="360"/>
      <c r="D231" s="360"/>
      <c r="E231" s="357"/>
      <c r="F231" s="357"/>
      <c r="G231" s="357"/>
      <c r="H231" s="357"/>
      <c r="I231" s="10"/>
      <c r="J231" s="10"/>
      <c r="K231" s="10"/>
      <c r="L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row>
    <row r="232" spans="1:56" x14ac:dyDescent="0.35">
      <c r="A232" s="360"/>
      <c r="B232" s="360"/>
      <c r="C232" s="360"/>
      <c r="D232" s="360"/>
      <c r="E232" s="357"/>
      <c r="F232" s="357"/>
      <c r="G232" s="357"/>
      <c r="H232" s="357"/>
      <c r="I232" s="10"/>
      <c r="J232" s="10"/>
      <c r="K232" s="10"/>
      <c r="L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row>
    <row r="233" spans="1:56" x14ac:dyDescent="0.35">
      <c r="A233" s="360"/>
      <c r="B233" s="360"/>
      <c r="C233" s="360"/>
      <c r="D233" s="360"/>
      <c r="E233" s="357"/>
      <c r="F233" s="357"/>
      <c r="G233" s="357"/>
      <c r="H233" s="357"/>
      <c r="I233" s="10"/>
      <c r="J233" s="10"/>
      <c r="K233" s="10"/>
      <c r="L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row>
    <row r="234" spans="1:56" x14ac:dyDescent="0.35">
      <c r="A234" s="360"/>
      <c r="B234" s="360"/>
      <c r="C234" s="360"/>
      <c r="D234" s="360"/>
      <c r="E234" s="357"/>
      <c r="F234" s="357"/>
      <c r="G234" s="357"/>
      <c r="H234" s="357"/>
      <c r="I234" s="10"/>
      <c r="J234" s="10"/>
      <c r="K234" s="10"/>
      <c r="L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row>
    <row r="235" spans="1:56" x14ac:dyDescent="0.35">
      <c r="A235" s="360"/>
      <c r="B235" s="360"/>
      <c r="C235" s="360"/>
      <c r="D235" s="360"/>
      <c r="E235" s="357"/>
      <c r="F235" s="357"/>
      <c r="G235" s="357"/>
      <c r="H235" s="357"/>
      <c r="I235" s="10"/>
      <c r="J235" s="10"/>
      <c r="K235" s="10"/>
      <c r="L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row>
    <row r="236" spans="1:56" x14ac:dyDescent="0.35">
      <c r="A236" s="360"/>
      <c r="B236" s="360"/>
      <c r="C236" s="360"/>
      <c r="D236" s="360"/>
      <c r="E236" s="357"/>
      <c r="F236" s="357"/>
      <c r="G236" s="357"/>
      <c r="H236" s="357"/>
      <c r="I236" s="10"/>
      <c r="J236" s="10"/>
      <c r="K236" s="10"/>
      <c r="L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row>
    <row r="237" spans="1:56" x14ac:dyDescent="0.35">
      <c r="A237" s="360"/>
      <c r="B237" s="360"/>
      <c r="C237" s="360"/>
      <c r="D237" s="360"/>
      <c r="E237" s="357"/>
      <c r="F237" s="357"/>
      <c r="G237" s="357"/>
      <c r="H237" s="357"/>
      <c r="I237" s="10"/>
      <c r="J237" s="10"/>
      <c r="K237" s="10"/>
      <c r="L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row>
    <row r="238" spans="1:56" x14ac:dyDescent="0.35">
      <c r="A238" s="360"/>
      <c r="B238" s="360"/>
      <c r="C238" s="360"/>
      <c r="D238" s="360"/>
      <c r="E238" s="357"/>
      <c r="F238" s="357"/>
      <c r="G238" s="357"/>
      <c r="H238" s="357"/>
      <c r="I238" s="10"/>
      <c r="J238" s="10"/>
      <c r="K238" s="10"/>
      <c r="L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row>
    <row r="239" spans="1:56" x14ac:dyDescent="0.35">
      <c r="A239" s="360"/>
      <c r="B239" s="360"/>
      <c r="C239" s="360"/>
      <c r="D239" s="360"/>
      <c r="E239" s="357"/>
      <c r="F239" s="357"/>
      <c r="G239" s="357"/>
      <c r="H239" s="357"/>
      <c r="I239" s="10"/>
      <c r="J239" s="10"/>
      <c r="K239" s="10"/>
      <c r="L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row>
    <row r="240" spans="1:56" x14ac:dyDescent="0.35">
      <c r="A240" s="360"/>
      <c r="B240" s="360"/>
      <c r="C240" s="360"/>
      <c r="D240" s="360"/>
      <c r="E240" s="357"/>
      <c r="F240" s="357"/>
      <c r="G240" s="357"/>
      <c r="H240" s="357"/>
      <c r="I240" s="10"/>
      <c r="J240" s="10"/>
      <c r="K240" s="10"/>
      <c r="L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row>
    <row r="241" spans="1:56" x14ac:dyDescent="0.35">
      <c r="A241" s="360"/>
      <c r="B241" s="360"/>
      <c r="C241" s="360"/>
      <c r="D241" s="360"/>
      <c r="E241" s="357"/>
      <c r="F241" s="357"/>
      <c r="G241" s="357"/>
      <c r="H241" s="357"/>
      <c r="I241" s="10"/>
      <c r="J241" s="10"/>
      <c r="K241" s="10"/>
      <c r="L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row>
    <row r="242" spans="1:56" x14ac:dyDescent="0.35">
      <c r="A242" s="360"/>
      <c r="B242" s="360"/>
      <c r="C242" s="360"/>
      <c r="D242" s="360"/>
      <c r="E242" s="357"/>
      <c r="F242" s="357"/>
      <c r="G242" s="357"/>
      <c r="H242" s="357"/>
      <c r="I242" s="10"/>
      <c r="J242" s="10"/>
      <c r="K242" s="10"/>
      <c r="L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row>
    <row r="243" spans="1:56" x14ac:dyDescent="0.35">
      <c r="A243" s="360"/>
      <c r="B243" s="360"/>
      <c r="C243" s="360"/>
      <c r="D243" s="360"/>
      <c r="E243" s="357"/>
      <c r="F243" s="357"/>
      <c r="G243" s="357"/>
      <c r="H243" s="357"/>
      <c r="I243" s="10"/>
      <c r="J243" s="10"/>
      <c r="K243" s="10"/>
      <c r="L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row>
    <row r="244" spans="1:56" x14ac:dyDescent="0.35">
      <c r="A244" s="360"/>
      <c r="B244" s="360"/>
      <c r="C244" s="360"/>
      <c r="D244" s="360"/>
      <c r="E244" s="357"/>
      <c r="F244" s="357"/>
      <c r="G244" s="357"/>
      <c r="H244" s="357"/>
      <c r="I244" s="10"/>
      <c r="J244" s="10"/>
      <c r="K244" s="10"/>
      <c r="L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row>
    <row r="245" spans="1:56" x14ac:dyDescent="0.35">
      <c r="A245" s="360"/>
      <c r="B245" s="360"/>
      <c r="C245" s="360"/>
      <c r="D245" s="360"/>
      <c r="E245" s="357"/>
      <c r="F245" s="357"/>
      <c r="G245" s="357"/>
      <c r="H245" s="357"/>
      <c r="I245" s="10"/>
      <c r="J245" s="10"/>
      <c r="K245" s="10"/>
      <c r="L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row>
    <row r="246" spans="1:56" x14ac:dyDescent="0.35">
      <c r="A246" s="360"/>
      <c r="B246" s="360"/>
      <c r="C246" s="360"/>
      <c r="D246" s="360"/>
      <c r="E246" s="357"/>
      <c r="F246" s="357"/>
      <c r="G246" s="357"/>
      <c r="H246" s="357"/>
      <c r="I246" s="10"/>
      <c r="J246" s="10"/>
      <c r="K246" s="10"/>
      <c r="L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row>
    <row r="247" spans="1:56" x14ac:dyDescent="0.35">
      <c r="A247" s="360"/>
      <c r="B247" s="360"/>
      <c r="C247" s="360"/>
      <c r="D247" s="360"/>
      <c r="E247" s="357"/>
      <c r="F247" s="357"/>
      <c r="G247" s="357"/>
      <c r="H247" s="357"/>
      <c r="I247" s="10"/>
      <c r="J247" s="10"/>
      <c r="K247" s="10"/>
      <c r="L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row>
    <row r="248" spans="1:56" x14ac:dyDescent="0.35">
      <c r="A248" s="360"/>
      <c r="B248" s="360"/>
      <c r="C248" s="360"/>
      <c r="D248" s="360"/>
      <c r="E248" s="357"/>
      <c r="F248" s="357"/>
      <c r="G248" s="357"/>
      <c r="H248" s="357"/>
      <c r="I248" s="10"/>
      <c r="J248" s="10"/>
      <c r="K248" s="10"/>
      <c r="L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row>
    <row r="249" spans="1:56" x14ac:dyDescent="0.35">
      <c r="A249" s="360"/>
      <c r="B249" s="360"/>
      <c r="C249" s="360"/>
      <c r="D249" s="360"/>
      <c r="E249" s="357"/>
      <c r="F249" s="357"/>
      <c r="G249" s="357"/>
      <c r="H249" s="357"/>
      <c r="I249" s="10"/>
      <c r="J249" s="10"/>
      <c r="K249" s="10"/>
      <c r="L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row>
    <row r="250" spans="1:56" x14ac:dyDescent="0.35">
      <c r="A250" s="360"/>
      <c r="B250" s="360"/>
      <c r="C250" s="360"/>
      <c r="D250" s="360"/>
      <c r="E250" s="357"/>
      <c r="F250" s="357"/>
      <c r="G250" s="357"/>
      <c r="H250" s="357"/>
      <c r="I250" s="10"/>
      <c r="J250" s="10"/>
      <c r="K250" s="10"/>
      <c r="L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row>
    <row r="251" spans="1:56" x14ac:dyDescent="0.35">
      <c r="A251" s="360"/>
      <c r="B251" s="360"/>
      <c r="C251" s="360"/>
      <c r="D251" s="360"/>
      <c r="E251" s="357"/>
      <c r="F251" s="357"/>
      <c r="G251" s="357"/>
      <c r="H251" s="357"/>
      <c r="I251" s="10"/>
      <c r="J251" s="10"/>
      <c r="K251" s="10"/>
      <c r="L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row>
    <row r="252" spans="1:56" x14ac:dyDescent="0.35">
      <c r="A252" s="360"/>
      <c r="B252" s="360"/>
      <c r="C252" s="360"/>
      <c r="D252" s="360"/>
      <c r="E252" s="357"/>
      <c r="F252" s="357"/>
      <c r="G252" s="357"/>
      <c r="H252" s="357"/>
      <c r="I252" s="10"/>
      <c r="J252" s="10"/>
      <c r="K252" s="10"/>
      <c r="L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row>
    <row r="253" spans="1:56" x14ac:dyDescent="0.35">
      <c r="A253" s="360"/>
      <c r="B253" s="360"/>
      <c r="C253" s="360"/>
      <c r="D253" s="360"/>
      <c r="E253" s="357"/>
      <c r="F253" s="357"/>
      <c r="G253" s="357"/>
      <c r="H253" s="357"/>
      <c r="I253" s="10"/>
      <c r="J253" s="10"/>
      <c r="K253" s="10"/>
      <c r="L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row>
    <row r="254" spans="1:56" x14ac:dyDescent="0.35">
      <c r="A254" s="360"/>
      <c r="B254" s="360"/>
      <c r="C254" s="360"/>
      <c r="D254" s="360"/>
      <c r="E254" s="357"/>
      <c r="F254" s="357"/>
      <c r="G254" s="357"/>
      <c r="H254" s="357"/>
      <c r="I254" s="10"/>
      <c r="J254" s="10"/>
      <c r="K254" s="10"/>
      <c r="L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row>
    <row r="255" spans="1:56" x14ac:dyDescent="0.35">
      <c r="A255" s="360"/>
      <c r="B255" s="360"/>
      <c r="C255" s="360"/>
      <c r="D255" s="360"/>
      <c r="E255" s="357"/>
      <c r="F255" s="357"/>
      <c r="G255" s="357"/>
      <c r="H255" s="357"/>
      <c r="I255" s="10"/>
      <c r="J255" s="10"/>
      <c r="K255" s="10"/>
      <c r="L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row>
    <row r="256" spans="1:56" x14ac:dyDescent="0.35">
      <c r="A256" s="360"/>
      <c r="B256" s="360"/>
      <c r="C256" s="360"/>
      <c r="D256" s="360"/>
      <c r="E256" s="357"/>
      <c r="F256" s="357"/>
      <c r="G256" s="357"/>
      <c r="H256" s="357"/>
      <c r="I256" s="10"/>
      <c r="J256" s="10"/>
      <c r="K256" s="10"/>
      <c r="L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row>
    <row r="257" spans="1:56" x14ac:dyDescent="0.35">
      <c r="A257" s="360"/>
      <c r="B257" s="360"/>
      <c r="C257" s="360"/>
      <c r="D257" s="360"/>
      <c r="E257" s="357"/>
      <c r="F257" s="357"/>
      <c r="G257" s="357"/>
      <c r="H257" s="357"/>
      <c r="I257" s="10"/>
      <c r="J257" s="10"/>
      <c r="K257" s="10"/>
      <c r="L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row>
    <row r="258" spans="1:56" x14ac:dyDescent="0.35">
      <c r="A258" s="360"/>
      <c r="B258" s="360"/>
      <c r="C258" s="360"/>
      <c r="D258" s="360"/>
      <c r="E258" s="357"/>
      <c r="F258" s="357"/>
      <c r="G258" s="357"/>
      <c r="H258" s="357"/>
      <c r="I258" s="10"/>
      <c r="J258" s="10"/>
      <c r="K258" s="10"/>
      <c r="L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row>
    <row r="259" spans="1:56" x14ac:dyDescent="0.35">
      <c r="A259" s="360"/>
      <c r="B259" s="360"/>
      <c r="C259" s="360"/>
      <c r="D259" s="360"/>
      <c r="E259" s="357"/>
      <c r="F259" s="357"/>
      <c r="G259" s="357"/>
      <c r="H259" s="357"/>
      <c r="I259" s="10"/>
      <c r="J259" s="10"/>
      <c r="K259" s="10"/>
      <c r="L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row>
    <row r="260" spans="1:56" x14ac:dyDescent="0.35">
      <c r="A260" s="360"/>
      <c r="B260" s="360"/>
      <c r="C260" s="360"/>
      <c r="D260" s="360"/>
      <c r="E260" s="357"/>
      <c r="F260" s="357"/>
      <c r="G260" s="357"/>
      <c r="H260" s="357"/>
      <c r="I260" s="10"/>
      <c r="J260" s="10"/>
      <c r="K260" s="10"/>
      <c r="L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row>
    <row r="261" spans="1:56" x14ac:dyDescent="0.35">
      <c r="A261" s="360"/>
      <c r="B261" s="360"/>
      <c r="C261" s="360"/>
      <c r="D261" s="360"/>
      <c r="E261" s="357"/>
      <c r="F261" s="357"/>
      <c r="G261" s="357"/>
      <c r="H261" s="357"/>
      <c r="I261" s="10"/>
      <c r="J261" s="10"/>
      <c r="K261" s="10"/>
      <c r="L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row>
    <row r="262" spans="1:56" x14ac:dyDescent="0.35">
      <c r="A262" s="360"/>
      <c r="B262" s="360"/>
      <c r="C262" s="360"/>
      <c r="D262" s="360"/>
      <c r="E262" s="357"/>
      <c r="F262" s="357"/>
      <c r="G262" s="357"/>
      <c r="H262" s="357"/>
      <c r="I262" s="10"/>
      <c r="J262" s="10"/>
      <c r="K262" s="10"/>
      <c r="L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row>
    <row r="263" spans="1:56" x14ac:dyDescent="0.35">
      <c r="A263" s="360"/>
      <c r="B263" s="360"/>
      <c r="C263" s="360"/>
      <c r="D263" s="360"/>
      <c r="E263" s="357"/>
      <c r="F263" s="357"/>
      <c r="G263" s="357"/>
      <c r="H263" s="357"/>
      <c r="I263" s="10"/>
      <c r="J263" s="10"/>
      <c r="K263" s="10"/>
      <c r="L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row>
    <row r="264" spans="1:56" x14ac:dyDescent="0.35">
      <c r="A264" s="360"/>
      <c r="B264" s="360"/>
      <c r="C264" s="360"/>
      <c r="D264" s="360"/>
      <c r="E264" s="357"/>
      <c r="F264" s="357"/>
      <c r="G264" s="357"/>
      <c r="H264" s="357"/>
      <c r="I264" s="10"/>
      <c r="J264" s="10"/>
      <c r="K264" s="10"/>
      <c r="L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row>
    <row r="265" spans="1:56" x14ac:dyDescent="0.35">
      <c r="A265" s="360"/>
      <c r="B265" s="360"/>
      <c r="C265" s="360"/>
      <c r="D265" s="360"/>
      <c r="E265" s="357"/>
      <c r="F265" s="357"/>
      <c r="G265" s="357"/>
      <c r="H265" s="357"/>
      <c r="I265" s="10"/>
      <c r="J265" s="10"/>
      <c r="K265" s="10"/>
      <c r="L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row>
    <row r="266" spans="1:56" x14ac:dyDescent="0.35">
      <c r="A266" s="360"/>
      <c r="B266" s="360"/>
      <c r="C266" s="360"/>
      <c r="D266" s="360"/>
      <c r="E266" s="357"/>
      <c r="F266" s="357"/>
      <c r="G266" s="357"/>
      <c r="H266" s="357"/>
      <c r="I266" s="10"/>
      <c r="J266" s="10"/>
      <c r="K266" s="10"/>
      <c r="L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row>
    <row r="267" spans="1:56" x14ac:dyDescent="0.35">
      <c r="A267" s="360"/>
      <c r="B267" s="360"/>
      <c r="C267" s="360"/>
      <c r="D267" s="360"/>
      <c r="E267" s="357"/>
      <c r="F267" s="357"/>
      <c r="G267" s="357"/>
      <c r="H267" s="357"/>
      <c r="I267" s="10"/>
      <c r="J267" s="10"/>
      <c r="K267" s="10"/>
      <c r="L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row>
    <row r="268" spans="1:56" x14ac:dyDescent="0.35">
      <c r="A268" s="360"/>
      <c r="B268" s="360"/>
      <c r="C268" s="360"/>
      <c r="D268" s="360"/>
      <c r="E268" s="357"/>
      <c r="F268" s="357"/>
      <c r="G268" s="357"/>
      <c r="H268" s="357"/>
      <c r="I268" s="10"/>
      <c r="J268" s="10"/>
      <c r="K268" s="10"/>
      <c r="L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row>
    <row r="269" spans="1:56" x14ac:dyDescent="0.35">
      <c r="A269" s="360"/>
      <c r="B269" s="360"/>
      <c r="C269" s="360"/>
      <c r="D269" s="360"/>
      <c r="E269" s="357"/>
      <c r="F269" s="357"/>
      <c r="G269" s="357"/>
      <c r="H269" s="357"/>
      <c r="I269" s="10"/>
      <c r="J269" s="10"/>
      <c r="K269" s="10"/>
      <c r="L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row>
    <row r="270" spans="1:56" x14ac:dyDescent="0.35">
      <c r="A270" s="360"/>
      <c r="B270" s="360"/>
      <c r="C270" s="360"/>
      <c r="D270" s="360"/>
      <c r="E270" s="357"/>
      <c r="F270" s="357"/>
      <c r="G270" s="357"/>
      <c r="H270" s="357"/>
      <c r="I270" s="10"/>
      <c r="J270" s="10"/>
      <c r="K270" s="10"/>
      <c r="L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row>
    <row r="271" spans="1:56" x14ac:dyDescent="0.35">
      <c r="A271" s="360"/>
      <c r="B271" s="360"/>
      <c r="C271" s="360"/>
      <c r="D271" s="360"/>
      <c r="E271" s="357"/>
      <c r="F271" s="357"/>
      <c r="G271" s="357"/>
      <c r="H271" s="357"/>
      <c r="I271" s="10"/>
      <c r="J271" s="10"/>
      <c r="K271" s="10"/>
      <c r="L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row>
    <row r="272" spans="1:56" x14ac:dyDescent="0.35">
      <c r="A272" s="360"/>
      <c r="B272" s="360"/>
      <c r="C272" s="360"/>
      <c r="D272" s="360"/>
      <c r="E272" s="357"/>
      <c r="F272" s="357"/>
      <c r="G272" s="357"/>
      <c r="H272" s="357"/>
      <c r="I272" s="10"/>
      <c r="J272" s="10"/>
      <c r="K272" s="10"/>
      <c r="L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row>
    <row r="273" spans="1:56" x14ac:dyDescent="0.35">
      <c r="A273" s="360"/>
      <c r="B273" s="360"/>
      <c r="C273" s="360"/>
      <c r="D273" s="360"/>
      <c r="E273" s="357"/>
      <c r="F273" s="357"/>
      <c r="G273" s="357"/>
      <c r="H273" s="357"/>
      <c r="I273" s="10"/>
      <c r="J273" s="10"/>
      <c r="K273" s="10"/>
      <c r="L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row>
    <row r="274" spans="1:56" x14ac:dyDescent="0.35">
      <c r="A274" s="360"/>
      <c r="B274" s="360"/>
      <c r="C274" s="360"/>
      <c r="D274" s="360"/>
      <c r="E274" s="357"/>
      <c r="F274" s="357"/>
      <c r="G274" s="357"/>
      <c r="H274" s="357"/>
      <c r="M274"/>
    </row>
    <row r="275" spans="1:56" x14ac:dyDescent="0.35">
      <c r="A275" s="360"/>
      <c r="B275" s="360"/>
      <c r="C275" s="360"/>
      <c r="D275" s="360"/>
      <c r="E275" s="357"/>
      <c r="F275" s="357"/>
      <c r="G275" s="357"/>
      <c r="H275" s="357"/>
      <c r="M275"/>
    </row>
    <row r="276" spans="1:56" x14ac:dyDescent="0.35">
      <c r="A276" s="360"/>
      <c r="B276" s="360"/>
      <c r="C276" s="360"/>
      <c r="D276" s="360"/>
      <c r="E276" s="357"/>
      <c r="F276" s="357"/>
      <c r="G276" s="357"/>
      <c r="H276" s="357"/>
    </row>
    <row r="277" spans="1:56" x14ac:dyDescent="0.35">
      <c r="A277" s="360"/>
      <c r="B277" s="360"/>
      <c r="C277" s="360"/>
      <c r="D277" s="360"/>
      <c r="E277" s="357"/>
      <c r="F277" s="357"/>
      <c r="G277" s="357"/>
      <c r="H277" s="357"/>
    </row>
    <row r="278" spans="1:56" x14ac:dyDescent="0.35">
      <c r="A278" s="360"/>
      <c r="B278" s="360"/>
      <c r="C278" s="360"/>
      <c r="D278" s="360"/>
      <c r="E278" s="357"/>
      <c r="F278" s="357"/>
      <c r="G278" s="357"/>
      <c r="H278" s="357"/>
    </row>
    <row r="279" spans="1:56" x14ac:dyDescent="0.35">
      <c r="A279" s="360"/>
      <c r="B279" s="360"/>
      <c r="C279" s="360"/>
      <c r="D279" s="360"/>
      <c r="E279" s="357"/>
      <c r="F279" s="357"/>
      <c r="G279" s="357"/>
      <c r="H279" s="357"/>
    </row>
    <row r="280" spans="1:56" x14ac:dyDescent="0.35">
      <c r="A280" s="360"/>
      <c r="B280" s="360"/>
      <c r="C280" s="360"/>
      <c r="D280" s="360"/>
      <c r="E280" s="357"/>
      <c r="F280" s="357"/>
      <c r="G280" s="357"/>
      <c r="H280" s="357"/>
    </row>
    <row r="281" spans="1:56" x14ac:dyDescent="0.35">
      <c r="A281" s="360"/>
      <c r="B281" s="360"/>
      <c r="C281" s="360"/>
      <c r="D281" s="360"/>
      <c r="E281" s="357"/>
      <c r="F281" s="357"/>
      <c r="G281" s="357"/>
      <c r="H281" s="357"/>
    </row>
    <row r="282" spans="1:56" x14ac:dyDescent="0.35">
      <c r="A282" s="360"/>
      <c r="B282" s="360"/>
      <c r="C282" s="360"/>
      <c r="D282" s="360"/>
      <c r="E282" s="357"/>
      <c r="F282" s="357"/>
      <c r="G282" s="357"/>
      <c r="H282" s="357"/>
    </row>
    <row r="283" spans="1:56" x14ac:dyDescent="0.35">
      <c r="A283" s="360"/>
      <c r="B283" s="360"/>
      <c r="C283" s="360"/>
      <c r="D283" s="360"/>
      <c r="E283" s="357"/>
      <c r="F283" s="357"/>
      <c r="G283" s="357"/>
      <c r="H283" s="357"/>
    </row>
    <row r="284" spans="1:56" x14ac:dyDescent="0.35">
      <c r="A284" s="360"/>
      <c r="B284" s="360"/>
      <c r="C284" s="360"/>
      <c r="D284" s="360"/>
      <c r="E284" s="357"/>
      <c r="F284" s="357"/>
      <c r="G284" s="357"/>
      <c r="H284" s="357"/>
    </row>
    <row r="285" spans="1:56" x14ac:dyDescent="0.35">
      <c r="A285" s="360"/>
      <c r="B285" s="360"/>
      <c r="C285" s="360"/>
      <c r="D285" s="360"/>
      <c r="E285" s="357"/>
      <c r="F285" s="357"/>
      <c r="G285" s="357"/>
      <c r="H285" s="357"/>
    </row>
    <row r="286" spans="1:56" x14ac:dyDescent="0.35">
      <c r="A286" s="360"/>
      <c r="B286" s="360"/>
      <c r="C286" s="360"/>
      <c r="D286" s="360"/>
      <c r="E286" s="357"/>
      <c r="F286" s="357"/>
      <c r="G286" s="357"/>
      <c r="H286" s="357"/>
    </row>
    <row r="287" spans="1:56" x14ac:dyDescent="0.35">
      <c r="A287" s="360"/>
      <c r="B287" s="360"/>
      <c r="C287" s="360"/>
      <c r="D287" s="360"/>
      <c r="E287" s="357"/>
      <c r="F287" s="357"/>
      <c r="G287" s="357"/>
      <c r="H287" s="357"/>
    </row>
    <row r="288" spans="1:56" x14ac:dyDescent="0.35">
      <c r="A288" s="360"/>
      <c r="B288" s="360"/>
      <c r="C288" s="360"/>
      <c r="D288" s="360"/>
      <c r="E288" s="357"/>
      <c r="F288" s="357"/>
      <c r="G288" s="357"/>
      <c r="H288" s="357"/>
    </row>
    <row r="289" spans="1:8" x14ac:dyDescent="0.35">
      <c r="A289" s="360"/>
      <c r="B289" s="360"/>
      <c r="C289" s="360"/>
      <c r="D289" s="360"/>
      <c r="E289" s="357"/>
      <c r="F289" s="357"/>
      <c r="G289" s="357"/>
      <c r="H289" s="357"/>
    </row>
    <row r="290" spans="1:8" x14ac:dyDescent="0.35">
      <c r="A290" s="360"/>
      <c r="B290" s="360"/>
      <c r="C290" s="360"/>
      <c r="D290" s="360"/>
      <c r="E290" s="357"/>
      <c r="F290" s="357"/>
      <c r="G290" s="357"/>
      <c r="H290" s="357"/>
    </row>
    <row r="291" spans="1:8" x14ac:dyDescent="0.35">
      <c r="A291" s="360"/>
      <c r="B291" s="360"/>
      <c r="C291" s="360"/>
      <c r="D291" s="360"/>
      <c r="E291" s="357"/>
      <c r="F291" s="357"/>
      <c r="G291" s="357"/>
      <c r="H291" s="357"/>
    </row>
    <row r="292" spans="1:8" x14ac:dyDescent="0.35">
      <c r="A292" s="360"/>
      <c r="B292" s="360"/>
      <c r="C292" s="360"/>
      <c r="D292" s="360"/>
      <c r="E292" s="357"/>
      <c r="F292" s="357"/>
      <c r="G292" s="357"/>
      <c r="H292" s="357"/>
    </row>
    <row r="293" spans="1:8" x14ac:dyDescent="0.35">
      <c r="A293" s="360"/>
      <c r="B293" s="360"/>
      <c r="C293" s="360"/>
      <c r="D293" s="360"/>
      <c r="E293" s="357"/>
      <c r="F293" s="357"/>
      <c r="G293" s="357"/>
      <c r="H293" s="357"/>
    </row>
    <row r="294" spans="1:8" x14ac:dyDescent="0.35">
      <c r="A294" s="360"/>
      <c r="B294" s="360"/>
      <c r="C294" s="360"/>
      <c r="D294" s="360"/>
      <c r="E294" s="357"/>
      <c r="F294" s="357"/>
      <c r="G294" s="357"/>
      <c r="H294" s="357"/>
    </row>
    <row r="295" spans="1:8" x14ac:dyDescent="0.35">
      <c r="A295" s="360"/>
      <c r="B295" s="360"/>
      <c r="C295" s="360"/>
      <c r="D295" s="360"/>
      <c r="E295" s="357"/>
      <c r="F295" s="357"/>
      <c r="G295" s="357"/>
      <c r="H295" s="357"/>
    </row>
    <row r="296" spans="1:8" x14ac:dyDescent="0.35">
      <c r="A296" s="360"/>
      <c r="B296" s="360"/>
      <c r="C296" s="360"/>
      <c r="D296" s="360"/>
      <c r="E296" s="357"/>
      <c r="F296" s="357"/>
      <c r="G296" s="357"/>
      <c r="H296" s="357"/>
    </row>
    <row r="297" spans="1:8" x14ac:dyDescent="0.35">
      <c r="A297" s="360"/>
      <c r="B297" s="360"/>
      <c r="C297" s="360"/>
      <c r="D297" s="360"/>
      <c r="E297" s="357"/>
      <c r="F297" s="357"/>
      <c r="G297" s="357"/>
      <c r="H297" s="357"/>
    </row>
    <row r="298" spans="1:8" x14ac:dyDescent="0.35">
      <c r="A298" s="360"/>
      <c r="B298" s="360"/>
      <c r="C298" s="360"/>
      <c r="D298" s="360"/>
      <c r="E298" s="357"/>
      <c r="F298" s="357"/>
      <c r="G298" s="357"/>
      <c r="H298" s="357"/>
    </row>
    <row r="299" spans="1:8" x14ac:dyDescent="0.35">
      <c r="A299" s="360"/>
      <c r="B299" s="360"/>
      <c r="C299" s="360"/>
      <c r="D299" s="360"/>
      <c r="E299" s="357"/>
      <c r="F299" s="357"/>
      <c r="G299" s="357"/>
      <c r="H299" s="357"/>
    </row>
    <row r="300" spans="1:8" x14ac:dyDescent="0.35">
      <c r="A300" s="360"/>
      <c r="B300" s="360"/>
      <c r="C300" s="360"/>
      <c r="D300" s="360"/>
      <c r="E300" s="357"/>
      <c r="F300" s="357"/>
      <c r="G300" s="357"/>
      <c r="H300" s="357"/>
    </row>
    <row r="301" spans="1:8" x14ac:dyDescent="0.35">
      <c r="A301" s="360"/>
      <c r="B301" s="360"/>
      <c r="C301" s="360"/>
      <c r="D301" s="360"/>
      <c r="E301" s="357"/>
      <c r="F301" s="357"/>
      <c r="G301" s="357"/>
      <c r="H301" s="357"/>
    </row>
    <row r="302" spans="1:8" x14ac:dyDescent="0.35">
      <c r="A302" s="360"/>
      <c r="B302" s="360"/>
      <c r="C302" s="360"/>
      <c r="D302" s="360"/>
      <c r="E302" s="357"/>
      <c r="F302" s="357"/>
      <c r="G302" s="357"/>
      <c r="H302" s="357"/>
    </row>
    <row r="303" spans="1:8" x14ac:dyDescent="0.35">
      <c r="A303" s="360"/>
      <c r="B303" s="360"/>
      <c r="C303" s="360"/>
      <c r="D303" s="360"/>
      <c r="E303" s="357"/>
      <c r="F303" s="357"/>
      <c r="G303" s="357"/>
      <c r="H303" s="357"/>
    </row>
    <row r="304" spans="1:8" x14ac:dyDescent="0.35">
      <c r="A304" s="360"/>
      <c r="B304" s="360"/>
      <c r="C304" s="360"/>
      <c r="D304" s="360"/>
      <c r="E304" s="357"/>
      <c r="F304" s="357"/>
      <c r="G304" s="357"/>
      <c r="H304" s="357"/>
    </row>
    <row r="305" spans="1:4" x14ac:dyDescent="0.35">
      <c r="A305" s="360"/>
      <c r="B305" s="360"/>
      <c r="C305" s="360"/>
      <c r="D305" s="360"/>
    </row>
    <row r="306" spans="1:4" x14ac:dyDescent="0.35">
      <c r="A306" s="360"/>
      <c r="B306" s="360"/>
      <c r="C306" s="360"/>
      <c r="D306" s="360"/>
    </row>
  </sheetData>
  <mergeCells count="22">
    <mergeCell ref="A172:H172"/>
    <mergeCell ref="A173:H173"/>
    <mergeCell ref="A175:H175"/>
    <mergeCell ref="A176:H176"/>
    <mergeCell ref="A100:D100"/>
    <mergeCell ref="A112:D112"/>
    <mergeCell ref="A124:D124"/>
    <mergeCell ref="A136:D136"/>
    <mergeCell ref="A148:D148"/>
    <mergeCell ref="A160:D160"/>
    <mergeCell ref="A88:D88"/>
    <mergeCell ref="A1:D1"/>
    <mergeCell ref="A2:H2"/>
    <mergeCell ref="A5:D5"/>
    <mergeCell ref="A14:H14"/>
    <mergeCell ref="A16:D16"/>
    <mergeCell ref="A25:H25"/>
    <mergeCell ref="A28:D28"/>
    <mergeCell ref="A40:D40"/>
    <mergeCell ref="A52:D52"/>
    <mergeCell ref="A64:D64"/>
    <mergeCell ref="A76:D76"/>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EA33-FE3F-4138-9578-5B44D7D9AFB5}">
  <sheetPr>
    <pageSetUpPr fitToPage="1"/>
  </sheetPr>
  <dimension ref="A1:B146"/>
  <sheetViews>
    <sheetView showGridLines="0" tabSelected="1" topLeftCell="B1" zoomScaleNormal="100" workbookViewId="0">
      <selection sqref="A1:B1"/>
    </sheetView>
  </sheetViews>
  <sheetFormatPr defaultRowHeight="14.5" x14ac:dyDescent="0.35"/>
  <cols>
    <col min="1" max="1" width="26.54296875" style="6" customWidth="1"/>
    <col min="2" max="2" width="160.81640625" customWidth="1"/>
  </cols>
  <sheetData>
    <row r="1" spans="1:2" s="9" customFormat="1" ht="26" x14ac:dyDescent="0.35">
      <c r="A1" s="417" t="s">
        <v>41</v>
      </c>
      <c r="B1" s="417"/>
    </row>
    <row r="2" spans="1:2" s="9" customFormat="1" ht="74.25" customHeight="1" x14ac:dyDescent="0.35">
      <c r="A2" s="418" t="s">
        <v>42</v>
      </c>
      <c r="B2" s="418"/>
    </row>
    <row r="3" spans="1:2" s="9" customFormat="1" ht="48.65" customHeight="1" thickBot="1" x14ac:dyDescent="0.4">
      <c r="A3" s="26" t="s">
        <v>477</v>
      </c>
      <c r="B3" s="246"/>
    </row>
    <row r="4" spans="1:2" ht="18" x14ac:dyDescent="0.35">
      <c r="A4" s="101" t="s">
        <v>112</v>
      </c>
      <c r="B4" s="102" t="s">
        <v>113</v>
      </c>
    </row>
    <row r="5" spans="1:2" ht="15.5" x14ac:dyDescent="0.35">
      <c r="A5" s="103" t="s">
        <v>43</v>
      </c>
      <c r="B5" s="104" t="s">
        <v>44</v>
      </c>
    </row>
    <row r="6" spans="1:2" ht="15.5" x14ac:dyDescent="0.35">
      <c r="A6" s="103" t="s">
        <v>45</v>
      </c>
      <c r="B6" s="104" t="s">
        <v>46</v>
      </c>
    </row>
    <row r="7" spans="1:2" ht="15.5" x14ac:dyDescent="0.35">
      <c r="A7" s="103" t="s">
        <v>47</v>
      </c>
      <c r="B7" s="104" t="s">
        <v>48</v>
      </c>
    </row>
    <row r="8" spans="1:2" ht="15.5" x14ac:dyDescent="0.35">
      <c r="A8" s="103" t="s">
        <v>49</v>
      </c>
      <c r="B8" s="104" t="s">
        <v>50</v>
      </c>
    </row>
    <row r="9" spans="1:2" ht="15.5" x14ac:dyDescent="0.35">
      <c r="A9" s="103" t="s">
        <v>4</v>
      </c>
      <c r="B9" s="104" t="s">
        <v>51</v>
      </c>
    </row>
    <row r="10" spans="1:2" ht="15.5" x14ac:dyDescent="0.35">
      <c r="A10" s="103" t="s">
        <v>52</v>
      </c>
      <c r="B10" s="104" t="s">
        <v>53</v>
      </c>
    </row>
    <row r="11" spans="1:2" ht="15.5" x14ac:dyDescent="0.35">
      <c r="A11" s="103" t="s">
        <v>54</v>
      </c>
      <c r="B11" s="104" t="s">
        <v>55</v>
      </c>
    </row>
    <row r="12" spans="1:2" ht="15.5" x14ac:dyDescent="0.35">
      <c r="A12" s="103" t="s">
        <v>56</v>
      </c>
      <c r="B12" s="104" t="s">
        <v>57</v>
      </c>
    </row>
    <row r="13" spans="1:2" ht="46.5" x14ac:dyDescent="0.35">
      <c r="A13" s="103" t="s">
        <v>58</v>
      </c>
      <c r="B13" s="104" t="s">
        <v>59</v>
      </c>
    </row>
    <row r="14" spans="1:2" ht="46.5" x14ac:dyDescent="0.35">
      <c r="A14" s="103" t="s">
        <v>61</v>
      </c>
      <c r="B14" s="104" t="s">
        <v>62</v>
      </c>
    </row>
    <row r="15" spans="1:2" ht="15.5" x14ac:dyDescent="0.35">
      <c r="A15" s="103" t="s">
        <v>63</v>
      </c>
      <c r="B15" s="104" t="s">
        <v>64</v>
      </c>
    </row>
    <row r="16" spans="1:2" ht="47.25" customHeight="1" x14ac:dyDescent="0.35">
      <c r="A16" s="482" t="s">
        <v>65</v>
      </c>
      <c r="B16" s="104" t="s">
        <v>66</v>
      </c>
    </row>
    <row r="17" spans="1:2" ht="46.5" x14ac:dyDescent="0.35">
      <c r="A17" s="482"/>
      <c r="B17" s="104" t="s">
        <v>67</v>
      </c>
    </row>
    <row r="18" spans="1:2" ht="47.15" customHeight="1" x14ac:dyDescent="0.35">
      <c r="A18" s="482" t="s">
        <v>486</v>
      </c>
      <c r="B18" s="104" t="s">
        <v>487</v>
      </c>
    </row>
    <row r="19" spans="1:2" ht="46.5" x14ac:dyDescent="0.35">
      <c r="A19" s="482"/>
      <c r="B19" s="104" t="s">
        <v>488</v>
      </c>
    </row>
    <row r="20" spans="1:2" ht="31" x14ac:dyDescent="0.35">
      <c r="A20" s="103" t="s">
        <v>68</v>
      </c>
      <c r="B20" s="104" t="s">
        <v>710</v>
      </c>
    </row>
    <row r="21" spans="1:2" ht="15.5" x14ac:dyDescent="0.35">
      <c r="A21" s="103" t="s">
        <v>70</v>
      </c>
      <c r="B21" s="104" t="s">
        <v>71</v>
      </c>
    </row>
    <row r="22" spans="1:2" ht="15.5" x14ac:dyDescent="0.35">
      <c r="A22" s="103" t="s">
        <v>72</v>
      </c>
      <c r="B22" s="104" t="s">
        <v>73</v>
      </c>
    </row>
    <row r="23" spans="1:2" ht="15.5" x14ac:dyDescent="0.35">
      <c r="A23" s="103" t="s">
        <v>74</v>
      </c>
      <c r="B23" s="104" t="s">
        <v>75</v>
      </c>
    </row>
    <row r="24" spans="1:2" ht="46.5" x14ac:dyDescent="0.35">
      <c r="A24" s="103" t="s">
        <v>76</v>
      </c>
      <c r="B24" s="104" t="s">
        <v>77</v>
      </c>
    </row>
    <row r="25" spans="1:2" ht="31" x14ac:dyDescent="0.35">
      <c r="A25" s="103" t="s">
        <v>78</v>
      </c>
      <c r="B25" s="104" t="s">
        <v>79</v>
      </c>
    </row>
    <row r="26" spans="1:2" ht="15.5" x14ac:dyDescent="0.35">
      <c r="A26" s="103" t="s">
        <v>80</v>
      </c>
      <c r="B26" s="104" t="s">
        <v>81</v>
      </c>
    </row>
    <row r="27" spans="1:2" ht="15.5" x14ac:dyDescent="0.35">
      <c r="A27" s="103" t="s">
        <v>82</v>
      </c>
      <c r="B27" s="104" t="s">
        <v>83</v>
      </c>
    </row>
    <row r="28" spans="1:2" ht="15.5" x14ac:dyDescent="0.35">
      <c r="A28" s="103" t="s">
        <v>84</v>
      </c>
      <c r="B28" s="104" t="s">
        <v>85</v>
      </c>
    </row>
    <row r="29" spans="1:2" ht="15.5" x14ac:dyDescent="0.35">
      <c r="A29" s="103" t="s">
        <v>86</v>
      </c>
      <c r="B29" s="104" t="s">
        <v>87</v>
      </c>
    </row>
    <row r="30" spans="1:2" ht="15.5" x14ac:dyDescent="0.35">
      <c r="A30" s="103" t="s">
        <v>88</v>
      </c>
      <c r="B30" s="104" t="s">
        <v>89</v>
      </c>
    </row>
    <row r="31" spans="1:2" ht="15.5" x14ac:dyDescent="0.35">
      <c r="A31" s="103" t="s">
        <v>2</v>
      </c>
      <c r="B31" s="104" t="s">
        <v>90</v>
      </c>
    </row>
    <row r="32" spans="1:2" ht="31" x14ac:dyDescent="0.35">
      <c r="A32" s="103" t="s">
        <v>528</v>
      </c>
      <c r="B32" s="104" t="s">
        <v>91</v>
      </c>
    </row>
    <row r="33" spans="1:2" ht="15.5" x14ac:dyDescent="0.35">
      <c r="A33" s="103" t="s">
        <v>3</v>
      </c>
      <c r="B33" s="104" t="s">
        <v>92</v>
      </c>
    </row>
    <row r="34" spans="1:2" ht="31" x14ac:dyDescent="0.35">
      <c r="A34" s="103" t="s">
        <v>94</v>
      </c>
      <c r="B34" s="104" t="s">
        <v>95</v>
      </c>
    </row>
    <row r="35" spans="1:2" ht="15.5" x14ac:dyDescent="0.35">
      <c r="A35" s="103" t="s">
        <v>96</v>
      </c>
      <c r="B35" s="104" t="s">
        <v>97</v>
      </c>
    </row>
    <row r="36" spans="1:2" ht="31" x14ac:dyDescent="0.35">
      <c r="A36" s="103" t="s">
        <v>98</v>
      </c>
      <c r="B36" s="104" t="s">
        <v>99</v>
      </c>
    </row>
    <row r="37" spans="1:2" ht="15.5" x14ac:dyDescent="0.35">
      <c r="A37" s="103" t="s">
        <v>100</v>
      </c>
      <c r="B37" s="104" t="s">
        <v>489</v>
      </c>
    </row>
    <row r="38" spans="1:2" ht="15.5" x14ac:dyDescent="0.35">
      <c r="A38" s="103" t="s">
        <v>20</v>
      </c>
      <c r="B38" s="104" t="s">
        <v>490</v>
      </c>
    </row>
    <row r="39" spans="1:2" ht="15.5" x14ac:dyDescent="0.35">
      <c r="A39" s="482" t="s">
        <v>101</v>
      </c>
      <c r="B39" s="104" t="s">
        <v>102</v>
      </c>
    </row>
    <row r="40" spans="1:2" ht="15.5" x14ac:dyDescent="0.35">
      <c r="A40" s="482"/>
      <c r="B40" s="104" t="s">
        <v>103</v>
      </c>
    </row>
    <row r="41" spans="1:2" ht="46.5" x14ac:dyDescent="0.35">
      <c r="A41" s="482"/>
      <c r="B41" s="104" t="s">
        <v>104</v>
      </c>
    </row>
    <row r="42" spans="1:2" ht="46.5" x14ac:dyDescent="0.35">
      <c r="A42" s="482"/>
      <c r="B42" s="104" t="s">
        <v>106</v>
      </c>
    </row>
    <row r="43" spans="1:2" ht="15.5" x14ac:dyDescent="0.35">
      <c r="A43" s="482"/>
      <c r="B43" s="104" t="s">
        <v>107</v>
      </c>
    </row>
    <row r="44" spans="1:2" ht="15.5" x14ac:dyDescent="0.35">
      <c r="A44" s="482"/>
      <c r="B44" s="104" t="s">
        <v>108</v>
      </c>
    </row>
    <row r="45" spans="1:2" ht="15.5" x14ac:dyDescent="0.35">
      <c r="A45" s="482"/>
      <c r="B45" s="104" t="s">
        <v>109</v>
      </c>
    </row>
    <row r="46" spans="1:2" ht="15.5" x14ac:dyDescent="0.35">
      <c r="A46" s="103" t="s">
        <v>110</v>
      </c>
      <c r="B46" s="104" t="s">
        <v>111</v>
      </c>
    </row>
    <row r="47" spans="1:2" ht="31" x14ac:dyDescent="0.35">
      <c r="A47" s="482" t="s">
        <v>513</v>
      </c>
      <c r="B47" s="104" t="s">
        <v>491</v>
      </c>
    </row>
    <row r="48" spans="1:2" ht="15.5" x14ac:dyDescent="0.35">
      <c r="A48" s="482"/>
      <c r="B48" s="104" t="s">
        <v>492</v>
      </c>
    </row>
    <row r="49" spans="1:2" ht="15.5" x14ac:dyDescent="0.35">
      <c r="A49" s="482"/>
      <c r="B49" s="104" t="s">
        <v>493</v>
      </c>
    </row>
    <row r="50" spans="1:2" ht="15.75" customHeight="1" x14ac:dyDescent="0.35">
      <c r="A50" s="482" t="s">
        <v>822</v>
      </c>
      <c r="B50" s="209" t="s">
        <v>850</v>
      </c>
    </row>
    <row r="51" spans="1:2" ht="15.5" x14ac:dyDescent="0.35">
      <c r="A51" s="482"/>
      <c r="B51" s="104" t="s">
        <v>494</v>
      </c>
    </row>
    <row r="52" spans="1:2" ht="35.5" customHeight="1" x14ac:dyDescent="0.35">
      <c r="A52" s="482"/>
      <c r="B52" s="104" t="s">
        <v>495</v>
      </c>
    </row>
    <row r="53" spans="1:2" ht="86.25" customHeight="1" x14ac:dyDescent="0.35">
      <c r="A53" s="482"/>
      <c r="B53" s="104" t="s">
        <v>617</v>
      </c>
    </row>
    <row r="54" spans="1:2" ht="87.65" customHeight="1" x14ac:dyDescent="0.35">
      <c r="A54" s="482"/>
      <c r="B54" s="104" t="s">
        <v>519</v>
      </c>
    </row>
    <row r="55" spans="1:2" ht="31" x14ac:dyDescent="0.35">
      <c r="A55" s="482"/>
      <c r="B55" s="104" t="s">
        <v>496</v>
      </c>
    </row>
    <row r="56" spans="1:2" ht="77.5" x14ac:dyDescent="0.35">
      <c r="A56" s="482"/>
      <c r="B56" s="104" t="s">
        <v>514</v>
      </c>
    </row>
    <row r="57" spans="1:2" ht="15.5" x14ac:dyDescent="0.35">
      <c r="A57" s="482"/>
      <c r="B57" s="104" t="s">
        <v>497</v>
      </c>
    </row>
    <row r="58" spans="1:2" ht="31" x14ac:dyDescent="0.35">
      <c r="A58" s="482"/>
      <c r="B58" s="104" t="s">
        <v>618</v>
      </c>
    </row>
    <row r="59" spans="1:2" ht="15.5" x14ac:dyDescent="0.35">
      <c r="A59" s="482"/>
      <c r="B59" s="104" t="s">
        <v>739</v>
      </c>
    </row>
    <row r="60" spans="1:2" ht="15.75" customHeight="1" x14ac:dyDescent="0.35">
      <c r="A60" s="478" t="s">
        <v>823</v>
      </c>
      <c r="B60" s="156" t="s">
        <v>851</v>
      </c>
    </row>
    <row r="61" spans="1:2" ht="15.5" x14ac:dyDescent="0.35">
      <c r="A61" s="478"/>
      <c r="B61" s="247" t="s">
        <v>706</v>
      </c>
    </row>
    <row r="62" spans="1:2" ht="15.5" x14ac:dyDescent="0.35">
      <c r="A62" s="478"/>
      <c r="B62" s="247" t="s">
        <v>707</v>
      </c>
    </row>
    <row r="63" spans="1:2" ht="31" x14ac:dyDescent="0.35">
      <c r="A63" s="478"/>
      <c r="B63" s="157" t="s">
        <v>704</v>
      </c>
    </row>
    <row r="64" spans="1:2" ht="77.5" x14ac:dyDescent="0.35">
      <c r="A64" s="478"/>
      <c r="B64" s="157" t="s">
        <v>718</v>
      </c>
    </row>
    <row r="65" spans="1:2" ht="15.5" x14ac:dyDescent="0.35">
      <c r="A65" s="478" t="s">
        <v>824</v>
      </c>
      <c r="B65" s="209" t="s">
        <v>852</v>
      </c>
    </row>
    <row r="66" spans="1:2" ht="15.5" x14ac:dyDescent="0.35">
      <c r="A66" s="478"/>
      <c r="B66" s="104" t="s">
        <v>730</v>
      </c>
    </row>
    <row r="67" spans="1:2" ht="66.650000000000006" customHeight="1" x14ac:dyDescent="0.35">
      <c r="A67" s="478"/>
      <c r="B67" s="104" t="s">
        <v>827</v>
      </c>
    </row>
    <row r="68" spans="1:2" ht="46.5" x14ac:dyDescent="0.35">
      <c r="A68" s="478"/>
      <c r="B68" s="104" t="s">
        <v>711</v>
      </c>
    </row>
    <row r="69" spans="1:2" ht="31" x14ac:dyDescent="0.35">
      <c r="A69" s="478"/>
      <c r="B69" s="104" t="s">
        <v>710</v>
      </c>
    </row>
    <row r="70" spans="1:2" ht="15.5" x14ac:dyDescent="0.35">
      <c r="A70" s="478"/>
      <c r="B70" s="104" t="s">
        <v>739</v>
      </c>
    </row>
    <row r="71" spans="1:2" ht="15.5" x14ac:dyDescent="0.35">
      <c r="A71" s="478" t="s">
        <v>522</v>
      </c>
      <c r="B71" s="209" t="s">
        <v>853</v>
      </c>
    </row>
    <row r="72" spans="1:2" ht="15.5" x14ac:dyDescent="0.35">
      <c r="A72" s="478"/>
      <c r="B72" s="104" t="s">
        <v>505</v>
      </c>
    </row>
    <row r="73" spans="1:2" ht="83.5" customHeight="1" x14ac:dyDescent="0.35">
      <c r="A73" s="478"/>
      <c r="B73" s="104" t="s">
        <v>518</v>
      </c>
    </row>
    <row r="74" spans="1:2" ht="77.5" x14ac:dyDescent="0.35">
      <c r="A74" s="478"/>
      <c r="B74" s="105" t="s">
        <v>514</v>
      </c>
    </row>
    <row r="75" spans="1:2" ht="15.5" x14ac:dyDescent="0.35">
      <c r="A75" s="478"/>
      <c r="B75" s="104" t="s">
        <v>497</v>
      </c>
    </row>
    <row r="76" spans="1:2" ht="31" x14ac:dyDescent="0.35">
      <c r="A76" s="478"/>
      <c r="B76" s="104" t="s">
        <v>712</v>
      </c>
    </row>
    <row r="77" spans="1:2" ht="15.5" x14ac:dyDescent="0.35">
      <c r="A77" s="478"/>
      <c r="B77" s="104" t="s">
        <v>684</v>
      </c>
    </row>
    <row r="78" spans="1:2" ht="15.5" x14ac:dyDescent="0.35">
      <c r="A78" s="478"/>
      <c r="B78" s="104" t="s">
        <v>739</v>
      </c>
    </row>
    <row r="79" spans="1:2" ht="15.5" x14ac:dyDescent="0.35">
      <c r="A79" s="477" t="s">
        <v>825</v>
      </c>
      <c r="B79" s="209" t="s">
        <v>854</v>
      </c>
    </row>
    <row r="80" spans="1:2" ht="15.5" x14ac:dyDescent="0.35">
      <c r="A80" s="477"/>
      <c r="B80" s="104" t="s">
        <v>505</v>
      </c>
    </row>
    <row r="81" spans="1:2" ht="31" x14ac:dyDescent="0.35">
      <c r="A81" s="477"/>
      <c r="B81" s="104" t="s">
        <v>496</v>
      </c>
    </row>
    <row r="82" spans="1:2" ht="15.5" x14ac:dyDescent="0.35">
      <c r="A82" s="477"/>
      <c r="B82" s="104" t="s">
        <v>507</v>
      </c>
    </row>
    <row r="83" spans="1:2" ht="46.5" x14ac:dyDescent="0.35">
      <c r="A83" s="477"/>
      <c r="B83" s="104" t="s">
        <v>508</v>
      </c>
    </row>
    <row r="84" spans="1:2" ht="15.5" x14ac:dyDescent="0.35">
      <c r="A84" s="477"/>
      <c r="B84" s="104" t="s">
        <v>509</v>
      </c>
    </row>
    <row r="85" spans="1:2" ht="15.5" x14ac:dyDescent="0.35">
      <c r="A85" s="477"/>
      <c r="B85" s="104" t="s">
        <v>510</v>
      </c>
    </row>
    <row r="86" spans="1:2" ht="15.5" x14ac:dyDescent="0.35">
      <c r="A86" s="477"/>
      <c r="B86" s="104" t="s">
        <v>497</v>
      </c>
    </row>
    <row r="87" spans="1:2" ht="77.5" x14ac:dyDescent="0.35">
      <c r="A87" s="477"/>
      <c r="B87" s="104" t="s">
        <v>518</v>
      </c>
    </row>
    <row r="88" spans="1:2" ht="15.5" x14ac:dyDescent="0.35">
      <c r="A88" s="477"/>
      <c r="B88" s="104" t="s">
        <v>739</v>
      </c>
    </row>
    <row r="89" spans="1:2" ht="15.65" customHeight="1" x14ac:dyDescent="0.35">
      <c r="A89" s="476" t="s">
        <v>531</v>
      </c>
      <c r="B89" s="112" t="s">
        <v>855</v>
      </c>
    </row>
    <row r="90" spans="1:2" ht="15.5" x14ac:dyDescent="0.35">
      <c r="A90" s="476"/>
      <c r="B90" s="209" t="s">
        <v>851</v>
      </c>
    </row>
    <row r="91" spans="1:2" ht="15.5" x14ac:dyDescent="0.35">
      <c r="A91" s="476"/>
      <c r="B91" s="112" t="s">
        <v>505</v>
      </c>
    </row>
    <row r="92" spans="1:2" ht="15.5" x14ac:dyDescent="0.35">
      <c r="A92" s="476"/>
      <c r="B92" s="111" t="s">
        <v>857</v>
      </c>
    </row>
    <row r="93" spans="1:2" ht="62" x14ac:dyDescent="0.35">
      <c r="A93" s="476"/>
      <c r="B93" s="112" t="s">
        <v>524</v>
      </c>
    </row>
    <row r="94" spans="1:2" ht="31" x14ac:dyDescent="0.35">
      <c r="A94" s="476"/>
      <c r="B94" s="112" t="s">
        <v>716</v>
      </c>
    </row>
    <row r="95" spans="1:2" ht="49" customHeight="1" x14ac:dyDescent="0.35">
      <c r="A95" s="476"/>
      <c r="B95" s="112" t="s">
        <v>856</v>
      </c>
    </row>
    <row r="96" spans="1:2" ht="31" x14ac:dyDescent="0.35">
      <c r="A96" s="476"/>
      <c r="B96" s="112" t="s">
        <v>526</v>
      </c>
    </row>
    <row r="97" spans="1:2" ht="143.5" customHeight="1" x14ac:dyDescent="0.35">
      <c r="A97" s="476"/>
      <c r="B97" s="112" t="s">
        <v>859</v>
      </c>
    </row>
    <row r="98" spans="1:2" ht="66" customHeight="1" x14ac:dyDescent="0.35">
      <c r="A98" s="476"/>
      <c r="B98" s="112" t="s">
        <v>713</v>
      </c>
    </row>
    <row r="99" spans="1:2" ht="31" x14ac:dyDescent="0.35">
      <c r="A99" s="476" t="s">
        <v>619</v>
      </c>
      <c r="B99" s="112" t="s">
        <v>620</v>
      </c>
    </row>
    <row r="100" spans="1:2" ht="148" customHeight="1" x14ac:dyDescent="0.35">
      <c r="A100" s="476"/>
      <c r="B100" s="239" t="s">
        <v>740</v>
      </c>
    </row>
    <row r="101" spans="1:2" ht="15.65" customHeight="1" x14ac:dyDescent="0.35">
      <c r="A101" s="476"/>
      <c r="B101" s="112" t="s">
        <v>621</v>
      </c>
    </row>
    <row r="102" spans="1:2" ht="15.5" x14ac:dyDescent="0.35">
      <c r="A102" s="476"/>
      <c r="B102" s="157" t="s">
        <v>739</v>
      </c>
    </row>
    <row r="103" spans="1:2" ht="31" x14ac:dyDescent="0.35">
      <c r="A103" s="476"/>
      <c r="B103" s="156" t="s">
        <v>633</v>
      </c>
    </row>
    <row r="104" spans="1:2" ht="15.5" x14ac:dyDescent="0.35">
      <c r="A104" s="476"/>
      <c r="B104" s="112" t="s">
        <v>1500</v>
      </c>
    </row>
    <row r="105" spans="1:2" ht="15.5" x14ac:dyDescent="0.35">
      <c r="A105" s="477" t="s">
        <v>622</v>
      </c>
      <c r="B105" s="112" t="s">
        <v>851</v>
      </c>
    </row>
    <row r="106" spans="1:2" ht="15.5" x14ac:dyDescent="0.35">
      <c r="A106" s="477"/>
      <c r="B106" s="156" t="s">
        <v>826</v>
      </c>
    </row>
    <row r="107" spans="1:2" ht="15.5" x14ac:dyDescent="0.35">
      <c r="A107" s="477"/>
      <c r="B107" s="247" t="s">
        <v>838</v>
      </c>
    </row>
    <row r="108" spans="1:2" ht="31" x14ac:dyDescent="0.35">
      <c r="A108" s="477"/>
      <c r="B108" s="157" t="s">
        <v>704</v>
      </c>
    </row>
    <row r="109" spans="1:2" ht="77.5" x14ac:dyDescent="0.35">
      <c r="A109" s="477"/>
      <c r="B109" s="157" t="s">
        <v>717</v>
      </c>
    </row>
    <row r="110" spans="1:2" ht="15.5" x14ac:dyDescent="0.35">
      <c r="A110" s="477"/>
      <c r="B110" s="104" t="s">
        <v>500</v>
      </c>
    </row>
    <row r="111" spans="1:2" ht="15.5" x14ac:dyDescent="0.35">
      <c r="A111" s="477"/>
      <c r="B111" s="112" t="s">
        <v>858</v>
      </c>
    </row>
    <row r="112" spans="1:2" ht="15.5" x14ac:dyDescent="0.35">
      <c r="A112" s="477"/>
      <c r="B112" s="112" t="s">
        <v>714</v>
      </c>
    </row>
    <row r="113" spans="1:2" ht="21" customHeight="1" x14ac:dyDescent="0.35">
      <c r="A113" s="477"/>
      <c r="B113" s="112" t="s">
        <v>715</v>
      </c>
    </row>
    <row r="114" spans="1:2" ht="31" x14ac:dyDescent="0.35">
      <c r="A114" s="477"/>
      <c r="B114" s="112" t="s">
        <v>623</v>
      </c>
    </row>
    <row r="115" spans="1:2" ht="15.65" customHeight="1" x14ac:dyDescent="0.35">
      <c r="A115" s="478" t="s">
        <v>631</v>
      </c>
      <c r="B115" s="105" t="s">
        <v>1501</v>
      </c>
    </row>
    <row r="116" spans="1:2" ht="15.5" x14ac:dyDescent="0.35">
      <c r="A116" s="478"/>
      <c r="B116" s="111" t="s">
        <v>632</v>
      </c>
    </row>
    <row r="117" spans="1:2" ht="15.5" x14ac:dyDescent="0.35">
      <c r="A117" s="478"/>
      <c r="B117" s="111" t="s">
        <v>630</v>
      </c>
    </row>
    <row r="118" spans="1:2" ht="15.5" x14ac:dyDescent="0.35">
      <c r="A118" s="478"/>
      <c r="B118" s="111" t="s">
        <v>635</v>
      </c>
    </row>
    <row r="119" spans="1:2" ht="15.5" x14ac:dyDescent="0.35">
      <c r="A119" s="478"/>
      <c r="B119" s="111" t="s">
        <v>636</v>
      </c>
    </row>
    <row r="120" spans="1:2" ht="15.5" x14ac:dyDescent="0.35">
      <c r="A120" s="479" t="s">
        <v>639</v>
      </c>
      <c r="B120" s="111" t="s">
        <v>666</v>
      </c>
    </row>
    <row r="121" spans="1:2" ht="16.5" customHeight="1" x14ac:dyDescent="0.35">
      <c r="A121" s="479"/>
      <c r="B121" s="105" t="s">
        <v>741</v>
      </c>
    </row>
    <row r="122" spans="1:2" ht="16.5" customHeight="1" x14ac:dyDescent="0.35">
      <c r="A122" s="479"/>
      <c r="B122" s="111" t="s">
        <v>667</v>
      </c>
    </row>
    <row r="123" spans="1:2" ht="16.5" customHeight="1" x14ac:dyDescent="0.35">
      <c r="A123" s="479"/>
      <c r="B123" s="105" t="s">
        <v>741</v>
      </c>
    </row>
    <row r="124" spans="1:2" ht="15.5" x14ac:dyDescent="0.35">
      <c r="A124" s="479"/>
      <c r="B124" s="111" t="s">
        <v>668</v>
      </c>
    </row>
    <row r="125" spans="1:2" ht="15.5" x14ac:dyDescent="0.35">
      <c r="A125" s="479"/>
      <c r="B125" s="105" t="s">
        <v>741</v>
      </c>
    </row>
    <row r="126" spans="1:2" ht="15.5" x14ac:dyDescent="0.35">
      <c r="A126" s="479"/>
      <c r="B126" s="111" t="s">
        <v>669</v>
      </c>
    </row>
    <row r="127" spans="1:2" ht="15.5" x14ac:dyDescent="0.35">
      <c r="A127" s="479"/>
      <c r="B127" s="105" t="s">
        <v>741</v>
      </c>
    </row>
    <row r="128" spans="1:2" ht="15.5" x14ac:dyDescent="0.35">
      <c r="A128" s="479"/>
      <c r="B128" s="105" t="s">
        <v>670</v>
      </c>
    </row>
    <row r="129" spans="1:2" ht="31" x14ac:dyDescent="0.35">
      <c r="A129" s="479"/>
      <c r="B129" s="105" t="s">
        <v>756</v>
      </c>
    </row>
    <row r="130" spans="1:2" ht="65.150000000000006" customHeight="1" x14ac:dyDescent="0.35">
      <c r="A130" s="479"/>
      <c r="B130" s="105" t="s">
        <v>742</v>
      </c>
    </row>
    <row r="131" spans="1:2" ht="15.5" x14ac:dyDescent="0.35">
      <c r="A131" s="479"/>
      <c r="B131" s="105" t="s">
        <v>637</v>
      </c>
    </row>
    <row r="132" spans="1:2" ht="31" x14ac:dyDescent="0.35">
      <c r="A132" s="479"/>
      <c r="B132" s="105" t="s">
        <v>719</v>
      </c>
    </row>
    <row r="133" spans="1:2" ht="15.5" x14ac:dyDescent="0.35">
      <c r="A133" s="479"/>
      <c r="B133" s="105" t="s">
        <v>494</v>
      </c>
    </row>
    <row r="134" spans="1:2" ht="31" x14ac:dyDescent="0.35">
      <c r="A134" s="479"/>
      <c r="B134" s="105" t="s">
        <v>638</v>
      </c>
    </row>
    <row r="135" spans="1:2" ht="88" customHeight="1" x14ac:dyDescent="0.35">
      <c r="A135" s="479"/>
      <c r="B135" s="105" t="s">
        <v>743</v>
      </c>
    </row>
    <row r="136" spans="1:2" ht="21.65" customHeight="1" x14ac:dyDescent="0.35">
      <c r="A136" s="479"/>
      <c r="B136" s="105" t="s">
        <v>730</v>
      </c>
    </row>
    <row r="137" spans="1:2" ht="70" customHeight="1" x14ac:dyDescent="0.35">
      <c r="A137" s="479"/>
      <c r="B137" s="104" t="s">
        <v>827</v>
      </c>
    </row>
    <row r="138" spans="1:2" ht="15.5" x14ac:dyDescent="0.35">
      <c r="A138" s="479"/>
      <c r="B138" s="105" t="s">
        <v>643</v>
      </c>
    </row>
    <row r="139" spans="1:2" ht="15.5" x14ac:dyDescent="0.35">
      <c r="A139" s="480" t="s">
        <v>640</v>
      </c>
      <c r="B139" s="105" t="s">
        <v>641</v>
      </c>
    </row>
    <row r="140" spans="1:2" ht="15.5" x14ac:dyDescent="0.35">
      <c r="A140" s="480"/>
      <c r="B140" s="105" t="s">
        <v>642</v>
      </c>
    </row>
    <row r="141" spans="1:2" ht="15.5" x14ac:dyDescent="0.35">
      <c r="A141" s="480"/>
      <c r="B141" s="105" t="s">
        <v>685</v>
      </c>
    </row>
    <row r="142" spans="1:2" ht="15.5" x14ac:dyDescent="0.35">
      <c r="A142" s="480"/>
      <c r="B142" s="105" t="s">
        <v>686</v>
      </c>
    </row>
    <row r="143" spans="1:2" ht="15.5" x14ac:dyDescent="0.35">
      <c r="A143" s="480"/>
      <c r="B143" s="105" t="s">
        <v>671</v>
      </c>
    </row>
    <row r="144" spans="1:2" ht="15.5" x14ac:dyDescent="0.35">
      <c r="A144" s="480"/>
      <c r="B144" s="105" t="s">
        <v>674</v>
      </c>
    </row>
    <row r="145" spans="1:2" ht="15.5" x14ac:dyDescent="0.35">
      <c r="A145" s="480"/>
      <c r="B145" s="105" t="s">
        <v>687</v>
      </c>
    </row>
    <row r="146" spans="1:2" ht="16" thickBot="1" x14ac:dyDescent="0.4">
      <c r="A146" s="481"/>
      <c r="B146" s="170" t="s">
        <v>828</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38"/>
    <mergeCell ref="A139:A146"/>
  </mergeCells>
  <pageMargins left="0.25" right="0.25" top="0.75" bottom="0.75" header="0.3" footer="0.3"/>
  <pageSetup scale="14"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A82" zoomScale="80" zoomScaleNormal="80" workbookViewId="0">
      <selection activeCell="B94" sqref="B94"/>
    </sheetView>
  </sheetViews>
  <sheetFormatPr defaultRowHeight="14.5" x14ac:dyDescent="0.35"/>
  <cols>
    <col min="1" max="1" width="26.54296875" style="6" customWidth="1"/>
    <col min="2" max="2" width="151.453125" style="6" customWidth="1"/>
    <col min="3" max="5" width="8.54296875" customWidth="1"/>
    <col min="6" max="6" width="8.54296875" bestFit="1" customWidth="1"/>
    <col min="7" max="7" width="10.453125" customWidth="1"/>
    <col min="8" max="8" width="9" bestFit="1" customWidth="1"/>
    <col min="9" max="9" width="7.54296875" bestFit="1" customWidth="1"/>
    <col min="11" max="11" width="7.54296875" bestFit="1" customWidth="1"/>
    <col min="12" max="12" width="9" bestFit="1" customWidth="1"/>
    <col min="13" max="13" width="7.54296875" customWidth="1"/>
    <col min="26" max="26" width="10.54296875" bestFit="1" customWidth="1"/>
  </cols>
  <sheetData>
    <row r="1" spans="1:31" s="9" customFormat="1" ht="26" x14ac:dyDescent="0.35">
      <c r="A1" s="362" t="s">
        <v>41</v>
      </c>
      <c r="B1" s="362"/>
      <c r="C1" s="362"/>
      <c r="D1" s="362"/>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s="9" customFormat="1" ht="74.25" customHeight="1" x14ac:dyDescent="0.35">
      <c r="A2" s="363" t="s">
        <v>42</v>
      </c>
      <c r="B2" s="363"/>
      <c r="C2" s="363"/>
      <c r="D2" s="363"/>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s="9" customFormat="1" ht="48.65" customHeight="1" thickBot="1" x14ac:dyDescent="0.4">
      <c r="A3" s="26" t="s">
        <v>477</v>
      </c>
      <c r="B3" s="26"/>
      <c r="C3" s="29"/>
      <c r="D3" s="29"/>
      <c r="E3" s="483"/>
      <c r="F3" s="483"/>
      <c r="G3" s="483"/>
      <c r="H3" s="483"/>
      <c r="I3" s="483"/>
      <c r="J3" s="483"/>
      <c r="K3" s="483"/>
      <c r="L3" s="483"/>
      <c r="M3" s="483"/>
      <c r="N3" s="483"/>
      <c r="O3" s="483"/>
      <c r="P3" s="483"/>
      <c r="Q3" s="483"/>
      <c r="R3" s="483"/>
      <c r="S3" s="483"/>
      <c r="T3" s="483"/>
      <c r="U3" s="483"/>
      <c r="V3" s="483"/>
      <c r="W3" s="483"/>
      <c r="X3" s="483"/>
      <c r="Y3" s="483"/>
      <c r="Z3" s="483"/>
      <c r="AA3" s="483"/>
      <c r="AB3" s="483"/>
      <c r="AC3" s="483"/>
      <c r="AD3" s="483"/>
      <c r="AE3" s="483"/>
    </row>
    <row r="4" spans="1:31" ht="18" x14ac:dyDescent="0.35">
      <c r="A4" s="101" t="s">
        <v>112</v>
      </c>
      <c r="B4" s="102" t="s">
        <v>113</v>
      </c>
    </row>
    <row r="5" spans="1:31" ht="15.5" x14ac:dyDescent="0.35">
      <c r="A5" s="103" t="s">
        <v>43</v>
      </c>
      <c r="B5" s="104" t="s">
        <v>44</v>
      </c>
    </row>
    <row r="6" spans="1:31" ht="15.5" x14ac:dyDescent="0.35">
      <c r="A6" s="103" t="s">
        <v>45</v>
      </c>
      <c r="B6" s="104" t="s">
        <v>46</v>
      </c>
    </row>
    <row r="7" spans="1:31" ht="15.5" x14ac:dyDescent="0.35">
      <c r="A7" s="103" t="s">
        <v>47</v>
      </c>
      <c r="B7" s="104" t="s">
        <v>48</v>
      </c>
    </row>
    <row r="8" spans="1:31" ht="15.5" x14ac:dyDescent="0.35">
      <c r="A8" s="103" t="s">
        <v>49</v>
      </c>
      <c r="B8" s="104" t="s">
        <v>50</v>
      </c>
    </row>
    <row r="9" spans="1:31" ht="15.5" x14ac:dyDescent="0.35">
      <c r="A9" s="103" t="s">
        <v>4</v>
      </c>
      <c r="B9" s="104" t="s">
        <v>51</v>
      </c>
    </row>
    <row r="10" spans="1:31" ht="15.5" x14ac:dyDescent="0.35">
      <c r="A10" s="103" t="s">
        <v>52</v>
      </c>
      <c r="B10" s="104" t="s">
        <v>53</v>
      </c>
    </row>
    <row r="11" spans="1:31" ht="15.5" x14ac:dyDescent="0.35">
      <c r="A11" s="103" t="s">
        <v>54</v>
      </c>
      <c r="B11" s="104" t="s">
        <v>55</v>
      </c>
    </row>
    <row r="12" spans="1:31" ht="15.5" x14ac:dyDescent="0.35">
      <c r="A12" s="103" t="s">
        <v>56</v>
      </c>
      <c r="B12" s="104" t="s">
        <v>57</v>
      </c>
      <c r="Z12" s="28"/>
    </row>
    <row r="13" spans="1:31" ht="46.5" x14ac:dyDescent="0.35">
      <c r="A13" s="103" t="s">
        <v>58</v>
      </c>
      <c r="B13" s="104" t="s">
        <v>59</v>
      </c>
    </row>
    <row r="14" spans="1:31" ht="46.5" x14ac:dyDescent="0.35">
      <c r="A14" s="103" t="s">
        <v>61</v>
      </c>
      <c r="B14" s="104" t="s">
        <v>62</v>
      </c>
    </row>
    <row r="15" spans="1:31" ht="15.5" x14ac:dyDescent="0.35">
      <c r="A15" s="103" t="s">
        <v>63</v>
      </c>
      <c r="B15" s="104" t="s">
        <v>64</v>
      </c>
    </row>
    <row r="16" spans="1:31" ht="47.25" customHeight="1" x14ac:dyDescent="0.35">
      <c r="A16" s="482" t="s">
        <v>65</v>
      </c>
      <c r="B16" s="104" t="s">
        <v>66</v>
      </c>
    </row>
    <row r="17" spans="1:2" ht="46.5" x14ac:dyDescent="0.35">
      <c r="A17" s="482"/>
      <c r="B17" s="104" t="s">
        <v>67</v>
      </c>
    </row>
    <row r="18" spans="1:2" ht="47.15" customHeight="1" x14ac:dyDescent="0.35">
      <c r="A18" s="484" t="s">
        <v>486</v>
      </c>
      <c r="B18" s="104" t="s">
        <v>487</v>
      </c>
    </row>
    <row r="19" spans="1:2" ht="46.5" x14ac:dyDescent="0.35">
      <c r="A19" s="485"/>
      <c r="B19" s="104" t="s">
        <v>488</v>
      </c>
    </row>
    <row r="20" spans="1:2" ht="15.5" x14ac:dyDescent="0.35">
      <c r="A20" s="103" t="s">
        <v>68</v>
      </c>
      <c r="B20" s="104" t="s">
        <v>69</v>
      </c>
    </row>
    <row r="21" spans="1:2" ht="15.5" x14ac:dyDescent="0.35">
      <c r="A21" s="103" t="s">
        <v>70</v>
      </c>
      <c r="B21" s="104" t="s">
        <v>71</v>
      </c>
    </row>
    <row r="22" spans="1:2" ht="15.5" x14ac:dyDescent="0.35">
      <c r="A22" s="103" t="s">
        <v>72</v>
      </c>
      <c r="B22" s="104" t="s">
        <v>73</v>
      </c>
    </row>
    <row r="23" spans="1:2" ht="15.5" x14ac:dyDescent="0.35">
      <c r="A23" s="103" t="s">
        <v>74</v>
      </c>
      <c r="B23" s="104" t="s">
        <v>75</v>
      </c>
    </row>
    <row r="24" spans="1:2" ht="46.5" x14ac:dyDescent="0.35">
      <c r="A24" s="103" t="s">
        <v>76</v>
      </c>
      <c r="B24" s="104" t="s">
        <v>77</v>
      </c>
    </row>
    <row r="25" spans="1:2" ht="31" x14ac:dyDescent="0.35">
      <c r="A25" s="103" t="s">
        <v>78</v>
      </c>
      <c r="B25" s="104" t="s">
        <v>79</v>
      </c>
    </row>
    <row r="26" spans="1:2" ht="15.5" x14ac:dyDescent="0.35">
      <c r="A26" s="103" t="s">
        <v>80</v>
      </c>
      <c r="B26" s="104" t="s">
        <v>81</v>
      </c>
    </row>
    <row r="27" spans="1:2" ht="15.5" x14ac:dyDescent="0.35">
      <c r="A27" s="103" t="s">
        <v>82</v>
      </c>
      <c r="B27" s="104" t="s">
        <v>83</v>
      </c>
    </row>
    <row r="28" spans="1:2" ht="15.5" x14ac:dyDescent="0.35">
      <c r="A28" s="103" t="s">
        <v>84</v>
      </c>
      <c r="B28" s="104" t="s">
        <v>85</v>
      </c>
    </row>
    <row r="29" spans="1:2" ht="31" x14ac:dyDescent="0.35">
      <c r="A29" s="103" t="s">
        <v>86</v>
      </c>
      <c r="B29" s="104" t="s">
        <v>87</v>
      </c>
    </row>
    <row r="30" spans="1:2" ht="15.5" x14ac:dyDescent="0.35">
      <c r="A30" s="103" t="s">
        <v>88</v>
      </c>
      <c r="B30" s="104" t="s">
        <v>89</v>
      </c>
    </row>
    <row r="31" spans="1:2" ht="15.5" x14ac:dyDescent="0.35">
      <c r="A31" s="103" t="s">
        <v>2</v>
      </c>
      <c r="B31" s="104" t="s">
        <v>90</v>
      </c>
    </row>
    <row r="32" spans="1:2" ht="31" x14ac:dyDescent="0.35">
      <c r="A32" s="103" t="s">
        <v>528</v>
      </c>
      <c r="B32" s="104" t="s">
        <v>91</v>
      </c>
    </row>
    <row r="33" spans="1:2" ht="15.5" x14ac:dyDescent="0.35">
      <c r="A33" s="103" t="s">
        <v>3</v>
      </c>
      <c r="B33" s="104" t="s">
        <v>92</v>
      </c>
    </row>
    <row r="34" spans="1:2" ht="31" x14ac:dyDescent="0.35">
      <c r="A34" s="103" t="s">
        <v>94</v>
      </c>
      <c r="B34" s="104" t="s">
        <v>95</v>
      </c>
    </row>
    <row r="35" spans="1:2" ht="15.5" x14ac:dyDescent="0.35">
      <c r="A35" s="103" t="s">
        <v>96</v>
      </c>
      <c r="B35" s="104" t="s">
        <v>97</v>
      </c>
    </row>
    <row r="36" spans="1:2" ht="31" x14ac:dyDescent="0.35">
      <c r="A36" s="103" t="s">
        <v>98</v>
      </c>
      <c r="B36" s="104" t="s">
        <v>99</v>
      </c>
    </row>
    <row r="37" spans="1:2" ht="15.5" x14ac:dyDescent="0.35">
      <c r="A37" s="103" t="s">
        <v>100</v>
      </c>
      <c r="B37" s="104" t="s">
        <v>489</v>
      </c>
    </row>
    <row r="38" spans="1:2" ht="15.5" x14ac:dyDescent="0.35">
      <c r="A38" s="103" t="s">
        <v>20</v>
      </c>
      <c r="B38" s="104" t="s">
        <v>490</v>
      </c>
    </row>
    <row r="39" spans="1:2" ht="15.5" x14ac:dyDescent="0.35">
      <c r="A39" s="482" t="s">
        <v>101</v>
      </c>
      <c r="B39" s="104" t="s">
        <v>102</v>
      </c>
    </row>
    <row r="40" spans="1:2" ht="15.5" x14ac:dyDescent="0.35">
      <c r="A40" s="482"/>
      <c r="B40" s="104" t="s">
        <v>103</v>
      </c>
    </row>
    <row r="41" spans="1:2" ht="46.5" x14ac:dyDescent="0.35">
      <c r="A41" s="482"/>
      <c r="B41" s="104" t="s">
        <v>104</v>
      </c>
    </row>
    <row r="42" spans="1:2" ht="15.5" x14ac:dyDescent="0.35">
      <c r="A42" s="482"/>
      <c r="B42" s="104" t="s">
        <v>105</v>
      </c>
    </row>
    <row r="43" spans="1:2" ht="46.5" x14ac:dyDescent="0.35">
      <c r="A43" s="482"/>
      <c r="B43" s="104" t="s">
        <v>106</v>
      </c>
    </row>
    <row r="44" spans="1:2" ht="15.5" x14ac:dyDescent="0.35">
      <c r="A44" s="482"/>
      <c r="B44" s="104" t="s">
        <v>107</v>
      </c>
    </row>
    <row r="45" spans="1:2" ht="31" x14ac:dyDescent="0.35">
      <c r="A45" s="482"/>
      <c r="B45" s="104" t="s">
        <v>108</v>
      </c>
    </row>
    <row r="46" spans="1:2" ht="31" x14ac:dyDescent="0.35">
      <c r="A46" s="482"/>
      <c r="B46" s="104" t="s">
        <v>109</v>
      </c>
    </row>
    <row r="47" spans="1:2" ht="15.5" x14ac:dyDescent="0.35">
      <c r="A47" s="103" t="s">
        <v>110</v>
      </c>
      <c r="B47" s="104" t="s">
        <v>111</v>
      </c>
    </row>
    <row r="48" spans="1:2" ht="31" x14ac:dyDescent="0.35">
      <c r="A48" s="484" t="s">
        <v>513</v>
      </c>
      <c r="B48" s="104" t="s">
        <v>491</v>
      </c>
    </row>
    <row r="49" spans="1:2" ht="15.5" x14ac:dyDescent="0.35">
      <c r="A49" s="492"/>
      <c r="B49" s="104" t="s">
        <v>492</v>
      </c>
    </row>
    <row r="50" spans="1:2" ht="15.5" x14ac:dyDescent="0.35">
      <c r="A50" s="485"/>
      <c r="B50" s="104" t="s">
        <v>493</v>
      </c>
    </row>
    <row r="51" spans="1:2" ht="15.75" customHeight="1" x14ac:dyDescent="0.35">
      <c r="A51" s="486" t="s">
        <v>517</v>
      </c>
      <c r="B51" s="105" t="s">
        <v>549</v>
      </c>
    </row>
    <row r="52" spans="1:2" ht="15.5" x14ac:dyDescent="0.35">
      <c r="A52" s="487"/>
      <c r="B52" s="104" t="s">
        <v>494</v>
      </c>
    </row>
    <row r="53" spans="1:2" ht="47.5" customHeight="1" x14ac:dyDescent="0.35">
      <c r="A53" s="487"/>
      <c r="B53" s="104" t="s">
        <v>495</v>
      </c>
    </row>
    <row r="54" spans="1:2" ht="86.25" customHeight="1" x14ac:dyDescent="0.35">
      <c r="A54" s="487"/>
      <c r="B54" s="104" t="s">
        <v>550</v>
      </c>
    </row>
    <row r="55" spans="1:2" ht="87.65" customHeight="1" x14ac:dyDescent="0.35">
      <c r="A55" s="487"/>
      <c r="B55" s="104" t="s">
        <v>519</v>
      </c>
    </row>
    <row r="56" spans="1:2" ht="31" x14ac:dyDescent="0.35">
      <c r="A56" s="487"/>
      <c r="B56" s="104" t="s">
        <v>496</v>
      </c>
    </row>
    <row r="57" spans="1:2" ht="77.5" x14ac:dyDescent="0.35">
      <c r="A57" s="487"/>
      <c r="B57" s="104" t="s">
        <v>514</v>
      </c>
    </row>
    <row r="58" spans="1:2" ht="15.5" x14ac:dyDescent="0.35">
      <c r="A58" s="487"/>
      <c r="B58" s="104" t="s">
        <v>497</v>
      </c>
    </row>
    <row r="59" spans="1:2" ht="31" x14ac:dyDescent="0.35">
      <c r="A59" s="488"/>
      <c r="B59" s="104" t="s">
        <v>498</v>
      </c>
    </row>
    <row r="60" spans="1:2" ht="15.5" x14ac:dyDescent="0.35">
      <c r="A60" s="489" t="s">
        <v>520</v>
      </c>
      <c r="B60" s="105" t="s">
        <v>551</v>
      </c>
    </row>
    <row r="61" spans="1:2" ht="31" x14ac:dyDescent="0.35">
      <c r="A61" s="490"/>
      <c r="B61" s="104" t="s">
        <v>499</v>
      </c>
    </row>
    <row r="62" spans="1:2" ht="15.5" x14ac:dyDescent="0.35">
      <c r="A62" s="490"/>
      <c r="B62" s="104" t="s">
        <v>500</v>
      </c>
    </row>
    <row r="63" spans="1:2" ht="15.5" x14ac:dyDescent="0.35">
      <c r="A63" s="490"/>
      <c r="B63" s="104" t="s">
        <v>501</v>
      </c>
    </row>
    <row r="64" spans="1:2" ht="77.5" x14ac:dyDescent="0.35">
      <c r="A64" s="490"/>
      <c r="B64" s="104" t="s">
        <v>518</v>
      </c>
    </row>
    <row r="65" spans="1:2" ht="50.15" customHeight="1" x14ac:dyDescent="0.35">
      <c r="A65" s="491"/>
      <c r="B65" s="104" t="s">
        <v>498</v>
      </c>
    </row>
    <row r="66" spans="1:2" ht="15.5" x14ac:dyDescent="0.35">
      <c r="A66" s="484" t="s">
        <v>521</v>
      </c>
      <c r="B66" s="105" t="s">
        <v>552</v>
      </c>
    </row>
    <row r="67" spans="1:2" ht="15.5" x14ac:dyDescent="0.35">
      <c r="A67" s="492"/>
      <c r="B67" s="104" t="s">
        <v>502</v>
      </c>
    </row>
    <row r="68" spans="1:2" ht="40" customHeight="1" x14ac:dyDescent="0.35">
      <c r="A68" s="492"/>
      <c r="B68" s="104" t="s">
        <v>503</v>
      </c>
    </row>
    <row r="69" spans="1:2" ht="62" x14ac:dyDescent="0.35">
      <c r="A69" s="492"/>
      <c r="B69" s="104" t="s">
        <v>504</v>
      </c>
    </row>
    <row r="70" spans="1:2" ht="31" x14ac:dyDescent="0.35">
      <c r="A70" s="485"/>
      <c r="B70" s="104" t="s">
        <v>498</v>
      </c>
    </row>
    <row r="71" spans="1:2" ht="20.5" customHeight="1" x14ac:dyDescent="0.35">
      <c r="A71" s="106" t="s">
        <v>522</v>
      </c>
      <c r="B71" s="105" t="s">
        <v>553</v>
      </c>
    </row>
    <row r="72" spans="1:2" ht="15.5" x14ac:dyDescent="0.35">
      <c r="A72" s="106"/>
      <c r="B72" s="104" t="s">
        <v>505</v>
      </c>
    </row>
    <row r="73" spans="1:2" ht="83.5" customHeight="1" x14ac:dyDescent="0.35">
      <c r="A73" s="107"/>
      <c r="B73" s="104" t="s">
        <v>518</v>
      </c>
    </row>
    <row r="74" spans="1:2" ht="77.5" x14ac:dyDescent="0.35">
      <c r="A74" s="108"/>
      <c r="B74" s="105" t="s">
        <v>514</v>
      </c>
    </row>
    <row r="75" spans="1:2" ht="15.5" x14ac:dyDescent="0.35">
      <c r="A75" s="108"/>
      <c r="B75" s="104" t="s">
        <v>497</v>
      </c>
    </row>
    <row r="76" spans="1:2" ht="31" x14ac:dyDescent="0.35">
      <c r="A76" s="108"/>
      <c r="B76" s="104" t="s">
        <v>506</v>
      </c>
    </row>
    <row r="77" spans="1:2" ht="31" x14ac:dyDescent="0.35">
      <c r="A77" s="109"/>
      <c r="B77" s="104" t="s">
        <v>515</v>
      </c>
    </row>
    <row r="78" spans="1:2" ht="15.5" x14ac:dyDescent="0.35">
      <c r="A78" s="108" t="s">
        <v>523</v>
      </c>
      <c r="B78" s="105" t="s">
        <v>549</v>
      </c>
    </row>
    <row r="79" spans="1:2" ht="15.5" x14ac:dyDescent="0.35">
      <c r="A79" s="108"/>
      <c r="B79" s="104" t="s">
        <v>505</v>
      </c>
    </row>
    <row r="80" spans="1:2" ht="31" x14ac:dyDescent="0.35">
      <c r="A80" s="108"/>
      <c r="B80" s="104" t="s">
        <v>496</v>
      </c>
    </row>
    <row r="81" spans="1:2" ht="15.5" x14ac:dyDescent="0.35">
      <c r="A81" s="108"/>
      <c r="B81" s="104" t="s">
        <v>507</v>
      </c>
    </row>
    <row r="82" spans="1:2" ht="46.5" x14ac:dyDescent="0.35">
      <c r="A82" s="107"/>
      <c r="B82" s="104" t="s">
        <v>508</v>
      </c>
    </row>
    <row r="83" spans="1:2" ht="31" x14ac:dyDescent="0.35">
      <c r="A83" s="107"/>
      <c r="B83" s="104" t="s">
        <v>509</v>
      </c>
    </row>
    <row r="84" spans="1:2" ht="15.5" x14ac:dyDescent="0.35">
      <c r="A84" s="107"/>
      <c r="B84" s="104" t="s">
        <v>510</v>
      </c>
    </row>
    <row r="85" spans="1:2" ht="15.5" x14ac:dyDescent="0.35">
      <c r="A85" s="107"/>
      <c r="B85" s="104" t="s">
        <v>497</v>
      </c>
    </row>
    <row r="86" spans="1:2" ht="77.5" x14ac:dyDescent="0.35">
      <c r="A86" s="107"/>
      <c r="B86" s="104" t="s">
        <v>518</v>
      </c>
    </row>
    <row r="87" spans="1:2" ht="31" x14ac:dyDescent="0.35">
      <c r="A87" s="110"/>
      <c r="B87" s="104" t="s">
        <v>498</v>
      </c>
    </row>
    <row r="88" spans="1:2" ht="15.65" customHeight="1" x14ac:dyDescent="0.35">
      <c r="A88" s="493" t="s">
        <v>531</v>
      </c>
      <c r="B88" s="111" t="s">
        <v>545</v>
      </c>
    </row>
    <row r="89" spans="1:2" ht="15.5" x14ac:dyDescent="0.35">
      <c r="A89" s="494"/>
      <c r="B89" s="111" t="s">
        <v>554</v>
      </c>
    </row>
    <row r="90" spans="1:2" ht="15.5" x14ac:dyDescent="0.35">
      <c r="A90" s="494"/>
      <c r="B90" s="112" t="s">
        <v>505</v>
      </c>
    </row>
    <row r="91" spans="1:2" ht="15.5" x14ac:dyDescent="0.35">
      <c r="A91" s="494"/>
      <c r="B91" s="111" t="s">
        <v>555</v>
      </c>
    </row>
    <row r="92" spans="1:2" ht="77.5" x14ac:dyDescent="0.35">
      <c r="A92" s="494"/>
      <c r="B92" s="112" t="s">
        <v>524</v>
      </c>
    </row>
    <row r="93" spans="1:2" ht="31" x14ac:dyDescent="0.35">
      <c r="A93" s="494"/>
      <c r="B93" s="112" t="s">
        <v>525</v>
      </c>
    </row>
    <row r="94" spans="1:2" ht="46.5" x14ac:dyDescent="0.35">
      <c r="A94" s="494"/>
      <c r="B94" s="111" t="s">
        <v>546</v>
      </c>
    </row>
    <row r="95" spans="1:2" ht="31" x14ac:dyDescent="0.35">
      <c r="A95" s="494"/>
      <c r="B95" s="112" t="s">
        <v>526</v>
      </c>
    </row>
    <row r="96" spans="1:2" ht="139.5" x14ac:dyDescent="0.35">
      <c r="A96" s="494"/>
      <c r="B96" s="111" t="s">
        <v>547</v>
      </c>
    </row>
    <row r="97" spans="1:2" ht="62.5" thickBot="1" x14ac:dyDescent="0.4">
      <c r="A97" s="495"/>
      <c r="B97" s="113" t="s">
        <v>527</v>
      </c>
    </row>
  </sheetData>
  <mergeCells count="17">
    <mergeCell ref="A51:A59"/>
    <mergeCell ref="A60:A65"/>
    <mergeCell ref="A66:A70"/>
    <mergeCell ref="A88:A97"/>
    <mergeCell ref="A16:A17"/>
    <mergeCell ref="A48:A50"/>
    <mergeCell ref="A1:D1"/>
    <mergeCell ref="A2:D2"/>
    <mergeCell ref="Y3:AB3"/>
    <mergeCell ref="A18:A19"/>
    <mergeCell ref="A39:A46"/>
    <mergeCell ref="AC3:AE3"/>
    <mergeCell ref="E3:H3"/>
    <mergeCell ref="I3:L3"/>
    <mergeCell ref="M3:P3"/>
    <mergeCell ref="Q3:T3"/>
    <mergeCell ref="U3:X3"/>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25A08AC0-783C-4C1B-927A-AB27E36B29B1}">
  <ds:schemaRefs>
    <ds:schemaRef ds:uri="http://purl.org/dc/dcmitype/"/>
    <ds:schemaRef ds:uri="05406d35-483f-4764-b870-52cf804e2a10"/>
    <ds:schemaRef ds:uri="http://schemas.microsoft.com/office/2006/documentManagement/types"/>
    <ds:schemaRef ds:uri="http://schemas.microsoft.com/office/2006/metadata/properties"/>
    <ds:schemaRef ds:uri="http://schemas.microsoft.com/sharepoint/v3"/>
    <ds:schemaRef ds:uri="http://purl.org/dc/terms/"/>
    <ds:schemaRef ds:uri="http://schemas.microsoft.com/office/infopath/2007/PartnerControls"/>
    <ds:schemaRef ds:uri="http://schemas.openxmlformats.org/package/2006/metadata/core-properties"/>
    <ds:schemaRef ds:uri="9225b539-7b15-42b2-871d-c20cb6e17ae7"/>
    <ds:schemaRef ds:uri="http://www.w3.org/XML/1998/namespace"/>
    <ds:schemaRef ds:uri="http://purl.org/dc/elements/1.1/"/>
    <ds:schemaRef ds:uri="51f64f43-848e-4f71-a29c-5b275075194e"/>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7CA724BC-3400-4F3E-8439-ACD3AF57C0B8}">
  <ds:schemaRefs>
    <ds:schemaRef ds:uri="http://schemas.microsoft.com/sharepoint/events"/>
  </ds:schemaRefs>
</ds:datastoreItem>
</file>

<file path=customXml/itemProps4.xml><?xml version="1.0" encoding="utf-8"?>
<ds:datastoreItem xmlns:ds="http://schemas.openxmlformats.org/officeDocument/2006/customXml" ds:itemID="{B8743998-3AF8-4009-B14B-15B06D2AE8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D84A59C2-DCCF-4780-A861-3ADD2C3C8116}">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Header</vt:lpstr>
      <vt:lpstr>Detention EOFY2020</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Footnotes_DEL</vt:lpstr>
      <vt:lpstr>'Detention EOFY2020'!Print_Area</vt:lpstr>
      <vt:lpstr>'Detention FY26'!Print_Area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Maglaya, Renato A</cp:lastModifiedBy>
  <cp:lastPrinted>2020-02-10T19:14:43Z</cp:lastPrinted>
  <dcterms:created xsi:type="dcterms:W3CDTF">2020-01-31T18:40:16Z</dcterms:created>
  <dcterms:modified xsi:type="dcterms:W3CDTF">2026-01-08T20:37:56Z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