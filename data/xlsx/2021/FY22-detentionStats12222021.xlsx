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RSWASHIN\OneDrive - Immigration and Customs Enforcement\Desktop\"/>
    </mc:Choice>
  </mc:AlternateContent>
  <xr:revisionPtr revIDLastSave="0" documentId="8_{498817FB-19B3-470D-B868-1DE5C78A6015}" xr6:coauthVersionLast="47" xr6:coauthVersionMax="47" xr10:uidLastSave="{00000000-0000-0000-0000-000000000000}"/>
  <bookViews>
    <workbookView xWindow="-108" yWindow="-108" windowWidth="23256" windowHeight="12576" tabRatio="668" activeTab="4" xr2:uid="{00000000-000D-0000-FFFF-FFFF00000000}"/>
  </bookViews>
  <sheets>
    <sheet name="Header" sheetId="9" r:id="rId1"/>
    <sheet name="ATD FY22 YTD" sheetId="12" r:id="rId2"/>
    <sheet name="Detention FY22" sheetId="14" r:id="rId3"/>
    <sheet name=" ICLOS and Detainees" sheetId="15" r:id="rId4"/>
    <sheet name="Facilities FY22 YTD" sheetId="5" r:id="rId5"/>
    <sheet name="Trans. Detainee Pop. FY22 YTD " sheetId="13" r:id="rId6"/>
    <sheet name="Footnotes" sheetId="16" r:id="rId7"/>
  </sheets>
  <definedNames>
    <definedName name="_xlnm.Print_Area" localSheetId="2">'Detention FY22'!$A$1:$V$110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I47" i="15" l="1"/>
  <c r="AH47" i="15"/>
  <c r="AG47" i="15"/>
  <c r="AF47" i="15"/>
  <c r="AE47" i="15"/>
  <c r="AD47" i="15"/>
  <c r="AC47" i="15"/>
  <c r="AB47" i="15"/>
  <c r="AA47" i="15"/>
  <c r="Z47" i="15"/>
  <c r="Y47" i="15"/>
  <c r="X47" i="15"/>
  <c r="W47" i="15"/>
  <c r="V47" i="15"/>
  <c r="U47" i="15"/>
  <c r="T47" i="15"/>
  <c r="S47" i="15"/>
  <c r="R47" i="15"/>
  <c r="Q47" i="15"/>
  <c r="P47" i="15"/>
  <c r="O47" i="15"/>
  <c r="N47" i="15"/>
  <c r="M47" i="15"/>
  <c r="L47" i="15"/>
  <c r="K47" i="15"/>
  <c r="J47" i="15"/>
  <c r="I47" i="15"/>
  <c r="H47" i="15"/>
  <c r="G47" i="15"/>
  <c r="F47" i="15"/>
  <c r="E47" i="15"/>
  <c r="D47" i="15"/>
  <c r="C47" i="15"/>
  <c r="B47" i="15"/>
  <c r="AI46" i="15"/>
  <c r="AH46" i="15"/>
  <c r="AG46" i="15"/>
  <c r="AF46" i="15"/>
  <c r="AE46" i="15"/>
  <c r="AD46" i="15"/>
  <c r="AC46" i="15"/>
  <c r="AB46" i="15"/>
  <c r="AA46" i="15"/>
  <c r="Z46" i="15"/>
  <c r="Y46" i="15"/>
  <c r="X46" i="15"/>
  <c r="W46" i="15"/>
  <c r="V46" i="15"/>
  <c r="U46" i="15"/>
  <c r="T46" i="15"/>
  <c r="S46" i="15"/>
  <c r="R46" i="15"/>
  <c r="Q46" i="15"/>
  <c r="P46" i="15"/>
  <c r="O46" i="15"/>
  <c r="N46" i="15"/>
  <c r="M46" i="15"/>
  <c r="L46" i="15"/>
  <c r="K46" i="15"/>
  <c r="J46" i="15"/>
  <c r="I46" i="15"/>
  <c r="H46" i="15"/>
  <c r="G46" i="15"/>
  <c r="F46" i="15"/>
  <c r="E46" i="15"/>
  <c r="D46" i="15"/>
  <c r="C46" i="15"/>
  <c r="B46" i="15"/>
  <c r="AI45" i="15"/>
  <c r="AH45" i="15"/>
  <c r="AG45" i="15"/>
  <c r="AF45" i="15"/>
  <c r="AE45" i="15"/>
  <c r="AD45" i="15"/>
  <c r="AC45" i="15"/>
  <c r="AB45" i="15"/>
  <c r="AA45" i="15"/>
  <c r="Z45" i="15"/>
  <c r="Y45" i="15"/>
  <c r="X45" i="15"/>
  <c r="W45" i="15"/>
  <c r="V45" i="15"/>
  <c r="U45" i="15"/>
  <c r="T45" i="15"/>
  <c r="S45" i="15"/>
  <c r="R45" i="15"/>
  <c r="Q45" i="15"/>
  <c r="P45" i="15"/>
  <c r="O45" i="15"/>
  <c r="N45" i="15"/>
  <c r="M45" i="15"/>
  <c r="L45" i="15"/>
  <c r="K45" i="15"/>
  <c r="J45" i="15"/>
  <c r="I45" i="15"/>
  <c r="H45" i="15"/>
  <c r="G45" i="15"/>
  <c r="F45" i="15"/>
  <c r="E45" i="15"/>
  <c r="D45" i="15"/>
  <c r="C45" i="15"/>
  <c r="B45" i="15"/>
  <c r="AI44" i="15"/>
  <c r="AI48" i="15" s="1"/>
  <c r="AH44" i="15"/>
  <c r="AH48" i="15" s="1"/>
  <c r="AG44" i="15"/>
  <c r="AG48" i="15" s="1"/>
  <c r="AF44" i="15"/>
  <c r="AF48" i="15" s="1"/>
  <c r="AE44" i="15"/>
  <c r="AE48" i="15" s="1"/>
  <c r="AD44" i="15"/>
  <c r="AD48" i="15" s="1"/>
  <c r="AC44" i="15"/>
  <c r="AC48" i="15" s="1"/>
  <c r="AB44" i="15"/>
  <c r="AB48" i="15" s="1"/>
  <c r="AA44" i="15"/>
  <c r="AA48" i="15" s="1"/>
  <c r="Z44" i="15"/>
  <c r="Z48" i="15" s="1"/>
  <c r="Y44" i="15"/>
  <c r="Y48" i="15" s="1"/>
  <c r="X44" i="15"/>
  <c r="X48" i="15" s="1"/>
  <c r="W44" i="15"/>
  <c r="W48" i="15" s="1"/>
  <c r="V44" i="15"/>
  <c r="V48" i="15" s="1"/>
  <c r="U44" i="15"/>
  <c r="U48" i="15" s="1"/>
  <c r="T44" i="15"/>
  <c r="T48" i="15" s="1"/>
  <c r="S44" i="15"/>
  <c r="S48" i="15" s="1"/>
  <c r="R44" i="15"/>
  <c r="R48" i="15" s="1"/>
  <c r="Q44" i="15"/>
  <c r="Q48" i="15" s="1"/>
  <c r="P44" i="15"/>
  <c r="P48" i="15" s="1"/>
  <c r="O44" i="15"/>
  <c r="O48" i="15" s="1"/>
  <c r="N44" i="15"/>
  <c r="N48" i="15" s="1"/>
  <c r="M44" i="15"/>
  <c r="M48" i="15" s="1"/>
  <c r="L44" i="15"/>
  <c r="L48" i="15" s="1"/>
  <c r="K44" i="15"/>
  <c r="K48" i="15" s="1"/>
  <c r="J44" i="15"/>
  <c r="J48" i="15" s="1"/>
  <c r="I44" i="15"/>
  <c r="I48" i="15" s="1"/>
  <c r="H44" i="15"/>
  <c r="H48" i="15" s="1"/>
  <c r="G44" i="15"/>
  <c r="G48" i="15" s="1"/>
  <c r="F44" i="15"/>
  <c r="F48" i="15" s="1"/>
  <c r="E44" i="15"/>
  <c r="E48" i="15" s="1"/>
  <c r="D44" i="15"/>
  <c r="D48" i="15" s="1"/>
  <c r="C44" i="15"/>
  <c r="C48" i="15" s="1"/>
  <c r="B44" i="15"/>
  <c r="B48" i="15" s="1"/>
  <c r="M30" i="15"/>
  <c r="L30" i="15"/>
  <c r="K30" i="15"/>
  <c r="J30" i="15"/>
  <c r="I30" i="15"/>
  <c r="H30" i="15"/>
  <c r="G30" i="15"/>
  <c r="F30" i="15"/>
  <c r="E30" i="15"/>
  <c r="D30" i="15"/>
  <c r="C30" i="15"/>
  <c r="B30" i="15"/>
  <c r="M24" i="15"/>
  <c r="L24" i="15"/>
  <c r="K24" i="15"/>
  <c r="J24" i="15"/>
  <c r="I24" i="15"/>
  <c r="H24" i="15"/>
  <c r="G24" i="15"/>
  <c r="F24" i="15"/>
  <c r="E24" i="15"/>
  <c r="D24" i="15"/>
  <c r="C24" i="15"/>
  <c r="B24" i="15"/>
  <c r="F38" i="14"/>
  <c r="O38" i="14" s="1"/>
  <c r="G38" i="14"/>
  <c r="H38" i="14"/>
  <c r="I38" i="14"/>
  <c r="J38" i="14"/>
  <c r="K38" i="14"/>
  <c r="L38" i="14"/>
  <c r="M38" i="14"/>
  <c r="N38" i="14"/>
  <c r="F39" i="14"/>
  <c r="G39" i="14"/>
  <c r="H39" i="14"/>
  <c r="I39" i="14"/>
  <c r="J39" i="14"/>
  <c r="K39" i="14"/>
  <c r="L39" i="14"/>
  <c r="M39" i="14"/>
  <c r="N39" i="14"/>
  <c r="F40" i="14"/>
  <c r="G40" i="14"/>
  <c r="H40" i="14"/>
  <c r="I40" i="14"/>
  <c r="J40" i="14"/>
  <c r="K40" i="14"/>
  <c r="L40" i="14"/>
  <c r="M40" i="14"/>
  <c r="N40" i="14"/>
  <c r="F41" i="14"/>
  <c r="G41" i="14"/>
  <c r="H41" i="14"/>
  <c r="I41" i="14"/>
  <c r="J41" i="14"/>
  <c r="K41" i="14"/>
  <c r="L41" i="14"/>
  <c r="M41" i="14"/>
  <c r="N41" i="14"/>
  <c r="F42" i="14"/>
  <c r="G42" i="14"/>
  <c r="H42" i="14"/>
  <c r="I42" i="14"/>
  <c r="J42" i="14"/>
  <c r="K42" i="14"/>
  <c r="L42" i="14"/>
  <c r="M42" i="14"/>
  <c r="N42" i="14"/>
  <c r="O43" i="14"/>
  <c r="O44" i="14"/>
  <c r="O40" i="14" s="1"/>
  <c r="O39" i="14" s="1"/>
  <c r="O45" i="14"/>
  <c r="O41" i="14" s="1"/>
  <c r="O46" i="14"/>
  <c r="O47" i="14"/>
  <c r="O48" i="14"/>
  <c r="O49" i="14"/>
  <c r="O50" i="14"/>
  <c r="O42" i="14" s="1"/>
  <c r="O51" i="14"/>
  <c r="O52" i="14"/>
  <c r="O53" i="14"/>
  <c r="O54" i="14"/>
  <c r="O55" i="14"/>
  <c r="O56" i="14"/>
  <c r="O57" i="14"/>
  <c r="O58" i="14"/>
  <c r="O59" i="14"/>
  <c r="O60" i="14"/>
  <c r="O61" i="14"/>
  <c r="O62" i="14"/>
</calcChain>
</file>

<file path=xl/sharedStrings.xml><?xml version="1.0" encoding="utf-8"?>
<sst xmlns="http://schemas.openxmlformats.org/spreadsheetml/2006/main" count="2433" uniqueCount="865">
  <si>
    <t>Other</t>
  </si>
  <si>
    <t>Total</t>
  </si>
  <si>
    <t>Order of Recognizance</t>
  </si>
  <si>
    <t>Order of Supervision</t>
  </si>
  <si>
    <t>ATD</t>
  </si>
  <si>
    <t>Male</t>
  </si>
  <si>
    <t>ALLEN PARISH PUBLIC SAFETY COMPLEX</t>
  </si>
  <si>
    <t>BROWARD TRANSITIONAL CENTER</t>
  </si>
  <si>
    <t>ALEXANDRIA STAGING FACILITY</t>
  </si>
  <si>
    <t>Female</t>
  </si>
  <si>
    <t>EL VALLE DETENTION FACILITY</t>
  </si>
  <si>
    <t>BRAZIL</t>
  </si>
  <si>
    <t>FLORENCE STAGING FACILITY</t>
  </si>
  <si>
    <t>SENECA COUNTY JAIL</t>
  </si>
  <si>
    <t>RIO GRANDE DETENTION CENTER</t>
  </si>
  <si>
    <t>LA PALMA CORRECTIONAL CENTER</t>
  </si>
  <si>
    <t>LAREDO PROCESSING CENTER</t>
  </si>
  <si>
    <t>GLADES COUNTY DETENTION CENTER</t>
  </si>
  <si>
    <t>SOUTH TEXAS ICE PROCESSING CENTER</t>
  </si>
  <si>
    <t>SHERBURNE COUNTY JAIL</t>
  </si>
  <si>
    <t>JACKSON PARISH CORRECTIONAL CENTER</t>
  </si>
  <si>
    <t>MONROE COUNTY DETENTION-DORM</t>
  </si>
  <si>
    <t>ELIZABETH</t>
  </si>
  <si>
    <t>TR</t>
  </si>
  <si>
    <t>KARNES COUNTY RESIDENTIAL CENTER</t>
  </si>
  <si>
    <t>CIBOLA COUNTY CORRECTIONAL CENTER</t>
  </si>
  <si>
    <t>WEBB COUNTY DETENTION CENTER (CCA)</t>
  </si>
  <si>
    <t>ADAMS COUNTY DET CENTER</t>
  </si>
  <si>
    <t>ORANGE COUNTY JAIL</t>
  </si>
  <si>
    <t>MA</t>
  </si>
  <si>
    <t>MIA</t>
  </si>
  <si>
    <t>ALEXANDRIA</t>
  </si>
  <si>
    <t>NEVADA SOUTHERN DETENTION CENTER</t>
  </si>
  <si>
    <t>OKMULGEE COUNTY JAIL</t>
  </si>
  <si>
    <t>ELOY</t>
  </si>
  <si>
    <t>TAYLOR</t>
  </si>
  <si>
    <t>CHI</t>
  </si>
  <si>
    <t>MILAN</t>
  </si>
  <si>
    <t>EDEN</t>
  </si>
  <si>
    <t>MD</t>
  </si>
  <si>
    <t>PINE PRAIRIE ICE PROCESSING CENTER</t>
  </si>
  <si>
    <t>ALVARADO</t>
  </si>
  <si>
    <t>AURORA</t>
  </si>
  <si>
    <t>GEAUGA COUNTY JAIL</t>
  </si>
  <si>
    <t>AL</t>
  </si>
  <si>
    <t>HENDERSON</t>
  </si>
  <si>
    <t>KNOX COUNTY DETENTION FACILITY</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</si>
  <si>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</si>
  <si>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</si>
  <si>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</si>
  <si>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</si>
  <si>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</si>
  <si>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</si>
  <si>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</si>
  <si>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</si>
  <si>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</si>
  <si>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</si>
  <si>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</si>
  <si>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</si>
  <si>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</si>
  <si>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</si>
  <si>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</si>
  <si>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</si>
  <si>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</si>
  <si>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</si>
  <si>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</si>
  <si>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</si>
  <si>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Convicted Criminal</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</si>
  <si>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</si>
  <si>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</si>
  <si>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</si>
  <si>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</si>
  <si>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</si>
  <si>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</si>
  <si>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</si>
  <si>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</si>
  <si>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</si>
  <si>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</si>
  <si>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</si>
  <si>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</si>
  <si>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</si>
  <si>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</si>
  <si>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</si>
  <si>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</si>
  <si>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</si>
  <si>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</si>
  <si>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</si>
  <si>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</si>
  <si>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</si>
  <si>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</si>
  <si>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</si>
  <si>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</si>
  <si>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</si>
  <si>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</si>
  <si>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</si>
  <si>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</si>
  <si>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</si>
  <si>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</si>
  <si>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</si>
  <si>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Pending Criminal Charges</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</si>
  <si>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</si>
  <si>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</si>
  <si>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</si>
  <si>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</si>
  <si>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</si>
  <si>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</si>
  <si>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</si>
  <si>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</si>
  <si>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</si>
  <si>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</si>
  <si>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</si>
  <si>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</si>
  <si>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</si>
  <si>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</si>
  <si>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</si>
  <si>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</si>
  <si>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</si>
  <si>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</si>
  <si>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</si>
  <si>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</si>
  <si>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Detention Facility Type</t>
  </si>
  <si>
    <t>Total Detained</t>
  </si>
  <si>
    <t>Adult</t>
  </si>
  <si>
    <t>ICE Release Fiscal Year</t>
  </si>
  <si>
    <t>Criminality</t>
  </si>
  <si>
    <t>Percent ICE</t>
  </si>
  <si>
    <t>Percent CBP</t>
  </si>
  <si>
    <t>Other Immigration Violator</t>
  </si>
  <si>
    <t>Expedited Removal (I-860)</t>
  </si>
  <si>
    <t>Notice to Appear (I-862)</t>
  </si>
  <si>
    <t>Reinstatement of Deport Order (I-871)</t>
  </si>
  <si>
    <t>Agency</t>
  </si>
  <si>
    <t>Oct</t>
  </si>
  <si>
    <t>Nov</t>
  </si>
  <si>
    <t>Dec</t>
  </si>
  <si>
    <t>Jan</t>
  </si>
  <si>
    <t>Feb</t>
  </si>
  <si>
    <t>Mar</t>
  </si>
  <si>
    <t>Apr</t>
  </si>
  <si>
    <t>May</t>
  </si>
  <si>
    <t>Jun</t>
  </si>
  <si>
    <t>Removals</t>
  </si>
  <si>
    <t>Jul</t>
  </si>
  <si>
    <t>Aug</t>
  </si>
  <si>
    <t>Sep</t>
  </si>
  <si>
    <t>Release Reason</t>
  </si>
  <si>
    <t>Facility Type</t>
  </si>
  <si>
    <t>CBP Average</t>
  </si>
  <si>
    <t xml:space="preserve">ICE Average  </t>
  </si>
  <si>
    <t xml:space="preserve">Average </t>
  </si>
  <si>
    <t>FY Overall</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</si>
  <si>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</si>
  <si>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</si>
  <si>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</si>
  <si>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</si>
  <si>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</si>
  <si>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</si>
  <si>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</si>
  <si>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</si>
  <si>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</si>
  <si>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</si>
  <si>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</si>
  <si>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</si>
  <si>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</si>
  <si>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</si>
  <si>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</si>
  <si>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</si>
  <si>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</si>
  <si>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</si>
  <si>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</si>
  <si>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</si>
  <si>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</si>
  <si>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</si>
  <si>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</si>
  <si>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</si>
  <si>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</si>
  <si>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</si>
  <si>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Second to Last Inspection Rating</t>
  </si>
  <si>
    <t>10250 RANCHO ROAD</t>
  </si>
  <si>
    <t>ADELANTO</t>
  </si>
  <si>
    <t>CA</t>
  </si>
  <si>
    <t>LOS</t>
  </si>
  <si>
    <t>DIGSA</t>
  </si>
  <si>
    <t>Female/Male</t>
  </si>
  <si>
    <t>Regular</t>
  </si>
  <si>
    <t>PBNDS 2011</t>
  </si>
  <si>
    <t>Meets Standard</t>
  </si>
  <si>
    <t>Pending</t>
  </si>
  <si>
    <t>STEWART DETENTION CENTER</t>
  </si>
  <si>
    <t>146 CCA ROAD</t>
  </si>
  <si>
    <t>LUMPKIN</t>
  </si>
  <si>
    <t>GA</t>
  </si>
  <si>
    <t>ATL</t>
  </si>
  <si>
    <t>566 VETERANS DRIVE</t>
  </si>
  <si>
    <t>PEARSALL</t>
  </si>
  <si>
    <t>TX</t>
  </si>
  <si>
    <t>SNA</t>
  </si>
  <si>
    <t>CDF</t>
  </si>
  <si>
    <t>SOUTH TEXAS FAMILY RESIDENTIAL CENTER</t>
  </si>
  <si>
    <t>DILLEY</t>
  </si>
  <si>
    <t>FAMILY</t>
  </si>
  <si>
    <t>JFRMU Family</t>
  </si>
  <si>
    <t>WINN CORRECTIONAL CENTER</t>
  </si>
  <si>
    <t>560 GUM SPRING ROAD</t>
  </si>
  <si>
    <t>WINNFIELD</t>
  </si>
  <si>
    <t>LA</t>
  </si>
  <si>
    <t>NOL</t>
  </si>
  <si>
    <t>IGSA</t>
  </si>
  <si>
    <t>N/A</t>
  </si>
  <si>
    <t>5501 NORTH LA PALMA ROAD</t>
  </si>
  <si>
    <t>AZ</t>
  </si>
  <si>
    <t>PHO</t>
  </si>
  <si>
    <t>LASALLE ICE PROCESSING CENTER (JENA)</t>
  </si>
  <si>
    <t>830 PINEHILL ROAD</t>
  </si>
  <si>
    <t>JENA</t>
  </si>
  <si>
    <t>ELOY FEDERAL CONTRACT FACILITY</t>
  </si>
  <si>
    <t>1705 EAST HANNA RD.</t>
  </si>
  <si>
    <t>20 HOBO FORK RD.</t>
  </si>
  <si>
    <t>NATCHEZ</t>
  </si>
  <si>
    <t>MS</t>
  </si>
  <si>
    <t>OTAY MESA DETENTION CENTER (SAN DIEGO CDF)</t>
  </si>
  <si>
    <t>7488 CALZADA DE LA FUENTE</t>
  </si>
  <si>
    <t>SAN DIEGO</t>
  </si>
  <si>
    <t>SND</t>
  </si>
  <si>
    <t>USMS CDF</t>
  </si>
  <si>
    <t>TACOMA ICE PROCESSING CENTER (NORTHWEST DET CTR)</t>
  </si>
  <si>
    <t>1623 E. J STREET</t>
  </si>
  <si>
    <t>TACOMA</t>
  </si>
  <si>
    <t>WA</t>
  </si>
  <si>
    <t>SEA</t>
  </si>
  <si>
    <t>PORT ISABEL</t>
  </si>
  <si>
    <t>27991 BUENA VISTA BOULEVARD</t>
  </si>
  <si>
    <t>LOS FRESNOS</t>
  </si>
  <si>
    <t>SPC</t>
  </si>
  <si>
    <t>OTERO COUNTY PROCESSING CENTER</t>
  </si>
  <si>
    <t>26 MCGREGOR RANGE ROAD</t>
  </si>
  <si>
    <t>CHAPARRAL</t>
  </si>
  <si>
    <t>NM</t>
  </si>
  <si>
    <t>ELP</t>
  </si>
  <si>
    <t>MONTGOMERY ICE PROCESSING CENTER</t>
  </si>
  <si>
    <t>806 HILBIG RD</t>
  </si>
  <si>
    <t>CONROE</t>
  </si>
  <si>
    <t>HOU</t>
  </si>
  <si>
    <t>RICHWOOD CORRECTIONAL CENTER</t>
  </si>
  <si>
    <t>180 PINE BAYOU CIRCLE</t>
  </si>
  <si>
    <t>RICHWOOD</t>
  </si>
  <si>
    <t>327 INDUSTRIAL DRIVE</t>
  </si>
  <si>
    <t>JONESBORO</t>
  </si>
  <si>
    <t>1800 INDUSTRIAL DRIVE</t>
  </si>
  <si>
    <t>RAYMONDVILLE</t>
  </si>
  <si>
    <t>10/24/2019</t>
  </si>
  <si>
    <t>USMS IGA</t>
  </si>
  <si>
    <t>PBNDS 2008</t>
  </si>
  <si>
    <t>EL PASO SERVICE PROCESSING CENTER</t>
  </si>
  <si>
    <t>8915 MONTANA AVE.</t>
  </si>
  <si>
    <t>EL PASO</t>
  </si>
  <si>
    <t>HOUSTON CONTRACT DETENTION FACILITY</t>
  </si>
  <si>
    <t>15850 EXPORT PLAZA DRIVE</t>
  </si>
  <si>
    <t>HOUSTON</t>
  </si>
  <si>
    <t>1133 HAMPTON DUPRE ROAD</t>
  </si>
  <si>
    <t>PINE PRAIRIE</t>
  </si>
  <si>
    <t>SOUTH LOUISIANA DETENTION CENTER</t>
  </si>
  <si>
    <t>3843 STAGG AVENUE</t>
  </si>
  <si>
    <t>BASILE</t>
  </si>
  <si>
    <t>IMPERIAL REGIONAL DETENTION FACILITY</t>
  </si>
  <si>
    <t>1572 GATEWAY</t>
  </si>
  <si>
    <t>CALEXICO</t>
  </si>
  <si>
    <t>PRAIRIELAND DETENTION FACILITY</t>
  </si>
  <si>
    <t>1209 SUNFLOWER LN</t>
  </si>
  <si>
    <t>DAL</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</si>
  <si>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</si>
  <si>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</si>
  <si>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</si>
  <si>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</si>
  <si>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</si>
  <si>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</si>
  <si>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</si>
  <si>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</si>
  <si>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</si>
  <si>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</si>
  <si>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</si>
  <si>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</si>
  <si>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</si>
  <si>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</si>
  <si>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</si>
  <si>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FOLKSTON</t>
  </si>
  <si>
    <t>3900 NORTH POWERLINE ROAD</t>
  </si>
  <si>
    <t>POMPANO BEACH</t>
  </si>
  <si>
    <t>NDS</t>
  </si>
  <si>
    <t>PA</t>
  </si>
  <si>
    <t>PHI</t>
  </si>
  <si>
    <t>1001 WELCH STREET</t>
  </si>
  <si>
    <t>LA PALMA CORRECTION CENTER - APSO</t>
  </si>
  <si>
    <t>New Facility</t>
  </si>
  <si>
    <t>BUFFALO (BATAVIA) SERVICE PROCESSING CENTER</t>
  </si>
  <si>
    <t>4250 FEDERAL DRIVE</t>
  </si>
  <si>
    <t>BATAVIA</t>
  </si>
  <si>
    <t>NY</t>
  </si>
  <si>
    <t>BUF</t>
  </si>
  <si>
    <t>1297 EAST SR 78</t>
  </si>
  <si>
    <t>MOORE HAVEN</t>
  </si>
  <si>
    <t>Acceptable</t>
  </si>
  <si>
    <t>1001 SAN RIO BOULEVARD</t>
  </si>
  <si>
    <t>LAREDO</t>
  </si>
  <si>
    <t>RIVER CORRECTIONAL CENTER</t>
  </si>
  <si>
    <t>26362 HIGHWAY 15</t>
  </si>
  <si>
    <t>FERRIDAY</t>
  </si>
  <si>
    <t>IAH SECURE ADULT DETENTION FACILITY (POLK)</t>
  </si>
  <si>
    <t>3400 FM 350 SOUTH</t>
  </si>
  <si>
    <t>LIVINGSTON</t>
  </si>
  <si>
    <t>EDEN DETENTION CENTER</t>
  </si>
  <si>
    <t>702 E BROADWAY ST</t>
  </si>
  <si>
    <t>FLORENCE SERVICE PROCESSING CENTER</t>
  </si>
  <si>
    <t>3250 NORTH PINAL PARKWAY</t>
  </si>
  <si>
    <t>FLORENCE</t>
  </si>
  <si>
    <t>425 GOLDEN STATE AVE</t>
  </si>
  <si>
    <t>BAKERSFIELD</t>
  </si>
  <si>
    <t>SFR</t>
  </si>
  <si>
    <t>LIMESTONE COUNTY DETENTION CENTER</t>
  </si>
  <si>
    <t>910 NORTH TYUS STREET</t>
  </si>
  <si>
    <t>GROESBECK</t>
  </si>
  <si>
    <t>PLYMOUTH COUNTY CORRECTIONAL FACILITY</t>
  </si>
  <si>
    <t>26 LONG POND ROAD</t>
  </si>
  <si>
    <t>PLYMOUTH</t>
  </si>
  <si>
    <t>BOS</t>
  </si>
  <si>
    <t>13880 BUSINESS CENTER DRIVE</t>
  </si>
  <si>
    <t>ELK RIVER</t>
  </si>
  <si>
    <t>MN</t>
  </si>
  <si>
    <t>SPM</t>
  </si>
  <si>
    <t>NYC</t>
  </si>
  <si>
    <t>TORRANCE COUNTY DETENTION FACILITY</t>
  </si>
  <si>
    <t>209 COUNTY ROAD 49</t>
  </si>
  <si>
    <t>ESTANCIA</t>
  </si>
  <si>
    <t>96 GEORGE THOMPSON DRIVE</t>
  </si>
  <si>
    <t>STAGING</t>
  </si>
  <si>
    <t>CAROLINE DETENTION FACILITY</t>
  </si>
  <si>
    <t>11093 S.W. LEWIS MEMORIAL DRIVE</t>
  </si>
  <si>
    <t>BOWLING GREEN</t>
  </si>
  <si>
    <t>BAKER COUNTY SHERIFF'S OFFICE</t>
  </si>
  <si>
    <t>1 SHERIFF OFFICE DRIVE</t>
  </si>
  <si>
    <t>MACCLENNY</t>
  </si>
  <si>
    <t>MCHENRY COUNTY CORRECTIONAL FACILITY</t>
  </si>
  <si>
    <t>2200 NORTH SEMINARY AVENUE</t>
  </si>
  <si>
    <t>WOODSTOCK</t>
  </si>
  <si>
    <t>IL</t>
  </si>
  <si>
    <t>ANNEX - FOLKSTON IPC</t>
  </si>
  <si>
    <t>3424 HIGHWAY 252 EAST</t>
  </si>
  <si>
    <t>4702 EAST SAUNDERS STREET</t>
  </si>
  <si>
    <t>ETOWAH COUNTY JAIL (ALABAMA)</t>
  </si>
  <si>
    <t>827 FORREST AVENUE</t>
  </si>
  <si>
    <t>GADSDEN</t>
  </si>
  <si>
    <t>ELIZABETH CONTRACT DETENTION FACILITY</t>
  </si>
  <si>
    <t>625 EVANS STREET</t>
  </si>
  <si>
    <t>314 W. 7TH STREET</t>
  </si>
  <si>
    <t>OKMULGEE</t>
  </si>
  <si>
    <t>OK</t>
  </si>
  <si>
    <t>HENDERSON DETENTION CENTER</t>
  </si>
  <si>
    <t>18 E BASIC ROAD</t>
  </si>
  <si>
    <t>NV</t>
  </si>
  <si>
    <t>SLC</t>
  </si>
  <si>
    <t>PIKE COUNTY CORRECTIONAL FACILITY</t>
  </si>
  <si>
    <t>175 PIKE COUNTY BOULEVARD</t>
  </si>
  <si>
    <t>LORDS VALLEY</t>
  </si>
  <si>
    <t>2190 EAST MESQUITE AVENUE</t>
  </si>
  <si>
    <t>PAHRUMP</t>
  </si>
  <si>
    <t>KARNES CITY</t>
  </si>
  <si>
    <t>OH</t>
  </si>
  <si>
    <t>DET</t>
  </si>
  <si>
    <t>WI</t>
  </si>
  <si>
    <t>CALHOUN COUNTY CORRECTIONAL CENTER</t>
  </si>
  <si>
    <t>185 EAST MICHIGAN AVENUE</t>
  </si>
  <si>
    <t>BATTLE CREEK</t>
  </si>
  <si>
    <t>MI</t>
  </si>
  <si>
    <t>WORCESTER COUNTY JAIL</t>
  </si>
  <si>
    <t>5022 JOYNER ROAD</t>
  </si>
  <si>
    <t>SNOW HILL</t>
  </si>
  <si>
    <t>BAL</t>
  </si>
  <si>
    <t>BLUEBONNET DETENTION FACILITY</t>
  </si>
  <si>
    <t>400 2ND STREET</t>
  </si>
  <si>
    <t>ANSON</t>
  </si>
  <si>
    <t>KANKAKEE COUNTY JAIL (JEROME COMBS DET CTR)</t>
  </si>
  <si>
    <t>3050 JUSTICE WAY</t>
  </si>
  <si>
    <t>KANKAKEE</t>
  </si>
  <si>
    <t>BOONE COUNTY JAIL</t>
  </si>
  <si>
    <t>3020 CONRAD LANE</t>
  </si>
  <si>
    <t>BURLINGTON</t>
  </si>
  <si>
    <t>KY</t>
  </si>
  <si>
    <t>DODGE COUNTY JAIL</t>
  </si>
  <si>
    <t>215 WEST CENTRAL STREET</t>
  </si>
  <si>
    <t>JUNEAU</t>
  </si>
  <si>
    <t>110 WELLS FARM ROAD</t>
  </si>
  <si>
    <t>GOSHEN</t>
  </si>
  <si>
    <t>7340 HIGHWAY 26 WEST</t>
  </si>
  <si>
    <t>OBERLIN</t>
  </si>
  <si>
    <t>2000 CIBOLA LOOP</t>
  </si>
  <si>
    <t>WYATT DETENTION CENTER</t>
  </si>
  <si>
    <t>950 HIGH STREET</t>
  </si>
  <si>
    <t>CENTRAL FALLS</t>
  </si>
  <si>
    <t>RI</t>
  </si>
  <si>
    <t>9998 SOUTH HIGHWAY 83</t>
  </si>
  <si>
    <t>KAY COUNTY JUSTICE FACILITY</t>
  </si>
  <si>
    <t>1101 WEST DRY ROAD</t>
  </si>
  <si>
    <t>NEWKIRK</t>
  </si>
  <si>
    <t>ROLLING PLAINS DETENTION CENTER</t>
  </si>
  <si>
    <t>118 COUNTY ROAD 206</t>
  </si>
  <si>
    <t>HASKELL</t>
  </si>
  <si>
    <t>STRAFFORD COUNTY CORRECTIONS</t>
  </si>
  <si>
    <t>266 COUNTY FARM ROAD</t>
  </si>
  <si>
    <t>DOVER</t>
  </si>
  <si>
    <t>NH</t>
  </si>
  <si>
    <t>NYE COUNTY DETENTION CENTER, SOUTHERN (PAHRUMP)</t>
  </si>
  <si>
    <t>1520 E. BASIN ROAD</t>
  </si>
  <si>
    <t>HALL COUNTY DEPARTMENT OF CORRECTIONS</t>
  </si>
  <si>
    <t>110 PUBLIC SAFETY DRIVE</t>
  </si>
  <si>
    <t>GRAND ISLAND</t>
  </si>
  <si>
    <t>NE</t>
  </si>
  <si>
    <t>7000 EAST DUNBAR ROAD</t>
  </si>
  <si>
    <t>MONROE</t>
  </si>
  <si>
    <t>CHASE COUNTY DETENTION FACILITY</t>
  </si>
  <si>
    <t>301 SOUTH WALNUT STREET</t>
  </si>
  <si>
    <t>COTTONWOOD FALLS</t>
  </si>
  <si>
    <t>KS</t>
  </si>
  <si>
    <t>CLINTON COUNTY CORRECTIONAL FACILITY</t>
  </si>
  <si>
    <t>419 SHOEMAKER ROAD</t>
  </si>
  <si>
    <t>LOCK HAVEN</t>
  </si>
  <si>
    <t>Does Not Meet Standards</t>
  </si>
  <si>
    <t>IA</t>
  </si>
  <si>
    <t>SAINT CLAIR COUNTY JAIL</t>
  </si>
  <si>
    <t>1170 MICHIGAN ROAD</t>
  </si>
  <si>
    <t>PORT HURON</t>
  </si>
  <si>
    <t>3040 SOUTH STATE HIGHWAY 100</t>
  </si>
  <si>
    <t>TIFFIN</t>
  </si>
  <si>
    <t>Deficient</t>
  </si>
  <si>
    <t>SAN LUIS REGIONAL DETENTION CENTER</t>
  </si>
  <si>
    <t>406 NORTH AVENUE D</t>
  </si>
  <si>
    <t>SAN LUIS</t>
  </si>
  <si>
    <t>KANDIYOHI COUNTY JAIL</t>
  </si>
  <si>
    <t>2201 23RD ST NE</t>
  </si>
  <si>
    <t>WILLMAR</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</si>
  <si>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</si>
  <si>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</si>
  <si>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</si>
  <si>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</si>
  <si>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</si>
  <si>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</si>
  <si>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</si>
  <si>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</si>
  <si>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</si>
  <si>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</si>
  <si>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</si>
  <si>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</si>
  <si>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HONOLULU FEDERAL DETENTION CENTER</t>
  </si>
  <si>
    <t>351 ELLIOTT ST.</t>
  </si>
  <si>
    <t>HONOLULU</t>
  </si>
  <si>
    <t>HI</t>
  </si>
  <si>
    <t>BOP</t>
  </si>
  <si>
    <t>POLK COUNTY JAIL</t>
  </si>
  <si>
    <t>1985 NE 51ST PLACE</t>
  </si>
  <si>
    <t>DES MOINES</t>
  </si>
  <si>
    <t>CHIPPEWA COUNTY SSM</t>
  </si>
  <si>
    <t>325 COURT STREET</t>
  </si>
  <si>
    <t>SAULT SAINTE MARIE</t>
  </si>
  <si>
    <t>COASTAL BEND DETENTION FACILITY</t>
  </si>
  <si>
    <t>4909 FM (FARM TO MARKET) 2826</t>
  </si>
  <si>
    <t>ROBSTOWN</t>
  </si>
  <si>
    <t>TELLER COUNTY JAIL</t>
  </si>
  <si>
    <t>288 WEAVERVILLE ROAD</t>
  </si>
  <si>
    <t>DIVIDE</t>
  </si>
  <si>
    <t>ORSA</t>
  </si>
  <si>
    <t>UT</t>
  </si>
  <si>
    <t>WASHOE COUNTY JAIL</t>
  </si>
  <si>
    <t>911 PARR BOULEVARD</t>
  </si>
  <si>
    <t>RENO</t>
  </si>
  <si>
    <t>SC</t>
  </si>
  <si>
    <t>DOUGLAS COUNTY DEPARTMENT OF CORRECTIONS</t>
  </si>
  <si>
    <t>710 SOUTH 17TH ST</t>
  </si>
  <si>
    <t>OMAHA</t>
  </si>
  <si>
    <t>DALLAS COUNTY JAIL - LEW STERRETT JUSTICE CENTER</t>
  </si>
  <si>
    <t>111 WEST COMMERCE STREET</t>
  </si>
  <si>
    <t>DALLAS</t>
  </si>
  <si>
    <t>10/20/2017</t>
  </si>
  <si>
    <t>WASHINGTON COUNTY JAIL (PURGATORY CORRECTIONAL FAC</t>
  </si>
  <si>
    <t>HURRICANE</t>
  </si>
  <si>
    <t>9/15/2018</t>
  </si>
  <si>
    <t>PR</t>
  </si>
  <si>
    <t>SAIPAN DEPARTMENT OF CORRECTIONS (SUSUPE)</t>
  </si>
  <si>
    <t>TEKKEN ST., SUSUPE VILLAGE</t>
  </si>
  <si>
    <t>SAIPAN</t>
  </si>
  <si>
    <t>MP</t>
  </si>
  <si>
    <t>GRAND FORKS COUNTY CORRECTIONAL FACILITY</t>
  </si>
  <si>
    <t>1701 NORTH WASHINGTON ST</t>
  </si>
  <si>
    <t>GRAND FORKS</t>
  </si>
  <si>
    <t>ND</t>
  </si>
  <si>
    <t>5/17/2018</t>
  </si>
  <si>
    <t>TROY</t>
  </si>
  <si>
    <t xml:space="preserve">DEPARTMENT OF CORRECTIONS HAGATNA </t>
  </si>
  <si>
    <t>203 ASPINALL AVENUE</t>
  </si>
  <si>
    <t>HAGATNA</t>
  </si>
  <si>
    <t>GU</t>
  </si>
  <si>
    <t>PHELPS COUNTY JAIL</t>
  </si>
  <si>
    <t>715 5TH AVENUE</t>
  </si>
  <si>
    <t>HOLDREGE</t>
  </si>
  <si>
    <t>LINN COUNTY JAIL</t>
  </si>
  <si>
    <t>53 3RD AVENUE BRIDGE</t>
  </si>
  <si>
    <t>CEDAR RAPIDS</t>
  </si>
  <si>
    <t>6/20/2019</t>
  </si>
  <si>
    <t>SOUTH CENTRAL REGIONAL JAIL</t>
  </si>
  <si>
    <t>1001 CENTRE WAY</t>
  </si>
  <si>
    <t>CHARLESTON</t>
  </si>
  <si>
    <t>WV</t>
  </si>
  <si>
    <t>8/23/2018</t>
  </si>
  <si>
    <t>9/11/2018</t>
  </si>
  <si>
    <t>POTTAWATTAMIE COUNTY JAIL</t>
  </si>
  <si>
    <t>1400 BIG LAKE ROAD</t>
  </si>
  <si>
    <t>COUNCIL BLUFFS</t>
  </si>
  <si>
    <t>4/12/2018</t>
  </si>
  <si>
    <t>5001 Maloneyville Rd</t>
  </si>
  <si>
    <t>Knoxville</t>
  </si>
  <si>
    <t>TN</t>
  </si>
  <si>
    <t>RENSSELAER COUNTY CORRECTIONAL FACILITY</t>
  </si>
  <si>
    <t>4000 MAIN STREET</t>
  </si>
  <si>
    <t>EAST HIDALGO DETENTION CENTER</t>
  </si>
  <si>
    <t>1330 HIGHWAY 107</t>
  </si>
  <si>
    <t>LA VILLA</t>
  </si>
  <si>
    <t>LEXINGTON</t>
  </si>
  <si>
    <t>LEXINGTON COUNTY JAIL</t>
  </si>
  <si>
    <t>521 GIBSON ROAD</t>
  </si>
  <si>
    <t>9/15/2017</t>
  </si>
  <si>
    <t>BEAVER COUNTY JAIL</t>
  </si>
  <si>
    <t>6000 WOODLAWN BOULEVARD</t>
  </si>
  <si>
    <t>ALIQUIPPA</t>
  </si>
  <si>
    <t>9/18/2017</t>
  </si>
  <si>
    <t>NEW HANOVER COUNTY JAIL</t>
  </si>
  <si>
    <t>3950 JUVENILE RD</t>
  </si>
  <si>
    <t>CASTLE HAYNE</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</si>
  <si>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</si>
  <si>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</si>
  <si>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</si>
  <si>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</si>
  <si>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</si>
  <si>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</si>
  <si>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</si>
  <si>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</si>
  <si>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</si>
  <si>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</si>
  <si>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</si>
  <si>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</si>
  <si>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Detroit</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</si>
  <si>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</si>
  <si>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</si>
  <si>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</si>
  <si>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</si>
  <si>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</si>
  <si>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</si>
  <si>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</si>
  <si>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</si>
  <si>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</si>
  <si>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</si>
  <si>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</si>
  <si>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</si>
  <si>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</si>
  <si>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</si>
  <si>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</si>
  <si>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</si>
  <si>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</si>
  <si>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</si>
  <si>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</si>
  <si>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</si>
  <si>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ICE FOOTNOTES</t>
  </si>
  <si>
    <t>Bonded Out</t>
  </si>
  <si>
    <t>Bond Set by ICE</t>
  </si>
  <si>
    <t>Bond Set by IJ</t>
  </si>
  <si>
    <t>Paroled</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</si>
  <si>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</si>
  <si>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</si>
  <si>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</si>
  <si>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</si>
  <si>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</si>
  <si>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</si>
  <si>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</si>
  <si>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</si>
  <si>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</si>
  <si>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</si>
  <si>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</si>
  <si>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</si>
  <si>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</si>
  <si>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</si>
  <si>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FRCs are Family Residential Centers and include the following ICE facilities:  Berks County Family Shelter, Karnes County Residential Center, and South Texas Family Residential Center.</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</si>
  <si>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</si>
  <si>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</si>
  <si>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An alien may have multiple releases; only the most recent release is included in this report.</t>
  </si>
  <si>
    <t>ICE Removal Data Include Returns.  Returns include Voluntary Returns, Voluntary Departures and Withdrawals Under Docket Control.</t>
  </si>
  <si>
    <t>ICE Detention data excludes ORR transfers/facilities, as well as U.S. Marshals Service Prisoners.</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</si>
  <si>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</si>
  <si>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</si>
  <si>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</si>
  <si>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</si>
  <si>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Processing Disposition</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</si>
  <si>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</si>
  <si>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</si>
  <si>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FRCs are Family Residential Centers and include the following ICE facilities: Berks County Family Shelter, Karnes County Residential Center, and South Texas Family Residential Center.</t>
  </si>
  <si>
    <t>Average Time from USCIS Fear Decision Service Date to ICE Release (In Days)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</si>
  <si>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</si>
  <si>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</si>
  <si>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</si>
  <si>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An Alien’s Fear Screening Determination cannot be confirmed as directly related to an ICE Detention Stay, even if the USCIS Decision Service Date falls within the ICE Detention Stay.</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</si>
  <si>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</si>
  <si>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Order of Supervision-No SLRFF</t>
  </si>
  <si>
    <t>Washington DC</t>
  </si>
  <si>
    <t xml:space="preserve">ICE  </t>
  </si>
  <si>
    <t>USCIS Average Time from USCIS Fear Decision Service Date to ICE Release (In Days) &amp; Aliens with USCIS-Established Fear Decisions in an ICE Detention Facility</t>
  </si>
  <si>
    <t xml:space="preserve">ICE Currently Detained by Processing Disposition and Detention Facility Type: </t>
  </si>
  <si>
    <t>ICE Currently Detained by Criminality and Arresting Agency</t>
  </si>
  <si>
    <t>Aliens with USCIS-Established Fear Decisions in an ICE Detention Facility by Facility Type</t>
  </si>
  <si>
    <t xml:space="preserve">ICE provides the following Detention and Alternatives to Detention (ATD) statistics, which may be downloaded by clicking below. The data tables are searchable and sortable, and worksheets are protected to ensure their accuracy and reliability. </t>
  </si>
  <si>
    <t>ICE ALTERNATIVES TO DETENTION DATA, FY22</t>
  </si>
  <si>
    <t>ATD Active Population by Status, Extended Case Management Service, Count and ALIP, FY22</t>
  </si>
  <si>
    <t>Data from BI Inc. Participants Report, 12.4.2021</t>
  </si>
  <si>
    <t>Data from OBP Report, 11.30.2021</t>
  </si>
  <si>
    <t>Active ATD Participants and Average Length in Program, FY22, by AOR and Technology</t>
  </si>
  <si>
    <t xml:space="preserve">* Data are based on an individuals self-identification as transgender and are subject to change daily, depending on the number of individuals booked in and out of ICE custody. </t>
  </si>
  <si>
    <t>Phoenix Area of Responsibility</t>
  </si>
  <si>
    <t>Houston Area of Responsibility</t>
  </si>
  <si>
    <t>Miami Area of Responsibility</t>
  </si>
  <si>
    <t>Denver Area of Responsibility</t>
  </si>
  <si>
    <t>San Francisco Area of Responsibility</t>
  </si>
  <si>
    <t>Currently Detained Location/Area of Responsibility Total</t>
  </si>
  <si>
    <t>Currently Detained without Final Order</t>
  </si>
  <si>
    <t>Currently Detained with Final Order</t>
  </si>
  <si>
    <t>Currently Detained</t>
  </si>
  <si>
    <t>Total Book-Ins</t>
  </si>
  <si>
    <t>FY 2022 YTD</t>
  </si>
  <si>
    <t>ICE Transgender* Detainee Population FY 2022 YTD:  as of 12/6/2021</t>
  </si>
  <si>
    <t>ICE FACILITIES DATA, FY22 YTD</t>
  </si>
  <si>
    <t>FY22 ALOS</t>
  </si>
  <si>
    <t>ICE Enforcement and Removal Operations Data, FY2022</t>
  </si>
  <si>
    <t>FY22 ADP: Detainee Classification Level</t>
  </si>
  <si>
    <t>FY22 ADP: Criminality</t>
  </si>
  <si>
    <t>FY22 ADP: ICE Threat Level</t>
  </si>
  <si>
    <t>FY22 ADP: Mandatory</t>
  </si>
  <si>
    <t>FOLKSTON MAIN IPC</t>
  </si>
  <si>
    <t>T. DON HUTTO DETENTION CENTER</t>
  </si>
  <si>
    <t>CCA, FLORENCE CORRECTIONAL CENTER</t>
  </si>
  <si>
    <t>GOLDEN STATE ANNEX</t>
  </si>
  <si>
    <t>DESERT VIEW</t>
  </si>
  <si>
    <t>JOE CORLEY PROCESSING CTR</t>
  </si>
  <si>
    <t>DORCHESTER COUNTY DETENTION CENTER</t>
  </si>
  <si>
    <t>SAN JUAN STAGING</t>
  </si>
  <si>
    <t>CLINTON COUNTY JAIL</t>
  </si>
  <si>
    <t>EULESS CITY JAIL</t>
  </si>
  <si>
    <t>RIVERSIDE COUNTY SHERIFF</t>
  </si>
  <si>
    <t>ALLEN COUNTY JAIL</t>
  </si>
  <si>
    <t>HANCOCK CO PUB SFTY CPLX</t>
  </si>
  <si>
    <t>3026 HWY 252 EAST</t>
  </si>
  <si>
    <t>300 EL RANCHO WAY</t>
  </si>
  <si>
    <t>409 FM 1144</t>
  </si>
  <si>
    <t>1100 BOWLING ROAD</t>
  </si>
  <si>
    <t>611 FRONTAGE RD</t>
  </si>
  <si>
    <t>MCFARLAND</t>
  </si>
  <si>
    <t>10450 RANCHO ROAD</t>
  </si>
  <si>
    <t>500 HILBIG RD</t>
  </si>
  <si>
    <t>829 FIELDCREST ROAD</t>
  </si>
  <si>
    <t>CAMBRIDGE</t>
  </si>
  <si>
    <t>651 FEDERAL DRIVE, SUITE 104</t>
  </si>
  <si>
    <t>GUAYNABO</t>
  </si>
  <si>
    <t>25 MCCARTHY DRIVE</t>
  </si>
  <si>
    <t>PLATTSBURGH</t>
  </si>
  <si>
    <t>1102 W. EULESS BLVD.</t>
  </si>
  <si>
    <t>EULESS</t>
  </si>
  <si>
    <t>750 SOUTH 5300 WEST</t>
  </si>
  <si>
    <t>4095 LEMON STREET</t>
  </si>
  <si>
    <t>RIVERSIDE</t>
  </si>
  <si>
    <t>417 S. CALHOUN</t>
  </si>
  <si>
    <t>FT. WAYNE</t>
  </si>
  <si>
    <t>8450 HIGHWAY 90</t>
  </si>
  <si>
    <t>BAY ST. LOUIS</t>
  </si>
  <si>
    <t>HLG</t>
  </si>
  <si>
    <t>PBNDS 2011 - 2016 Revisions</t>
  </si>
  <si>
    <t>NDS 2019</t>
  </si>
  <si>
    <t>2/26/2021</t>
  </si>
  <si>
    <t>5/6/2021</t>
  </si>
  <si>
    <t>9/30/2021</t>
  </si>
  <si>
    <t>12/3/2020</t>
  </si>
  <si>
    <t>6/24/2021</t>
  </si>
  <si>
    <t>2/3/2021</t>
  </si>
  <si>
    <t>2/5/2021</t>
  </si>
  <si>
    <t>11/17/2021</t>
  </si>
  <si>
    <t>1/29/2021</t>
  </si>
  <si>
    <t>1/13/2021</t>
  </si>
  <si>
    <t>1/27/2021</t>
  </si>
  <si>
    <t>10/28/2021</t>
  </si>
  <si>
    <t>9/23/2021</t>
  </si>
  <si>
    <t>11/19/2021</t>
  </si>
  <si>
    <t>5/13/2021</t>
  </si>
  <si>
    <t>1/6/2021</t>
  </si>
  <si>
    <t>10/7/2021</t>
  </si>
  <si>
    <t>2/10/2021</t>
  </si>
  <si>
    <t>4/21/2021</t>
  </si>
  <si>
    <t>3/31/2021</t>
  </si>
  <si>
    <t>12/16/2020</t>
  </si>
  <si>
    <t>8/19/2021</t>
  </si>
  <si>
    <t>10/21/2021</t>
  </si>
  <si>
    <t>8/26/2021</t>
  </si>
  <si>
    <t>8/11/2021</t>
  </si>
  <si>
    <t>3/10/2021</t>
  </si>
  <si>
    <t>11/4/2021</t>
  </si>
  <si>
    <t>9/16/2021</t>
  </si>
  <si>
    <t>7/30/2021</t>
  </si>
  <si>
    <t>4/28/2021</t>
  </si>
  <si>
    <t>5/27/2021</t>
  </si>
  <si>
    <t>6/10/2021</t>
  </si>
  <si>
    <t>2/24/2021</t>
  </si>
  <si>
    <t>4/14/2021</t>
  </si>
  <si>
    <t>5/20/2021</t>
  </si>
  <si>
    <t>4/8/2021</t>
  </si>
  <si>
    <t>7/15/2021</t>
  </si>
  <si>
    <t>3/24/2021</t>
  </si>
  <si>
    <t>3/3/2021</t>
  </si>
  <si>
    <t>11/3/2021</t>
  </si>
  <si>
    <t>7/22/2021</t>
  </si>
  <si>
    <t>9/2/2021</t>
  </si>
  <si>
    <t>11/10/2021</t>
  </si>
  <si>
    <t>8/5/2021</t>
  </si>
  <si>
    <t>7/1/2021</t>
  </si>
  <si>
    <t>4/16/2021</t>
  </si>
  <si>
    <t>4/7/2021</t>
  </si>
  <si>
    <t>12/10/2020</t>
  </si>
  <si>
    <t>8/12/2021</t>
  </si>
  <si>
    <t>10/1/2020</t>
  </si>
  <si>
    <t>11/18/2021</t>
  </si>
  <si>
    <t>7/29/2021</t>
  </si>
  <si>
    <t>6/17/2021</t>
  </si>
  <si>
    <t>10/25/2018</t>
  </si>
  <si>
    <t>10/15/2020</t>
  </si>
  <si>
    <t>10/11/2017</t>
  </si>
  <si>
    <t>10/9/2020</t>
  </si>
  <si>
    <t>10/31/2021</t>
  </si>
  <si>
    <t>Arresting Agency</t>
  </si>
  <si>
    <t>ICE Average Length of Stay Adult Facility Type by Month and Arresting Agency: FY2022</t>
  </si>
  <si>
    <t>FSC</t>
  </si>
  <si>
    <t>ICE Average Length of Stay by Facility Type and Month: FY2022</t>
  </si>
  <si>
    <t>ICE Average Daily Population by Facility Type and Month: FY2022</t>
  </si>
  <si>
    <t>ICE Average Length of Stay by Arresting Agency, Month and Criminality: FY2022</t>
  </si>
  <si>
    <t>ICE Average Daily Population by Arresting Agency, Month and Criminality: FY2022</t>
  </si>
  <si>
    <t>ICE Final Releases by Release Reason, Month and Criminality: FY2022</t>
  </si>
  <si>
    <t>Removals with a FSC Detention</t>
  </si>
  <si>
    <t>ICE Removals: FY2022</t>
  </si>
  <si>
    <t>ICE Final Releases by Facility Type: FY2022</t>
  </si>
  <si>
    <t>ICE Initial Book-Ins by Facility Type and Criminality: FY2022</t>
  </si>
  <si>
    <t>ICE Initial Book-Ins by Arresting Agency and Month: FY2022</t>
  </si>
  <si>
    <t>-</t>
  </si>
  <si>
    <t>FY2022</t>
  </si>
  <si>
    <t>ICE DETENTION DATA, FY2022</t>
  </si>
  <si>
    <t>Average In Custody Length of Stay (ICLOS)</t>
  </si>
  <si>
    <t xml:space="preserve">Population </t>
  </si>
  <si>
    <t>July</t>
  </si>
  <si>
    <t>August</t>
  </si>
  <si>
    <t>September</t>
  </si>
  <si>
    <t>October</t>
  </si>
  <si>
    <t>November</t>
  </si>
  <si>
    <t>December</t>
  </si>
  <si>
    <t>January</t>
  </si>
  <si>
    <t>February</t>
  </si>
  <si>
    <t>March</t>
  </si>
  <si>
    <t>April</t>
  </si>
  <si>
    <t>June</t>
  </si>
  <si>
    <t xml:space="preserve">mid </t>
  </si>
  <si>
    <t>end</t>
  </si>
  <si>
    <t>mid</t>
  </si>
  <si>
    <t>Adult Facility Individuals</t>
  </si>
  <si>
    <t>FSC Facility Individuals</t>
  </si>
  <si>
    <t>Post-Determination for Adult Facility Individuals with Postive Fear Claim</t>
  </si>
  <si>
    <t>Post-Determination for FSC Facility Individuals with Positive Fear Claim</t>
  </si>
  <si>
    <t>Detainees</t>
  </si>
  <si>
    <t>0-180 Days</t>
  </si>
  <si>
    <t>181-365 Days</t>
  </si>
  <si>
    <t>366-730 Days</t>
  </si>
  <si>
    <t>More than 730 Days</t>
  </si>
  <si>
    <t>Non-U.S. citizen child or children under the age of 18, accompanied by his/her/their parent(s) or legal guardian(s).
As of 02/26/2021, Berks County Family Shelter is no longer being used as a FRC, however, detentions on or before 02/26 are included in the FRC ALOS</t>
  </si>
  <si>
    <t>FY2022 ICE Average Daily Population and ICE Average Length of Stay</t>
  </si>
  <si>
    <t>FY2022 ICE Detention data are updated through 12/04/2021 (IIDS v.2.0 run date 12/06/2021; EID as of 12/04/2021).</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</si>
  <si>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</si>
  <si>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</si>
  <si>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FY2022 ICE Final Releases</t>
  </si>
  <si>
    <t>FY2022 ICE Final Releases data are updated through 12/04/2021 (IIDS v.2.0 run date 12/06/2021; EID as of 12/04/2021).</t>
  </si>
  <si>
    <t>FY2022 ICE Removals</t>
  </si>
  <si>
    <t>FY2022 ICE Removals data are updated through 12/04/2021 (IIDS v.2.0 run date 12/06/2021; EID as of 12/04/2021).</t>
  </si>
  <si>
    <t>ICE Removals include Non Citizens processed for Expedited Removal (ER) or Voluntary Return (VR) that are turned over to ERO for detention.  Non Citizens processed for ER and not detained by ERO or VR after June 1st, 2013 and not detained by ERO are primarily processed by Border Patrol.  CBP should be contacted for those statistics.</t>
  </si>
  <si>
    <t xml:space="preserve">Starting in FY2009, ICE began to "lock" removal statistics on October 5th at the end of each fiscal year and counted only the Non Citizens whose removal or return was already confirmed.  Non Citizens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</si>
  <si>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12/05/2021 (IIDS v.2.0 run date 12/06/2021; EID as of 12/05/2021).</t>
  </si>
  <si>
    <t>Processing dispositions of Other may include, but are not limited to, Non Citizens processed under Administrative Removal, Visa Waiver Program Removal, Stowaway or Crewmember.</t>
  </si>
  <si>
    <t>FY2022 ICE Initial Book-Ins</t>
  </si>
  <si>
    <t>FRCs are Family Residential Centers and include the following ICE facilities: Karnes County Residential Center and South Texas Family Residential Center.</t>
  </si>
  <si>
    <t>Non Citizens Currently in ICE Detention Facilities data are a snapshot as of 12/05/2021 (IIDS v.2.0 run date 12/06/2021; EID as of 12/05/2021).</t>
  </si>
  <si>
    <t>FY2022 ICE Releases data are updated through 12/04/2021 (IIDS v.2.0 run date 12/06/2021; EID as of 12/04/2021).</t>
  </si>
  <si>
    <t>USCIS provided data containing APSO (Asylum Pre Screening Officer) cases clocked during FY2019 - FY2022 YTD.  Data were received on 12/06/2021.</t>
  </si>
  <si>
    <t>Non Citizens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</si>
  <si>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Of the 222,671 records in the USCIS provided data the breakdown of the fear screening determinations is as follows; 124,978 positive fear screening determinations, 55,723 negative fear screening determinations and 41,970 without an identified determination. Of the 124,978 with positive fear screening determinations; 86,709 have Persecution Claim Established and 38,269 have Torture Claim Established.</t>
  </si>
  <si>
    <t>Non Citizens Currently in ICE Detention Facilities and the Average Time from USCIS Fear Decision Service Date to ICE Release include detentions not associated with a removal case.</t>
  </si>
  <si>
    <t>The data provided by USCIS contains multiple records for some Alien File Numbers. There are 222,671 unique fear determinations and 3,012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</si>
  <si>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</si>
  <si>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</si>
  <si>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r>
      <t xml:space="preserve">The four categories the ICLOS and Detainees tab is broken out by are 
•	</t>
    </r>
    <r>
      <rPr>
        <b/>
        <sz val="12"/>
        <rFont val="Times New Roman"/>
        <family val="1"/>
      </rPr>
      <t>Adult Facility Individuals</t>
    </r>
    <r>
      <rPr>
        <sz val="12"/>
        <rFont val="Times New Roman"/>
        <family val="1"/>
      </rPr>
      <t xml:space="preserve">
o	Anyone who is in an adult facility and does not have a post determined positive fear claim at the date of the snapshot 
•	</t>
    </r>
    <r>
      <rPr>
        <b/>
        <sz val="12"/>
        <rFont val="Times New Roman"/>
        <family val="1"/>
      </rPr>
      <t>FRC Facility Individuals</t>
    </r>
    <r>
      <rPr>
        <sz val="12"/>
        <rFont val="Times New Roman"/>
        <family val="1"/>
      </rPr>
      <t xml:space="preserve">
o	Anyone who is in a family facility and does not have a post determined positive fear claim at the date of the snapshot 
•	</t>
    </r>
    <r>
      <rPr>
        <b/>
        <sz val="12"/>
        <rFont val="Times New Roman"/>
        <family val="1"/>
      </rPr>
      <t>Post-Determination for Adult Facility Individuals with Postive Fear Claim</t>
    </r>
    <r>
      <rPr>
        <sz val="12"/>
        <rFont val="Times New Roman"/>
        <family val="1"/>
      </rPr>
      <t xml:space="preserve">
o	Anyone who is in an adult facility and has a post determined positive fear claim at the date of the snapshot 
•	</t>
    </r>
    <r>
      <rPr>
        <b/>
        <sz val="12"/>
        <rFont val="Times New Roman"/>
        <family val="1"/>
      </rPr>
      <t>Post-Determination for FRC Facility Individuals with Positive Fear Claim</t>
    </r>
    <r>
      <rPr>
        <sz val="12"/>
        <rFont val="Times New Roman"/>
        <family val="1"/>
      </rPr>
      <t xml:space="preserve">
o	Anyone who is in a family facility and has a post determined positive fear claim at the date of the snapshot</t>
    </r>
  </si>
  <si>
    <t xml:space="preserve">The mid for each month corresponds to the 15th of the month and end corresponds to the last day of the month. </t>
  </si>
  <si>
    <t>FRC facilities refers to Family facilities</t>
  </si>
  <si>
    <r>
      <t>It was assumed that if a</t>
    </r>
    <r>
      <rPr>
        <b/>
        <sz val="12"/>
        <color theme="1"/>
        <rFont val="Times New Roman"/>
        <family val="1"/>
      </rPr>
      <t xml:space="preserve"> positive</t>
    </r>
    <r>
      <rPr>
        <sz val="12"/>
        <color theme="1"/>
        <rFont val="Times New Roman"/>
        <family val="1"/>
      </rPr>
      <t xml:space="preserve"> fear </t>
    </r>
    <r>
      <rPr>
        <b/>
        <sz val="12"/>
        <color theme="1"/>
        <rFont val="Times New Roman"/>
        <family val="1"/>
      </rPr>
      <t xml:space="preserve">claim </t>
    </r>
    <r>
      <rPr>
        <sz val="12"/>
        <color theme="1"/>
        <rFont val="Times New Roman"/>
        <family val="1"/>
      </rPr>
      <t>happened within five days of the initial book in that it was related to the detention stay. This was to account for the 72-hour transfer period from CBP to a detention facility and to account for additional time due to coronavirus.</t>
    </r>
  </si>
  <si>
    <t>ICE ICLOS and Detainees Data are updated through 12/05/2021 (IIDS v.2.0 run date 12/06/2021; EID as of 12/05/2021).</t>
  </si>
  <si>
    <t>Source: ICE Integrated Decision Support (IIDS), 12/06/2021</t>
  </si>
  <si>
    <t>MOSHANNON VALLEY CORRECTIONAL</t>
  </si>
  <si>
    <t>555 GEO Drive</t>
  </si>
  <si>
    <t>ROBERT A. DEYTON DETENTION FACILITY</t>
  </si>
  <si>
    <t>11866 HASTINGS BRIDGE RD</t>
  </si>
  <si>
    <t>MARION COUNTY JAIL</t>
  </si>
  <si>
    <t>40 SOUTH ALABAMA STREET</t>
  </si>
  <si>
    <t>FAYETTE COUNTY DETENTION CENTER</t>
  </si>
  <si>
    <t>600 OLD FRANKFORD CR</t>
  </si>
  <si>
    <t>PINELLAS COUNTY JAIL</t>
  </si>
  <si>
    <t>14400 49TH STREET NORTH</t>
  </si>
  <si>
    <t>TULSA COUNTY JAIL (DAVID L. MOSS JUSTICE CTR)</t>
  </si>
  <si>
    <t>300 NORTH DENVER AVENUE</t>
  </si>
  <si>
    <t>GUAYNABO MDC (SAN JUAN)</t>
  </si>
  <si>
    <t>HWY 28 INTSECT OF ROAD 165</t>
  </si>
  <si>
    <t>PHILIPSBURG</t>
  </si>
  <si>
    <t>LOVEJOY</t>
  </si>
  <si>
    <t>INDIANAPOLIS</t>
  </si>
  <si>
    <t>CLEARWATER</t>
  </si>
  <si>
    <t>TULSA</t>
  </si>
  <si>
    <t>SAN JUAN</t>
  </si>
  <si>
    <t>Superior</t>
  </si>
  <si>
    <t>12/2/2021</t>
  </si>
  <si>
    <t>11/8/2021</t>
  </si>
  <si>
    <t>12/17/2020</t>
  </si>
  <si>
    <t>9/5/2017</t>
  </si>
  <si>
    <t>8/14/2018</t>
  </si>
  <si>
    <t>9/21/2018</t>
  </si>
  <si>
    <t>3/12/2021</t>
  </si>
  <si>
    <t>5/8/2008</t>
  </si>
  <si>
    <t>SUITES ON SCOTTSDALE-CASA DE ALEGRÍA</t>
  </si>
  <si>
    <t>HOTEL AVA CASA DO TRANQUILIDADE</t>
  </si>
  <si>
    <t>HOLIDAY INN EXPRESS-CASA DE LA LUZ</t>
  </si>
  <si>
    <t>Adelanto ICE Processing Center</t>
  </si>
  <si>
    <t>WINGATE-WYNDHAM CASA ESPERANZA</t>
  </si>
  <si>
    <t>LA QUINTA WYNDHAM CASA DO SONHO</t>
  </si>
  <si>
    <t>LA QUINTA-WYNDHAM-CASA DE PAZ</t>
  </si>
  <si>
    <t>COMFORT SUITES-CASA CONSUELO</t>
  </si>
  <si>
    <t>BEST WESTERN-CASA DE ESTRELLA</t>
  </si>
  <si>
    <t>9880 N. SCOTTSDALE RD.</t>
  </si>
  <si>
    <t>800 GARDEN STREET</t>
  </si>
  <si>
    <t>15221 S  50TH ST</t>
  </si>
  <si>
    <t>1760 S SUNRIDGE DR</t>
  </si>
  <si>
    <t>677 N BAYLOR ST</t>
  </si>
  <si>
    <t>170 MEDICAL DR.</t>
  </si>
  <si>
    <t>1940 AIRWAY BLVD</t>
  </si>
  <si>
    <t>6655 GATEWAY BLVD W.</t>
  </si>
  <si>
    <t>SCOTTSDALE</t>
  </si>
  <si>
    <t xml:space="preserve">
LAREDO</t>
  </si>
  <si>
    <t>PHOENIX</t>
  </si>
  <si>
    <t>YUMA</t>
  </si>
  <si>
    <t>COTULLA</t>
  </si>
  <si>
    <t>FAMILY STAGING</t>
  </si>
  <si>
    <t>7/28/2021</t>
  </si>
  <si>
    <t>8/25/2021</t>
  </si>
  <si>
    <t>7/14/2021</t>
  </si>
  <si>
    <t>10/14/2021</t>
  </si>
  <si>
    <t>9/29/2021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</si>
</sst>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3" formatCode="_(* #,##0.00_);_(* \(#,##0.00\);_(* &quot;-&quot;??_);_(@_)"/>
    <numFmt numFmtId="164" formatCode="_(* #,##0_);_(* \(#,##0\);_(* &quot;-&quot;??_);_(@_)"/>
    <numFmt numFmtId="165" formatCode="0.0"/>
    <numFmt numFmtId="166" formatCode="00000"/>
    <numFmt numFmtId="167" formatCode="_(* #,##0.0_);_(* \(#,##0.0\);_(* &quot;-&quot;_);_(@_)"/>
    <numFmt numFmtId="168" formatCode="#,##0.0"/>
    <numFmt numFmtId="169" formatCode="0.0;[Red]0.0"/>
    <numFmt numFmtId="170" formatCode="_(* #,##0.0_);_(* \(#,##0.0\);_(* &quot;-&quot;?_);_(@_)"/>
    <numFmt numFmtId="171" formatCode="#,##0.0_);\(#,##0.0\)"/>
  </numFmts>
  <fonts count="37" x14ac:knownFonts="1">
    <font>
      <sz val="11"/>
      <color theme="1"/>
      <name val="Calibri"/>
      <family val="2"/>
      <scheme val="minor"/>
    </font>
    <font>
      <sz val="11"/>
      <color theme="1"/>
      <name val="Calibri"/>
      <family val="2"/>
      <scheme val="minor"/>
    </font>
    <font>
      <sz val="9"/>
      <color theme="1"/>
      <name val="Calibri"/>
      <family val="2"/>
      <scheme val="minor"/>
    </font>
    <font>
      <b/>
      <sz val="9"/>
      <color theme="1"/>
      <name val="Times New Roman"/>
      <family val="1"/>
    </font>
    <font>
      <b/>
      <sz val="9"/>
      <color theme="0"/>
      <name val="Times New Roman"/>
      <family val="1"/>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b/>
      <sz val="9"/>
      <color theme="1"/>
      <name val="Calibri"/>
      <family val="2"/>
      <scheme val="minor"/>
    </font>
    <font>
      <sz val="10"/>
      <color indexed="72"/>
      <name val="MS Sans Serif"/>
      <family val="2"/>
    </font>
    <font>
      <b/>
      <sz val="12"/>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2"/>
      <color theme="4" tint="-0.499984740745262"/>
      <name val="Calibri"/>
      <family val="2"/>
      <scheme val="minor"/>
    </font>
    <font>
      <b/>
      <sz val="12"/>
      <color rgb="FFFF0000"/>
      <name val="Times New Roman"/>
      <family val="1"/>
    </font>
    <font>
      <b/>
      <sz val="18"/>
      <color theme="3" tint="-0.499984740745262"/>
      <name val="Calibri"/>
      <family val="2"/>
      <scheme val="minor"/>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
      <i/>
      <sz val="11"/>
      <color theme="1"/>
      <name val="Calibri"/>
      <family val="2"/>
      <scheme val="minor"/>
    </font>
    <font>
      <b/>
      <sz val="11"/>
      <color theme="1"/>
      <name val="Calibri"/>
      <family val="2"/>
      <scheme val="minor"/>
    </font>
    <font>
      <b/>
      <i/>
      <sz val="9"/>
      <color theme="1"/>
      <name val="Calibri"/>
      <family val="2"/>
      <scheme val="minor"/>
    </font>
    <font>
      <b/>
      <sz val="11"/>
      <color theme="1"/>
      <name val="Times New Roman"/>
      <family val="1"/>
    </font>
    <font>
      <sz val="11"/>
      <color theme="1"/>
      <name val="Times New Roman"/>
      <family val="1"/>
    </font>
    <font>
      <sz val="9"/>
      <color theme="1"/>
      <name val="Times New Roman"/>
      <family val="1"/>
    </font>
    <font>
      <sz val="12"/>
      <color theme="1"/>
      <name val="Symbol"/>
      <family val="1"/>
      <charset val="2"/>
    </font>
    <font>
      <sz val="12"/>
      <color theme="1"/>
      <name val="Courier New"/>
      <family val="3"/>
    </font>
  </fonts>
  <fills count="13">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2"/>
        <bgColor indexed="64"/>
      </patternFill>
    </fill>
    <fill>
      <patternFill patternType="solid">
        <fgColor theme="4" tint="0.79998168889431442"/>
        <bgColor indexed="64"/>
      </patternFill>
    </fill>
    <fill>
      <patternFill patternType="solid">
        <fgColor theme="9" tint="0.7999816888943144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style="thin">
        <color indexed="64"/>
      </top>
      <bottom/>
      <diagonal/>
    </border>
    <border>
      <left style="thin">
        <color auto="1"/>
      </left>
      <right style="thin">
        <color auto="1"/>
      </right>
      <top style="thin">
        <color auto="1"/>
      </top>
      <bottom style="medium">
        <color auto="1"/>
      </bottom>
      <diagonal/>
    </border>
    <border>
      <left/>
      <right style="thin">
        <color indexed="64"/>
      </right>
      <top style="thin">
        <color indexed="64"/>
      </top>
      <bottom style="medium">
        <color auto="1"/>
      </bottom>
      <diagonal/>
    </border>
  </borders>
  <cellStyleXfs count="6">
    <xf numFmtId="0" fontId="0" fillId="0" borderId="0"/>
    <xf numFmtId="43" fontId="1" fillId="0" borderId="0" applyFont="0" applyFill="0" applyBorder="0" applyAlignment="0" applyProtection="0"/>
    <xf numFmtId="0" fontId="5" fillId="0" borderId="0"/>
    <xf numFmtId="0" fontId="6" fillId="0" borderId="0"/>
    <xf numFmtId="0" fontId="11" fillId="0" borderId="0"/>
    <xf numFmtId="9" fontId="1" fillId="0" borderId="0" applyFont="0" applyFill="0" applyBorder="0" applyAlignment="0" applyProtection="0"/>
  </cellStyleXfs>
  <cellXfs count="349">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wrapText="1"/>
    </xf>
    <xf numFmtId="0" fontId="0" fillId="0" borderId="0" xfId="0" applyAlignment="1"/>
    <xf numFmtId="0" fontId="0" fillId="0" borderId="0" xfId="0" applyAlignment="1">
      <alignment horizontal="left" vertical="top"/>
    </xf>
    <xf numFmtId="0" fontId="2" fillId="2" borderId="0" xfId="0" applyFont="1" applyFill="1"/>
    <xf numFmtId="0" fontId="2" fillId="2" borderId="0" xfId="0" applyFont="1" applyFill="1" applyAlignment="1">
      <alignment wrapText="1"/>
    </xf>
    <xf numFmtId="0" fontId="6" fillId="0" borderId="0" xfId="4" applyFont="1" applyAlignment="1">
      <alignment horizontal="left" vertical="center"/>
    </xf>
    <xf numFmtId="0" fontId="12" fillId="4" borderId="18" xfId="0" applyFont="1" applyFill="1" applyBorder="1" applyAlignment="1">
      <alignment horizontal="left" wrapText="1"/>
    </xf>
    <xf numFmtId="0" fontId="12" fillId="4" borderId="19" xfId="0" applyFont="1" applyFill="1" applyBorder="1" applyAlignment="1">
      <alignment horizontal="left" wrapText="1"/>
    </xf>
    <xf numFmtId="166" fontId="12" fillId="4" borderId="19" xfId="0" applyNumberFormat="1" applyFont="1" applyFill="1" applyBorder="1" applyAlignment="1">
      <alignment horizontal="left" wrapText="1"/>
    </xf>
    <xf numFmtId="0" fontId="12" fillId="4" borderId="20" xfId="0" applyFont="1" applyFill="1" applyBorder="1" applyAlignment="1">
      <alignment horizontal="left" wrapText="1"/>
    </xf>
    <xf numFmtId="0" fontId="12" fillId="4" borderId="1" xfId="0" applyFont="1" applyFill="1" applyBorder="1" applyAlignment="1">
      <alignment horizontal="left" wrapText="1"/>
    </xf>
    <xf numFmtId="0" fontId="12" fillId="4" borderId="1" xfId="4" applyFont="1" applyFill="1" applyBorder="1" applyAlignment="1">
      <alignment horizontal="left" wrapText="1"/>
    </xf>
    <xf numFmtId="3" fontId="12" fillId="4" borderId="21" xfId="0" applyNumberFormat="1" applyFont="1" applyFill="1" applyBorder="1" applyAlignment="1">
      <alignment horizontal="left" wrapText="1"/>
    </xf>
    <xf numFmtId="3" fontId="12" fillId="4" borderId="19" xfId="0" applyNumberFormat="1" applyFont="1" applyFill="1" applyBorder="1" applyAlignment="1">
      <alignment horizontal="left" wrapText="1"/>
    </xf>
    <xf numFmtId="3" fontId="12" fillId="4" borderId="20" xfId="0" applyNumberFormat="1" applyFont="1" applyFill="1" applyBorder="1" applyAlignment="1">
      <alignment horizontal="left" wrapText="1"/>
    </xf>
    <xf numFmtId="3" fontId="12" fillId="4" borderId="1" xfId="0" applyNumberFormat="1" applyFont="1" applyFill="1" applyBorder="1" applyAlignment="1">
      <alignment horizontal="left" wrapText="1"/>
    </xf>
    <xf numFmtId="0" fontId="7" fillId="6" borderId="0" xfId="3" applyFont="1" applyFill="1" applyAlignment="1">
      <alignment vertical="center" wrapText="1"/>
    </xf>
    <xf numFmtId="3" fontId="12" fillId="4" borderId="3" xfId="0" applyNumberFormat="1" applyFont="1" applyFill="1" applyBorder="1" applyAlignment="1">
      <alignment horizontal="left" wrapText="1"/>
    </xf>
    <xf numFmtId="0" fontId="7" fillId="6" borderId="0" xfId="3" applyFont="1" applyFill="1" applyBorder="1" applyAlignment="1">
      <alignment vertical="center" wrapText="1"/>
    </xf>
    <xf numFmtId="0" fontId="12" fillId="4" borderId="20" xfId="4" applyFont="1" applyFill="1" applyBorder="1" applyAlignment="1">
      <alignment horizontal="left" wrapText="1"/>
    </xf>
    <xf numFmtId="0" fontId="7" fillId="6" borderId="0" xfId="3" applyFont="1" applyFill="1" applyAlignment="1">
      <alignment horizontal="left" vertical="center" wrapText="1"/>
    </xf>
    <xf numFmtId="0" fontId="16" fillId="3" borderId="10" xfId="0" applyFont="1" applyFill="1" applyBorder="1" applyAlignment="1">
      <alignment horizontal="center" vertical="center" wrapText="1"/>
    </xf>
    <xf numFmtId="0" fontId="2" fillId="5" borderId="4" xfId="0" applyFont="1" applyFill="1" applyBorder="1"/>
    <xf numFmtId="0" fontId="10" fillId="2" borderId="8" xfId="0" applyFont="1" applyFill="1" applyBorder="1" applyAlignment="1">
      <alignment horizontal="center" vertical="center"/>
    </xf>
    <xf numFmtId="0" fontId="10" fillId="2" borderId="0" xfId="0" applyFont="1" applyFill="1" applyAlignment="1">
      <alignment horizontal="center"/>
    </xf>
    <xf numFmtId="165" fontId="2" fillId="2" borderId="1" xfId="1" applyNumberFormat="1" applyFont="1" applyFill="1" applyBorder="1"/>
    <xf numFmtId="164" fontId="2" fillId="2" borderId="0" xfId="1" applyNumberFormat="1" applyFont="1" applyFill="1" applyBorder="1" applyAlignment="1">
      <alignment horizontal="left"/>
    </xf>
    <xf numFmtId="0" fontId="10" fillId="2" borderId="0" xfId="0" applyFont="1" applyFill="1" applyAlignment="1">
      <alignment horizontal="center" wrapText="1"/>
    </xf>
    <xf numFmtId="0" fontId="10" fillId="2" borderId="8" xfId="0" applyFont="1" applyFill="1" applyBorder="1" applyAlignment="1">
      <alignment horizontal="center"/>
    </xf>
    <xf numFmtId="0" fontId="10" fillId="0" borderId="0" xfId="0" applyFont="1" applyAlignment="1">
      <alignment horizontal="center"/>
    </xf>
    <xf numFmtId="0" fontId="10" fillId="0" borderId="0" xfId="0" applyFont="1"/>
    <xf numFmtId="0" fontId="18" fillId="6" borderId="0" xfId="3" applyFont="1" applyFill="1" applyAlignment="1">
      <alignment vertical="center" wrapText="1"/>
    </xf>
    <xf numFmtId="0" fontId="14" fillId="0" borderId="1" xfId="0" applyFont="1" applyBorder="1" applyAlignment="1">
      <alignment vertical="center"/>
    </xf>
    <xf numFmtId="0" fontId="13" fillId="7" borderId="1" xfId="0" applyFont="1" applyFill="1" applyBorder="1" applyAlignment="1">
      <alignment vertical="center"/>
    </xf>
    <xf numFmtId="3" fontId="14" fillId="0" borderId="1" xfId="0" applyNumberFormat="1" applyFont="1" applyBorder="1" applyAlignment="1">
      <alignment vertical="center"/>
    </xf>
    <xf numFmtId="3" fontId="13" fillId="7" borderId="1" xfId="0" applyNumberFormat="1" applyFont="1" applyFill="1" applyBorder="1" applyAlignment="1">
      <alignment vertical="center"/>
    </xf>
    <xf numFmtId="0" fontId="15" fillId="8" borderId="1" xfId="0" applyFont="1" applyFill="1" applyBorder="1" applyAlignment="1">
      <alignment vertical="center"/>
    </xf>
    <xf numFmtId="0" fontId="17" fillId="6" borderId="11" xfId="3" applyFont="1" applyFill="1" applyBorder="1" applyAlignment="1">
      <alignment vertical="center" wrapText="1"/>
    </xf>
    <xf numFmtId="0" fontId="23" fillId="6" borderId="6" xfId="3" applyFont="1" applyFill="1" applyBorder="1" applyAlignment="1">
      <alignment vertical="center" wrapText="1"/>
    </xf>
    <xf numFmtId="0" fontId="7" fillId="5" borderId="0" xfId="3" applyFont="1" applyFill="1" applyAlignment="1">
      <alignment vertical="center" wrapText="1"/>
    </xf>
    <xf numFmtId="0" fontId="22" fillId="5" borderId="0" xfId="2" applyFont="1" applyFill="1" applyAlignment="1">
      <alignment vertical="top"/>
    </xf>
    <xf numFmtId="0" fontId="17" fillId="6" borderId="0" xfId="3" applyFont="1" applyFill="1" applyAlignment="1">
      <alignment vertical="center" wrapText="1"/>
    </xf>
    <xf numFmtId="0" fontId="0" fillId="2" borderId="0" xfId="0" applyFill="1"/>
    <xf numFmtId="0" fontId="22" fillId="2" borderId="0" xfId="2" applyFont="1" applyFill="1" applyAlignment="1">
      <alignment vertical="top"/>
    </xf>
    <xf numFmtId="0" fontId="25" fillId="3" borderId="23" xfId="0" applyFont="1" applyFill="1" applyBorder="1" applyAlignment="1">
      <alignment horizontal="center" vertical="center" wrapText="1"/>
    </xf>
    <xf numFmtId="0" fontId="25" fillId="3" borderId="24" xfId="0" applyFont="1" applyFill="1" applyBorder="1" applyAlignment="1">
      <alignment horizontal="center" vertical="center" wrapText="1"/>
    </xf>
    <xf numFmtId="0" fontId="26" fillId="4" borderId="25" xfId="0" applyFont="1" applyFill="1" applyBorder="1"/>
    <xf numFmtId="41" fontId="27" fillId="4" borderId="4" xfId="0" applyNumberFormat="1" applyFont="1" applyFill="1" applyBorder="1" applyAlignment="1">
      <alignment horizontal="center"/>
    </xf>
    <xf numFmtId="167" fontId="27" fillId="4" borderId="4" xfId="0" applyNumberFormat="1" applyFont="1" applyFill="1" applyBorder="1" applyAlignment="1">
      <alignment horizontal="center"/>
    </xf>
    <xf numFmtId="0" fontId="26" fillId="9" borderId="1" xfId="0" applyFont="1" applyFill="1" applyBorder="1" applyAlignment="1">
      <alignment vertical="center"/>
    </xf>
    <xf numFmtId="3" fontId="26" fillId="9" borderId="1" xfId="0" applyNumberFormat="1" applyFont="1" applyFill="1" applyBorder="1" applyAlignment="1">
      <alignment vertical="center"/>
    </xf>
    <xf numFmtId="168" fontId="26" fillId="9" borderId="1" xfId="0" applyNumberFormat="1" applyFont="1" applyFill="1" applyBorder="1" applyAlignment="1">
      <alignment vertical="center"/>
    </xf>
    <xf numFmtId="0" fontId="8" fillId="0" borderId="1" xfId="0" applyFont="1" applyBorder="1" applyAlignment="1">
      <alignment horizontal="left" indent="1"/>
    </xf>
    <xf numFmtId="3" fontId="8" fillId="0" borderId="1" xfId="0" applyNumberFormat="1" applyFont="1" applyBorder="1"/>
    <xf numFmtId="168" fontId="8" fillId="0" borderId="1" xfId="0" applyNumberFormat="1" applyFont="1" applyBorder="1"/>
    <xf numFmtId="0" fontId="7" fillId="2" borderId="0" xfId="3" applyFont="1" applyFill="1" applyAlignment="1">
      <alignment vertical="center" wrapText="1"/>
    </xf>
    <xf numFmtId="0" fontId="7" fillId="2" borderId="0" xfId="3" applyFont="1" applyFill="1" applyBorder="1" applyAlignment="1">
      <alignment vertical="center" wrapText="1"/>
    </xf>
    <xf numFmtId="0" fontId="2" fillId="2" borderId="0" xfId="0" applyFont="1" applyFill="1" applyAlignment="1">
      <alignment horizontal="left"/>
    </xf>
    <xf numFmtId="0" fontId="10" fillId="2" borderId="0" xfId="0" applyFont="1" applyFill="1" applyAlignment="1">
      <alignment horizontal="left"/>
    </xf>
    <xf numFmtId="165" fontId="2" fillId="2" borderId="0" xfId="1" applyNumberFormat="1" applyFont="1" applyFill="1" applyBorder="1"/>
    <xf numFmtId="165" fontId="16" fillId="3" borderId="1" xfId="0" applyNumberFormat="1" applyFont="1" applyFill="1" applyBorder="1" applyAlignment="1">
      <alignment horizontal="center" vertical="center" wrapText="1"/>
    </xf>
    <xf numFmtId="164" fontId="2" fillId="2" borderId="1" xfId="1" applyNumberFormat="1" applyFont="1" applyFill="1" applyBorder="1" applyAlignment="1"/>
    <xf numFmtId="164" fontId="2" fillId="2" borderId="1" xfId="1" applyNumberFormat="1" applyFont="1" applyFill="1" applyBorder="1" applyAlignment="1">
      <alignment horizontal="center"/>
    </xf>
    <xf numFmtId="0" fontId="10" fillId="2" borderId="7" xfId="0" applyFont="1" applyFill="1" applyBorder="1" applyAlignment="1">
      <alignment horizontal="center" vertical="center"/>
    </xf>
    <xf numFmtId="0" fontId="2" fillId="5" borderId="25" xfId="0" applyFont="1" applyFill="1" applyBorder="1"/>
    <xf numFmtId="164" fontId="2" fillId="2" borderId="2" xfId="1" applyNumberFormat="1" applyFont="1" applyFill="1" applyBorder="1" applyAlignment="1">
      <alignment horizontal="left"/>
    </xf>
    <xf numFmtId="164" fontId="2" fillId="2" borderId="5" xfId="1" applyNumberFormat="1" applyFont="1" applyFill="1" applyBorder="1" applyAlignment="1">
      <alignment horizontal="left"/>
    </xf>
    <xf numFmtId="164" fontId="2" fillId="2" borderId="7" xfId="1" applyNumberFormat="1" applyFont="1" applyFill="1" applyBorder="1" applyAlignment="1">
      <alignment horizontal="left"/>
    </xf>
    <xf numFmtId="0" fontId="2" fillId="0" borderId="7" xfId="0" applyFont="1" applyBorder="1"/>
    <xf numFmtId="0" fontId="10" fillId="0" borderId="8" xfId="0" applyFont="1" applyBorder="1" applyAlignment="1">
      <alignment horizontal="center"/>
    </xf>
    <xf numFmtId="0" fontId="16" fillId="3" borderId="5" xfId="0" applyFont="1" applyFill="1" applyBorder="1" applyAlignment="1">
      <alignment horizontal="center" vertical="center" wrapText="1"/>
    </xf>
    <xf numFmtId="0" fontId="2" fillId="5" borderId="5" xfId="0" applyFont="1" applyFill="1" applyBorder="1"/>
    <xf numFmtId="164" fontId="2" fillId="2" borderId="2" xfId="1" applyNumberFormat="1" applyFont="1" applyFill="1" applyBorder="1" applyAlignment="1">
      <alignment horizontal="right"/>
    </xf>
    <xf numFmtId="164" fontId="2" fillId="2" borderId="5" xfId="1" applyNumberFormat="1" applyFont="1" applyFill="1" applyBorder="1" applyAlignment="1">
      <alignment horizontal="right"/>
    </xf>
    <xf numFmtId="9" fontId="2" fillId="2" borderId="3" xfId="5" applyFont="1" applyFill="1" applyBorder="1" applyAlignment="1">
      <alignment horizontal="right"/>
    </xf>
    <xf numFmtId="9" fontId="2" fillId="2" borderId="1" xfId="5" applyFont="1" applyFill="1" applyBorder="1" applyAlignment="1">
      <alignment horizontal="right"/>
    </xf>
    <xf numFmtId="9" fontId="2" fillId="5" borderId="4" xfId="5" applyFont="1" applyFill="1" applyBorder="1"/>
    <xf numFmtId="41" fontId="2" fillId="2" borderId="30" xfId="1" applyNumberFormat="1" applyFont="1" applyFill="1" applyBorder="1" applyAlignment="1">
      <alignment horizontal="left"/>
    </xf>
    <xf numFmtId="41" fontId="2" fillId="5" borderId="33" xfId="1" applyNumberFormat="1" applyFont="1" applyFill="1" applyBorder="1"/>
    <xf numFmtId="164" fontId="2" fillId="5" borderId="4" xfId="1" applyNumberFormat="1" applyFont="1" applyFill="1" applyBorder="1"/>
    <xf numFmtId="41" fontId="2" fillId="5" borderId="1" xfId="1" applyNumberFormat="1" applyFont="1" applyFill="1" applyBorder="1"/>
    <xf numFmtId="41" fontId="2" fillId="5" borderId="1" xfId="0" applyNumberFormat="1" applyFont="1" applyFill="1" applyBorder="1"/>
    <xf numFmtId="167" fontId="2" fillId="5" borderId="1" xfId="1" applyNumberFormat="1" applyFont="1" applyFill="1" applyBorder="1"/>
    <xf numFmtId="167" fontId="2" fillId="5" borderId="1" xfId="0" applyNumberFormat="1" applyFont="1" applyFill="1" applyBorder="1"/>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167" fontId="2" fillId="2" borderId="1" xfId="1" applyNumberFormat="1" applyFont="1" applyFill="1" applyBorder="1" applyAlignment="1">
      <alignment horizontal="left"/>
    </xf>
    <xf numFmtId="167" fontId="2" fillId="5" borderId="4" xfId="1" applyNumberFormat="1" applyFont="1" applyFill="1" applyBorder="1"/>
    <xf numFmtId="167" fontId="2" fillId="5" borderId="4" xfId="0" applyNumberFormat="1" applyFont="1" applyFill="1" applyBorder="1"/>
    <xf numFmtId="167" fontId="2" fillId="2" borderId="3" xfId="1" applyNumberFormat="1" applyFont="1" applyFill="1" applyBorder="1" applyAlignment="1">
      <alignment horizontal="left"/>
    </xf>
    <xf numFmtId="16" fontId="0" fillId="0" borderId="0" xfId="0" applyNumberFormat="1"/>
    <xf numFmtId="4" fontId="0" fillId="0" borderId="0" xfId="0" applyNumberFormat="1"/>
    <xf numFmtId="3" fontId="2" fillId="2" borderId="0" xfId="0" applyNumberFormat="1" applyFont="1" applyFill="1"/>
    <xf numFmtId="16" fontId="10" fillId="2" borderId="8" xfId="0" applyNumberFormat="1" applyFont="1" applyFill="1" applyBorder="1" applyAlignment="1">
      <alignment horizontal="center"/>
    </xf>
    <xf numFmtId="16" fontId="2" fillId="0" borderId="0" xfId="0" applyNumberFormat="1" applyFont="1"/>
    <xf numFmtId="4" fontId="10" fillId="2" borderId="8" xfId="0" applyNumberFormat="1" applyFont="1" applyFill="1" applyBorder="1" applyAlignment="1">
      <alignment horizontal="center"/>
    </xf>
    <xf numFmtId="4" fontId="2" fillId="0" borderId="0" xfId="0" applyNumberFormat="1" applyFont="1"/>
    <xf numFmtId="4" fontId="2" fillId="0" borderId="0" xfId="0" applyNumberFormat="1" applyFont="1" applyAlignment="1">
      <alignment horizontal="center" wrapText="1"/>
    </xf>
    <xf numFmtId="16" fontId="2" fillId="2" borderId="0" xfId="0" applyNumberFormat="1" applyFont="1" applyFill="1"/>
    <xf numFmtId="16" fontId="10" fillId="0" borderId="0" xfId="0" applyNumberFormat="1" applyFont="1" applyAlignment="1">
      <alignment horizontal="center"/>
    </xf>
    <xf numFmtId="4" fontId="10" fillId="0" borderId="0" xfId="0" applyNumberFormat="1" applyFont="1" applyAlignment="1">
      <alignment horizontal="center"/>
    </xf>
    <xf numFmtId="4" fontId="10" fillId="0" borderId="0" xfId="0" applyNumberFormat="1" applyFont="1"/>
    <xf numFmtId="3" fontId="2" fillId="0" borderId="0" xfId="0" applyNumberFormat="1" applyFont="1"/>
    <xf numFmtId="3" fontId="10" fillId="2" borderId="8" xfId="0" applyNumberFormat="1" applyFont="1" applyFill="1" applyBorder="1" applyAlignment="1">
      <alignment horizontal="center"/>
    </xf>
    <xf numFmtId="0" fontId="9" fillId="3" borderId="23" xfId="0" applyFont="1" applyFill="1" applyBorder="1" applyAlignment="1">
      <alignment horizontal="left" vertical="top" wrapText="1"/>
    </xf>
    <xf numFmtId="0" fontId="9" fillId="3" borderId="27" xfId="0" applyFont="1" applyFill="1" applyBorder="1" applyAlignment="1">
      <alignment horizontal="left" vertical="top" wrapText="1"/>
    </xf>
    <xf numFmtId="0" fontId="8" fillId="0" borderId="38" xfId="0" applyFont="1" applyBorder="1" applyAlignment="1">
      <alignment horizontal="left" vertical="top" wrapText="1"/>
    </xf>
    <xf numFmtId="0" fontId="8" fillId="2" borderId="38" xfId="0" applyFont="1" applyFill="1" applyBorder="1" applyAlignment="1">
      <alignment horizontal="left" vertical="top" wrapText="1"/>
    </xf>
    <xf numFmtId="0" fontId="0" fillId="0" borderId="7" xfId="0" applyBorder="1" applyAlignment="1">
      <alignment horizontal="left" vertical="top"/>
    </xf>
    <xf numFmtId="0" fontId="8" fillId="0" borderId="10" xfId="0" applyFont="1" applyBorder="1" applyAlignment="1">
      <alignment horizontal="left" vertical="top"/>
    </xf>
    <xf numFmtId="0" fontId="8" fillId="0" borderId="2" xfId="0" applyFont="1" applyBorder="1" applyAlignment="1">
      <alignment horizontal="left" vertical="top"/>
    </xf>
    <xf numFmtId="0" fontId="0" fillId="0" borderId="2" xfId="0" applyBorder="1" applyAlignment="1">
      <alignment horizontal="left" vertical="top"/>
    </xf>
    <xf numFmtId="49" fontId="28" fillId="2" borderId="38" xfId="0" applyNumberFormat="1" applyFont="1" applyFill="1" applyBorder="1" applyAlignment="1">
      <alignment vertical="top" wrapText="1"/>
    </xf>
    <xf numFmtId="49" fontId="28" fillId="0" borderId="38" xfId="0" applyNumberFormat="1" applyFont="1" applyBorder="1" applyAlignment="1">
      <alignment vertical="top" wrapText="1"/>
    </xf>
    <xf numFmtId="41" fontId="2" fillId="2" borderId="38" xfId="1" applyNumberFormat="1" applyFont="1" applyFill="1" applyBorder="1" applyAlignment="1">
      <alignment horizontal="left"/>
    </xf>
    <xf numFmtId="3" fontId="10" fillId="0" borderId="8" xfId="0" applyNumberFormat="1" applyFont="1" applyBorder="1" applyAlignment="1">
      <alignment horizontal="center"/>
    </xf>
    <xf numFmtId="3" fontId="10" fillId="0" borderId="0" xfId="0" applyNumberFormat="1" applyFont="1" applyAlignment="1">
      <alignment horizontal="center"/>
    </xf>
    <xf numFmtId="169" fontId="14" fillId="0" borderId="1" xfId="0" applyNumberFormat="1" applyFont="1" applyBorder="1" applyAlignment="1">
      <alignment vertical="center"/>
    </xf>
    <xf numFmtId="169" fontId="13" fillId="7" borderId="1" xfId="0" applyNumberFormat="1" applyFont="1" applyFill="1" applyBorder="1" applyAlignment="1">
      <alignment vertical="center"/>
    </xf>
    <xf numFmtId="0" fontId="16" fillId="3" borderId="1" xfId="0" applyFont="1" applyFill="1" applyBorder="1" applyAlignment="1">
      <alignment horizontal="center" vertical="center" wrapText="1"/>
    </xf>
    <xf numFmtId="164" fontId="2" fillId="2" borderId="1" xfId="1" applyNumberFormat="1" applyFont="1" applyFill="1" applyBorder="1" applyAlignment="1">
      <alignment horizontal="left"/>
    </xf>
    <xf numFmtId="0" fontId="0" fillId="0" borderId="1" xfId="0" applyBorder="1"/>
    <xf numFmtId="0" fontId="29" fillId="0" borderId="1" xfId="0" applyFont="1" applyBorder="1" applyAlignment="1">
      <alignment horizontal="right"/>
    </xf>
    <xf numFmtId="164" fontId="2" fillId="5" borderId="1" xfId="1" applyNumberFormat="1" applyFont="1" applyFill="1" applyBorder="1" applyAlignment="1">
      <alignment horizontal="left"/>
    </xf>
    <xf numFmtId="164" fontId="24" fillId="2" borderId="1" xfId="1" applyNumberFormat="1" applyFont="1" applyFill="1" applyBorder="1" applyAlignment="1">
      <alignment horizontal="right"/>
    </xf>
    <xf numFmtId="164" fontId="2" fillId="5" borderId="3" xfId="1" applyNumberFormat="1" applyFont="1" applyFill="1" applyBorder="1" applyAlignment="1">
      <alignment horizontal="left"/>
    </xf>
    <xf numFmtId="164" fontId="2" fillId="0" borderId="4" xfId="1" applyNumberFormat="1" applyFont="1" applyFill="1" applyBorder="1"/>
    <xf numFmtId="0" fontId="2" fillId="0" borderId="1" xfId="0" applyFont="1" applyBorder="1"/>
    <xf numFmtId="0" fontId="16" fillId="3" borderId="1" xfId="0" applyFont="1" applyFill="1" applyBorder="1" applyAlignment="1">
      <alignment horizontal="center" vertical="center" wrapText="1"/>
    </xf>
    <xf numFmtId="0" fontId="10" fillId="2" borderId="8" xfId="0" applyFont="1" applyFill="1" applyBorder="1" applyAlignment="1">
      <alignment horizontal="left" vertical="center"/>
    </xf>
    <xf numFmtId="0" fontId="2" fillId="4" borderId="31" xfId="0" applyFont="1" applyFill="1" applyBorder="1" applyAlignment="1">
      <alignment horizontal="center" vertical="center"/>
    </xf>
    <xf numFmtId="0" fontId="2" fillId="4" borderId="32" xfId="0" applyFont="1" applyFill="1" applyBorder="1" applyAlignment="1">
      <alignment horizontal="center" vertical="center"/>
    </xf>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41" fontId="2" fillId="5" borderId="4" xfId="0" applyNumberFormat="1" applyFont="1" applyFill="1" applyBorder="1" applyAlignment="1">
      <alignment horizontal="right"/>
    </xf>
    <xf numFmtId="0" fontId="10" fillId="2" borderId="0" xfId="0" applyFont="1" applyFill="1" applyAlignment="1">
      <alignment horizontal="left" vertical="center" wrapText="1"/>
    </xf>
    <xf numFmtId="0" fontId="8" fillId="0" borderId="7" xfId="0" applyFont="1" applyBorder="1" applyAlignment="1">
      <alignment horizontal="left" vertical="top" wrapText="1"/>
    </xf>
    <xf numFmtId="0" fontId="8" fillId="0" borderId="5" xfId="0" applyFont="1" applyBorder="1" applyAlignment="1">
      <alignment horizontal="left" vertical="top" wrapText="1"/>
    </xf>
    <xf numFmtId="164" fontId="2" fillId="0" borderId="0" xfId="1" applyNumberFormat="1" applyFont="1" applyFill="1" applyBorder="1" applyAlignment="1">
      <alignment horizontal="left"/>
    </xf>
    <xf numFmtId="16" fontId="16" fillId="0" borderId="0" xfId="0" applyNumberFormat="1" applyFont="1" applyAlignment="1">
      <alignment horizontal="center" vertical="center" wrapText="1"/>
    </xf>
    <xf numFmtId="0" fontId="16" fillId="0" borderId="0" xfId="0" applyFont="1" applyAlignment="1">
      <alignment horizontal="center" vertical="center" wrapText="1"/>
    </xf>
    <xf numFmtId="0" fontId="2" fillId="0" borderId="8" xfId="0" applyFont="1" applyBorder="1"/>
    <xf numFmtId="170" fontId="2" fillId="2" borderId="1" xfId="1" applyNumberFormat="1" applyFont="1" applyFill="1" applyBorder="1" applyAlignment="1">
      <alignment horizontal="left"/>
    </xf>
    <xf numFmtId="41" fontId="2" fillId="2" borderId="1" xfId="1" applyNumberFormat="1" applyFont="1" applyFill="1" applyBorder="1" applyAlignment="1">
      <alignment horizontal="right"/>
    </xf>
    <xf numFmtId="170" fontId="2" fillId="2" borderId="3" xfId="1" applyNumberFormat="1" applyFont="1" applyFill="1" applyBorder="1" applyAlignment="1">
      <alignment horizontal="left"/>
    </xf>
    <xf numFmtId="41" fontId="2" fillId="2" borderId="3" xfId="1" applyNumberFormat="1" applyFont="1" applyFill="1" applyBorder="1" applyAlignment="1">
      <alignment horizontal="right"/>
    </xf>
    <xf numFmtId="170" fontId="2" fillId="5" borderId="4" xfId="0" applyNumberFormat="1" applyFont="1" applyFill="1" applyBorder="1"/>
    <xf numFmtId="16" fontId="2" fillId="0" borderId="8" xfId="0" applyNumberFormat="1" applyFont="1" applyBorder="1"/>
    <xf numFmtId="16" fontId="10" fillId="2" borderId="0" xfId="0" applyNumberFormat="1" applyFont="1" applyFill="1" applyAlignment="1">
      <alignment horizontal="center"/>
    </xf>
    <xf numFmtId="167" fontId="2" fillId="2" borderId="0" xfId="1" applyNumberFormat="1" applyFont="1" applyFill="1" applyBorder="1" applyAlignment="1">
      <alignment horizontal="left"/>
    </xf>
    <xf numFmtId="4" fontId="2" fillId="2" borderId="0" xfId="0" applyNumberFormat="1" applyFont="1" applyFill="1"/>
    <xf numFmtId="4" fontId="2" fillId="2" borderId="8" xfId="0" applyNumberFormat="1" applyFont="1" applyFill="1" applyBorder="1"/>
    <xf numFmtId="4" fontId="10" fillId="2" borderId="0" xfId="0" applyNumberFormat="1" applyFont="1" applyFill="1" applyAlignment="1">
      <alignment horizontal="center"/>
    </xf>
    <xf numFmtId="3" fontId="10" fillId="2" borderId="0" xfId="0" applyNumberFormat="1" applyFont="1" applyFill="1" applyAlignment="1">
      <alignment horizontal="center"/>
    </xf>
    <xf numFmtId="41" fontId="10" fillId="2" borderId="0" xfId="0" applyNumberFormat="1" applyFont="1" applyFill="1" applyAlignment="1">
      <alignment horizontal="center"/>
    </xf>
    <xf numFmtId="0" fontId="10" fillId="2" borderId="42" xfId="0" applyFont="1" applyFill="1" applyBorder="1" applyAlignment="1">
      <alignment horizontal="center"/>
    </xf>
    <xf numFmtId="0" fontId="2" fillId="2" borderId="8" xfId="0" applyFont="1" applyFill="1" applyBorder="1"/>
    <xf numFmtId="164" fontId="2" fillId="10" borderId="1" xfId="1" applyNumberFormat="1" applyFont="1" applyFill="1" applyBorder="1" applyAlignment="1">
      <alignment horizontal="center"/>
    </xf>
    <xf numFmtId="164" fontId="2" fillId="10" borderId="1" xfId="1" applyNumberFormat="1" applyFont="1" applyFill="1" applyBorder="1" applyAlignment="1">
      <alignment horizontal="left"/>
    </xf>
    <xf numFmtId="164" fontId="10" fillId="10" borderId="1" xfId="1" applyNumberFormat="1" applyFont="1" applyFill="1" applyBorder="1" applyAlignment="1">
      <alignment horizontal="left"/>
    </xf>
    <xf numFmtId="3" fontId="2" fillId="2" borderId="8" xfId="0" applyNumberFormat="1" applyFont="1" applyFill="1" applyBorder="1"/>
    <xf numFmtId="164" fontId="31" fillId="10" borderId="1" xfId="1" applyNumberFormat="1" applyFont="1" applyFill="1" applyBorder="1" applyAlignment="1">
      <alignment horizontal="right"/>
    </xf>
    <xf numFmtId="164" fontId="2" fillId="2" borderId="0" xfId="0" applyNumberFormat="1" applyFont="1" applyFill="1"/>
    <xf numFmtId="164" fontId="2" fillId="10" borderId="1" xfId="1" applyNumberFormat="1" applyFont="1" applyFill="1" applyBorder="1" applyAlignment="1"/>
    <xf numFmtId="164" fontId="2" fillId="10" borderId="3" xfId="1" applyNumberFormat="1" applyFont="1" applyFill="1" applyBorder="1" applyAlignment="1">
      <alignment horizontal="left"/>
    </xf>
    <xf numFmtId="164" fontId="10" fillId="10" borderId="3" xfId="1" applyNumberFormat="1" applyFont="1" applyFill="1" applyBorder="1" applyAlignment="1">
      <alignment horizontal="left"/>
    </xf>
    <xf numFmtId="0" fontId="10" fillId="5" borderId="25" xfId="0" applyFont="1" applyFill="1" applyBorder="1"/>
    <xf numFmtId="0" fontId="10" fillId="2" borderId="0" xfId="0" applyFont="1" applyFill="1" applyAlignment="1">
      <alignment vertical="center" wrapText="1"/>
    </xf>
    <xf numFmtId="0" fontId="10" fillId="2" borderId="43" xfId="0" applyFont="1" applyFill="1" applyBorder="1" applyAlignment="1">
      <alignment horizontal="center"/>
    </xf>
    <xf numFmtId="16" fontId="10" fillId="2" borderId="0" xfId="0" applyNumberFormat="1" applyFont="1" applyFill="1"/>
    <xf numFmtId="0" fontId="10" fillId="2" borderId="0" xfId="0" applyFont="1" applyFill="1"/>
    <xf numFmtId="0" fontId="10" fillId="2" borderId="8" xfId="0" applyFont="1" applyFill="1" applyBorder="1"/>
    <xf numFmtId="16" fontId="2" fillId="2" borderId="0" xfId="0" applyNumberFormat="1" applyFont="1" applyFill="1" applyAlignment="1">
      <alignment wrapText="1"/>
    </xf>
    <xf numFmtId="16" fontId="10" fillId="2" borderId="0" xfId="0" applyNumberFormat="1" applyFont="1" applyFill="1" applyAlignment="1">
      <alignment horizontal="center" wrapText="1"/>
    </xf>
    <xf numFmtId="0" fontId="10" fillId="2" borderId="0" xfId="0" applyFont="1" applyFill="1" applyAlignment="1">
      <alignment horizontal="center" vertical="center"/>
    </xf>
    <xf numFmtId="3" fontId="2" fillId="2" borderId="0" xfId="0" applyNumberFormat="1" applyFont="1" applyFill="1" applyAlignment="1">
      <alignment horizontal="left"/>
    </xf>
    <xf numFmtId="0" fontId="10" fillId="2" borderId="0" xfId="0" applyFont="1" applyFill="1" applyAlignment="1">
      <alignment horizontal="left" vertical="center"/>
    </xf>
    <xf numFmtId="0" fontId="10" fillId="2" borderId="0" xfId="0" applyFont="1" applyFill="1" applyAlignment="1">
      <alignment horizontal="center" vertical="center" wrapText="1"/>
    </xf>
    <xf numFmtId="0" fontId="3" fillId="2" borderId="0" xfId="0" applyFont="1" applyFill="1" applyAlignment="1">
      <alignment horizontal="center"/>
    </xf>
    <xf numFmtId="0" fontId="4" fillId="2" borderId="0" xfId="0" applyFont="1" applyFill="1"/>
    <xf numFmtId="0" fontId="26" fillId="0" borderId="0" xfId="0" applyFont="1"/>
    <xf numFmtId="0" fontId="8" fillId="0" borderId="0" xfId="0" applyFont="1"/>
    <xf numFmtId="0" fontId="33" fillId="11" borderId="12" xfId="0" applyFont="1" applyFill="1" applyBorder="1"/>
    <xf numFmtId="0" fontId="33" fillId="11" borderId="13" xfId="0" applyFont="1" applyFill="1" applyBorder="1"/>
    <xf numFmtId="0" fontId="33" fillId="11" borderId="37" xfId="0" applyFont="1" applyFill="1" applyBorder="1"/>
    <xf numFmtId="0" fontId="33" fillId="12" borderId="12" xfId="0" applyFont="1" applyFill="1" applyBorder="1"/>
    <xf numFmtId="0" fontId="33" fillId="12" borderId="13" xfId="0" applyFont="1" applyFill="1" applyBorder="1"/>
    <xf numFmtId="0" fontId="33" fillId="12" borderId="37" xfId="0" applyFont="1" applyFill="1" applyBorder="1"/>
    <xf numFmtId="14" fontId="8" fillId="0" borderId="0" xfId="0" applyNumberFormat="1" applyFont="1"/>
    <xf numFmtId="0" fontId="33" fillId="11" borderId="1" xfId="0" applyFont="1" applyFill="1" applyBorder="1" applyAlignment="1">
      <alignment horizontal="center"/>
    </xf>
    <xf numFmtId="0" fontId="33" fillId="12" borderId="1" xfId="0" applyFont="1" applyFill="1" applyBorder="1" applyAlignment="1">
      <alignment horizontal="center"/>
    </xf>
    <xf numFmtId="0" fontId="33" fillId="0" borderId="1" xfId="0" applyFont="1" applyBorder="1"/>
    <xf numFmtId="171" fontId="34" fillId="2" borderId="1" xfId="1" applyNumberFormat="1" applyFont="1" applyFill="1" applyBorder="1" applyAlignment="1">
      <alignment horizontal="left"/>
    </xf>
    <xf numFmtId="170" fontId="34" fillId="2" borderId="1" xfId="1" applyNumberFormat="1" applyFont="1" applyFill="1" applyBorder="1" applyAlignment="1">
      <alignment horizontal="left"/>
    </xf>
    <xf numFmtId="170" fontId="34" fillId="2" borderId="1" xfId="1" applyNumberFormat="1" applyFont="1" applyFill="1" applyBorder="1" applyAlignment="1">
      <alignment horizontal="right"/>
    </xf>
    <xf numFmtId="0" fontId="33" fillId="0" borderId="45" xfId="0" applyFont="1" applyBorder="1"/>
    <xf numFmtId="171" fontId="34" fillId="2" borderId="45" xfId="1" applyNumberFormat="1" applyFont="1" applyFill="1" applyBorder="1" applyAlignment="1">
      <alignment horizontal="left"/>
    </xf>
    <xf numFmtId="170" fontId="34" fillId="2" borderId="45" xfId="1" applyNumberFormat="1" applyFont="1" applyFill="1" applyBorder="1" applyAlignment="1">
      <alignment horizontal="left"/>
    </xf>
    <xf numFmtId="170" fontId="34" fillId="2" borderId="45" xfId="1" applyNumberFormat="1" applyFont="1" applyFill="1" applyBorder="1" applyAlignment="1">
      <alignment horizontal="right"/>
    </xf>
    <xf numFmtId="0" fontId="32" fillId="5" borderId="3" xfId="0" applyFont="1" applyFill="1" applyBorder="1"/>
    <xf numFmtId="171" fontId="34" fillId="2" borderId="3" xfId="1" applyNumberFormat="1" applyFont="1" applyFill="1" applyBorder="1" applyAlignment="1">
      <alignment horizontal="left"/>
    </xf>
    <xf numFmtId="170" fontId="34" fillId="2" borderId="3" xfId="1" applyNumberFormat="1" applyFont="1" applyFill="1" applyBorder="1" applyAlignment="1">
      <alignment horizontal="left"/>
    </xf>
    <xf numFmtId="170" fontId="34" fillId="2" borderId="3" xfId="1" applyNumberFormat="1" applyFont="1" applyFill="1" applyBorder="1" applyAlignment="1">
      <alignment horizontal="right"/>
    </xf>
    <xf numFmtId="0" fontId="30" fillId="0" borderId="0" xfId="0" applyFont="1"/>
    <xf numFmtId="3" fontId="8" fillId="0" borderId="0" xfId="0" applyNumberFormat="1" applyFont="1"/>
    <xf numFmtId="0" fontId="32" fillId="5" borderId="0" xfId="0" applyFont="1" applyFill="1"/>
    <xf numFmtId="0" fontId="33" fillId="5" borderId="0" xfId="0" applyFont="1" applyFill="1"/>
    <xf numFmtId="0" fontId="33" fillId="5" borderId="37" xfId="0" applyFont="1" applyFill="1" applyBorder="1"/>
    <xf numFmtId="164" fontId="34" fillId="2" borderId="1" xfId="1" applyNumberFormat="1" applyFont="1" applyFill="1" applyBorder="1" applyAlignment="1">
      <alignment horizontal="left"/>
    </xf>
    <xf numFmtId="164" fontId="34" fillId="2" borderId="45" xfId="1" applyNumberFormat="1" applyFont="1" applyFill="1" applyBorder="1" applyAlignment="1">
      <alignment horizontal="left"/>
    </xf>
    <xf numFmtId="164" fontId="34" fillId="2" borderId="3" xfId="1" applyNumberFormat="1" applyFont="1" applyFill="1" applyBorder="1" applyAlignment="1">
      <alignment horizontal="left"/>
    </xf>
    <xf numFmtId="164" fontId="34" fillId="2" borderId="1" xfId="1" applyNumberFormat="1" applyFont="1" applyFill="1" applyBorder="1" applyAlignment="1">
      <alignment horizontal="right"/>
    </xf>
    <xf numFmtId="164" fontId="34" fillId="2" borderId="45" xfId="1" applyNumberFormat="1" applyFont="1" applyFill="1" applyBorder="1" applyAlignment="1">
      <alignment horizontal="right"/>
    </xf>
    <xf numFmtId="49" fontId="28" fillId="0" borderId="1" xfId="0" applyNumberFormat="1" applyFont="1" applyBorder="1" applyAlignment="1">
      <alignment vertical="top" wrapText="1"/>
    </xf>
    <xf numFmtId="49" fontId="28" fillId="0" borderId="1" xfId="0" applyNumberFormat="1" applyFont="1" applyBorder="1" applyAlignment="1">
      <alignment horizontal="left" vertical="top" wrapText="1"/>
    </xf>
    <xf numFmtId="0" fontId="8" fillId="0" borderId="1" xfId="0" applyFont="1" applyBorder="1"/>
    <xf numFmtId="0" fontId="8" fillId="0" borderId="1" xfId="0" applyFont="1" applyBorder="1" applyAlignment="1">
      <alignment vertical="center" wrapText="1"/>
    </xf>
    <xf numFmtId="49" fontId="28" fillId="0" borderId="45" xfId="0" applyNumberFormat="1" applyFont="1" applyBorder="1" applyAlignment="1">
      <alignment vertical="top" wrapText="1"/>
    </xf>
    <xf numFmtId="0" fontId="26" fillId="0" borderId="0" xfId="0" applyFont="1" applyAlignment="1">
      <alignment vertical="center"/>
    </xf>
    <xf numFmtId="0" fontId="35" fillId="0" borderId="0" xfId="0" applyFont="1" applyAlignment="1">
      <alignment horizontal="left" vertical="center" indent="5"/>
    </xf>
    <xf numFmtId="0" fontId="36" fillId="0" borderId="0" xfId="0" applyFont="1" applyAlignment="1">
      <alignment horizontal="left" vertical="center" indent="10"/>
    </xf>
    <xf numFmtId="0" fontId="28" fillId="0" borderId="0" xfId="4" applyFont="1" applyAlignment="1">
      <alignment horizontal="left" vertical="center"/>
    </xf>
    <xf numFmtId="0" fontId="28" fillId="0" borderId="1" xfId="0" applyFont="1" applyBorder="1"/>
    <xf numFmtId="0" fontId="12" fillId="6" borderId="0" xfId="3" applyFont="1" applyFill="1" applyBorder="1" applyAlignment="1">
      <alignment vertical="center" wrapText="1"/>
    </xf>
    <xf numFmtId="0" fontId="12" fillId="2" borderId="0" xfId="0" applyFont="1" applyFill="1" applyAlignment="1"/>
    <xf numFmtId="0" fontId="28" fillId="2" borderId="0" xfId="0" applyFont="1" applyFill="1"/>
    <xf numFmtId="0" fontId="28" fillId="0" borderId="0" xfId="4" applyFont="1" applyBorder="1" applyAlignment="1">
      <alignment horizontal="left"/>
    </xf>
    <xf numFmtId="0" fontId="28" fillId="0" borderId="5" xfId="0" applyFont="1" applyBorder="1" applyAlignment="1">
      <alignment vertical="center"/>
    </xf>
    <xf numFmtId="0" fontId="28" fillId="0" borderId="1" xfId="0" applyFont="1" applyBorder="1" applyAlignment="1">
      <alignment vertical="center"/>
    </xf>
    <xf numFmtId="3" fontId="28" fillId="0" borderId="1" xfId="1" applyNumberFormat="1" applyFont="1" applyBorder="1" applyAlignment="1">
      <alignment vertical="center"/>
    </xf>
    <xf numFmtId="3" fontId="28" fillId="0" borderId="1" xfId="0" applyNumberFormat="1" applyFont="1" applyBorder="1" applyAlignment="1">
      <alignment horizontal="right" vertical="center"/>
    </xf>
    <xf numFmtId="0" fontId="28" fillId="0" borderId="1" xfId="0" applyFont="1" applyBorder="1" applyAlignment="1">
      <alignment horizontal="right" vertical="center"/>
    </xf>
    <xf numFmtId="14" fontId="28" fillId="0" borderId="12" xfId="0" applyNumberFormat="1" applyFont="1" applyBorder="1" applyAlignment="1">
      <alignment vertical="center"/>
    </xf>
    <xf numFmtId="0" fontId="28" fillId="0" borderId="1" xfId="0" applyFont="1" applyBorder="1" applyAlignment="1">
      <alignment horizontal="left" vertical="center"/>
    </xf>
    <xf numFmtId="14" fontId="28" fillId="0" borderId="12" xfId="0" applyNumberFormat="1" applyFont="1" applyBorder="1" applyAlignment="1">
      <alignment horizontal="right" vertical="center"/>
    </xf>
    <xf numFmtId="0" fontId="28" fillId="0" borderId="0" xfId="0" applyFont="1" applyBorder="1"/>
    <xf numFmtId="0" fontId="28" fillId="0" borderId="0" xfId="0" applyFont="1"/>
    <xf numFmtId="0" fontId="25" fillId="3" borderId="9" xfId="4" applyFont="1" applyFill="1" applyBorder="1" applyAlignment="1">
      <alignment vertical="top" wrapText="1"/>
    </xf>
    <xf numFmtId="3" fontId="25" fillId="3" borderId="0" xfId="1" applyNumberFormat="1" applyFont="1" applyFill="1" applyBorder="1" applyAlignment="1">
      <alignment vertical="top" wrapText="1"/>
    </xf>
    <xf numFmtId="0" fontId="25" fillId="3" borderId="7" xfId="4" applyFont="1" applyFill="1" applyBorder="1" applyAlignment="1">
      <alignment horizontal="left" vertical="top" wrapText="1"/>
    </xf>
    <xf numFmtId="0" fontId="25" fillId="3" borderId="0" xfId="4" applyFont="1" applyFill="1" applyBorder="1" applyAlignment="1">
      <alignment horizontal="left" vertical="top" wrapText="1"/>
    </xf>
    <xf numFmtId="0" fontId="25" fillId="3" borderId="0" xfId="4" applyFont="1" applyFill="1" applyBorder="1" applyAlignment="1">
      <alignment vertical="top" wrapText="1"/>
    </xf>
    <xf numFmtId="3" fontId="25" fillId="3" borderId="0" xfId="1" applyNumberFormat="1" applyFont="1" applyFill="1" applyBorder="1" applyAlignment="1">
      <alignment horizontal="left" vertical="top" wrapText="1"/>
    </xf>
    <xf numFmtId="0" fontId="28" fillId="0" borderId="1" xfId="0" applyFont="1" applyFill="1" applyBorder="1" applyAlignment="1">
      <alignment vertical="center"/>
    </xf>
    <xf numFmtId="0" fontId="28" fillId="0" borderId="1" xfId="0" applyNumberFormat="1" applyFont="1" applyFill="1" applyBorder="1" applyAlignment="1">
      <alignment vertical="center"/>
    </xf>
    <xf numFmtId="0" fontId="28" fillId="0" borderId="1" xfId="0" applyNumberFormat="1" applyFont="1" applyFill="1" applyBorder="1" applyAlignment="1">
      <alignment horizontal="right" vertical="center"/>
    </xf>
    <xf numFmtId="0" fontId="28" fillId="0" borderId="1" xfId="0" applyNumberFormat="1" applyFont="1" applyFill="1" applyBorder="1" applyAlignment="1">
      <alignment horizontal="left" vertical="center"/>
    </xf>
    <xf numFmtId="14" fontId="28" fillId="0" borderId="1" xfId="0" applyNumberFormat="1" applyFont="1" applyFill="1" applyBorder="1" applyAlignment="1">
      <alignment horizontal="right" vertical="center"/>
    </xf>
    <xf numFmtId="0" fontId="28" fillId="0" borderId="6" xfId="0" applyFont="1" applyFill="1" applyBorder="1" applyAlignment="1">
      <alignment vertical="center"/>
    </xf>
    <xf numFmtId="0" fontId="28" fillId="0" borderId="6" xfId="0" applyNumberFormat="1" applyFont="1" applyFill="1" applyBorder="1" applyAlignment="1">
      <alignment vertical="center"/>
    </xf>
    <xf numFmtId="0" fontId="28" fillId="0" borderId="6" xfId="0" applyNumberFormat="1" applyFont="1" applyFill="1" applyBorder="1" applyAlignment="1">
      <alignment horizontal="right" vertical="center"/>
    </xf>
    <xf numFmtId="0" fontId="28" fillId="0" borderId="6" xfId="0" applyNumberFormat="1" applyFont="1" applyFill="1" applyBorder="1" applyAlignment="1">
      <alignment horizontal="left" vertical="center"/>
    </xf>
    <xf numFmtId="14" fontId="28" fillId="0" borderId="6" xfId="0" applyNumberFormat="1" applyFont="1" applyFill="1" applyBorder="1" applyAlignment="1">
      <alignment horizontal="right" vertical="center"/>
    </xf>
    <xf numFmtId="166" fontId="28" fillId="0" borderId="1" xfId="0" applyNumberFormat="1" applyFont="1" applyBorder="1"/>
    <xf numFmtId="166" fontId="28" fillId="0" borderId="1" xfId="0" applyNumberFormat="1" applyFont="1" applyFill="1" applyBorder="1" applyAlignment="1">
      <alignment vertical="center"/>
    </xf>
    <xf numFmtId="166" fontId="28" fillId="0" borderId="6" xfId="0" applyNumberFormat="1" applyFont="1" applyFill="1" applyBorder="1" applyAlignment="1">
      <alignment vertical="center"/>
    </xf>
    <xf numFmtId="0" fontId="28" fillId="0" borderId="0" xfId="0" applyFont="1" applyAlignment="1">
      <alignment vertical="center"/>
    </xf>
    <xf numFmtId="0" fontId="20" fillId="2" borderId="0" xfId="0" applyFont="1" applyFill="1" applyBorder="1" applyAlignment="1">
      <alignment horizontal="left" vertical="center" wrapText="1"/>
    </xf>
    <xf numFmtId="0" fontId="22" fillId="5" borderId="0" xfId="2" applyFont="1" applyFill="1" applyAlignment="1">
      <alignment horizontal="left" vertical="top"/>
    </xf>
    <xf numFmtId="0" fontId="22" fillId="0" borderId="0" xfId="2" applyFont="1" applyAlignment="1">
      <alignment horizontal="left" vertical="top"/>
    </xf>
    <xf numFmtId="0" fontId="17" fillId="6" borderId="0" xfId="3" applyFont="1" applyFill="1" applyAlignment="1">
      <alignment horizontal="left" vertical="center" wrapText="1"/>
    </xf>
    <xf numFmtId="0" fontId="20" fillId="2" borderId="0" xfId="0" applyFont="1" applyFill="1" applyBorder="1" applyAlignment="1">
      <alignment horizontal="left" wrapText="1"/>
    </xf>
    <xf numFmtId="0" fontId="21" fillId="2" borderId="0" xfId="0" applyFont="1" applyFill="1" applyBorder="1" applyAlignment="1">
      <alignment horizontal="left" vertical="center" wrapText="1"/>
    </xf>
    <xf numFmtId="0" fontId="10" fillId="2" borderId="0" xfId="0" applyFont="1" applyFill="1" applyAlignment="1">
      <alignment horizontal="left" vertical="center"/>
    </xf>
    <xf numFmtId="0" fontId="10" fillId="2" borderId="8" xfId="0" applyFont="1" applyFill="1" applyBorder="1" applyAlignment="1">
      <alignment horizontal="left" vertical="center"/>
    </xf>
    <xf numFmtId="164" fontId="2" fillId="2" borderId="1" xfId="1" applyNumberFormat="1" applyFont="1" applyFill="1" applyBorder="1" applyAlignment="1">
      <alignment horizontal="left"/>
    </xf>
    <xf numFmtId="0" fontId="3" fillId="4" borderId="23" xfId="0" applyFont="1" applyFill="1" applyBorder="1" applyAlignment="1">
      <alignment horizontal="center" vertical="center"/>
    </xf>
    <xf numFmtId="0" fontId="3" fillId="4" borderId="24" xfId="0" applyFont="1" applyFill="1" applyBorder="1" applyAlignment="1">
      <alignment horizontal="center" vertical="center"/>
    </xf>
    <xf numFmtId="0" fontId="3" fillId="4" borderId="27" xfId="0" applyFont="1" applyFill="1" applyBorder="1" applyAlignment="1">
      <alignment horizontal="center" vertical="center"/>
    </xf>
    <xf numFmtId="0" fontId="10" fillId="2" borderId="7" xfId="0" applyFont="1" applyFill="1" applyBorder="1" applyAlignment="1">
      <alignment horizontal="left" vertical="center" wrapText="1"/>
    </xf>
    <xf numFmtId="0" fontId="10" fillId="2" borderId="0" xfId="0" applyFont="1" applyFill="1" applyAlignment="1">
      <alignment horizontal="left" vertical="center" wrapText="1"/>
    </xf>
    <xf numFmtId="0" fontId="2" fillId="2" borderId="1" xfId="0" applyFont="1" applyFill="1" applyBorder="1"/>
    <xf numFmtId="0" fontId="16" fillId="3" borderId="1" xfId="0" applyFont="1" applyFill="1" applyBorder="1" applyAlignment="1">
      <alignment horizontal="center" vertical="center" wrapText="1"/>
    </xf>
    <xf numFmtId="0" fontId="2" fillId="5" borderId="4" xfId="0" applyFont="1" applyFill="1" applyBorder="1" applyAlignment="1">
      <alignment horizontal="left"/>
    </xf>
    <xf numFmtId="164" fontId="2" fillId="2" borderId="3" xfId="1" applyNumberFormat="1" applyFont="1" applyFill="1" applyBorder="1" applyAlignment="1">
      <alignment horizontal="left"/>
    </xf>
    <xf numFmtId="164" fontId="2" fillId="2" borderId="34" xfId="1" applyNumberFormat="1" applyFont="1" applyFill="1" applyBorder="1" applyAlignment="1">
      <alignment horizontal="right"/>
    </xf>
    <xf numFmtId="164" fontId="2" fillId="2" borderId="35" xfId="1" applyNumberFormat="1" applyFont="1" applyFill="1" applyBorder="1" applyAlignment="1">
      <alignment horizontal="right"/>
    </xf>
    <xf numFmtId="164" fontId="2" fillId="2" borderId="36" xfId="1" applyNumberFormat="1" applyFont="1" applyFill="1" applyBorder="1" applyAlignment="1">
      <alignment horizontal="right"/>
    </xf>
    <xf numFmtId="0" fontId="10" fillId="4" borderId="28" xfId="0" applyFont="1" applyFill="1" applyBorder="1" applyAlignment="1">
      <alignment horizontal="center" vertical="center"/>
    </xf>
    <xf numFmtId="0" fontId="10" fillId="4" borderId="13" xfId="0" applyFont="1" applyFill="1" applyBorder="1" applyAlignment="1">
      <alignment horizontal="center" vertical="center"/>
    </xf>
    <xf numFmtId="0" fontId="10" fillId="4" borderId="29" xfId="0" applyFont="1" applyFill="1" applyBorder="1" applyAlignment="1">
      <alignment horizontal="center" vertical="center"/>
    </xf>
    <xf numFmtId="0" fontId="16" fillId="3" borderId="16" xfId="0" applyFont="1" applyFill="1" applyBorder="1" applyAlignment="1">
      <alignment horizontal="center" vertical="center" wrapText="1"/>
    </xf>
    <xf numFmtId="0" fontId="16" fillId="3" borderId="17" xfId="0" applyFont="1" applyFill="1" applyBorder="1" applyAlignment="1">
      <alignment horizontal="center" vertical="center" wrapText="1"/>
    </xf>
    <xf numFmtId="164" fontId="2" fillId="5" borderId="14" xfId="1" applyNumberFormat="1" applyFont="1" applyFill="1" applyBorder="1" applyAlignment="1">
      <alignment horizontal="center"/>
    </xf>
    <xf numFmtId="164" fontId="2" fillId="5" borderId="26" xfId="1" applyNumberFormat="1" applyFont="1" applyFill="1" applyBorder="1" applyAlignment="1">
      <alignment horizontal="center"/>
    </xf>
    <xf numFmtId="164" fontId="2" fillId="5" borderId="15" xfId="1" applyNumberFormat="1" applyFont="1" applyFill="1" applyBorder="1" applyAlignment="1">
      <alignment horizontal="center"/>
    </xf>
    <xf numFmtId="164" fontId="2" fillId="4" borderId="14" xfId="1" applyNumberFormat="1" applyFont="1" applyFill="1" applyBorder="1" applyAlignment="1">
      <alignment horizontal="center"/>
    </xf>
    <xf numFmtId="164" fontId="2" fillId="4" borderId="26" xfId="1" applyNumberFormat="1" applyFont="1" applyFill="1" applyBorder="1" applyAlignment="1">
      <alignment horizontal="center"/>
    </xf>
    <xf numFmtId="164" fontId="2" fillId="4" borderId="15" xfId="1" applyNumberFormat="1" applyFont="1" applyFill="1" applyBorder="1" applyAlignment="1">
      <alignment horizontal="center"/>
    </xf>
    <xf numFmtId="0" fontId="10" fillId="2" borderId="7" xfId="0" applyFont="1" applyFill="1" applyBorder="1" applyAlignment="1">
      <alignment vertical="center" wrapText="1"/>
    </xf>
    <xf numFmtId="0" fontId="10" fillId="2" borderId="0" xfId="0" applyFont="1" applyFill="1" applyAlignment="1">
      <alignment vertical="center" wrapText="1"/>
    </xf>
    <xf numFmtId="0" fontId="16" fillId="3" borderId="22" xfId="0" applyFont="1" applyFill="1" applyBorder="1" applyAlignment="1">
      <alignment horizontal="center" vertical="center" wrapText="1"/>
    </xf>
    <xf numFmtId="0" fontId="2" fillId="5" borderId="14" xfId="0" applyFont="1" applyFill="1" applyBorder="1" applyAlignment="1">
      <alignment horizontal="center"/>
    </xf>
    <xf numFmtId="0" fontId="2" fillId="5" borderId="15" xfId="0" applyFont="1" applyFill="1" applyBorder="1" applyAlignment="1">
      <alignment horizontal="center"/>
    </xf>
    <xf numFmtId="0" fontId="10" fillId="0" borderId="0" xfId="0" applyFont="1" applyAlignment="1">
      <alignment horizontal="left" vertical="center"/>
    </xf>
    <xf numFmtId="0" fontId="10" fillId="2" borderId="7" xfId="0" applyFont="1" applyFill="1" applyBorder="1" applyAlignment="1">
      <alignment horizontal="left" vertical="center"/>
    </xf>
    <xf numFmtId="164" fontId="2" fillId="2" borderId="34" xfId="1" applyNumberFormat="1" applyFont="1" applyFill="1" applyBorder="1" applyAlignment="1">
      <alignment horizontal="center"/>
    </xf>
    <xf numFmtId="164" fontId="2" fillId="2" borderId="35" xfId="1" applyNumberFormat="1" applyFont="1" applyFill="1" applyBorder="1" applyAlignment="1">
      <alignment horizontal="center"/>
    </xf>
    <xf numFmtId="164" fontId="2" fillId="2" borderId="36" xfId="1" applyNumberFormat="1" applyFont="1" applyFill="1" applyBorder="1" applyAlignment="1">
      <alignment horizontal="center"/>
    </xf>
    <xf numFmtId="164" fontId="2" fillId="2" borderId="12" xfId="1" applyNumberFormat="1" applyFont="1" applyFill="1" applyBorder="1" applyAlignment="1">
      <alignment horizontal="center"/>
    </xf>
    <xf numFmtId="164" fontId="2" fillId="2" borderId="13" xfId="1" applyNumberFormat="1" applyFont="1" applyFill="1" applyBorder="1" applyAlignment="1">
      <alignment horizontal="center"/>
    </xf>
    <xf numFmtId="164" fontId="2" fillId="2" borderId="37" xfId="1" applyNumberFormat="1" applyFont="1" applyFill="1" applyBorder="1" applyAlignment="1">
      <alignment horizontal="center"/>
    </xf>
    <xf numFmtId="0" fontId="10" fillId="0" borderId="7" xfId="0" applyFont="1" applyBorder="1" applyAlignment="1">
      <alignment horizontal="left" vertical="center"/>
    </xf>
    <xf numFmtId="0" fontId="2" fillId="4" borderId="28"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29"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37" xfId="0" applyFont="1" applyFill="1" applyBorder="1" applyAlignment="1">
      <alignment horizontal="center" vertical="center"/>
    </xf>
    <xf numFmtId="164" fontId="2" fillId="2" borderId="16" xfId="1" applyNumberFormat="1" applyFont="1" applyFill="1" applyBorder="1" applyAlignment="1">
      <alignment horizontal="left" wrapText="1"/>
    </xf>
    <xf numFmtId="164" fontId="2" fillId="2" borderId="17" xfId="1" applyNumberFormat="1" applyFont="1" applyFill="1" applyBorder="1" applyAlignment="1">
      <alignment horizontal="left" wrapText="1"/>
    </xf>
    <xf numFmtId="0" fontId="19" fillId="2" borderId="0" xfId="0" applyFont="1" applyFill="1" applyAlignment="1">
      <alignment horizontal="left" vertical="center"/>
    </xf>
    <xf numFmtId="164" fontId="2" fillId="2" borderId="12" xfId="1" applyNumberFormat="1" applyFont="1" applyFill="1" applyBorder="1" applyAlignment="1">
      <alignment horizontal="right"/>
    </xf>
    <xf numFmtId="164" fontId="2" fillId="2" borderId="13" xfId="1" applyNumberFormat="1" applyFont="1" applyFill="1" applyBorder="1" applyAlignment="1">
      <alignment horizontal="right"/>
    </xf>
    <xf numFmtId="164" fontId="2" fillId="2" borderId="37" xfId="1" applyNumberFormat="1" applyFont="1" applyFill="1" applyBorder="1" applyAlignment="1">
      <alignment horizontal="right"/>
    </xf>
    <xf numFmtId="41" fontId="2" fillId="5" borderId="14" xfId="0" applyNumberFormat="1" applyFont="1" applyFill="1" applyBorder="1" applyAlignment="1">
      <alignment horizontal="right"/>
    </xf>
    <xf numFmtId="41" fontId="2" fillId="5" borderId="26" xfId="0" applyNumberFormat="1" applyFont="1" applyFill="1" applyBorder="1" applyAlignment="1">
      <alignment horizontal="right"/>
    </xf>
    <xf numFmtId="41" fontId="2" fillId="5" borderId="15" xfId="0" applyNumberFormat="1" applyFont="1" applyFill="1" applyBorder="1" applyAlignment="1">
      <alignment horizontal="right"/>
    </xf>
    <xf numFmtId="0" fontId="16" fillId="3" borderId="12" xfId="0" applyFont="1" applyFill="1" applyBorder="1" applyAlignment="1">
      <alignment horizontal="center" vertical="center" wrapText="1"/>
    </xf>
    <xf numFmtId="0" fontId="16" fillId="3" borderId="37" xfId="0" applyFont="1" applyFill="1" applyBorder="1" applyAlignment="1">
      <alignment horizontal="center" vertical="center" wrapText="1"/>
    </xf>
    <xf numFmtId="0" fontId="2" fillId="2" borderId="44" xfId="0" applyFont="1" applyFill="1" applyBorder="1"/>
    <xf numFmtId="0" fontId="32" fillId="4" borderId="1" xfId="0" applyFont="1" applyFill="1" applyBorder="1" applyAlignment="1">
      <alignment horizontal="center" vertical="center"/>
    </xf>
    <xf numFmtId="0" fontId="33" fillId="11" borderId="12" xfId="0" applyFont="1" applyFill="1" applyBorder="1" applyAlignment="1">
      <alignment horizontal="center"/>
    </xf>
    <xf numFmtId="0" fontId="33" fillId="11" borderId="37" xfId="0" applyFont="1" applyFill="1" applyBorder="1" applyAlignment="1">
      <alignment horizontal="center"/>
    </xf>
    <xf numFmtId="0" fontId="33" fillId="12" borderId="12" xfId="0" applyFont="1" applyFill="1" applyBorder="1" applyAlignment="1">
      <alignment horizontal="center"/>
    </xf>
    <xf numFmtId="0" fontId="33" fillId="12" borderId="37" xfId="0" applyFont="1" applyFill="1" applyBorder="1" applyAlignment="1">
      <alignment horizontal="center"/>
    </xf>
    <xf numFmtId="0" fontId="32" fillId="5" borderId="1" xfId="0" applyFont="1" applyFill="1" applyBorder="1" applyAlignment="1">
      <alignment horizontal="center" vertical="center"/>
    </xf>
    <xf numFmtId="0" fontId="12" fillId="5" borderId="0" xfId="2" applyFont="1" applyFill="1" applyAlignment="1">
      <alignment horizontal="left" vertical="top"/>
    </xf>
    <xf numFmtId="3" fontId="25" fillId="3" borderId="0" xfId="1" applyNumberFormat="1" applyFont="1" applyFill="1" applyBorder="1" applyAlignment="1">
      <alignment horizontal="left" vertical="top" wrapText="1"/>
    </xf>
    <xf numFmtId="0" fontId="12" fillId="2" borderId="1" xfId="0" applyFont="1" applyFill="1" applyBorder="1" applyAlignment="1">
      <alignment horizontal="center" vertical="center"/>
    </xf>
    <xf numFmtId="0" fontId="25" fillId="3" borderId="0" xfId="4" applyFont="1" applyFill="1" applyBorder="1" applyAlignment="1">
      <alignment horizontal="left" vertical="top" wrapText="1"/>
    </xf>
    <xf numFmtId="0" fontId="25" fillId="3" borderId="9" xfId="4" applyFont="1" applyFill="1" applyBorder="1" applyAlignment="1">
      <alignment horizontal="left" vertical="top" wrapText="1"/>
    </xf>
    <xf numFmtId="0" fontId="12" fillId="0" borderId="0" xfId="2" applyFont="1" applyAlignment="1">
      <alignment horizontal="left" vertical="top"/>
    </xf>
    <xf numFmtId="0" fontId="12" fillId="6" borderId="0" xfId="3" applyFont="1" applyFill="1" applyAlignment="1">
      <alignment horizontal="left" vertical="center" wrapText="1"/>
    </xf>
    <xf numFmtId="0" fontId="2" fillId="0" borderId="0" xfId="0" applyFont="1" applyAlignment="1">
      <alignment vertical="top" wrapText="1"/>
    </xf>
    <xf numFmtId="0" fontId="22" fillId="2" borderId="0" xfId="2" applyFont="1" applyFill="1" applyAlignment="1">
      <alignment horizontal="left" vertical="top"/>
    </xf>
    <xf numFmtId="0" fontId="8" fillId="2" borderId="37" xfId="0" applyFont="1" applyFill="1" applyBorder="1" applyAlignment="1">
      <alignment horizontal="center" vertical="top" wrapText="1"/>
    </xf>
    <xf numFmtId="0" fontId="8" fillId="2" borderId="46" xfId="0" applyFont="1" applyFill="1" applyBorder="1" applyAlignment="1">
      <alignment horizontal="center" vertical="top" wrapText="1"/>
    </xf>
    <xf numFmtId="0" fontId="8" fillId="0" borderId="5" xfId="0" applyFont="1" applyBorder="1" applyAlignment="1">
      <alignment horizontal="left" vertical="top" wrapText="1"/>
    </xf>
    <xf numFmtId="0" fontId="8" fillId="0" borderId="39" xfId="0" applyFont="1" applyBorder="1" applyAlignment="1">
      <alignment horizontal="left" vertical="top" wrapText="1"/>
    </xf>
    <xf numFmtId="0" fontId="8" fillId="0" borderId="2" xfId="0" applyFont="1" applyBorder="1" applyAlignment="1">
      <alignment horizontal="left" vertical="top" wrapText="1"/>
    </xf>
    <xf numFmtId="0" fontId="8" fillId="0" borderId="10" xfId="0" applyFont="1" applyBorder="1" applyAlignment="1">
      <alignment horizontal="left" vertical="top" wrapText="1"/>
    </xf>
    <xf numFmtId="0" fontId="8" fillId="0" borderId="40" xfId="0" applyFont="1" applyBorder="1" applyAlignment="1">
      <alignment horizontal="left" vertical="top" wrapText="1"/>
    </xf>
    <xf numFmtId="0" fontId="8" fillId="0" borderId="7" xfId="0" applyFont="1" applyBorder="1" applyAlignment="1">
      <alignment horizontal="left" vertical="top" wrapText="1"/>
    </xf>
    <xf numFmtId="0" fontId="8" fillId="0" borderId="41" xfId="0" applyFont="1" applyBorder="1" applyAlignment="1">
      <alignment horizontal="left" vertical="top" wrapText="1"/>
    </xf>
  </cellXfs>
  <cellStyles count="6">
    <cellStyle name="Comma" xfId="1" builtinId="3"/>
    <cellStyle name="Normal" xfId="0" builtinId="0"/>
    <cellStyle name="Normal 2" xfId="4" xr:uid="{00000000-0005-0000-0000-000002000000}"/>
    <cellStyle name="Normal 5" xfId="2" xr:uid="{00000000-0005-0000-0000-000003000000}"/>
    <cellStyle name="Normal_FLQuickRefGuide_4.27.09" xfId="3" xr:uid="{00000000-0005-0000-0000-000004000000}"/>
    <cellStyle name="Percent" xfId="5" builtinId="5"/>
  </cellStyles>
  <dxfs count="66">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19" formatCode="m/d/yyyy"/>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166" formatCode="0000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0" formatCode="General"/>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Times New Roman"/>
        <family val="1"/>
        <scheme val="none"/>
      </font>
      <numFmt numFmtId="0" formatCode="General"/>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Times New Roman"/>
        <family val="1"/>
        <scheme val="none"/>
      </font>
      <numFmt numFmtId="0" formatCode="General"/>
      <fill>
        <patternFill patternType="solid">
          <fgColor indexed="64"/>
          <bgColor theme="0" tint="-0.249977111117893"/>
        </patternFill>
      </fill>
      <alignment horizontal="left" vertical="bottom" textRotation="0" wrapText="1" indent="0" justifyLastLine="0" shrinkToFit="0" readingOrder="0"/>
      <border diagonalUp="0" diagonalDown="0" outline="0">
        <left style="hair">
          <color auto="1"/>
        </left>
        <right style="hair">
          <color auto="1"/>
        </right>
        <top/>
        <bottom/>
      </border>
    </dxf>
    <dxf>
      <font>
        <condense val="0"/>
        <extend val="0"/>
        <color indexed="9"/>
      </font>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Facility_List_Staging_8_26_2013.accdb_114" displayName="Table_Facility_List_Staging_8_26_2013.accdb_114" ref="A7:AE138" headerRowDxfId="64" dataDxfId="62" totalsRowDxfId="60" headerRowBorderDxfId="63" tableBorderDxfId="61">
  <tableColumns count="31">
    <tableColumn id="2" xr3:uid="{00000000-0010-0000-0000-000002000000}" name="Name" dataDxfId="59" totalsRowDxfId="58"/>
    <tableColumn id="3" xr3:uid="{00000000-0010-0000-0000-000003000000}" name="Address" dataDxfId="57" totalsRowDxfId="56"/>
    <tableColumn id="4" xr3:uid="{00000000-0010-0000-0000-000004000000}" name="City" dataDxfId="55" totalsRowDxfId="54"/>
    <tableColumn id="6" xr3:uid="{00000000-0010-0000-0000-000006000000}" name="State" dataDxfId="53"/>
    <tableColumn id="7" xr3:uid="{00000000-0010-0000-0000-000007000000}" name="Zip" dataDxfId="52" totalsRowDxfId="51"/>
    <tableColumn id="9" xr3:uid="{00000000-0010-0000-0000-000009000000}" name="AOR" dataDxfId="50" totalsRowDxfId="49"/>
    <tableColumn id="12" xr3:uid="{00000000-0010-0000-0000-00000C000000}" name="Type Detailed" dataDxfId="48" totalsRowDxfId="47"/>
    <tableColumn id="81" xr3:uid="{00000000-0010-0000-0000-000051000000}" name="Male/Female" dataDxfId="46" totalsRowDxfId="45"/>
    <tableColumn id="43" xr3:uid="{00000000-0010-0000-0000-00002B000000}" name="FY22 ALOS" dataDxfId="44" totalsRowDxfId="43" dataCellStyle="Comma"/>
    <tableColumn id="67" xr3:uid="{00000000-0010-0000-0000-000043000000}" name="Level A" dataDxfId="42" totalsRowDxfId="41"/>
    <tableColumn id="68" xr3:uid="{00000000-0010-0000-0000-000044000000}" name="Level B" dataDxfId="40" totalsRowDxfId="39"/>
    <tableColumn id="69" xr3:uid="{00000000-0010-0000-0000-000045000000}" name="Level C" dataDxfId="38" totalsRowDxfId="37"/>
    <tableColumn id="70" xr3:uid="{00000000-0010-0000-0000-000046000000}" name="Level D" dataDxfId="36" totalsRowDxfId="35"/>
    <tableColumn id="71" xr3:uid="{00000000-0010-0000-0000-000047000000}" name="Male Crim" dataDxfId="34" totalsRowDxfId="33"/>
    <tableColumn id="72" xr3:uid="{00000000-0010-0000-0000-000048000000}" name="Male Non-Crim" dataDxfId="32" totalsRowDxfId="31"/>
    <tableColumn id="73" xr3:uid="{00000000-0010-0000-0000-000049000000}" name="Female Crim" dataDxfId="30" totalsRowDxfId="29"/>
    <tableColumn id="74" xr3:uid="{00000000-0010-0000-0000-00004A000000}" name="Female Non-Crim" dataDxfId="28" totalsRowDxfId="27"/>
    <tableColumn id="75" xr3:uid="{00000000-0010-0000-0000-00004B000000}" name="ICE Threat Level 1" dataDxfId="26" totalsRowDxfId="25"/>
    <tableColumn id="76" xr3:uid="{00000000-0010-0000-0000-00004C000000}" name="ICE Threat Level 2" dataDxfId="24" totalsRowDxfId="23"/>
    <tableColumn id="77" xr3:uid="{00000000-0010-0000-0000-00004D000000}" name="ICE Threat Level 3" dataDxfId="22" totalsRowDxfId="21"/>
    <tableColumn id="78" xr3:uid="{00000000-0010-0000-0000-00004E000000}" name="No ICE Threat Level" dataDxfId="20" totalsRowDxfId="19"/>
    <tableColumn id="79" xr3:uid="{00000000-0010-0000-0000-00004F000000}" name="Mandatory" dataDxfId="18" totalsRowDxfId="17"/>
    <tableColumn id="86" xr3:uid="{00000000-0010-0000-0000-000056000000}" name="Guaranteed Minimum" dataDxfId="16" totalsRowDxfId="15"/>
    <tableColumn id="124" xr3:uid="{00000000-0010-0000-0000-00007C000000}" name="Last Inspection Type" dataDxfId="14" totalsRowDxfId="13"/>
    <tableColumn id="129" xr3:uid="{00000000-0010-0000-0000-000081000000}" name="Last Inspection Standard" dataDxfId="12" totalsRowDxfId="11"/>
    <tableColumn id="93" xr3:uid="{00000000-0010-0000-0000-00005D000000}" name="Last Inspection Rating - Final" dataDxfId="10"/>
    <tableColumn id="95" xr3:uid="{00000000-0010-0000-0000-00005F000000}" name="Last Inspection Date" dataDxfId="9" totalsRowDxfId="8"/>
    <tableColumn id="125" xr3:uid="{00000000-0010-0000-0000-00007D000000}" name="Second to Last Inspection Type" dataDxfId="7" totalsRowDxfId="6"/>
    <tableColumn id="131" xr3:uid="{00000000-0010-0000-0000-000083000000}" name="Second to Last Inspection Standard" dataDxfId="5" totalsRowDxfId="4"/>
    <tableColumn id="5" xr3:uid="{00000000-0010-0000-0000-000005000000}" name="Second to Last Inspection Rating" dataDxfId="3" totalsRowDxfId="2"/>
    <tableColumn id="97" xr3:uid="{00000000-0010-0000-0000-000061000000}" name="Second to Last Inspection Date" dataDxfId="1" totalsRow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heetViews>
  <sheetFormatPr defaultColWidth="0" defaultRowHeight="14.4" zeroHeight="1" x14ac:dyDescent="0.3"/>
  <cols>
    <col min="1" max="1" width="110.44140625" customWidth="1"/>
    <col min="2" max="16384" width="8.77734375" hidden="1"/>
  </cols>
  <sheetData>
    <row r="1" spans="1:1" ht="119.1" customHeight="1" x14ac:dyDescent="0.3">
      <c r="A1" s="41" t="s">
        <v>564</v>
      </c>
    </row>
    <row r="2" spans="1:1" ht="51.75" customHeight="1" x14ac:dyDescent="0.3">
      <c r="A2" s="40" t="s">
        <v>49</v>
      </c>
    </row>
    <row r="3" spans="1:1" ht="76.349999999999994" customHeight="1" x14ac:dyDescent="0.3">
      <c r="A3" s="40" t="s">
        <v>614</v>
      </c>
    </row>
    <row r="4" spans="1:1" ht="22.5" customHeight="1" x14ac:dyDescent="0.3">
      <c r="A4" s="40" t="s">
        <v>563</v>
      </c>
    </row>
    <row r="5" spans="1:1" ht="36.75" customHeight="1" x14ac:dyDescent="0.3">
      <c r="A5" s="40" t="s">
        <v>535</v>
      </c>
    </row>
    <row r="6" spans="1:1"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BD124"/>
  <sheetViews>
    <sheetView zoomScaleNormal="100" workbookViewId="0">
      <selection sqref="A1:D1"/>
    </sheetView>
  </sheetViews>
  <sheetFormatPr defaultRowHeight="15.6" zeroHeight="1" x14ac:dyDescent="0.3"/>
  <cols>
    <col min="1" max="3" width="19.5546875" customWidth="1"/>
    <col min="4" max="4" width="19.44140625" customWidth="1"/>
    <col min="5" max="9" width="19.5546875" customWidth="1"/>
    <col min="10" max="10" width="15" customWidth="1"/>
    <col min="13" max="13" width="8.77734375" style="19"/>
  </cols>
  <sheetData>
    <row r="1" spans="1:56" s="4" customFormat="1" ht="55.35" customHeight="1" x14ac:dyDescent="0.3">
      <c r="A1" s="264" t="s">
        <v>48</v>
      </c>
      <c r="B1" s="264"/>
      <c r="C1" s="264"/>
      <c r="D1" s="264"/>
      <c r="E1" s="19"/>
      <c r="F1" s="19"/>
      <c r="G1" s="19"/>
      <c r="H1" s="19"/>
      <c r="I1" s="21"/>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row>
    <row r="2" spans="1:56" s="4" customFormat="1" ht="55.35" customHeight="1" x14ac:dyDescent="0.3">
      <c r="A2" s="265" t="s">
        <v>49</v>
      </c>
      <c r="B2" s="265"/>
      <c r="C2" s="265"/>
      <c r="D2" s="265"/>
      <c r="E2" s="19"/>
      <c r="F2" s="19"/>
      <c r="G2" s="19"/>
      <c r="H2" s="19"/>
      <c r="I2" s="21"/>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row>
    <row r="3" spans="1:56" s="4" customFormat="1" ht="13.35" customHeight="1" x14ac:dyDescent="0.3">
      <c r="A3" s="19"/>
      <c r="B3" s="19"/>
      <c r="C3" s="19"/>
      <c r="D3" s="19"/>
      <c r="E3" s="19"/>
      <c r="F3" s="19"/>
      <c r="G3" s="23"/>
      <c r="H3" s="19"/>
      <c r="I3" s="21"/>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row>
    <row r="4" spans="1:56" ht="55.35" customHeight="1" x14ac:dyDescent="0.3">
      <c r="A4" s="263" t="s">
        <v>615</v>
      </c>
      <c r="B4" s="263"/>
      <c r="C4" s="263"/>
      <c r="D4" s="263"/>
      <c r="E4" s="58"/>
      <c r="F4" s="58"/>
      <c r="G4" s="58"/>
      <c r="H4" s="58"/>
      <c r="I4" s="59"/>
      <c r="J4" s="21"/>
      <c r="K4" s="19"/>
      <c r="L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row>
    <row r="5" spans="1:56" ht="50.1" customHeight="1" x14ac:dyDescent="0.3">
      <c r="A5" s="266" t="s">
        <v>616</v>
      </c>
      <c r="B5" s="266"/>
      <c r="C5" s="266"/>
      <c r="D5" s="34"/>
      <c r="E5" s="19"/>
      <c r="F5" s="19"/>
      <c r="G5" s="19"/>
      <c r="H5" s="19"/>
      <c r="I5" s="21"/>
      <c r="J5" s="21"/>
      <c r="K5" s="19"/>
      <c r="L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row>
    <row r="6" spans="1:56" x14ac:dyDescent="0.3">
      <c r="A6" s="39" t="s">
        <v>536</v>
      </c>
      <c r="B6" s="39" t="s">
        <v>537</v>
      </c>
      <c r="C6" s="39" t="s">
        <v>52</v>
      </c>
      <c r="D6" s="19"/>
      <c r="E6" s="19"/>
      <c r="F6" s="19"/>
      <c r="G6" s="19"/>
      <c r="H6" s="19"/>
      <c r="I6" s="21"/>
      <c r="J6" s="21"/>
      <c r="K6" s="19"/>
      <c r="L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row>
    <row r="7" spans="1:56" x14ac:dyDescent="0.3">
      <c r="A7" s="35" t="s">
        <v>538</v>
      </c>
      <c r="B7" s="37">
        <v>83798</v>
      </c>
      <c r="C7" s="122">
        <v>519.86735960285444</v>
      </c>
      <c r="D7" s="19"/>
      <c r="E7" s="19"/>
      <c r="F7" s="19"/>
      <c r="G7" s="19"/>
      <c r="H7" s="19"/>
      <c r="I7" s="21"/>
      <c r="J7" s="21"/>
      <c r="K7" s="19"/>
      <c r="L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row>
    <row r="8" spans="1:56" x14ac:dyDescent="0.3">
      <c r="A8" s="35" t="s">
        <v>566</v>
      </c>
      <c r="B8" s="37">
        <v>794</v>
      </c>
      <c r="C8" s="122">
        <v>950.4319899244332</v>
      </c>
      <c r="D8" s="19"/>
      <c r="E8" s="19"/>
      <c r="F8" s="19"/>
      <c r="G8" s="19"/>
      <c r="H8" s="19"/>
      <c r="I8" s="21"/>
      <c r="J8" s="21"/>
      <c r="K8" s="19"/>
      <c r="L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row>
    <row r="9" spans="1:56" x14ac:dyDescent="0.3">
      <c r="A9" s="35" t="s">
        <v>565</v>
      </c>
      <c r="B9" s="37">
        <v>60286</v>
      </c>
      <c r="C9" s="122">
        <v>678.93046478452709</v>
      </c>
      <c r="D9" s="19"/>
      <c r="E9" s="19"/>
      <c r="F9" s="19"/>
      <c r="G9" s="19"/>
      <c r="H9" s="19"/>
      <c r="I9" s="21"/>
      <c r="J9" s="21"/>
      <c r="K9" s="19"/>
      <c r="L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row>
    <row r="10" spans="1:56" x14ac:dyDescent="0.3">
      <c r="A10" s="35" t="s">
        <v>567</v>
      </c>
      <c r="B10" s="37">
        <v>585</v>
      </c>
      <c r="C10" s="122">
        <v>897.56923076923078</v>
      </c>
      <c r="D10" s="34"/>
      <c r="E10" s="19"/>
      <c r="F10" s="19"/>
      <c r="G10" s="19"/>
      <c r="H10" s="19"/>
      <c r="I10" s="21"/>
      <c r="J10" s="21"/>
      <c r="K10" s="19"/>
      <c r="L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row>
    <row r="11" spans="1:56" x14ac:dyDescent="0.3">
      <c r="A11" s="36" t="s">
        <v>1</v>
      </c>
      <c r="B11" s="38">
        <v>145463</v>
      </c>
      <c r="C11" s="123">
        <v>589.6590060702722</v>
      </c>
      <c r="D11" s="19"/>
      <c r="E11" s="19"/>
      <c r="F11" s="19"/>
      <c r="G11" s="19"/>
      <c r="H11" s="19"/>
      <c r="I11" s="21"/>
      <c r="J11" s="21"/>
      <c r="K11" s="19"/>
      <c r="L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row>
    <row r="12" spans="1:56" ht="15.75" customHeight="1" x14ac:dyDescent="0.3">
      <c r="A12" s="267" t="s">
        <v>617</v>
      </c>
      <c r="B12" s="267"/>
      <c r="C12" s="267"/>
      <c r="D12" s="19"/>
      <c r="E12" s="19"/>
      <c r="F12" s="19"/>
      <c r="G12" s="19"/>
      <c r="H12" s="19"/>
      <c r="I12" s="21"/>
      <c r="J12" s="21"/>
      <c r="K12" s="19"/>
      <c r="L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row>
    <row r="13" spans="1:56" ht="16.05" customHeight="1" x14ac:dyDescent="0.3">
      <c r="A13" s="267" t="s">
        <v>618</v>
      </c>
      <c r="B13" s="267"/>
      <c r="C13" s="267"/>
      <c r="D13" s="19"/>
      <c r="E13" s="19"/>
      <c r="F13" s="19"/>
      <c r="G13" s="19"/>
      <c r="H13" s="19"/>
      <c r="I13" s="21"/>
      <c r="J13" s="21"/>
      <c r="K13" s="19"/>
      <c r="L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row>
    <row r="14" spans="1:56" ht="14.55" customHeight="1" x14ac:dyDescent="0.3">
      <c r="A14" s="262"/>
      <c r="B14" s="262"/>
      <c r="C14" s="262"/>
      <c r="D14" s="19"/>
      <c r="E14" s="19"/>
      <c r="F14" s="19"/>
      <c r="G14" s="19"/>
      <c r="H14" s="19"/>
      <c r="I14" s="21"/>
      <c r="J14" s="21"/>
      <c r="K14" s="19"/>
      <c r="L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row>
    <row r="15" spans="1:56" ht="16.05" customHeight="1" x14ac:dyDescent="0.3">
      <c r="A15" s="262"/>
      <c r="B15" s="262"/>
      <c r="C15" s="262"/>
      <c r="D15" s="19"/>
      <c r="E15" s="19"/>
      <c r="F15" s="19"/>
      <c r="G15" s="19"/>
      <c r="H15" s="19"/>
      <c r="I15" s="21"/>
      <c r="J15" s="21"/>
      <c r="K15" s="19"/>
      <c r="L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row>
    <row r="16" spans="1:56" ht="34.35" customHeight="1" thickBot="1" x14ac:dyDescent="0.35">
      <c r="A16" s="262" t="s">
        <v>619</v>
      </c>
      <c r="B16" s="262"/>
      <c r="C16" s="262"/>
      <c r="D16" s="19"/>
      <c r="E16" s="19"/>
      <c r="F16" s="19"/>
      <c r="G16" s="19"/>
      <c r="H16" s="19"/>
      <c r="I16" s="19"/>
      <c r="J16" s="19"/>
      <c r="K16" s="19"/>
      <c r="L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row>
    <row r="17" spans="1:56" ht="31.2" x14ac:dyDescent="0.3">
      <c r="A17" s="47" t="s">
        <v>573</v>
      </c>
      <c r="B17" s="48" t="s">
        <v>537</v>
      </c>
      <c r="C17" s="48" t="s">
        <v>574</v>
      </c>
      <c r="D17" s="19"/>
      <c r="E17" s="19"/>
      <c r="F17" s="19"/>
      <c r="G17" s="19"/>
      <c r="H17" s="19"/>
      <c r="I17" s="19"/>
      <c r="J17" s="19"/>
      <c r="K17" s="19"/>
      <c r="L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row>
    <row r="18" spans="1:56" ht="16.2" thickBot="1" x14ac:dyDescent="0.35">
      <c r="A18" s="49" t="s">
        <v>1</v>
      </c>
      <c r="B18" s="50">
        <v>145463</v>
      </c>
      <c r="C18" s="51">
        <v>589.6590060702722</v>
      </c>
      <c r="D18" s="19"/>
      <c r="E18" s="19"/>
      <c r="F18" s="19"/>
      <c r="G18" s="19"/>
      <c r="H18" s="19"/>
      <c r="I18" s="19"/>
      <c r="J18" s="19"/>
      <c r="K18" s="19"/>
      <c r="L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row>
    <row r="19" spans="1:56" ht="16.2" thickTop="1" x14ac:dyDescent="0.3">
      <c r="A19" s="52" t="s">
        <v>540</v>
      </c>
      <c r="B19" s="53">
        <v>4834</v>
      </c>
      <c r="C19" s="54">
        <v>558.04116673562271</v>
      </c>
      <c r="D19" s="19"/>
      <c r="E19" s="19"/>
      <c r="F19" s="19"/>
      <c r="G19" s="19"/>
      <c r="H19" s="19"/>
      <c r="I19" s="19"/>
      <c r="J19" s="19"/>
      <c r="K19" s="19"/>
      <c r="L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row>
    <row r="20" spans="1:56" x14ac:dyDescent="0.3">
      <c r="A20" s="55" t="s">
        <v>76</v>
      </c>
      <c r="B20" s="56">
        <v>593</v>
      </c>
      <c r="C20" s="57">
        <v>316.32883642495784</v>
      </c>
      <c r="D20" s="19"/>
      <c r="E20" s="19"/>
      <c r="F20" s="19"/>
      <c r="G20" s="19"/>
      <c r="H20" s="19"/>
      <c r="I20" s="19"/>
      <c r="J20" s="19"/>
      <c r="K20" s="19"/>
      <c r="L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row>
    <row r="21" spans="1:56" x14ac:dyDescent="0.3">
      <c r="A21" s="55" t="s">
        <v>539</v>
      </c>
      <c r="B21" s="56">
        <v>3166</v>
      </c>
      <c r="C21" s="57">
        <v>343.98073278584963</v>
      </c>
      <c r="D21" s="19"/>
      <c r="E21" s="19"/>
      <c r="F21" s="19"/>
      <c r="G21" s="19"/>
      <c r="H21" s="19"/>
      <c r="I21" s="19"/>
      <c r="J21" s="19"/>
      <c r="K21" s="19"/>
      <c r="L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row>
    <row r="22" spans="1:56" x14ac:dyDescent="0.3">
      <c r="A22" s="55" t="s">
        <v>23</v>
      </c>
      <c r="B22" s="56">
        <v>1075</v>
      </c>
      <c r="C22" s="57">
        <v>1321.8093023255815</v>
      </c>
      <c r="D22" s="19"/>
      <c r="E22" s="19"/>
      <c r="F22" s="19"/>
      <c r="G22" s="19"/>
      <c r="H22" s="19"/>
      <c r="I22" s="19"/>
      <c r="J22" s="19"/>
      <c r="K22" s="19"/>
      <c r="L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row>
    <row r="23" spans="1:56" x14ac:dyDescent="0.3">
      <c r="A23" s="52" t="s">
        <v>541</v>
      </c>
      <c r="B23" s="53">
        <v>2247</v>
      </c>
      <c r="C23" s="54">
        <v>674.36582109479309</v>
      </c>
      <c r="D23" s="19"/>
      <c r="E23" s="19"/>
      <c r="F23" s="19"/>
      <c r="G23" s="19"/>
      <c r="H23" s="19"/>
      <c r="I23" s="19"/>
      <c r="J23" s="19"/>
      <c r="K23" s="19"/>
      <c r="L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row>
    <row r="24" spans="1:56" x14ac:dyDescent="0.3">
      <c r="A24" s="55" t="s">
        <v>76</v>
      </c>
      <c r="B24" s="56">
        <v>333</v>
      </c>
      <c r="C24" s="57">
        <v>411.31831831831829</v>
      </c>
      <c r="D24" s="19"/>
      <c r="E24" s="19"/>
      <c r="F24" s="19"/>
      <c r="G24" s="19"/>
      <c r="H24" s="19"/>
      <c r="I24" s="19"/>
      <c r="J24" s="19"/>
      <c r="K24" s="19"/>
      <c r="L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row>
    <row r="25" spans="1:56" x14ac:dyDescent="0.3">
      <c r="A25" s="55" t="s">
        <v>539</v>
      </c>
      <c r="B25" s="56">
        <v>1479</v>
      </c>
      <c r="C25" s="57">
        <v>593.45571331981068</v>
      </c>
      <c r="D25" s="19"/>
      <c r="E25" s="19"/>
      <c r="F25" s="19"/>
      <c r="G25" s="19"/>
      <c r="H25" s="19"/>
      <c r="I25" s="19"/>
      <c r="J25" s="19"/>
      <c r="K25" s="19"/>
      <c r="L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row>
    <row r="26" spans="1:56" x14ac:dyDescent="0.3">
      <c r="A26" s="55" t="s">
        <v>23</v>
      </c>
      <c r="B26" s="56">
        <v>435</v>
      </c>
      <c r="C26" s="57">
        <v>1150.8275862068965</v>
      </c>
      <c r="D26" s="19"/>
      <c r="E26" s="19"/>
      <c r="F26" s="19"/>
      <c r="G26" s="19"/>
      <c r="H26" s="19"/>
      <c r="I26" s="19"/>
      <c r="J26" s="19"/>
      <c r="K26" s="19"/>
      <c r="L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row>
    <row r="27" spans="1:56" x14ac:dyDescent="0.3">
      <c r="A27" s="52" t="s">
        <v>542</v>
      </c>
      <c r="B27" s="53">
        <v>4970</v>
      </c>
      <c r="C27" s="54">
        <v>152.46559356136822</v>
      </c>
      <c r="D27" s="19"/>
      <c r="E27" s="19"/>
      <c r="F27" s="19"/>
      <c r="G27" s="19"/>
      <c r="H27" s="19"/>
      <c r="I27" s="19"/>
      <c r="J27" s="19"/>
      <c r="K27" s="19"/>
      <c r="L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row>
    <row r="28" spans="1:56" x14ac:dyDescent="0.3">
      <c r="A28" s="55" t="s">
        <v>76</v>
      </c>
      <c r="B28" s="56">
        <v>1353</v>
      </c>
      <c r="C28" s="57">
        <v>107.71766444937177</v>
      </c>
      <c r="D28" s="19"/>
      <c r="E28" s="19"/>
      <c r="F28" s="19"/>
      <c r="G28" s="19"/>
      <c r="H28" s="19"/>
      <c r="I28" s="19"/>
      <c r="J28" s="19"/>
      <c r="K28" s="19"/>
      <c r="L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row>
    <row r="29" spans="1:56" x14ac:dyDescent="0.3">
      <c r="A29" s="55" t="s">
        <v>539</v>
      </c>
      <c r="B29" s="56">
        <v>3535</v>
      </c>
      <c r="C29" s="57">
        <v>151.01980198019803</v>
      </c>
      <c r="D29" s="19"/>
      <c r="E29" s="19"/>
      <c r="F29" s="19"/>
      <c r="G29" s="19"/>
      <c r="H29" s="19"/>
      <c r="I29" s="19"/>
      <c r="J29" s="19"/>
      <c r="K29" s="19"/>
      <c r="L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row>
    <row r="30" spans="1:56" x14ac:dyDescent="0.3">
      <c r="A30" s="55" t="s">
        <v>23</v>
      </c>
      <c r="B30" s="56">
        <v>82</v>
      </c>
      <c r="C30" s="57">
        <v>953.13414634146341</v>
      </c>
      <c r="D30" s="19"/>
      <c r="E30" s="19"/>
      <c r="F30" s="19"/>
      <c r="G30" s="19"/>
      <c r="H30" s="19"/>
      <c r="I30" s="19"/>
      <c r="J30" s="19"/>
      <c r="K30" s="19"/>
      <c r="L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row>
    <row r="31" spans="1:56" x14ac:dyDescent="0.3">
      <c r="A31" s="52" t="s">
        <v>543</v>
      </c>
      <c r="B31" s="53">
        <v>550</v>
      </c>
      <c r="C31" s="54">
        <v>1159.9854545454546</v>
      </c>
      <c r="D31" s="19"/>
      <c r="E31" s="19"/>
      <c r="F31" s="19"/>
      <c r="G31" s="19"/>
      <c r="H31" s="19"/>
      <c r="I31" s="19"/>
      <c r="J31" s="19"/>
      <c r="K31" s="19"/>
      <c r="L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row>
    <row r="32" spans="1:56" x14ac:dyDescent="0.3">
      <c r="A32" s="55" t="s">
        <v>76</v>
      </c>
      <c r="B32" s="56">
        <v>39</v>
      </c>
      <c r="C32" s="57">
        <v>192.76923076923077</v>
      </c>
      <c r="D32" s="19"/>
      <c r="E32" s="19"/>
      <c r="F32" s="19"/>
      <c r="G32" s="19"/>
      <c r="H32" s="19"/>
      <c r="I32" s="19"/>
      <c r="J32" s="19"/>
      <c r="K32" s="19"/>
      <c r="L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row>
    <row r="33" spans="1:56" x14ac:dyDescent="0.3">
      <c r="A33" s="55" t="s">
        <v>539</v>
      </c>
      <c r="B33" s="56">
        <v>57</v>
      </c>
      <c r="C33" s="57">
        <v>365.77192982456143</v>
      </c>
      <c r="D33" s="19"/>
      <c r="E33" s="19"/>
      <c r="F33" s="19"/>
      <c r="G33" s="19"/>
      <c r="H33" s="19"/>
      <c r="I33" s="19"/>
      <c r="J33" s="19"/>
      <c r="K33" s="19"/>
      <c r="L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row>
    <row r="34" spans="1:56" x14ac:dyDescent="0.3">
      <c r="A34" s="55" t="s">
        <v>23</v>
      </c>
      <c r="B34" s="56">
        <v>454</v>
      </c>
      <c r="C34" s="57">
        <v>1342.7863436123348</v>
      </c>
      <c r="D34" s="19"/>
      <c r="E34" s="19"/>
      <c r="F34" s="19"/>
      <c r="G34" s="19"/>
      <c r="H34" s="19"/>
      <c r="I34" s="19"/>
      <c r="J34" s="19"/>
      <c r="K34" s="19"/>
      <c r="L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row>
    <row r="35" spans="1:56" x14ac:dyDescent="0.3">
      <c r="A35" s="52" t="s">
        <v>544</v>
      </c>
      <c r="B35" s="53">
        <v>8812</v>
      </c>
      <c r="C35" s="54">
        <v>881.7569223785747</v>
      </c>
      <c r="D35" s="19"/>
      <c r="E35" s="19"/>
      <c r="F35" s="19"/>
      <c r="G35" s="19"/>
      <c r="H35" s="19"/>
      <c r="I35" s="19"/>
      <c r="J35" s="19"/>
      <c r="K35" s="19"/>
      <c r="L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row>
    <row r="36" spans="1:56" x14ac:dyDescent="0.3">
      <c r="A36" s="55" t="s">
        <v>76</v>
      </c>
      <c r="B36" s="56">
        <v>824</v>
      </c>
      <c r="C36" s="57">
        <v>460.02427184466018</v>
      </c>
      <c r="D36" s="19"/>
      <c r="E36" s="19"/>
      <c r="F36" s="19"/>
      <c r="G36" s="19"/>
      <c r="H36" s="19"/>
      <c r="I36" s="19"/>
      <c r="J36" s="19"/>
      <c r="K36" s="19"/>
      <c r="L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row>
    <row r="37" spans="1:56" x14ac:dyDescent="0.3">
      <c r="A37" s="55" t="s">
        <v>539</v>
      </c>
      <c r="B37" s="56">
        <v>5677</v>
      </c>
      <c r="C37" s="57">
        <v>642.64329751629384</v>
      </c>
      <c r="D37" s="19"/>
      <c r="E37" s="19"/>
      <c r="F37" s="19"/>
      <c r="G37" s="19"/>
      <c r="H37" s="19"/>
      <c r="I37" s="19"/>
      <c r="J37" s="19"/>
      <c r="K37" s="19"/>
      <c r="L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row>
    <row r="38" spans="1:56" x14ac:dyDescent="0.3">
      <c r="A38" s="55" t="s">
        <v>23</v>
      </c>
      <c r="B38" s="56">
        <v>2311</v>
      </c>
      <c r="C38" s="57">
        <v>1619.513630463003</v>
      </c>
      <c r="D38" s="19"/>
      <c r="E38" s="19"/>
      <c r="F38" s="19"/>
      <c r="G38" s="19"/>
      <c r="H38" s="19"/>
      <c r="I38" s="19"/>
      <c r="J38" s="19"/>
      <c r="K38" s="19"/>
      <c r="L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row>
    <row r="39" spans="1:56" x14ac:dyDescent="0.3">
      <c r="A39" s="52" t="s">
        <v>545</v>
      </c>
      <c r="B39" s="53">
        <v>2699</v>
      </c>
      <c r="C39" s="54">
        <v>233.50611337532419</v>
      </c>
      <c r="D39" s="19"/>
      <c r="E39" s="19"/>
      <c r="F39" s="19"/>
      <c r="G39" s="19"/>
      <c r="H39" s="19"/>
      <c r="I39" s="19"/>
      <c r="J39" s="19"/>
      <c r="K39" s="19"/>
      <c r="L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row>
    <row r="40" spans="1:56" x14ac:dyDescent="0.3">
      <c r="A40" s="55" t="s">
        <v>76</v>
      </c>
      <c r="B40" s="56">
        <v>293</v>
      </c>
      <c r="C40" s="57">
        <v>219.52559726962457</v>
      </c>
      <c r="D40" s="19"/>
      <c r="E40" s="19"/>
      <c r="F40" s="19"/>
      <c r="G40" s="19"/>
      <c r="H40" s="19"/>
      <c r="I40" s="19"/>
      <c r="J40" s="19"/>
      <c r="K40" s="19"/>
      <c r="L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row>
    <row r="41" spans="1:56" x14ac:dyDescent="0.3">
      <c r="A41" s="55" t="s">
        <v>539</v>
      </c>
      <c r="B41" s="56">
        <v>2326</v>
      </c>
      <c r="C41" s="57">
        <v>209.65133276010317</v>
      </c>
      <c r="D41" s="19"/>
      <c r="E41" s="19"/>
      <c r="F41" s="19"/>
      <c r="G41" s="19"/>
      <c r="H41" s="19"/>
      <c r="I41" s="19"/>
      <c r="J41" s="19"/>
      <c r="K41" s="19"/>
      <c r="L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row>
    <row r="42" spans="1:56" x14ac:dyDescent="0.3">
      <c r="A42" s="55" t="s">
        <v>23</v>
      </c>
      <c r="B42" s="56">
        <v>80</v>
      </c>
      <c r="C42" s="57">
        <v>978.28750000000002</v>
      </c>
      <c r="D42" s="19"/>
      <c r="E42" s="19"/>
      <c r="F42" s="19"/>
      <c r="G42" s="19"/>
      <c r="H42" s="19"/>
      <c r="I42" s="19"/>
      <c r="J42" s="19"/>
      <c r="K42" s="19"/>
      <c r="L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row>
    <row r="43" spans="1:56" x14ac:dyDescent="0.3">
      <c r="A43" s="52" t="s">
        <v>546</v>
      </c>
      <c r="B43" s="53">
        <v>2596</v>
      </c>
      <c r="C43" s="54">
        <v>839.65023112480742</v>
      </c>
      <c r="D43" s="19"/>
      <c r="E43" s="19"/>
      <c r="F43" s="19"/>
      <c r="G43" s="19"/>
      <c r="H43" s="19"/>
      <c r="I43" s="19"/>
      <c r="J43" s="19"/>
      <c r="K43" s="19"/>
      <c r="L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row>
    <row r="44" spans="1:56" x14ac:dyDescent="0.3">
      <c r="A44" s="55" t="s">
        <v>76</v>
      </c>
      <c r="B44" s="56">
        <v>15</v>
      </c>
      <c r="C44" s="57">
        <v>204.66666666666666</v>
      </c>
      <c r="D44" s="19"/>
      <c r="E44" s="19"/>
      <c r="F44" s="19"/>
      <c r="G44" s="19"/>
      <c r="H44" s="19"/>
      <c r="I44" s="19"/>
      <c r="J44" s="19"/>
      <c r="K44" s="19"/>
      <c r="L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row>
    <row r="45" spans="1:56" x14ac:dyDescent="0.3">
      <c r="A45" s="55" t="s">
        <v>539</v>
      </c>
      <c r="B45" s="56">
        <v>2026</v>
      </c>
      <c r="C45" s="57">
        <v>575.5399802566634</v>
      </c>
      <c r="D45" s="19"/>
      <c r="E45" s="19"/>
      <c r="F45" s="19"/>
      <c r="G45" s="19"/>
      <c r="H45" s="19"/>
      <c r="I45" s="19"/>
      <c r="J45" s="19"/>
      <c r="K45" s="19"/>
      <c r="L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row>
    <row r="46" spans="1:56" x14ac:dyDescent="0.3">
      <c r="A46" s="55" t="s">
        <v>23</v>
      </c>
      <c r="B46" s="56">
        <v>555</v>
      </c>
      <c r="C46" s="57">
        <v>1820.9333333333334</v>
      </c>
      <c r="D46" s="19"/>
      <c r="E46" s="19"/>
      <c r="F46" s="19"/>
      <c r="G46" s="19"/>
      <c r="H46" s="19"/>
      <c r="I46" s="19"/>
      <c r="J46" s="19"/>
      <c r="K46" s="19"/>
      <c r="L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row>
    <row r="47" spans="1:56" x14ac:dyDescent="0.3">
      <c r="A47" s="52" t="s">
        <v>547</v>
      </c>
      <c r="B47" s="53">
        <v>8336</v>
      </c>
      <c r="C47" s="54">
        <v>1007.4315019193858</v>
      </c>
      <c r="D47" s="19"/>
      <c r="E47" s="19"/>
      <c r="F47" s="19"/>
      <c r="G47" s="19"/>
      <c r="H47" s="19"/>
      <c r="I47" s="19"/>
      <c r="J47" s="19"/>
      <c r="K47" s="19"/>
      <c r="L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row>
    <row r="48" spans="1:56" x14ac:dyDescent="0.3">
      <c r="A48" s="55" t="s">
        <v>76</v>
      </c>
      <c r="B48" s="56">
        <v>137</v>
      </c>
      <c r="C48" s="57">
        <v>453.021897810219</v>
      </c>
      <c r="D48" s="19"/>
      <c r="E48" s="19"/>
      <c r="F48" s="19"/>
      <c r="G48" s="19"/>
      <c r="H48" s="19"/>
      <c r="I48" s="19"/>
      <c r="J48" s="19"/>
      <c r="K48" s="19"/>
      <c r="L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row>
    <row r="49" spans="1:56" x14ac:dyDescent="0.3">
      <c r="A49" s="55" t="s">
        <v>539</v>
      </c>
      <c r="B49" s="56">
        <v>6529</v>
      </c>
      <c r="C49" s="57">
        <v>827.5382141216113</v>
      </c>
      <c r="D49" s="19"/>
      <c r="E49" s="19"/>
      <c r="F49" s="19"/>
      <c r="G49" s="19"/>
      <c r="H49" s="19"/>
      <c r="I49" s="19"/>
      <c r="J49" s="19"/>
      <c r="K49" s="19"/>
      <c r="L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row>
    <row r="50" spans="1:56" x14ac:dyDescent="0.3">
      <c r="A50" s="55" t="s">
        <v>23</v>
      </c>
      <c r="B50" s="56">
        <v>1670</v>
      </c>
      <c r="C50" s="57">
        <v>1756.2203592814371</v>
      </c>
      <c r="D50" s="19"/>
      <c r="E50" s="19"/>
      <c r="F50" s="19"/>
      <c r="G50" s="19"/>
      <c r="H50" s="19"/>
      <c r="I50" s="19"/>
      <c r="J50" s="19"/>
      <c r="K50" s="19"/>
      <c r="L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row>
    <row r="51" spans="1:56" x14ac:dyDescent="0.3">
      <c r="A51" s="52" t="s">
        <v>548</v>
      </c>
      <c r="B51" s="53">
        <v>6648</v>
      </c>
      <c r="C51" s="54">
        <v>196.68742478941036</v>
      </c>
      <c r="D51" s="19"/>
      <c r="E51" s="19"/>
      <c r="F51" s="19"/>
      <c r="G51" s="19"/>
      <c r="H51" s="19"/>
      <c r="I51" s="19"/>
      <c r="J51" s="19"/>
      <c r="K51" s="19"/>
      <c r="L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row>
    <row r="52" spans="1:56" x14ac:dyDescent="0.3">
      <c r="A52" s="55" t="s">
        <v>76</v>
      </c>
      <c r="B52" s="56">
        <v>3983</v>
      </c>
      <c r="C52" s="57">
        <v>54.552849610846096</v>
      </c>
      <c r="D52" s="19"/>
      <c r="E52" s="19"/>
      <c r="F52" s="19"/>
      <c r="G52" s="19"/>
      <c r="H52" s="19"/>
      <c r="I52" s="19"/>
      <c r="J52" s="19"/>
      <c r="K52" s="19"/>
      <c r="L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row>
    <row r="53" spans="1:56" x14ac:dyDescent="0.3">
      <c r="A53" s="55" t="s">
        <v>539</v>
      </c>
      <c r="B53" s="56">
        <v>2014</v>
      </c>
      <c r="C53" s="57">
        <v>141.16881827209534</v>
      </c>
      <c r="D53" s="19"/>
      <c r="E53" s="19"/>
      <c r="F53" s="19"/>
      <c r="G53" s="19"/>
      <c r="H53" s="19"/>
      <c r="I53" s="19"/>
      <c r="J53" s="19"/>
      <c r="K53" s="19"/>
      <c r="L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row>
    <row r="54" spans="1:56" x14ac:dyDescent="0.3">
      <c r="A54" s="55" t="s">
        <v>23</v>
      </c>
      <c r="B54" s="56">
        <v>651</v>
      </c>
      <c r="C54" s="57">
        <v>1238.0645161290322</v>
      </c>
      <c r="D54" s="19"/>
      <c r="E54" s="19"/>
      <c r="F54" s="19"/>
      <c r="G54" s="19"/>
      <c r="H54" s="19"/>
      <c r="I54" s="19"/>
      <c r="J54" s="19"/>
      <c r="K54" s="19"/>
      <c r="L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row>
    <row r="55" spans="1:56" x14ac:dyDescent="0.3">
      <c r="A55" s="52" t="s">
        <v>549</v>
      </c>
      <c r="B55" s="53">
        <v>7227</v>
      </c>
      <c r="C55" s="54">
        <v>69.336239103362388</v>
      </c>
      <c r="D55" s="19"/>
      <c r="E55" s="19"/>
      <c r="F55" s="19"/>
      <c r="G55" s="19"/>
      <c r="H55" s="19"/>
      <c r="I55" s="19"/>
      <c r="J55" s="19"/>
      <c r="K55" s="19"/>
      <c r="L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row>
    <row r="56" spans="1:56" x14ac:dyDescent="0.3">
      <c r="A56" s="55" t="s">
        <v>76</v>
      </c>
      <c r="B56" s="56">
        <v>3414</v>
      </c>
      <c r="C56" s="57">
        <v>62.360574106619801</v>
      </c>
      <c r="D56" s="19"/>
      <c r="E56" s="19"/>
      <c r="F56" s="19"/>
      <c r="G56" s="19"/>
      <c r="H56" s="19"/>
      <c r="I56" s="19"/>
      <c r="J56" s="19"/>
      <c r="K56" s="19"/>
      <c r="L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row>
    <row r="57" spans="1:56" x14ac:dyDescent="0.3">
      <c r="A57" s="55" t="s">
        <v>539</v>
      </c>
      <c r="B57" s="56">
        <v>3680</v>
      </c>
      <c r="C57" s="57">
        <v>72.823097826086951</v>
      </c>
      <c r="D57" s="19"/>
      <c r="E57" s="19"/>
      <c r="F57" s="19"/>
      <c r="G57" s="19"/>
      <c r="H57" s="19"/>
      <c r="I57" s="19"/>
      <c r="J57" s="19"/>
      <c r="K57" s="19"/>
      <c r="L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row>
    <row r="58" spans="1:56" x14ac:dyDescent="0.3">
      <c r="A58" s="55" t="s">
        <v>23</v>
      </c>
      <c r="B58" s="56">
        <v>133</v>
      </c>
      <c r="C58" s="57">
        <v>151.91729323308272</v>
      </c>
      <c r="D58" s="19"/>
      <c r="E58" s="19"/>
      <c r="F58" s="19"/>
      <c r="G58" s="19"/>
      <c r="H58" s="19"/>
      <c r="I58" s="19"/>
      <c r="J58" s="19"/>
      <c r="K58" s="19"/>
      <c r="L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row>
    <row r="59" spans="1:56" x14ac:dyDescent="0.3">
      <c r="A59" s="52" t="s">
        <v>549</v>
      </c>
      <c r="B59" s="53">
        <v>3493</v>
      </c>
      <c r="C59" s="54">
        <v>203.99284282851417</v>
      </c>
      <c r="D59" s="19"/>
      <c r="E59" s="19"/>
      <c r="F59" s="19"/>
      <c r="G59" s="19"/>
      <c r="H59" s="19"/>
      <c r="I59" s="19"/>
      <c r="J59" s="19"/>
      <c r="K59" s="19"/>
      <c r="L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row>
    <row r="60" spans="1:56" x14ac:dyDescent="0.3">
      <c r="A60" s="55" t="s">
        <v>76</v>
      </c>
      <c r="B60" s="56">
        <v>1546</v>
      </c>
      <c r="C60" s="57">
        <v>182.11448900388098</v>
      </c>
      <c r="D60" s="19"/>
      <c r="E60" s="19"/>
      <c r="F60" s="19"/>
      <c r="G60" s="19"/>
      <c r="H60" s="19"/>
      <c r="I60" s="19"/>
      <c r="J60" s="19"/>
      <c r="K60" s="19"/>
      <c r="L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row>
    <row r="61" spans="1:56" x14ac:dyDescent="0.3">
      <c r="A61" s="55" t="s">
        <v>539</v>
      </c>
      <c r="B61" s="56">
        <v>1925</v>
      </c>
      <c r="C61" s="57">
        <v>215.20883116883118</v>
      </c>
      <c r="D61" s="19"/>
      <c r="E61" s="19"/>
      <c r="F61" s="19"/>
      <c r="G61" s="19"/>
      <c r="H61" s="19"/>
      <c r="I61" s="19"/>
      <c r="J61" s="19"/>
      <c r="K61" s="19"/>
      <c r="L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row>
    <row r="62" spans="1:56" x14ac:dyDescent="0.3">
      <c r="A62" s="55" t="s">
        <v>23</v>
      </c>
      <c r="B62" s="56">
        <v>22</v>
      </c>
      <c r="C62" s="57">
        <v>760.0454545454545</v>
      </c>
      <c r="D62" s="19"/>
      <c r="E62" s="19"/>
      <c r="F62" s="19"/>
      <c r="G62" s="19"/>
      <c r="H62" s="19"/>
      <c r="I62" s="19"/>
      <c r="J62" s="19"/>
      <c r="K62" s="19"/>
      <c r="L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row>
    <row r="63" spans="1:56" x14ac:dyDescent="0.3">
      <c r="A63" s="52" t="s">
        <v>550</v>
      </c>
      <c r="B63" s="53">
        <v>11373</v>
      </c>
      <c r="C63" s="54">
        <v>914.52483953222543</v>
      </c>
      <c r="D63" s="19"/>
      <c r="E63" s="19"/>
      <c r="F63" s="19"/>
      <c r="G63" s="19"/>
      <c r="H63" s="19"/>
      <c r="I63" s="19"/>
      <c r="J63" s="19"/>
      <c r="K63" s="19"/>
      <c r="L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row>
    <row r="64" spans="1:56" x14ac:dyDescent="0.3">
      <c r="A64" s="55" t="s">
        <v>76</v>
      </c>
      <c r="B64" s="56">
        <v>1898</v>
      </c>
      <c r="C64" s="57">
        <v>407.37565858798735</v>
      </c>
      <c r="D64" s="19"/>
      <c r="E64" s="19"/>
      <c r="F64" s="19"/>
      <c r="G64" s="19"/>
      <c r="H64" s="19"/>
      <c r="I64" s="19"/>
      <c r="J64" s="19"/>
      <c r="K64" s="19"/>
      <c r="L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row>
    <row r="65" spans="1:56" x14ac:dyDescent="0.3">
      <c r="A65" s="55" t="s">
        <v>539</v>
      </c>
      <c r="B65" s="56">
        <v>4017</v>
      </c>
      <c r="C65" s="57">
        <v>650.07518048294742</v>
      </c>
      <c r="D65" s="19"/>
      <c r="E65" s="19"/>
      <c r="F65" s="19"/>
      <c r="G65" s="19"/>
      <c r="H65" s="19"/>
      <c r="I65" s="19"/>
      <c r="J65" s="19"/>
      <c r="K65" s="19"/>
      <c r="L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row>
    <row r="66" spans="1:56" x14ac:dyDescent="0.3">
      <c r="A66" s="55" t="s">
        <v>23</v>
      </c>
      <c r="B66" s="56">
        <v>5458</v>
      </c>
      <c r="C66" s="57">
        <v>1285.5148406009528</v>
      </c>
      <c r="D66" s="19"/>
      <c r="E66" s="19"/>
      <c r="F66" s="19"/>
      <c r="G66" s="19"/>
      <c r="H66" s="19"/>
      <c r="I66" s="19"/>
      <c r="J66" s="19"/>
      <c r="K66" s="19"/>
      <c r="L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row>
    <row r="67" spans="1:56" x14ac:dyDescent="0.3">
      <c r="A67" s="52" t="s">
        <v>551</v>
      </c>
      <c r="B67" s="53">
        <v>10103</v>
      </c>
      <c r="C67" s="54">
        <v>281.40334554092846</v>
      </c>
      <c r="D67" s="19"/>
      <c r="E67" s="19"/>
      <c r="F67" s="19"/>
      <c r="G67" s="19"/>
      <c r="H67" s="19"/>
      <c r="I67" s="19"/>
      <c r="J67" s="19"/>
      <c r="K67" s="19"/>
      <c r="L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row>
    <row r="68" spans="1:56" x14ac:dyDescent="0.3">
      <c r="A68" s="55" t="s">
        <v>76</v>
      </c>
      <c r="B68" s="56">
        <v>1978</v>
      </c>
      <c r="C68" s="57">
        <v>192.92113245702731</v>
      </c>
      <c r="D68" s="19"/>
      <c r="E68" s="19"/>
      <c r="F68" s="19"/>
      <c r="G68" s="19"/>
      <c r="H68" s="19"/>
      <c r="I68" s="19"/>
      <c r="J68" s="19"/>
      <c r="K68" s="19"/>
      <c r="L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row>
    <row r="69" spans="1:56" x14ac:dyDescent="0.3">
      <c r="A69" s="55" t="s">
        <v>539</v>
      </c>
      <c r="B69" s="56">
        <v>7980</v>
      </c>
      <c r="C69" s="57">
        <v>298.87380952380954</v>
      </c>
      <c r="D69" s="19"/>
      <c r="E69" s="19"/>
      <c r="F69" s="19"/>
      <c r="G69" s="19"/>
      <c r="H69" s="19"/>
      <c r="I69" s="19"/>
      <c r="J69" s="19"/>
      <c r="K69" s="19"/>
      <c r="L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row>
    <row r="70" spans="1:56" x14ac:dyDescent="0.3">
      <c r="A70" s="55" t="s">
        <v>23</v>
      </c>
      <c r="B70" s="56">
        <v>145</v>
      </c>
      <c r="C70" s="57">
        <v>526.94482758620688</v>
      </c>
      <c r="D70" s="19"/>
      <c r="E70" s="19"/>
      <c r="F70" s="19"/>
      <c r="G70" s="19"/>
      <c r="H70" s="19"/>
      <c r="I70" s="19"/>
      <c r="J70" s="19"/>
      <c r="K70" s="19"/>
      <c r="L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row>
    <row r="71" spans="1:56" x14ac:dyDescent="0.3">
      <c r="A71" s="52" t="s">
        <v>552</v>
      </c>
      <c r="B71" s="53">
        <v>3282</v>
      </c>
      <c r="C71" s="54">
        <v>561.1255332114564</v>
      </c>
      <c r="D71" s="19"/>
      <c r="E71" s="19"/>
      <c r="F71" s="19"/>
      <c r="G71" s="19"/>
      <c r="H71" s="19"/>
      <c r="I71" s="19"/>
      <c r="J71" s="19"/>
      <c r="K71" s="19"/>
      <c r="L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row>
    <row r="72" spans="1:56" x14ac:dyDescent="0.3">
      <c r="A72" s="55" t="s">
        <v>76</v>
      </c>
      <c r="B72" s="56">
        <v>251</v>
      </c>
      <c r="C72" s="57">
        <v>393.86454183266932</v>
      </c>
      <c r="D72" s="19"/>
      <c r="E72" s="19"/>
      <c r="F72" s="19"/>
      <c r="G72" s="19"/>
      <c r="H72" s="19"/>
      <c r="I72" s="19"/>
      <c r="J72" s="19"/>
      <c r="K72" s="19"/>
      <c r="L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row>
    <row r="73" spans="1:56" x14ac:dyDescent="0.3">
      <c r="A73" s="55" t="s">
        <v>539</v>
      </c>
      <c r="B73" s="56">
        <v>2771</v>
      </c>
      <c r="C73" s="57">
        <v>529.76145795741604</v>
      </c>
      <c r="D73" s="19"/>
      <c r="E73" s="19"/>
      <c r="F73" s="19"/>
      <c r="G73" s="19"/>
      <c r="H73" s="19"/>
      <c r="I73" s="19"/>
      <c r="J73" s="19"/>
      <c r="K73" s="19"/>
      <c r="L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row>
    <row r="74" spans="1:56" x14ac:dyDescent="0.3">
      <c r="A74" s="55" t="s">
        <v>23</v>
      </c>
      <c r="B74" s="56">
        <v>260</v>
      </c>
      <c r="C74" s="57">
        <v>1056.8653846153845</v>
      </c>
      <c r="D74" s="19"/>
      <c r="E74" s="19"/>
      <c r="F74" s="19"/>
      <c r="G74" s="19"/>
      <c r="H74" s="19"/>
      <c r="I74" s="19"/>
      <c r="J74" s="19"/>
      <c r="K74" s="19"/>
      <c r="L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row>
    <row r="75" spans="1:56" x14ac:dyDescent="0.3">
      <c r="A75" s="52" t="s">
        <v>553</v>
      </c>
      <c r="B75" s="53">
        <v>5981</v>
      </c>
      <c r="C75" s="54">
        <v>281.79568634007688</v>
      </c>
      <c r="D75" s="19"/>
      <c r="E75" s="19"/>
      <c r="F75" s="19"/>
      <c r="G75" s="19"/>
      <c r="H75" s="19"/>
      <c r="I75" s="19"/>
      <c r="J75" s="19"/>
      <c r="K75" s="19"/>
      <c r="L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row>
    <row r="76" spans="1:56" x14ac:dyDescent="0.3">
      <c r="A76" s="55" t="s">
        <v>76</v>
      </c>
      <c r="B76" s="56">
        <v>685</v>
      </c>
      <c r="C76" s="57">
        <v>257.68175182481752</v>
      </c>
      <c r="D76" s="19"/>
      <c r="E76" s="19"/>
      <c r="F76" s="19"/>
      <c r="G76" s="19"/>
      <c r="H76" s="19"/>
      <c r="I76" s="19"/>
      <c r="J76" s="19"/>
      <c r="K76" s="19"/>
      <c r="L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row>
    <row r="77" spans="1:56" x14ac:dyDescent="0.3">
      <c r="A77" s="55" t="s">
        <v>539</v>
      </c>
      <c r="B77" s="56">
        <v>4831</v>
      </c>
      <c r="C77" s="57">
        <v>179.83088387497412</v>
      </c>
      <c r="D77" s="19"/>
      <c r="E77" s="19"/>
      <c r="F77" s="19"/>
      <c r="G77" s="19"/>
      <c r="H77" s="19"/>
      <c r="I77" s="19"/>
      <c r="J77" s="19"/>
      <c r="K77" s="19"/>
      <c r="L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row>
    <row r="78" spans="1:56" x14ac:dyDescent="0.3">
      <c r="A78" s="55" t="s">
        <v>23</v>
      </c>
      <c r="B78" s="56">
        <v>465</v>
      </c>
      <c r="C78" s="57">
        <v>1376.6559139784947</v>
      </c>
      <c r="D78" s="19"/>
      <c r="E78" s="19"/>
      <c r="F78" s="19"/>
      <c r="G78" s="19"/>
      <c r="H78" s="19"/>
      <c r="I78" s="19"/>
      <c r="J78" s="19"/>
      <c r="K78" s="19"/>
      <c r="L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row>
    <row r="79" spans="1:56" x14ac:dyDescent="0.3">
      <c r="A79" s="52" t="s">
        <v>554</v>
      </c>
      <c r="B79" s="53">
        <v>11705</v>
      </c>
      <c r="C79" s="54">
        <v>783.08568987612136</v>
      </c>
      <c r="D79" s="19"/>
      <c r="E79" s="19"/>
      <c r="F79" s="19"/>
      <c r="G79" s="19"/>
      <c r="H79" s="19"/>
      <c r="I79" s="19"/>
      <c r="J79" s="19"/>
      <c r="K79" s="19"/>
      <c r="L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row>
    <row r="80" spans="1:56" x14ac:dyDescent="0.3">
      <c r="A80" s="55" t="s">
        <v>76</v>
      </c>
      <c r="B80" s="56">
        <v>931</v>
      </c>
      <c r="C80" s="57">
        <v>252.01825993555317</v>
      </c>
      <c r="D80" s="19"/>
      <c r="E80" s="19"/>
      <c r="F80" s="19"/>
      <c r="G80" s="19"/>
      <c r="H80" s="19"/>
      <c r="I80" s="19"/>
      <c r="J80" s="19"/>
      <c r="K80" s="19"/>
      <c r="L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row>
    <row r="81" spans="1:56" x14ac:dyDescent="0.3">
      <c r="A81" s="55" t="s">
        <v>539</v>
      </c>
      <c r="B81" s="56">
        <v>8789</v>
      </c>
      <c r="C81" s="57">
        <v>612.45818636932529</v>
      </c>
      <c r="D81" s="19"/>
      <c r="E81" s="19"/>
      <c r="F81" s="19"/>
      <c r="G81" s="19"/>
      <c r="H81" s="19"/>
      <c r="I81" s="19"/>
      <c r="J81" s="19"/>
      <c r="K81" s="19"/>
      <c r="L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row>
    <row r="82" spans="1:56" x14ac:dyDescent="0.3">
      <c r="A82" s="55" t="s">
        <v>23</v>
      </c>
      <c r="B82" s="56">
        <v>1985</v>
      </c>
      <c r="C82" s="57">
        <v>1787.6544080604533</v>
      </c>
      <c r="D82" s="19"/>
      <c r="E82" s="19"/>
      <c r="F82" s="19"/>
      <c r="G82" s="19"/>
      <c r="H82" s="19"/>
      <c r="I82" s="19"/>
      <c r="J82" s="19"/>
      <c r="K82" s="19"/>
      <c r="L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row>
    <row r="83" spans="1:56" x14ac:dyDescent="0.3">
      <c r="A83" s="52" t="s">
        <v>555</v>
      </c>
      <c r="B83" s="53">
        <v>3238</v>
      </c>
      <c r="C83" s="54">
        <v>427.37492279184681</v>
      </c>
      <c r="D83" s="19"/>
      <c r="E83" s="19"/>
      <c r="F83" s="19"/>
      <c r="G83" s="19"/>
      <c r="H83" s="19"/>
      <c r="I83" s="19"/>
      <c r="J83" s="19"/>
      <c r="K83" s="19"/>
      <c r="L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row>
    <row r="84" spans="1:56" x14ac:dyDescent="0.3">
      <c r="A84" s="55" t="s">
        <v>76</v>
      </c>
      <c r="B84" s="56">
        <v>134</v>
      </c>
      <c r="C84" s="57">
        <v>225.25373134328359</v>
      </c>
      <c r="D84" s="19"/>
      <c r="E84" s="19"/>
      <c r="F84" s="19"/>
      <c r="G84" s="19"/>
      <c r="H84" s="19"/>
      <c r="I84" s="19"/>
      <c r="J84" s="19"/>
      <c r="K84" s="19"/>
      <c r="L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row>
    <row r="85" spans="1:56" x14ac:dyDescent="0.3">
      <c r="A85" s="55" t="s">
        <v>539</v>
      </c>
      <c r="B85" s="56">
        <v>2917</v>
      </c>
      <c r="C85" s="57">
        <v>396.60233116215289</v>
      </c>
      <c r="D85" s="19"/>
      <c r="E85" s="19"/>
      <c r="F85" s="19"/>
      <c r="G85" s="19"/>
      <c r="H85" s="19"/>
      <c r="I85" s="19"/>
      <c r="J85" s="19"/>
      <c r="K85" s="19"/>
      <c r="L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row>
    <row r="86" spans="1:56" x14ac:dyDescent="0.3">
      <c r="A86" s="55" t="s">
        <v>23</v>
      </c>
      <c r="B86" s="56">
        <v>187</v>
      </c>
      <c r="C86" s="57">
        <v>1052.2299465240642</v>
      </c>
      <c r="D86" s="19"/>
      <c r="E86" s="19"/>
      <c r="F86" s="19"/>
      <c r="G86" s="19"/>
      <c r="H86" s="19"/>
      <c r="I86" s="19"/>
      <c r="J86" s="19"/>
      <c r="K86" s="19"/>
      <c r="L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row>
    <row r="87" spans="1:56" x14ac:dyDescent="0.3">
      <c r="A87" s="52" t="s">
        <v>556</v>
      </c>
      <c r="B87" s="53">
        <v>4672</v>
      </c>
      <c r="C87" s="54">
        <v>105.39875856164383</v>
      </c>
      <c r="D87" s="19"/>
      <c r="E87" s="19"/>
      <c r="F87" s="19"/>
      <c r="G87" s="19"/>
      <c r="H87" s="19"/>
      <c r="I87" s="19"/>
      <c r="J87" s="19"/>
      <c r="K87" s="19"/>
      <c r="L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row>
    <row r="88" spans="1:56" x14ac:dyDescent="0.3">
      <c r="A88" s="55" t="s">
        <v>76</v>
      </c>
      <c r="B88" s="56">
        <v>2044</v>
      </c>
      <c r="C88" s="57">
        <v>71.487769080234827</v>
      </c>
      <c r="D88" s="19"/>
      <c r="E88" s="19"/>
      <c r="F88" s="19"/>
      <c r="G88" s="19"/>
      <c r="H88" s="19"/>
      <c r="I88" s="19"/>
      <c r="J88" s="19"/>
      <c r="K88" s="19"/>
      <c r="L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row>
    <row r="89" spans="1:56" x14ac:dyDescent="0.3">
      <c r="A89" s="55" t="s">
        <v>539</v>
      </c>
      <c r="B89" s="56">
        <v>2606</v>
      </c>
      <c r="C89" s="57">
        <v>128.99347659247888</v>
      </c>
      <c r="D89" s="19"/>
      <c r="E89" s="19"/>
      <c r="F89" s="19"/>
      <c r="G89" s="19"/>
      <c r="H89" s="19"/>
      <c r="I89" s="19"/>
      <c r="J89" s="19"/>
      <c r="K89" s="19"/>
      <c r="L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row>
    <row r="90" spans="1:56" x14ac:dyDescent="0.3">
      <c r="A90" s="55" t="s">
        <v>23</v>
      </c>
      <c r="B90" s="56">
        <v>22</v>
      </c>
      <c r="C90" s="57">
        <v>461.13636363636363</v>
      </c>
      <c r="D90" s="19"/>
      <c r="E90" s="19"/>
      <c r="F90" s="19"/>
      <c r="G90" s="19"/>
      <c r="H90" s="19"/>
      <c r="I90" s="19"/>
      <c r="J90" s="19"/>
      <c r="K90" s="19"/>
      <c r="L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row>
    <row r="91" spans="1:56" x14ac:dyDescent="0.3">
      <c r="A91" s="52" t="s">
        <v>557</v>
      </c>
      <c r="B91" s="53">
        <v>3867</v>
      </c>
      <c r="C91" s="54">
        <v>888.24903025601236</v>
      </c>
      <c r="D91" s="19"/>
      <c r="E91" s="19"/>
      <c r="F91" s="19"/>
      <c r="G91" s="19"/>
      <c r="H91" s="19"/>
      <c r="I91" s="19"/>
      <c r="J91" s="19"/>
      <c r="K91" s="19"/>
      <c r="L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row>
    <row r="92" spans="1:56" x14ac:dyDescent="0.3">
      <c r="A92" s="55" t="s">
        <v>76</v>
      </c>
      <c r="B92" s="56">
        <v>299</v>
      </c>
      <c r="C92" s="57">
        <v>352.62541806020067</v>
      </c>
      <c r="D92" s="19"/>
      <c r="E92" s="19"/>
      <c r="F92" s="19"/>
      <c r="G92" s="19"/>
      <c r="H92" s="19"/>
      <c r="I92" s="19"/>
      <c r="J92" s="19"/>
      <c r="K92" s="19"/>
      <c r="L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row>
    <row r="93" spans="1:56" x14ac:dyDescent="0.3">
      <c r="A93" s="55" t="s">
        <v>539</v>
      </c>
      <c r="B93" s="56">
        <v>3186</v>
      </c>
      <c r="C93" s="57">
        <v>873.27589453860639</v>
      </c>
      <c r="D93" s="19"/>
      <c r="E93" s="19"/>
      <c r="F93" s="19"/>
      <c r="G93" s="19"/>
      <c r="H93" s="19"/>
      <c r="I93" s="19"/>
      <c r="J93" s="19"/>
      <c r="K93" s="19"/>
      <c r="L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row>
    <row r="94" spans="1:56" x14ac:dyDescent="0.3">
      <c r="A94" s="55" t="s">
        <v>23</v>
      </c>
      <c r="B94" s="56">
        <v>382</v>
      </c>
      <c r="C94" s="57">
        <v>1432.3743455497381</v>
      </c>
      <c r="D94" s="19"/>
      <c r="E94" s="19"/>
      <c r="F94" s="19"/>
      <c r="G94" s="19"/>
      <c r="H94" s="19"/>
      <c r="I94" s="19"/>
      <c r="J94" s="19"/>
      <c r="K94" s="19"/>
      <c r="L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row>
    <row r="95" spans="1:56" x14ac:dyDescent="0.3">
      <c r="A95" s="52" t="s">
        <v>558</v>
      </c>
      <c r="B95" s="53">
        <v>8690</v>
      </c>
      <c r="C95" s="54">
        <v>160.95350978135789</v>
      </c>
      <c r="D95" s="19"/>
      <c r="E95" s="19"/>
      <c r="F95" s="19"/>
      <c r="G95" s="19"/>
      <c r="H95" s="19"/>
      <c r="I95" s="19"/>
      <c r="J95" s="19"/>
      <c r="K95" s="19"/>
      <c r="L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row>
    <row r="96" spans="1:56" x14ac:dyDescent="0.3">
      <c r="A96" s="55" t="s">
        <v>76</v>
      </c>
      <c r="B96" s="56">
        <v>2341</v>
      </c>
      <c r="C96" s="57">
        <v>71.715506193934218</v>
      </c>
      <c r="D96" s="19"/>
      <c r="E96" s="19"/>
      <c r="F96" s="19"/>
      <c r="G96" s="19"/>
      <c r="H96" s="19"/>
      <c r="I96" s="19"/>
      <c r="J96" s="19"/>
      <c r="K96" s="19"/>
      <c r="L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row>
    <row r="97" spans="1:56" x14ac:dyDescent="0.3">
      <c r="A97" s="55" t="s">
        <v>539</v>
      </c>
      <c r="B97" s="56">
        <v>4782</v>
      </c>
      <c r="C97" s="57">
        <v>145.79966541196151</v>
      </c>
      <c r="D97" s="19"/>
      <c r="E97" s="19"/>
      <c r="F97" s="19"/>
      <c r="G97" s="19"/>
      <c r="H97" s="19"/>
      <c r="I97" s="19"/>
      <c r="J97" s="19"/>
      <c r="K97" s="19"/>
      <c r="L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row>
    <row r="98" spans="1:56" x14ac:dyDescent="0.3">
      <c r="A98" s="55" t="s">
        <v>23</v>
      </c>
      <c r="B98" s="56">
        <v>1567</v>
      </c>
      <c r="C98" s="57">
        <v>340.51435864709634</v>
      </c>
      <c r="D98" s="19"/>
      <c r="E98" s="19"/>
      <c r="F98" s="19"/>
      <c r="G98" s="19"/>
      <c r="H98" s="19"/>
      <c r="I98" s="19"/>
      <c r="J98" s="19"/>
      <c r="K98" s="19"/>
      <c r="L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row>
    <row r="99" spans="1:56" x14ac:dyDescent="0.3">
      <c r="A99" s="52" t="s">
        <v>559</v>
      </c>
      <c r="B99" s="53">
        <v>5118</v>
      </c>
      <c r="C99" s="54">
        <v>593.47049628761238</v>
      </c>
      <c r="D99" s="19"/>
      <c r="E99" s="19"/>
      <c r="F99" s="19"/>
      <c r="G99" s="19"/>
      <c r="H99" s="19"/>
      <c r="I99" s="19"/>
      <c r="J99" s="19"/>
      <c r="K99" s="19"/>
      <c r="L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row>
    <row r="100" spans="1:56" x14ac:dyDescent="0.3">
      <c r="A100" s="55" t="s">
        <v>76</v>
      </c>
      <c r="B100" s="56">
        <v>2401</v>
      </c>
      <c r="C100" s="57">
        <v>167.64681382757183</v>
      </c>
      <c r="D100" s="19"/>
      <c r="E100" s="19"/>
      <c r="F100" s="19"/>
      <c r="G100" s="19"/>
      <c r="H100" s="19"/>
      <c r="I100" s="19"/>
      <c r="J100" s="19"/>
      <c r="K100" s="19"/>
      <c r="L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row>
    <row r="101" spans="1:56" x14ac:dyDescent="0.3">
      <c r="A101" s="55" t="s">
        <v>539</v>
      </c>
      <c r="B101" s="56">
        <v>2036</v>
      </c>
      <c r="C101" s="57">
        <v>779.97053045186635</v>
      </c>
      <c r="D101" s="19"/>
      <c r="E101" s="19"/>
      <c r="F101" s="19"/>
      <c r="G101" s="19"/>
      <c r="H101" s="19"/>
      <c r="I101" s="19"/>
      <c r="J101" s="19"/>
      <c r="K101" s="19"/>
      <c r="L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row>
    <row r="102" spans="1:56" x14ac:dyDescent="0.3">
      <c r="A102" s="55" t="s">
        <v>23</v>
      </c>
      <c r="B102" s="56">
        <v>681</v>
      </c>
      <c r="C102" s="57">
        <v>1537.2129221732746</v>
      </c>
      <c r="D102" s="19"/>
      <c r="E102" s="19"/>
      <c r="F102" s="19"/>
      <c r="G102" s="19"/>
      <c r="H102" s="19"/>
      <c r="I102" s="19"/>
      <c r="J102" s="19"/>
      <c r="K102" s="19"/>
      <c r="L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row>
    <row r="103" spans="1:56" x14ac:dyDescent="0.3">
      <c r="A103" s="52" t="s">
        <v>560</v>
      </c>
      <c r="B103" s="53">
        <v>12515</v>
      </c>
      <c r="C103" s="54">
        <v>1084.7576508190173</v>
      </c>
      <c r="D103" s="19"/>
      <c r="E103" s="19"/>
      <c r="F103" s="19"/>
      <c r="G103" s="19"/>
      <c r="H103" s="19"/>
      <c r="I103" s="19"/>
      <c r="J103" s="19"/>
      <c r="K103" s="19"/>
      <c r="L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row>
    <row r="104" spans="1:56" x14ac:dyDescent="0.3">
      <c r="A104" s="55" t="s">
        <v>76</v>
      </c>
      <c r="B104" s="56">
        <v>1512</v>
      </c>
      <c r="C104" s="57">
        <v>548.09259259259261</v>
      </c>
      <c r="D104" s="19"/>
      <c r="E104" s="19"/>
      <c r="F104" s="19"/>
      <c r="G104" s="19"/>
      <c r="H104" s="19"/>
      <c r="I104" s="19"/>
      <c r="J104" s="19"/>
      <c r="K104" s="19"/>
      <c r="L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row>
    <row r="105" spans="1:56" x14ac:dyDescent="0.3">
      <c r="A105" s="55" t="s">
        <v>539</v>
      </c>
      <c r="B105" s="56">
        <v>5466</v>
      </c>
      <c r="C105" s="57">
        <v>734.28723015001833</v>
      </c>
      <c r="D105" s="19"/>
      <c r="E105" s="19"/>
      <c r="F105" s="19"/>
      <c r="G105" s="19"/>
      <c r="H105" s="19"/>
      <c r="I105" s="19"/>
      <c r="J105" s="19"/>
      <c r="K105" s="19"/>
      <c r="L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row>
    <row r="106" spans="1:56" x14ac:dyDescent="0.3">
      <c r="A106" s="55" t="s">
        <v>23</v>
      </c>
      <c r="B106" s="56">
        <v>5537</v>
      </c>
      <c r="C106" s="57">
        <v>1577.2822828246342</v>
      </c>
      <c r="D106" s="19"/>
      <c r="E106" s="19"/>
      <c r="F106" s="19"/>
      <c r="G106" s="19"/>
      <c r="H106" s="19"/>
      <c r="I106" s="19"/>
      <c r="J106" s="19"/>
      <c r="K106" s="19"/>
      <c r="L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row>
    <row r="107" spans="1:56" x14ac:dyDescent="0.3">
      <c r="A107" s="52" t="s">
        <v>561</v>
      </c>
      <c r="B107" s="53">
        <v>4957</v>
      </c>
      <c r="C107" s="54">
        <v>851.59713536413153</v>
      </c>
      <c r="D107" s="19"/>
      <c r="E107" s="19"/>
      <c r="F107" s="19"/>
      <c r="G107" s="19"/>
      <c r="H107" s="19"/>
      <c r="I107" s="19"/>
      <c r="J107" s="19"/>
      <c r="K107" s="19"/>
      <c r="L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row>
    <row r="108" spans="1:56" x14ac:dyDescent="0.3">
      <c r="A108" s="55" t="s">
        <v>76</v>
      </c>
      <c r="B108" s="56">
        <v>314</v>
      </c>
      <c r="C108" s="57">
        <v>185.31528662420382</v>
      </c>
      <c r="D108" s="19"/>
      <c r="E108" s="19"/>
      <c r="F108" s="19"/>
      <c r="G108" s="19"/>
      <c r="H108" s="19"/>
      <c r="I108" s="19"/>
      <c r="J108" s="19"/>
      <c r="K108" s="19"/>
      <c r="L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row>
    <row r="109" spans="1:56" x14ac:dyDescent="0.3">
      <c r="A109" s="55" t="s">
        <v>539</v>
      </c>
      <c r="B109" s="56">
        <v>3425</v>
      </c>
      <c r="C109" s="57">
        <v>658.20029197080294</v>
      </c>
      <c r="D109" s="19"/>
      <c r="E109" s="19"/>
      <c r="F109" s="19"/>
      <c r="G109" s="19"/>
      <c r="H109" s="19"/>
      <c r="I109" s="19"/>
      <c r="J109" s="19"/>
      <c r="K109" s="19"/>
      <c r="L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row>
    <row r="110" spans="1:56" x14ac:dyDescent="0.3">
      <c r="A110" s="55" t="s">
        <v>23</v>
      </c>
      <c r="B110" s="56">
        <v>1218</v>
      </c>
      <c r="C110" s="57">
        <v>1567.1937602627258</v>
      </c>
      <c r="D110" s="19"/>
      <c r="E110" s="19"/>
      <c r="F110" s="19"/>
      <c r="G110" s="19"/>
      <c r="H110" s="19"/>
      <c r="I110" s="19"/>
      <c r="J110" s="19"/>
      <c r="K110" s="19"/>
      <c r="L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row>
    <row r="111" spans="1:56" x14ac:dyDescent="0.3">
      <c r="A111" s="52" t="s">
        <v>562</v>
      </c>
      <c r="B111" s="53">
        <v>2770</v>
      </c>
      <c r="C111" s="54">
        <v>1089.2335740072201</v>
      </c>
      <c r="D111" s="19"/>
      <c r="E111" s="19"/>
      <c r="F111" s="19"/>
      <c r="G111" s="19"/>
      <c r="H111" s="19"/>
      <c r="I111" s="19"/>
      <c r="J111" s="19"/>
      <c r="K111" s="19"/>
      <c r="L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row>
    <row r="112" spans="1:56" x14ac:dyDescent="0.3">
      <c r="A112" s="55" t="s">
        <v>76</v>
      </c>
      <c r="B112" s="56">
        <v>255</v>
      </c>
      <c r="C112" s="57">
        <v>312.69803921568626</v>
      </c>
      <c r="D112" s="19"/>
      <c r="E112" s="19"/>
      <c r="F112" s="19"/>
      <c r="G112" s="19"/>
      <c r="H112" s="19"/>
      <c r="I112" s="19"/>
      <c r="J112" s="19"/>
      <c r="K112" s="19"/>
      <c r="L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row>
    <row r="113" spans="1:56" x14ac:dyDescent="0.3">
      <c r="A113" s="55" t="s">
        <v>539</v>
      </c>
      <c r="B113" s="56">
        <v>1636</v>
      </c>
      <c r="C113" s="57">
        <v>815.27811735941316</v>
      </c>
      <c r="D113" s="19"/>
      <c r="E113" s="19"/>
      <c r="F113" s="19"/>
      <c r="G113" s="19"/>
      <c r="H113" s="19"/>
      <c r="I113" s="19"/>
      <c r="J113" s="19"/>
      <c r="K113" s="19"/>
      <c r="L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row>
    <row r="114" spans="1:56" x14ac:dyDescent="0.3">
      <c r="A114" s="55" t="s">
        <v>23</v>
      </c>
      <c r="B114" s="56">
        <v>879</v>
      </c>
      <c r="C114" s="57">
        <v>1824.3959044368601</v>
      </c>
      <c r="D114" s="19"/>
      <c r="E114" s="19"/>
      <c r="F114" s="19"/>
      <c r="G114" s="19"/>
      <c r="H114" s="19"/>
      <c r="I114" s="19"/>
      <c r="J114" s="19"/>
      <c r="K114" s="19"/>
      <c r="L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row>
    <row r="115" spans="1:56" x14ac:dyDescent="0.3">
      <c r="A115" s="52" t="s">
        <v>608</v>
      </c>
      <c r="B115" s="53">
        <v>4780</v>
      </c>
      <c r="C115" s="54">
        <v>453.41841004184101</v>
      </c>
      <c r="D115" s="19"/>
      <c r="E115" s="19"/>
      <c r="F115" s="19"/>
      <c r="G115" s="19"/>
      <c r="H115" s="19"/>
      <c r="I115" s="19"/>
      <c r="J115" s="19"/>
      <c r="K115" s="19"/>
      <c r="L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row>
    <row r="116" spans="1:56" x14ac:dyDescent="0.3">
      <c r="A116" s="55" t="s">
        <v>76</v>
      </c>
      <c r="B116" s="56">
        <v>480</v>
      </c>
      <c r="C116" s="57">
        <v>426.70625000000001</v>
      </c>
      <c r="D116" s="19"/>
      <c r="E116" s="19"/>
      <c r="F116" s="19"/>
      <c r="G116" s="19"/>
      <c r="H116" s="19"/>
      <c r="I116" s="19"/>
      <c r="J116" s="19"/>
      <c r="K116" s="19"/>
      <c r="L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row>
    <row r="117" spans="1:56" x14ac:dyDescent="0.3">
      <c r="A117" s="55" t="s">
        <v>539</v>
      </c>
      <c r="B117" s="56">
        <v>4169</v>
      </c>
      <c r="C117" s="57">
        <v>438.26960901894938</v>
      </c>
      <c r="D117" s="19"/>
      <c r="E117" s="19"/>
      <c r="F117" s="19"/>
      <c r="G117" s="19"/>
      <c r="H117" s="19"/>
      <c r="I117" s="19"/>
      <c r="J117" s="19"/>
      <c r="K117" s="19"/>
      <c r="L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row>
    <row r="118" spans="1:56" x14ac:dyDescent="0.3">
      <c r="A118" s="55" t="s">
        <v>23</v>
      </c>
      <c r="B118" s="56">
        <v>131</v>
      </c>
      <c r="C118" s="57">
        <v>1033.3969465648854</v>
      </c>
      <c r="M118"/>
    </row>
    <row r="119" spans="1:56" x14ac:dyDescent="0.3"/>
    <row r="120" spans="1:56" x14ac:dyDescent="0.3"/>
    <row r="121" spans="1:56" x14ac:dyDescent="0.3"/>
    <row r="122" spans="1:56" x14ac:dyDescent="0.3"/>
    <row r="123" spans="1:56" x14ac:dyDescent="0.3"/>
    <row r="124" spans="1:56" x14ac:dyDescent="0.3"/>
  </sheetData>
  <mergeCells count="9">
    <mergeCell ref="A16:C16"/>
    <mergeCell ref="A15:C15"/>
    <mergeCell ref="A4:D4"/>
    <mergeCell ref="A1:D1"/>
    <mergeCell ref="A2:D2"/>
    <mergeCell ref="A5:C5"/>
    <mergeCell ref="A12:C12"/>
    <mergeCell ref="A13:C13"/>
    <mergeCell ref="A14:C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141BE-9888-4447-AC23-1F34197BCE95}">
  <dimension ref="A1:AX125"/>
  <sheetViews>
    <sheetView showGridLines="0" topLeftCell="A7" zoomScale="80" zoomScaleNormal="80" zoomScaleSheetLayoutView="70" zoomScalePageLayoutView="90" workbookViewId="0">
      <selection sqref="A1:D1"/>
    </sheetView>
  </sheetViews>
  <sheetFormatPr defaultRowHeight="14.4" x14ac:dyDescent="0.3"/>
  <cols>
    <col min="1" max="1" width="36.44140625" customWidth="1"/>
    <col min="2" max="2" width="20.77734375" bestFit="1" customWidth="1"/>
    <col min="3" max="3" width="11.44140625" customWidth="1"/>
    <col min="4" max="4" width="14.44140625" customWidth="1"/>
    <col min="5" max="5" width="13.21875" customWidth="1"/>
    <col min="6" max="6" width="12.77734375" customWidth="1"/>
    <col min="7" max="8" width="10.44140625" customWidth="1"/>
    <col min="9" max="9" width="13.44140625" customWidth="1"/>
    <col min="10" max="10" width="11.5546875" customWidth="1"/>
    <col min="12" max="12" width="8.21875" customWidth="1"/>
    <col min="13" max="13" width="9" bestFit="1" customWidth="1"/>
    <col min="14" max="14" width="13.5546875" customWidth="1"/>
    <col min="15" max="15" width="17.21875" customWidth="1"/>
    <col min="16" max="16" width="10.44140625" customWidth="1"/>
    <col min="25" max="25" width="8.77734375" customWidth="1"/>
    <col min="27" max="27" width="10.5546875" bestFit="1" customWidth="1"/>
  </cols>
  <sheetData>
    <row r="1" spans="1:50" s="6" customFormat="1" ht="27.75" customHeight="1" x14ac:dyDescent="0.25">
      <c r="A1" s="264" t="s">
        <v>48</v>
      </c>
      <c r="B1" s="264"/>
      <c r="C1" s="264"/>
      <c r="D1" s="264"/>
    </row>
    <row r="2" spans="1:50" s="1" customFormat="1" ht="45.75" customHeight="1" x14ac:dyDescent="0.25">
      <c r="A2" s="265" t="s">
        <v>49</v>
      </c>
      <c r="B2" s="265"/>
      <c r="C2" s="265"/>
      <c r="D2" s="265"/>
      <c r="E2" s="265"/>
      <c r="F2" s="265"/>
      <c r="G2" s="265"/>
      <c r="H2" s="265"/>
      <c r="I2" s="265"/>
      <c r="J2" s="265"/>
      <c r="K2" s="265"/>
      <c r="L2" s="265"/>
      <c r="M2" s="265"/>
      <c r="N2" s="265"/>
      <c r="O2" s="265"/>
      <c r="P2" s="265"/>
      <c r="Q2" s="44"/>
      <c r="R2" s="44"/>
      <c r="S2" s="44"/>
      <c r="T2" s="44"/>
      <c r="U2" s="44"/>
      <c r="V2" s="44"/>
    </row>
    <row r="3" spans="1:50" ht="31.5" customHeight="1" x14ac:dyDescent="0.3">
      <c r="A3" s="263" t="s">
        <v>752</v>
      </c>
      <c r="B3" s="263"/>
      <c r="C3" s="263"/>
      <c r="D3" s="263"/>
      <c r="E3" s="42"/>
      <c r="F3" s="42"/>
      <c r="G3" s="42"/>
      <c r="H3" s="42"/>
      <c r="I3" s="42"/>
      <c r="J3" s="42"/>
      <c r="K3" s="42"/>
      <c r="L3" s="42"/>
      <c r="M3" s="42"/>
      <c r="N3" s="42"/>
      <c r="O3" s="42"/>
      <c r="P3" s="42"/>
      <c r="Q3" s="42"/>
      <c r="R3" s="42"/>
      <c r="S3" s="42"/>
      <c r="T3" s="42"/>
      <c r="U3" s="42"/>
      <c r="V3" s="42"/>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row>
    <row r="4" spans="1:50" s="6" customFormat="1" ht="30.75" customHeight="1" x14ac:dyDescent="0.25">
      <c r="A4" s="315"/>
      <c r="B4" s="315"/>
      <c r="C4" s="315"/>
      <c r="D4" s="315"/>
      <c r="E4" s="315"/>
      <c r="F4" s="315"/>
      <c r="G4" s="315"/>
      <c r="H4" s="315"/>
      <c r="I4" s="315"/>
      <c r="J4" s="315"/>
      <c r="K4" s="315"/>
      <c r="L4" s="315"/>
      <c r="M4" s="315"/>
      <c r="N4" s="315"/>
      <c r="O4" s="315"/>
      <c r="P4" s="315"/>
      <c r="Q4" s="315"/>
      <c r="R4" s="315"/>
      <c r="S4" s="315"/>
      <c r="T4" s="315"/>
      <c r="U4" s="315"/>
      <c r="V4" s="315"/>
      <c r="W4" s="184"/>
      <c r="X4" s="184"/>
      <c r="Y4" s="184"/>
      <c r="Z4" s="184"/>
    </row>
    <row r="5" spans="1:50" s="1" customFormat="1" ht="7.5" customHeight="1" thickBot="1" x14ac:dyDescent="0.3">
      <c r="A5" s="183"/>
      <c r="B5" s="183"/>
      <c r="C5" s="183"/>
      <c r="D5" s="183"/>
      <c r="E5" s="183"/>
      <c r="F5" s="183"/>
      <c r="G5" s="183"/>
      <c r="H5" s="183"/>
      <c r="I5" s="183"/>
      <c r="J5" s="183"/>
      <c r="K5" s="183"/>
      <c r="L5" s="183"/>
      <c r="M5" s="183"/>
      <c r="N5" s="183"/>
      <c r="O5" s="183"/>
      <c r="P5" s="183"/>
      <c r="Q5" s="183"/>
      <c r="R5" s="183"/>
      <c r="S5" s="183"/>
      <c r="T5" s="183"/>
      <c r="U5" s="183"/>
      <c r="V5" s="183"/>
      <c r="W5" s="2"/>
      <c r="X5" s="2"/>
      <c r="Y5" s="2"/>
      <c r="Z5" s="2"/>
    </row>
    <row r="6" spans="1:50" s="1" customFormat="1" ht="16.5" customHeight="1" x14ac:dyDescent="0.25">
      <c r="A6" s="271"/>
      <c r="B6" s="272"/>
      <c r="C6" s="272"/>
      <c r="D6" s="272"/>
      <c r="E6" s="272"/>
      <c r="F6" s="272"/>
      <c r="G6" s="272"/>
      <c r="H6" s="272"/>
      <c r="I6" s="272"/>
      <c r="J6" s="272"/>
      <c r="K6" s="272"/>
      <c r="L6" s="272"/>
      <c r="M6" s="272"/>
      <c r="N6" s="272"/>
      <c r="O6" s="272"/>
      <c r="P6" s="272"/>
      <c r="Q6" s="272"/>
      <c r="R6" s="272"/>
      <c r="S6" s="272"/>
      <c r="T6" s="272"/>
      <c r="U6" s="272"/>
      <c r="V6" s="273"/>
      <c r="W6" s="2"/>
      <c r="X6" s="2"/>
      <c r="Y6" s="2"/>
      <c r="Z6" s="2"/>
    </row>
    <row r="7" spans="1:50" s="6" customFormat="1" ht="16.5" customHeight="1" x14ac:dyDescent="0.25">
      <c r="A7" s="66"/>
      <c r="B7" s="179"/>
      <c r="C7" s="179"/>
      <c r="D7" s="179"/>
      <c r="E7" s="179"/>
      <c r="F7" s="179"/>
      <c r="G7" s="179"/>
      <c r="H7" s="179"/>
      <c r="J7" s="182"/>
      <c r="K7" s="182"/>
      <c r="L7" s="182"/>
      <c r="N7" s="179"/>
      <c r="O7" s="179"/>
      <c r="P7" s="179"/>
      <c r="Q7" s="179"/>
      <c r="R7" s="179"/>
      <c r="S7" s="179"/>
      <c r="T7" s="179"/>
      <c r="U7" s="179"/>
      <c r="V7" s="26"/>
      <c r="W7" s="27"/>
      <c r="X7" s="27"/>
      <c r="Y7" s="27"/>
      <c r="Z7" s="27"/>
    </row>
    <row r="8" spans="1:50" s="60" customFormat="1" ht="30.6" customHeight="1" x14ac:dyDescent="0.25">
      <c r="A8" s="274" t="s">
        <v>611</v>
      </c>
      <c r="B8" s="275"/>
      <c r="C8" s="275"/>
      <c r="D8" s="275"/>
      <c r="E8" s="140"/>
      <c r="F8" s="140"/>
      <c r="G8" s="275" t="s">
        <v>601</v>
      </c>
      <c r="H8" s="275"/>
      <c r="I8" s="275"/>
      <c r="J8" s="275"/>
      <c r="K8" s="275"/>
      <c r="M8" s="275" t="s">
        <v>613</v>
      </c>
      <c r="N8" s="275"/>
      <c r="O8" s="275"/>
      <c r="P8" s="275"/>
      <c r="Q8" s="275"/>
      <c r="T8" s="181"/>
      <c r="U8" s="181"/>
      <c r="V8" s="134"/>
      <c r="W8" s="61"/>
      <c r="X8" s="61"/>
      <c r="Y8" s="61"/>
      <c r="Z8" s="61"/>
      <c r="AB8" s="180"/>
      <c r="AC8" s="180"/>
    </row>
    <row r="9" spans="1:50" s="6" customFormat="1" ht="28.35" customHeight="1" x14ac:dyDescent="0.25">
      <c r="A9" s="24" t="s">
        <v>597</v>
      </c>
      <c r="B9" s="133" t="s">
        <v>739</v>
      </c>
      <c r="C9" s="133" t="s">
        <v>122</v>
      </c>
      <c r="D9" s="133" t="s">
        <v>1</v>
      </c>
      <c r="E9" s="179"/>
      <c r="F9" s="179"/>
      <c r="G9" s="322" t="s">
        <v>123</v>
      </c>
      <c r="H9" s="323"/>
      <c r="I9" s="63" t="s">
        <v>739</v>
      </c>
      <c r="J9" s="63" t="s">
        <v>122</v>
      </c>
      <c r="K9" s="63" t="s">
        <v>1</v>
      </c>
      <c r="M9" s="277" t="s">
        <v>120</v>
      </c>
      <c r="N9" s="277"/>
      <c r="O9" s="277" t="s">
        <v>121</v>
      </c>
      <c r="P9" s="277"/>
      <c r="Q9" s="277"/>
      <c r="R9" s="179"/>
      <c r="S9" s="179"/>
      <c r="T9" s="179"/>
      <c r="U9" s="27"/>
      <c r="V9" s="31"/>
      <c r="W9" s="27"/>
      <c r="X9" s="27"/>
      <c r="Y9" s="27"/>
      <c r="Z9" s="27"/>
      <c r="AA9" s="27"/>
      <c r="AB9" s="97"/>
      <c r="AC9" s="97"/>
    </row>
    <row r="10" spans="1:50" s="6" customFormat="1" ht="16.5" customHeight="1" thickBot="1" x14ac:dyDescent="0.3">
      <c r="A10" s="67" t="s">
        <v>1</v>
      </c>
      <c r="B10" s="82">
        <v>1152</v>
      </c>
      <c r="C10" s="82">
        <v>20800</v>
      </c>
      <c r="D10" s="82">
        <v>21952</v>
      </c>
      <c r="E10" s="179"/>
      <c r="F10" s="179"/>
      <c r="G10" s="276" t="s">
        <v>751</v>
      </c>
      <c r="H10" s="276"/>
      <c r="I10" s="28">
        <v>441.5</v>
      </c>
      <c r="J10" s="28">
        <v>46.342141152403698</v>
      </c>
      <c r="K10" s="28">
        <v>46.476823449216099</v>
      </c>
      <c r="M10" s="278" t="s">
        <v>1</v>
      </c>
      <c r="N10" s="278"/>
      <c r="O10" s="319">
        <v>1282</v>
      </c>
      <c r="P10" s="320"/>
      <c r="Q10" s="321"/>
      <c r="R10" s="179"/>
      <c r="S10" s="179"/>
      <c r="T10" s="179"/>
      <c r="U10" s="158"/>
      <c r="V10" s="108"/>
      <c r="W10" s="158"/>
      <c r="X10" s="27"/>
      <c r="Y10" s="27"/>
      <c r="Z10" s="27"/>
      <c r="AA10" s="27"/>
      <c r="AB10" s="97"/>
      <c r="AC10" s="97"/>
    </row>
    <row r="11" spans="1:50" s="6" customFormat="1" ht="13.35" customHeight="1" thickTop="1" x14ac:dyDescent="0.25">
      <c r="A11" s="68" t="s">
        <v>128</v>
      </c>
      <c r="B11" s="148" t="s">
        <v>750</v>
      </c>
      <c r="C11" s="148">
        <v>10188</v>
      </c>
      <c r="D11" s="148">
        <v>10188</v>
      </c>
      <c r="E11" s="179"/>
      <c r="F11" s="179"/>
      <c r="G11" s="324"/>
      <c r="H11" s="324"/>
      <c r="I11" s="62"/>
      <c r="J11" s="62"/>
      <c r="K11" s="62"/>
      <c r="M11" s="279" t="s">
        <v>739</v>
      </c>
      <c r="N11" s="279"/>
      <c r="O11" s="280">
        <v>0</v>
      </c>
      <c r="P11" s="281"/>
      <c r="Q11" s="282"/>
      <c r="R11" s="179"/>
      <c r="S11" s="179"/>
      <c r="T11" s="179"/>
      <c r="U11" s="158"/>
      <c r="V11" s="108"/>
      <c r="W11" s="158"/>
      <c r="X11" s="27"/>
      <c r="Y11" s="27"/>
      <c r="Z11" s="27"/>
      <c r="AA11" s="27"/>
      <c r="AB11" s="97"/>
      <c r="AC11" s="97"/>
    </row>
    <row r="12" spans="1:50" s="6" customFormat="1" ht="13.35" customHeight="1" x14ac:dyDescent="0.25">
      <c r="A12" s="69" t="s">
        <v>129</v>
      </c>
      <c r="B12" s="148">
        <v>649</v>
      </c>
      <c r="C12" s="148">
        <v>8490</v>
      </c>
      <c r="D12" s="148">
        <v>9139</v>
      </c>
      <c r="E12" s="179"/>
      <c r="F12" s="179"/>
      <c r="M12" s="270" t="s">
        <v>122</v>
      </c>
      <c r="N12" s="270"/>
      <c r="O12" s="316">
        <v>1282</v>
      </c>
      <c r="P12" s="317"/>
      <c r="Q12" s="318"/>
      <c r="R12" s="179"/>
      <c r="S12" s="179"/>
      <c r="T12" s="179"/>
      <c r="U12" s="158"/>
      <c r="V12" s="108"/>
      <c r="W12" s="158"/>
      <c r="X12" s="27"/>
      <c r="Y12" s="27"/>
      <c r="Z12" s="27"/>
      <c r="AA12" s="27"/>
      <c r="AB12" s="97"/>
      <c r="AC12" s="97"/>
    </row>
    <row r="13" spans="1:50" s="6" customFormat="1" ht="13.35" customHeight="1" x14ac:dyDescent="0.25">
      <c r="A13" s="69" t="s">
        <v>130</v>
      </c>
      <c r="B13" s="148">
        <v>2</v>
      </c>
      <c r="C13" s="148">
        <v>1566</v>
      </c>
      <c r="D13" s="148">
        <v>1568</v>
      </c>
      <c r="E13" s="179"/>
      <c r="F13" s="179"/>
      <c r="G13" s="179"/>
      <c r="H13" s="179"/>
      <c r="I13" s="179"/>
      <c r="J13" s="179"/>
      <c r="K13" s="179"/>
      <c r="R13" s="179"/>
      <c r="S13" s="179"/>
      <c r="T13" s="179"/>
      <c r="U13" s="158"/>
      <c r="V13" s="108"/>
      <c r="W13" s="158"/>
      <c r="X13" s="27"/>
      <c r="Y13" s="27"/>
      <c r="Z13" s="27"/>
      <c r="AA13" s="27"/>
      <c r="AB13" s="97"/>
      <c r="AC13" s="97"/>
    </row>
    <row r="14" spans="1:50" s="6" customFormat="1" ht="13.35" customHeight="1" x14ac:dyDescent="0.25">
      <c r="A14" s="69" t="s">
        <v>0</v>
      </c>
      <c r="B14" s="148">
        <v>501</v>
      </c>
      <c r="C14" s="148">
        <v>556</v>
      </c>
      <c r="D14" s="148">
        <v>1057</v>
      </c>
      <c r="E14" s="179"/>
      <c r="F14" s="179"/>
      <c r="G14" s="179"/>
      <c r="H14" s="179"/>
      <c r="I14" s="179"/>
      <c r="J14" s="179"/>
      <c r="K14" s="179"/>
      <c r="L14" s="179"/>
      <c r="M14" s="179"/>
      <c r="N14" s="179"/>
      <c r="O14" s="179"/>
      <c r="P14" s="179"/>
      <c r="Q14" s="179"/>
      <c r="R14" s="179"/>
      <c r="S14" s="179"/>
      <c r="T14" s="179"/>
      <c r="U14" s="158"/>
      <c r="V14" s="108"/>
      <c r="W14" s="158"/>
      <c r="X14" s="27"/>
      <c r="Y14" s="27"/>
      <c r="Z14" s="27"/>
      <c r="AA14" s="27"/>
      <c r="AB14" s="97"/>
      <c r="AC14" s="97"/>
    </row>
    <row r="15" spans="1:50" s="6" customFormat="1" ht="16.5" customHeight="1" x14ac:dyDescent="0.25">
      <c r="A15" s="70"/>
      <c r="B15" s="29"/>
      <c r="C15" s="29"/>
      <c r="D15" s="29"/>
      <c r="E15" s="29"/>
      <c r="F15" s="29"/>
      <c r="G15" s="179"/>
      <c r="H15" s="179"/>
      <c r="I15" s="179"/>
      <c r="J15" s="179"/>
      <c r="K15" s="179"/>
      <c r="L15" s="179"/>
      <c r="M15" s="179"/>
      <c r="N15" s="179"/>
      <c r="O15" s="179"/>
      <c r="P15" s="179"/>
      <c r="Q15" s="179"/>
      <c r="R15" s="179"/>
      <c r="S15" s="179"/>
      <c r="T15" s="179"/>
      <c r="U15" s="179"/>
      <c r="V15" s="26"/>
      <c r="W15" s="27"/>
      <c r="X15" s="27"/>
      <c r="Y15" s="27"/>
      <c r="Z15" s="27"/>
      <c r="AA15" s="27"/>
      <c r="AB15" s="97"/>
      <c r="AC15" s="97"/>
      <c r="AK15" s="97"/>
      <c r="AL15" s="97"/>
    </row>
    <row r="16" spans="1:50" s="6" customFormat="1" ht="16.5" customHeight="1" x14ac:dyDescent="0.25">
      <c r="A16" s="283"/>
      <c r="B16" s="284"/>
      <c r="C16" s="284"/>
      <c r="D16" s="284"/>
      <c r="E16" s="284"/>
      <c r="F16" s="284"/>
      <c r="G16" s="284"/>
      <c r="H16" s="284"/>
      <c r="I16" s="284"/>
      <c r="J16" s="284"/>
      <c r="K16" s="284"/>
      <c r="L16" s="284"/>
      <c r="M16" s="284"/>
      <c r="N16" s="284"/>
      <c r="O16" s="284"/>
      <c r="P16" s="284"/>
      <c r="Q16" s="284"/>
      <c r="R16" s="284"/>
      <c r="S16" s="284"/>
      <c r="T16" s="284"/>
      <c r="U16" s="284"/>
      <c r="V16" s="285"/>
      <c r="W16" s="27"/>
      <c r="X16" s="97"/>
      <c r="Y16" s="27"/>
      <c r="Z16" s="27"/>
      <c r="AK16" s="97"/>
    </row>
    <row r="17" spans="1:38" s="6" customFormat="1" ht="16.5" customHeight="1" x14ac:dyDescent="0.25">
      <c r="A17" s="66"/>
      <c r="B17" s="179"/>
      <c r="C17" s="179"/>
      <c r="D17" s="179"/>
      <c r="E17" s="179"/>
      <c r="F17" s="179"/>
      <c r="G17" s="179"/>
      <c r="H17" s="179"/>
      <c r="I17" s="179"/>
      <c r="J17" s="179"/>
      <c r="K17" s="179"/>
      <c r="L17" s="179"/>
      <c r="M17" s="179"/>
      <c r="N17" s="179"/>
      <c r="O17" s="179"/>
      <c r="P17" s="179"/>
      <c r="Q17" s="179"/>
      <c r="R17" s="179"/>
      <c r="S17" s="179"/>
      <c r="T17" s="179"/>
      <c r="U17" s="179"/>
      <c r="V17" s="26"/>
      <c r="W17" s="27"/>
      <c r="X17" s="27"/>
      <c r="Y17" s="27"/>
      <c r="Z17" s="27"/>
      <c r="AF17" s="97"/>
      <c r="AK17" s="97"/>
    </row>
    <row r="18" spans="1:38" s="7" customFormat="1" ht="27.6" customHeight="1" x14ac:dyDescent="0.25">
      <c r="A18" s="274" t="s">
        <v>612</v>
      </c>
      <c r="B18" s="275"/>
      <c r="C18" s="275"/>
      <c r="D18" s="275"/>
      <c r="E18" s="275"/>
      <c r="F18" s="275"/>
      <c r="I18" s="268" t="s">
        <v>749</v>
      </c>
      <c r="J18" s="268"/>
      <c r="K18" s="268"/>
      <c r="L18" s="268"/>
      <c r="M18" s="268"/>
      <c r="N18" s="268"/>
      <c r="O18" s="268"/>
      <c r="P18" s="268"/>
      <c r="Q18" s="268"/>
      <c r="R18" s="268"/>
      <c r="S18" s="268"/>
      <c r="T18" s="268"/>
      <c r="U18" s="268"/>
      <c r="V18" s="269"/>
      <c r="W18" s="30"/>
      <c r="X18" s="30"/>
      <c r="Y18" s="30"/>
      <c r="AE18" s="6"/>
      <c r="AF18" s="97"/>
      <c r="AG18" s="6"/>
      <c r="AH18" s="6"/>
      <c r="AI18" s="6"/>
      <c r="AJ18" s="6"/>
      <c r="AK18" s="6"/>
      <c r="AL18" s="97"/>
    </row>
    <row r="19" spans="1:38" s="1" customFormat="1" ht="28.8" customHeight="1" x14ac:dyDescent="0.25">
      <c r="A19" s="133" t="s">
        <v>124</v>
      </c>
      <c r="B19" s="133" t="s">
        <v>80</v>
      </c>
      <c r="C19" s="133" t="s">
        <v>125</v>
      </c>
      <c r="D19" s="133" t="s">
        <v>63</v>
      </c>
      <c r="E19" s="133" t="s">
        <v>126</v>
      </c>
      <c r="F19" s="133" t="s">
        <v>1</v>
      </c>
      <c r="I19" s="133" t="s">
        <v>131</v>
      </c>
      <c r="J19" s="133" t="s">
        <v>132</v>
      </c>
      <c r="K19" s="133" t="s">
        <v>133</v>
      </c>
      <c r="L19" s="133" t="s">
        <v>134</v>
      </c>
      <c r="M19" s="133" t="s">
        <v>135</v>
      </c>
      <c r="N19" s="133" t="s">
        <v>136</v>
      </c>
      <c r="O19" s="133" t="s">
        <v>137</v>
      </c>
      <c r="P19" s="133" t="s">
        <v>138</v>
      </c>
      <c r="Q19" s="133" t="s">
        <v>139</v>
      </c>
      <c r="R19" s="133" t="s">
        <v>140</v>
      </c>
      <c r="S19" s="133" t="s">
        <v>142</v>
      </c>
      <c r="T19" s="133" t="s">
        <v>143</v>
      </c>
      <c r="U19" s="133" t="s">
        <v>144</v>
      </c>
      <c r="V19" s="133" t="s">
        <v>1</v>
      </c>
      <c r="W19" s="32"/>
      <c r="X19" s="104"/>
      <c r="Y19" s="104"/>
      <c r="Z19" s="178"/>
      <c r="AA19" s="177"/>
      <c r="AB19" s="99"/>
      <c r="AC19" s="99"/>
      <c r="AD19" s="99"/>
      <c r="AE19" s="107"/>
      <c r="AF19" s="99"/>
      <c r="AG19" s="99"/>
      <c r="AH19" s="99"/>
      <c r="AI19" s="99"/>
      <c r="AJ19" s="99"/>
      <c r="AK19" s="99"/>
    </row>
    <row r="20" spans="1:38" s="1" customFormat="1" ht="18" customHeight="1" thickBot="1" x14ac:dyDescent="0.3">
      <c r="A20" s="67" t="s">
        <v>1</v>
      </c>
      <c r="B20" s="82">
        <v>4762</v>
      </c>
      <c r="C20" s="79">
        <v>0.21692784256559799</v>
      </c>
      <c r="D20" s="82">
        <v>17190</v>
      </c>
      <c r="E20" s="79">
        <v>0.78307215743440195</v>
      </c>
      <c r="F20" s="82">
        <v>21952</v>
      </c>
      <c r="I20" s="25" t="s">
        <v>1</v>
      </c>
      <c r="J20" s="87">
        <v>30318</v>
      </c>
      <c r="K20" s="88">
        <v>32771</v>
      </c>
      <c r="L20" s="87">
        <v>5221</v>
      </c>
      <c r="M20" s="87">
        <v>0</v>
      </c>
      <c r="N20" s="87">
        <v>0</v>
      </c>
      <c r="O20" s="87">
        <v>0</v>
      </c>
      <c r="P20" s="87">
        <v>0</v>
      </c>
      <c r="Q20" s="87">
        <v>0</v>
      </c>
      <c r="R20" s="87">
        <v>0</v>
      </c>
      <c r="S20" s="87">
        <v>0</v>
      </c>
      <c r="T20" s="87">
        <v>0</v>
      </c>
      <c r="U20" s="87">
        <v>0</v>
      </c>
      <c r="V20" s="81">
        <v>68310</v>
      </c>
      <c r="W20" s="32"/>
      <c r="X20" s="32"/>
      <c r="Y20" s="104"/>
      <c r="Z20" s="104"/>
      <c r="AA20" s="99"/>
      <c r="AB20" s="99"/>
      <c r="AC20" s="99"/>
      <c r="AD20" s="99"/>
      <c r="AE20" s="107"/>
      <c r="AF20" s="99"/>
      <c r="AG20" s="99"/>
    </row>
    <row r="21" spans="1:38" s="1" customFormat="1" ht="15" customHeight="1" thickTop="1" x14ac:dyDescent="0.25">
      <c r="A21" s="68" t="s">
        <v>67</v>
      </c>
      <c r="B21" s="137">
        <v>3905</v>
      </c>
      <c r="C21" s="77">
        <v>0.85654748848431705</v>
      </c>
      <c r="D21" s="137">
        <v>654</v>
      </c>
      <c r="E21" s="77">
        <v>0.143452511515683</v>
      </c>
      <c r="F21" s="137">
        <v>4559</v>
      </c>
      <c r="I21" s="137" t="s">
        <v>63</v>
      </c>
      <c r="J21" s="89">
        <v>26008</v>
      </c>
      <c r="K21" s="89">
        <v>28489</v>
      </c>
      <c r="L21" s="89">
        <v>4631</v>
      </c>
      <c r="M21" s="89">
        <v>0</v>
      </c>
      <c r="N21" s="89">
        <v>0</v>
      </c>
      <c r="O21" s="89">
        <v>0</v>
      </c>
      <c r="P21" s="89">
        <v>0</v>
      </c>
      <c r="Q21" s="89">
        <v>0</v>
      </c>
      <c r="R21" s="89">
        <v>0</v>
      </c>
      <c r="S21" s="89">
        <v>0</v>
      </c>
      <c r="T21" s="89">
        <v>0</v>
      </c>
      <c r="U21" s="89">
        <v>0</v>
      </c>
      <c r="V21" s="80">
        <v>59128</v>
      </c>
      <c r="W21" s="32"/>
      <c r="X21" s="121"/>
      <c r="Y21" s="121"/>
      <c r="Z21" s="104"/>
      <c r="AA21" s="99"/>
      <c r="AB21" s="107"/>
      <c r="AC21" s="107"/>
      <c r="AD21" s="107"/>
      <c r="AE21" s="107"/>
      <c r="AF21" s="107"/>
      <c r="AG21" s="107"/>
      <c r="AH21" s="107"/>
      <c r="AI21" s="107"/>
      <c r="AJ21" s="107"/>
      <c r="AK21" s="107"/>
      <c r="AL21" s="107"/>
    </row>
    <row r="22" spans="1:38" s="1" customFormat="1" ht="15" customHeight="1" x14ac:dyDescent="0.25">
      <c r="A22" s="69" t="s">
        <v>99</v>
      </c>
      <c r="B22" s="138">
        <v>609</v>
      </c>
      <c r="C22" s="78">
        <v>0.65413533834586501</v>
      </c>
      <c r="D22" s="138">
        <v>322</v>
      </c>
      <c r="E22" s="78">
        <v>0.34586466165413499</v>
      </c>
      <c r="F22" s="138">
        <v>931</v>
      </c>
      <c r="I22" s="138" t="s">
        <v>609</v>
      </c>
      <c r="J22" s="90">
        <v>4310</v>
      </c>
      <c r="K22" s="90">
        <v>4282</v>
      </c>
      <c r="L22" s="90">
        <v>590</v>
      </c>
      <c r="M22" s="90">
        <v>0</v>
      </c>
      <c r="N22" s="90">
        <v>0</v>
      </c>
      <c r="O22" s="90">
        <v>0</v>
      </c>
      <c r="P22" s="90">
        <v>0</v>
      </c>
      <c r="Q22" s="90">
        <v>0</v>
      </c>
      <c r="R22" s="90">
        <v>0</v>
      </c>
      <c r="S22" s="90">
        <v>0</v>
      </c>
      <c r="T22" s="90">
        <v>0</v>
      </c>
      <c r="U22" s="90">
        <v>0</v>
      </c>
      <c r="V22" s="119">
        <v>9182</v>
      </c>
      <c r="W22" s="32"/>
      <c r="X22" s="121"/>
      <c r="Y22" s="121"/>
      <c r="Z22" s="121"/>
      <c r="AA22" s="107"/>
      <c r="AB22" s="107"/>
      <c r="AC22" s="107"/>
      <c r="AD22" s="107"/>
      <c r="AE22" s="107"/>
      <c r="AF22" s="107"/>
      <c r="AG22" s="107"/>
      <c r="AH22" s="107"/>
      <c r="AI22" s="107"/>
      <c r="AJ22" s="107"/>
      <c r="AK22" s="107"/>
      <c r="AL22" s="107"/>
    </row>
    <row r="23" spans="1:38" s="1" customFormat="1" ht="15" customHeight="1" x14ac:dyDescent="0.25">
      <c r="A23" s="69" t="s">
        <v>127</v>
      </c>
      <c r="B23" s="138">
        <v>248</v>
      </c>
      <c r="C23" s="78">
        <v>1.50649981776212E-2</v>
      </c>
      <c r="D23" s="138">
        <v>16214</v>
      </c>
      <c r="E23" s="78">
        <v>0.98493500182237903</v>
      </c>
      <c r="F23" s="138">
        <v>16462</v>
      </c>
      <c r="T23" s="27"/>
      <c r="U23" s="27"/>
      <c r="V23" s="31"/>
      <c r="W23" s="32"/>
      <c r="X23" s="121"/>
      <c r="Y23" s="121"/>
      <c r="Z23" s="121"/>
      <c r="AA23" s="107"/>
      <c r="AB23" s="107"/>
      <c r="AC23" s="107"/>
      <c r="AD23" s="107"/>
      <c r="AE23" s="107"/>
      <c r="AF23" s="107"/>
      <c r="AG23" s="107"/>
      <c r="AH23" s="107"/>
      <c r="AI23" s="107"/>
      <c r="AJ23" s="107"/>
      <c r="AK23" s="107"/>
      <c r="AL23" s="107"/>
    </row>
    <row r="24" spans="1:38" s="1" customFormat="1" ht="12" x14ac:dyDescent="0.25">
      <c r="A24" s="71"/>
      <c r="T24" s="27"/>
      <c r="U24" s="27"/>
      <c r="V24" s="31"/>
      <c r="W24" s="32"/>
      <c r="X24" s="32"/>
      <c r="Y24" s="121"/>
      <c r="Z24" s="121"/>
      <c r="AA24" s="107"/>
      <c r="AB24" s="107"/>
      <c r="AC24" s="107"/>
      <c r="AD24" s="107"/>
      <c r="AE24" s="107"/>
      <c r="AF24" s="107"/>
      <c r="AG24" s="107"/>
      <c r="AH24" s="107"/>
      <c r="AK24" s="107"/>
      <c r="AL24" s="107"/>
    </row>
    <row r="25" spans="1:38" s="6" customFormat="1" ht="16.5" customHeight="1" x14ac:dyDescent="0.25">
      <c r="A25" s="283"/>
      <c r="B25" s="284"/>
      <c r="C25" s="284"/>
      <c r="D25" s="284"/>
      <c r="E25" s="284"/>
      <c r="F25" s="284"/>
      <c r="G25" s="284"/>
      <c r="H25" s="284"/>
      <c r="I25" s="284"/>
      <c r="J25" s="284"/>
      <c r="K25" s="284"/>
      <c r="L25" s="284"/>
      <c r="M25" s="284"/>
      <c r="N25" s="284"/>
      <c r="O25" s="284"/>
      <c r="P25" s="284"/>
      <c r="Q25" s="284"/>
      <c r="R25" s="284"/>
      <c r="S25" s="284"/>
      <c r="T25" s="284"/>
      <c r="U25" s="284"/>
      <c r="V25" s="285"/>
      <c r="W25" s="27"/>
      <c r="X25" s="27"/>
      <c r="Y25" s="27"/>
      <c r="Z25" s="158"/>
      <c r="AA25" s="97"/>
      <c r="AB25" s="97"/>
      <c r="AC25" s="97"/>
      <c r="AD25" s="97"/>
      <c r="AE25" s="97"/>
      <c r="AF25" s="97"/>
      <c r="AG25" s="97"/>
    </row>
    <row r="26" spans="1:38" s="1" customFormat="1" ht="12" x14ac:dyDescent="0.25">
      <c r="A26" s="71"/>
      <c r="T26" s="27"/>
      <c r="U26" s="27"/>
      <c r="V26" s="31"/>
      <c r="W26" s="32"/>
      <c r="X26" s="32"/>
      <c r="Y26" s="32"/>
      <c r="Z26" s="121"/>
      <c r="AA26" s="107"/>
      <c r="AB26" s="107"/>
      <c r="AC26" s="107"/>
      <c r="AG26" s="107"/>
    </row>
    <row r="27" spans="1:38" s="6" customFormat="1" ht="21.6" customHeight="1" x14ac:dyDescent="0.25">
      <c r="A27" s="294" t="s">
        <v>748</v>
      </c>
      <c r="B27" s="295"/>
      <c r="C27" s="295"/>
      <c r="D27" s="295"/>
      <c r="E27" s="295"/>
      <c r="F27" s="172"/>
      <c r="H27" s="295" t="s">
        <v>747</v>
      </c>
      <c r="I27" s="295"/>
      <c r="J27" s="295"/>
      <c r="K27" s="295"/>
      <c r="L27" s="295"/>
      <c r="M27" s="172"/>
      <c r="N27" s="295" t="s">
        <v>746</v>
      </c>
      <c r="O27" s="295"/>
      <c r="P27" s="295"/>
      <c r="Q27" s="295"/>
      <c r="R27" s="295"/>
      <c r="S27" s="172"/>
      <c r="V27" s="176"/>
      <c r="W27" s="175"/>
      <c r="X27" s="174"/>
      <c r="Y27" s="174"/>
      <c r="Z27" s="174"/>
      <c r="AA27" s="103"/>
      <c r="AB27" s="103"/>
      <c r="AC27" s="103"/>
      <c r="AD27" s="103"/>
      <c r="AE27" s="97"/>
      <c r="AF27" s="97"/>
      <c r="AG27" s="97"/>
      <c r="AH27" s="103"/>
      <c r="AI27" s="103"/>
    </row>
    <row r="28" spans="1:38" s="1" customFormat="1" ht="37.5" customHeight="1" x14ac:dyDescent="0.25">
      <c r="A28" s="24" t="s">
        <v>146</v>
      </c>
      <c r="B28" s="133" t="s">
        <v>67</v>
      </c>
      <c r="C28" s="133" t="s">
        <v>99</v>
      </c>
      <c r="D28" s="133" t="s">
        <v>127</v>
      </c>
      <c r="E28" s="133" t="s">
        <v>1</v>
      </c>
      <c r="H28" s="277" t="s">
        <v>146</v>
      </c>
      <c r="I28" s="277"/>
      <c r="J28" s="277" t="s">
        <v>1</v>
      </c>
      <c r="K28" s="277"/>
      <c r="L28" s="277"/>
      <c r="M28" s="27"/>
      <c r="N28" s="286"/>
      <c r="O28" s="287"/>
      <c r="P28" s="286" t="s">
        <v>141</v>
      </c>
      <c r="Q28" s="296"/>
      <c r="R28" s="287"/>
      <c r="U28" s="27"/>
      <c r="V28" s="72"/>
      <c r="W28" s="32"/>
      <c r="X28" s="32"/>
      <c r="Y28" s="32"/>
      <c r="Z28" s="107"/>
      <c r="AD28" s="107"/>
      <c r="AE28" s="107"/>
      <c r="AF28" s="107"/>
      <c r="AG28" s="107"/>
    </row>
    <row r="29" spans="1:38" s="1" customFormat="1" ht="15" customHeight="1" thickBot="1" x14ac:dyDescent="0.3">
      <c r="A29" s="67" t="s">
        <v>1</v>
      </c>
      <c r="B29" s="82">
        <v>6288</v>
      </c>
      <c r="C29" s="82">
        <v>1794</v>
      </c>
      <c r="D29" s="82">
        <v>60228</v>
      </c>
      <c r="E29" s="88">
        <v>68310</v>
      </c>
      <c r="H29" s="278" t="s">
        <v>1</v>
      </c>
      <c r="I29" s="278"/>
      <c r="J29" s="291">
        <v>57964</v>
      </c>
      <c r="K29" s="292"/>
      <c r="L29" s="293"/>
      <c r="M29" s="27"/>
      <c r="N29" s="297" t="s">
        <v>1</v>
      </c>
      <c r="O29" s="298"/>
      <c r="P29" s="288">
        <v>8741</v>
      </c>
      <c r="Q29" s="289"/>
      <c r="R29" s="290"/>
      <c r="U29" s="158"/>
      <c r="V29" s="120"/>
      <c r="W29" s="32"/>
      <c r="X29" s="121"/>
      <c r="Y29" s="121"/>
      <c r="Z29" s="107"/>
      <c r="AA29" s="107"/>
      <c r="AB29" s="107"/>
      <c r="AC29" s="107"/>
      <c r="AD29" s="107"/>
      <c r="AE29" s="107"/>
      <c r="AF29" s="107"/>
      <c r="AG29" s="107"/>
      <c r="AH29" s="107"/>
      <c r="AI29" s="107"/>
      <c r="AJ29" s="107"/>
    </row>
    <row r="30" spans="1:38" s="1" customFormat="1" ht="15" customHeight="1" thickTop="1" x14ac:dyDescent="0.25">
      <c r="A30" s="68" t="s">
        <v>739</v>
      </c>
      <c r="B30" s="137">
        <v>35</v>
      </c>
      <c r="C30" s="137">
        <v>16</v>
      </c>
      <c r="D30" s="137">
        <v>10637</v>
      </c>
      <c r="E30" s="137">
        <v>10688</v>
      </c>
      <c r="F30" s="6"/>
      <c r="G30" s="6"/>
      <c r="H30" s="279" t="s">
        <v>739</v>
      </c>
      <c r="I30" s="279"/>
      <c r="J30" s="301">
        <v>16171</v>
      </c>
      <c r="K30" s="302"/>
      <c r="L30" s="303"/>
      <c r="M30" s="27"/>
      <c r="N30" s="313" t="s">
        <v>745</v>
      </c>
      <c r="O30" s="314"/>
      <c r="P30" s="301">
        <v>14</v>
      </c>
      <c r="Q30" s="302"/>
      <c r="R30" s="303"/>
      <c r="U30" s="158"/>
      <c r="V30" s="120"/>
      <c r="W30" s="32"/>
      <c r="X30" s="121"/>
      <c r="Y30" s="121"/>
      <c r="Z30" s="107"/>
      <c r="AA30" s="107"/>
      <c r="AB30" s="107"/>
      <c r="AC30" s="107"/>
      <c r="AD30" s="107"/>
      <c r="AE30" s="107"/>
      <c r="AF30" s="107"/>
      <c r="AG30" s="107"/>
      <c r="AH30" s="107"/>
      <c r="AI30" s="107"/>
      <c r="AJ30" s="107"/>
    </row>
    <row r="31" spans="1:38" s="1" customFormat="1" ht="14.55" customHeight="1" x14ac:dyDescent="0.25">
      <c r="A31" s="69" t="s">
        <v>122</v>
      </c>
      <c r="B31" s="138">
        <v>6253</v>
      </c>
      <c r="C31" s="138">
        <v>1778</v>
      </c>
      <c r="D31" s="138">
        <v>49591</v>
      </c>
      <c r="E31" s="137">
        <v>57622</v>
      </c>
      <c r="F31" s="6"/>
      <c r="G31" s="6"/>
      <c r="H31" s="270" t="s">
        <v>122</v>
      </c>
      <c r="I31" s="270"/>
      <c r="J31" s="304">
        <v>41793</v>
      </c>
      <c r="K31" s="305"/>
      <c r="L31" s="306"/>
      <c r="M31" s="27"/>
      <c r="N31" s="27"/>
      <c r="O31" s="27"/>
      <c r="P31" s="27"/>
      <c r="Q31" s="27"/>
      <c r="R31" s="27"/>
      <c r="U31" s="158"/>
      <c r="V31" s="120"/>
      <c r="W31" s="32"/>
      <c r="X31" s="121"/>
      <c r="Y31" s="121"/>
      <c r="Z31" s="107"/>
      <c r="AA31" s="107"/>
      <c r="AB31" s="107"/>
      <c r="AC31" s="107"/>
      <c r="AD31" s="107"/>
      <c r="AE31" s="107"/>
      <c r="AF31" s="107"/>
      <c r="AG31" s="107"/>
      <c r="AH31" s="107"/>
      <c r="AI31" s="107"/>
      <c r="AJ31" s="107"/>
    </row>
    <row r="32" spans="1:38" s="1" customFormat="1" ht="12" x14ac:dyDescent="0.25">
      <c r="A32" s="71"/>
      <c r="F32" s="6"/>
      <c r="G32" s="6"/>
      <c r="H32" s="6"/>
      <c r="K32" s="6"/>
      <c r="L32" s="27"/>
      <c r="M32" s="27"/>
      <c r="N32" s="27"/>
      <c r="O32" s="27"/>
      <c r="P32" s="27"/>
      <c r="Q32" s="27"/>
      <c r="R32" s="27"/>
      <c r="S32" s="27"/>
      <c r="T32" s="27"/>
      <c r="U32" s="158"/>
      <c r="V32" s="31"/>
      <c r="W32" s="32"/>
      <c r="X32" s="121"/>
      <c r="Y32" s="121"/>
      <c r="Z32" s="121"/>
      <c r="AA32" s="107"/>
      <c r="AB32" s="107"/>
      <c r="AC32" s="107"/>
      <c r="AD32" s="107"/>
      <c r="AE32" s="107"/>
      <c r="AF32" s="107"/>
      <c r="AG32" s="107"/>
    </row>
    <row r="33" spans="1:45" s="6" customFormat="1" ht="16.5" customHeight="1" x14ac:dyDescent="0.25">
      <c r="A33" s="283"/>
      <c r="B33" s="284"/>
      <c r="C33" s="284"/>
      <c r="D33" s="284"/>
      <c r="E33" s="284"/>
      <c r="F33" s="284"/>
      <c r="G33" s="284"/>
      <c r="H33" s="284"/>
      <c r="I33" s="284"/>
      <c r="J33" s="284"/>
      <c r="K33" s="284"/>
      <c r="L33" s="284"/>
      <c r="M33" s="284"/>
      <c r="N33" s="284"/>
      <c r="O33" s="284"/>
      <c r="P33" s="284"/>
      <c r="Q33" s="284"/>
      <c r="R33" s="284"/>
      <c r="S33" s="284"/>
      <c r="T33" s="284"/>
      <c r="U33" s="284"/>
      <c r="V33" s="285"/>
      <c r="W33" s="27"/>
      <c r="X33" s="27"/>
      <c r="Y33" s="27"/>
      <c r="Z33" s="158"/>
      <c r="AA33" s="97"/>
      <c r="AB33" s="97"/>
      <c r="AC33" s="97"/>
      <c r="AD33" s="97"/>
      <c r="AE33" s="97"/>
      <c r="AF33" s="97"/>
      <c r="AG33" s="97"/>
    </row>
    <row r="34" spans="1:45" s="1" customFormat="1" ht="12" x14ac:dyDescent="0.25">
      <c r="A34" s="71"/>
      <c r="F34" s="6"/>
      <c r="G34" s="6"/>
      <c r="H34" s="6"/>
      <c r="I34" s="107"/>
      <c r="K34" s="6"/>
      <c r="L34" s="27"/>
      <c r="M34" s="27"/>
      <c r="N34" s="27"/>
      <c r="O34" s="27"/>
      <c r="P34" s="27"/>
      <c r="Q34" s="27"/>
      <c r="R34" s="27"/>
      <c r="S34" s="27"/>
      <c r="T34" s="27"/>
      <c r="U34" s="27"/>
      <c r="V34" s="173"/>
      <c r="W34" s="32"/>
      <c r="X34" s="32"/>
      <c r="Y34" s="32"/>
      <c r="Z34" s="121"/>
      <c r="AA34" s="107"/>
      <c r="AB34" s="107"/>
      <c r="AC34" s="107"/>
      <c r="AD34" s="107"/>
      <c r="AE34" s="107"/>
    </row>
    <row r="35" spans="1:45" s="1" customFormat="1" ht="12" x14ac:dyDescent="0.25">
      <c r="A35" s="71"/>
      <c r="F35" s="6"/>
      <c r="G35" s="6"/>
      <c r="H35" s="6"/>
      <c r="I35" s="99"/>
      <c r="J35" s="99"/>
      <c r="K35" s="103"/>
      <c r="L35" s="153"/>
      <c r="M35" s="153"/>
      <c r="N35" s="153"/>
      <c r="O35" s="153"/>
      <c r="P35" s="153"/>
      <c r="Q35" s="153"/>
      <c r="R35" s="153"/>
      <c r="S35" s="153"/>
      <c r="T35" s="27"/>
      <c r="U35" s="27"/>
      <c r="V35" s="31"/>
      <c r="W35" s="32"/>
      <c r="X35" s="32"/>
      <c r="Y35" s="32"/>
      <c r="Z35" s="121"/>
      <c r="AB35" s="107"/>
      <c r="AC35" s="107"/>
      <c r="AE35" s="107"/>
    </row>
    <row r="36" spans="1:45" s="1" customFormat="1" ht="22.5" customHeight="1" x14ac:dyDescent="0.25">
      <c r="A36" s="274" t="s">
        <v>744</v>
      </c>
      <c r="B36" s="275"/>
      <c r="C36" s="275"/>
      <c r="D36" s="275"/>
      <c r="E36" s="275"/>
      <c r="F36" s="172"/>
      <c r="G36" s="6"/>
      <c r="H36" s="6"/>
      <c r="I36" s="6"/>
      <c r="J36" s="6"/>
      <c r="K36" s="6"/>
      <c r="L36" s="6"/>
      <c r="M36" s="6"/>
      <c r="N36" s="6"/>
      <c r="O36" s="6"/>
      <c r="P36" s="6"/>
      <c r="Q36" s="6"/>
      <c r="R36" s="97"/>
      <c r="S36" s="6"/>
      <c r="T36" s="6"/>
      <c r="U36" s="6"/>
      <c r="V36" s="161"/>
      <c r="W36" s="32"/>
      <c r="X36" s="32"/>
      <c r="Y36" s="32"/>
      <c r="Z36" s="121"/>
      <c r="AB36" s="107"/>
      <c r="AC36" s="107"/>
      <c r="AE36" s="107"/>
    </row>
    <row r="37" spans="1:45" s="1" customFormat="1" ht="38.549999999999997" customHeight="1" x14ac:dyDescent="0.25">
      <c r="A37" s="73" t="s">
        <v>145</v>
      </c>
      <c r="B37" s="133" t="s">
        <v>124</v>
      </c>
      <c r="C37" s="133" t="s">
        <v>132</v>
      </c>
      <c r="D37" s="133" t="s">
        <v>133</v>
      </c>
      <c r="E37" s="133" t="s">
        <v>134</v>
      </c>
      <c r="F37" s="133" t="s">
        <v>135</v>
      </c>
      <c r="G37" s="133" t="s">
        <v>136</v>
      </c>
      <c r="H37" s="133" t="s">
        <v>137</v>
      </c>
      <c r="I37" s="133" t="s">
        <v>138</v>
      </c>
      <c r="J37" s="133" t="s">
        <v>139</v>
      </c>
      <c r="K37" s="133" t="s">
        <v>140</v>
      </c>
      <c r="L37" s="133" t="s">
        <v>142</v>
      </c>
      <c r="M37" s="133" t="s">
        <v>143</v>
      </c>
      <c r="N37" s="133" t="s">
        <v>144</v>
      </c>
      <c r="O37" s="133" t="s">
        <v>1</v>
      </c>
      <c r="P37" s="6"/>
      <c r="Q37" s="6"/>
      <c r="R37" s="97"/>
      <c r="S37" s="6"/>
      <c r="T37" s="6"/>
      <c r="U37" s="6"/>
      <c r="V37" s="161"/>
      <c r="W37" s="6"/>
      <c r="X37" s="6"/>
      <c r="Y37" s="6"/>
      <c r="Z37" s="6"/>
      <c r="AA37" s="6"/>
      <c r="AB37" s="6"/>
      <c r="AC37" s="6"/>
      <c r="AD37" s="32"/>
      <c r="AE37" s="32"/>
      <c r="AI37" s="107"/>
      <c r="AJ37" s="107"/>
      <c r="AL37" s="107"/>
    </row>
    <row r="38" spans="1:45" s="1" customFormat="1" ht="15.75" customHeight="1" thickBot="1" x14ac:dyDescent="0.3">
      <c r="A38" s="171" t="s">
        <v>1</v>
      </c>
      <c r="B38" s="82"/>
      <c r="C38" s="88">
        <v>23221</v>
      </c>
      <c r="D38" s="88">
        <v>29644</v>
      </c>
      <c r="E38" s="88">
        <v>5099</v>
      </c>
      <c r="F38" s="88">
        <f t="shared" ref="F38:N38" si="0">SUM(F43,F47,F51,F55,F59)</f>
        <v>0</v>
      </c>
      <c r="G38" s="88">
        <f t="shared" si="0"/>
        <v>0</v>
      </c>
      <c r="H38" s="88">
        <f t="shared" si="0"/>
        <v>0</v>
      </c>
      <c r="I38" s="88">
        <f t="shared" si="0"/>
        <v>0</v>
      </c>
      <c r="J38" s="88">
        <f t="shared" si="0"/>
        <v>0</v>
      </c>
      <c r="K38" s="88">
        <f t="shared" si="0"/>
        <v>0</v>
      </c>
      <c r="L38" s="88">
        <f t="shared" si="0"/>
        <v>0</v>
      </c>
      <c r="M38" s="88">
        <f t="shared" si="0"/>
        <v>0</v>
      </c>
      <c r="N38" s="88">
        <f t="shared" si="0"/>
        <v>0</v>
      </c>
      <c r="O38" s="82">
        <f>SUM(C38:N38)</f>
        <v>57964</v>
      </c>
      <c r="P38" s="6"/>
      <c r="Q38" s="6"/>
      <c r="R38" s="97"/>
      <c r="S38" s="6"/>
      <c r="T38" s="6"/>
      <c r="U38" s="97"/>
      <c r="V38" s="165"/>
      <c r="W38" s="97"/>
      <c r="X38" s="97"/>
      <c r="Y38" s="97"/>
      <c r="Z38" s="97"/>
      <c r="AA38" s="97"/>
      <c r="AB38" s="97"/>
      <c r="AC38" s="97"/>
      <c r="AD38" s="121"/>
      <c r="AE38" s="121"/>
      <c r="AF38" s="107"/>
      <c r="AG38" s="107"/>
      <c r="AH38" s="107"/>
      <c r="AI38" s="107"/>
      <c r="AJ38" s="107"/>
      <c r="AL38" s="107"/>
      <c r="AP38" s="107"/>
      <c r="AQ38" s="107"/>
      <c r="AR38" s="107"/>
      <c r="AS38" s="107"/>
    </row>
    <row r="39" spans="1:45" s="1" customFormat="1" ht="15" customHeight="1" thickTop="1" x14ac:dyDescent="0.25">
      <c r="A39" s="170" t="s">
        <v>569</v>
      </c>
      <c r="B39" s="170" t="s">
        <v>1</v>
      </c>
      <c r="C39" s="169">
        <v>1078</v>
      </c>
      <c r="D39" s="169">
        <v>1192</v>
      </c>
      <c r="E39" s="169">
        <v>148</v>
      </c>
      <c r="F39" s="169">
        <f t="shared" ref="F39:N39" si="1">F43+F47</f>
        <v>0</v>
      </c>
      <c r="G39" s="169">
        <f t="shared" si="1"/>
        <v>0</v>
      </c>
      <c r="H39" s="169">
        <f t="shared" si="1"/>
        <v>0</v>
      </c>
      <c r="I39" s="169">
        <f t="shared" si="1"/>
        <v>0</v>
      </c>
      <c r="J39" s="169">
        <f t="shared" si="1"/>
        <v>0</v>
      </c>
      <c r="K39" s="169">
        <f t="shared" si="1"/>
        <v>0</v>
      </c>
      <c r="L39" s="169">
        <f t="shared" si="1"/>
        <v>0</v>
      </c>
      <c r="M39" s="169">
        <f t="shared" si="1"/>
        <v>0</v>
      </c>
      <c r="N39" s="169">
        <f t="shared" si="1"/>
        <v>0</v>
      </c>
      <c r="O39" s="169">
        <f>SUM(O40:O42)</f>
        <v>2418</v>
      </c>
      <c r="P39" s="167"/>
      <c r="Q39" s="167"/>
      <c r="R39" s="97"/>
      <c r="S39" s="97"/>
      <c r="T39" s="97"/>
      <c r="U39" s="97"/>
      <c r="V39" s="165"/>
      <c r="W39" s="97"/>
      <c r="X39" s="97"/>
      <c r="Y39" s="97"/>
      <c r="Z39" s="97"/>
      <c r="AA39" s="97"/>
      <c r="AB39" s="97"/>
      <c r="AC39" s="97"/>
      <c r="AD39" s="121"/>
      <c r="AE39" s="121"/>
      <c r="AF39" s="107"/>
      <c r="AG39" s="107"/>
      <c r="AH39" s="107"/>
      <c r="AI39" s="107"/>
      <c r="AS39" s="107"/>
    </row>
    <row r="40" spans="1:45" s="1" customFormat="1" ht="15" customHeight="1" x14ac:dyDescent="0.25">
      <c r="A40" s="138"/>
      <c r="B40" s="138" t="s">
        <v>67</v>
      </c>
      <c r="C40" s="137">
        <v>81</v>
      </c>
      <c r="D40" s="137">
        <v>73</v>
      </c>
      <c r="E40" s="137">
        <v>13</v>
      </c>
      <c r="F40" s="137">
        <f t="shared" ref="F40:N40" si="2">F44+F48</f>
        <v>0</v>
      </c>
      <c r="G40" s="137">
        <f t="shared" si="2"/>
        <v>0</v>
      </c>
      <c r="H40" s="137">
        <f t="shared" si="2"/>
        <v>0</v>
      </c>
      <c r="I40" s="137">
        <f t="shared" si="2"/>
        <v>0</v>
      </c>
      <c r="J40" s="137">
        <f t="shared" si="2"/>
        <v>0</v>
      </c>
      <c r="K40" s="137">
        <f t="shared" si="2"/>
        <v>0</v>
      </c>
      <c r="L40" s="137">
        <f t="shared" si="2"/>
        <v>0</v>
      </c>
      <c r="M40" s="137">
        <f t="shared" si="2"/>
        <v>0</v>
      </c>
      <c r="N40" s="137">
        <f t="shared" si="2"/>
        <v>0</v>
      </c>
      <c r="O40" s="137">
        <f>O44+O48</f>
        <v>167</v>
      </c>
      <c r="P40" s="6"/>
      <c r="Q40" s="6"/>
      <c r="R40" s="97"/>
      <c r="S40" s="6"/>
      <c r="T40" s="6"/>
      <c r="U40" s="97"/>
      <c r="V40" s="165"/>
      <c r="W40" s="6"/>
      <c r="X40" s="6"/>
      <c r="Y40" s="6"/>
      <c r="Z40" s="6"/>
      <c r="AA40" s="97"/>
      <c r="AB40" s="97"/>
      <c r="AC40" s="97"/>
      <c r="AD40" s="121"/>
      <c r="AE40" s="121"/>
      <c r="AF40" s="107"/>
      <c r="AG40" s="107"/>
      <c r="AH40" s="107"/>
      <c r="AI40" s="107"/>
      <c r="AS40" s="107"/>
    </row>
    <row r="41" spans="1:45" s="1" customFormat="1" ht="15" customHeight="1" x14ac:dyDescent="0.25">
      <c r="A41" s="138"/>
      <c r="B41" s="138" t="s">
        <v>99</v>
      </c>
      <c r="C41" s="137">
        <v>119</v>
      </c>
      <c r="D41" s="137">
        <v>86</v>
      </c>
      <c r="E41" s="137">
        <v>10</v>
      </c>
      <c r="F41" s="137">
        <f t="shared" ref="F41:N41" si="3">F45+F49</f>
        <v>0</v>
      </c>
      <c r="G41" s="137">
        <f t="shared" si="3"/>
        <v>0</v>
      </c>
      <c r="H41" s="137">
        <f t="shared" si="3"/>
        <v>0</v>
      </c>
      <c r="I41" s="137">
        <f t="shared" si="3"/>
        <v>0</v>
      </c>
      <c r="J41" s="137">
        <f t="shared" si="3"/>
        <v>0</v>
      </c>
      <c r="K41" s="137">
        <f t="shared" si="3"/>
        <v>0</v>
      </c>
      <c r="L41" s="137">
        <f t="shared" si="3"/>
        <v>0</v>
      </c>
      <c r="M41" s="137">
        <f t="shared" si="3"/>
        <v>0</v>
      </c>
      <c r="N41" s="137">
        <f t="shared" si="3"/>
        <v>0</v>
      </c>
      <c r="O41" s="137">
        <f>O45+O49</f>
        <v>215</v>
      </c>
      <c r="P41" s="6"/>
      <c r="Q41" s="6"/>
      <c r="R41" s="6"/>
      <c r="S41" s="97"/>
      <c r="T41" s="97"/>
      <c r="U41" s="97"/>
      <c r="V41" s="165"/>
      <c r="W41" s="6"/>
      <c r="X41" s="6"/>
      <c r="Y41" s="6"/>
      <c r="Z41" s="6"/>
      <c r="AA41" s="6"/>
      <c r="AB41" s="97"/>
      <c r="AC41" s="6"/>
      <c r="AD41" s="121"/>
      <c r="AE41" s="32"/>
      <c r="AF41" s="107"/>
      <c r="AH41" s="107"/>
      <c r="AS41" s="107"/>
    </row>
    <row r="42" spans="1:45" s="1" customFormat="1" ht="15" customHeight="1" x14ac:dyDescent="0.25">
      <c r="A42" s="138"/>
      <c r="B42" s="138" t="s">
        <v>127</v>
      </c>
      <c r="C42" s="137">
        <v>878</v>
      </c>
      <c r="D42" s="137">
        <v>1033</v>
      </c>
      <c r="E42" s="137">
        <v>125</v>
      </c>
      <c r="F42" s="137">
        <f t="shared" ref="F42:N42" si="4">F46+F50</f>
        <v>0</v>
      </c>
      <c r="G42" s="137">
        <f t="shared" si="4"/>
        <v>0</v>
      </c>
      <c r="H42" s="137">
        <f t="shared" si="4"/>
        <v>0</v>
      </c>
      <c r="I42" s="137">
        <f t="shared" si="4"/>
        <v>0</v>
      </c>
      <c r="J42" s="137">
        <f t="shared" si="4"/>
        <v>0</v>
      </c>
      <c r="K42" s="137">
        <f t="shared" si="4"/>
        <v>0</v>
      </c>
      <c r="L42" s="137">
        <f t="shared" si="4"/>
        <v>0</v>
      </c>
      <c r="M42" s="137">
        <f t="shared" si="4"/>
        <v>0</v>
      </c>
      <c r="N42" s="137">
        <f t="shared" si="4"/>
        <v>0</v>
      </c>
      <c r="O42" s="137">
        <f>O46+O50</f>
        <v>2036</v>
      </c>
      <c r="P42" s="6"/>
      <c r="Q42" s="6"/>
      <c r="R42" s="6"/>
      <c r="S42" s="6"/>
      <c r="T42" s="6"/>
      <c r="U42" s="97"/>
      <c r="V42" s="161"/>
      <c r="W42" s="6"/>
      <c r="X42" s="6"/>
      <c r="Y42" s="6"/>
      <c r="Z42" s="6"/>
      <c r="AA42" s="6"/>
      <c r="AB42" s="97"/>
      <c r="AC42" s="6"/>
      <c r="AD42" s="32"/>
      <c r="AE42" s="32"/>
      <c r="AS42" s="107"/>
    </row>
    <row r="43" spans="1:45" s="1" customFormat="1" ht="14.55" customHeight="1" x14ac:dyDescent="0.25">
      <c r="A43" s="166" t="s">
        <v>570</v>
      </c>
      <c r="B43" s="164" t="s">
        <v>1</v>
      </c>
      <c r="C43" s="163">
        <v>277</v>
      </c>
      <c r="D43" s="163">
        <v>261</v>
      </c>
      <c r="E43" s="168">
        <v>36</v>
      </c>
      <c r="F43" s="168">
        <v>0</v>
      </c>
      <c r="G43" s="168">
        <v>0</v>
      </c>
      <c r="H43" s="168">
        <v>0</v>
      </c>
      <c r="I43" s="168">
        <v>0</v>
      </c>
      <c r="J43" s="168">
        <v>0</v>
      </c>
      <c r="K43" s="168">
        <v>0</v>
      </c>
      <c r="L43" s="168">
        <v>0</v>
      </c>
      <c r="M43" s="168">
        <v>0</v>
      </c>
      <c r="N43" s="168">
        <v>0</v>
      </c>
      <c r="O43" s="162">
        <f t="shared" ref="O43:O62" si="5">SUM(C43:N43)</f>
        <v>574</v>
      </c>
      <c r="P43" s="167"/>
      <c r="Q43" s="6"/>
      <c r="R43" s="6"/>
      <c r="S43" s="6"/>
      <c r="T43" s="6"/>
      <c r="U43" s="6"/>
      <c r="V43" s="161"/>
      <c r="W43" s="6"/>
      <c r="X43" s="6"/>
      <c r="Y43" s="6"/>
      <c r="Z43" s="6"/>
      <c r="AA43" s="6"/>
      <c r="AB43" s="97"/>
      <c r="AC43" s="6"/>
      <c r="AD43" s="32"/>
      <c r="AE43" s="32"/>
      <c r="AF43" s="107"/>
      <c r="AG43" s="107"/>
      <c r="AH43" s="107"/>
      <c r="AQ43" s="107"/>
      <c r="AR43" s="107"/>
      <c r="AS43" s="107"/>
    </row>
    <row r="44" spans="1:45" s="1" customFormat="1" ht="14.55" customHeight="1" x14ac:dyDescent="0.25">
      <c r="A44" s="129"/>
      <c r="B44" s="138" t="s">
        <v>67</v>
      </c>
      <c r="C44" s="138">
        <v>10</v>
      </c>
      <c r="D44" s="138">
        <v>13</v>
      </c>
      <c r="E44" s="64">
        <v>3</v>
      </c>
      <c r="F44" s="64">
        <v>0</v>
      </c>
      <c r="G44" s="64">
        <v>0</v>
      </c>
      <c r="H44" s="64">
        <v>0</v>
      </c>
      <c r="I44" s="64">
        <v>0</v>
      </c>
      <c r="J44" s="64">
        <v>0</v>
      </c>
      <c r="K44" s="64">
        <v>0</v>
      </c>
      <c r="L44" s="64">
        <v>0</v>
      </c>
      <c r="M44" s="64">
        <v>0</v>
      </c>
      <c r="N44" s="64">
        <v>0</v>
      </c>
      <c r="O44" s="64">
        <f t="shared" si="5"/>
        <v>26</v>
      </c>
      <c r="P44" s="167"/>
      <c r="Q44" s="6"/>
      <c r="R44" s="6"/>
      <c r="S44" s="6"/>
      <c r="T44" s="6"/>
      <c r="U44" s="6"/>
      <c r="V44" s="161"/>
      <c r="W44" s="6"/>
      <c r="X44" s="6"/>
      <c r="Y44" s="6"/>
      <c r="Z44" s="6"/>
      <c r="AA44" s="6"/>
      <c r="AB44" s="97"/>
      <c r="AC44" s="97"/>
      <c r="AD44" s="32"/>
      <c r="AE44" s="121"/>
      <c r="AF44" s="107"/>
      <c r="AG44" s="107"/>
      <c r="AH44" s="107"/>
      <c r="AI44" s="107"/>
      <c r="AQ44" s="107"/>
      <c r="AR44" s="107"/>
      <c r="AS44" s="107"/>
    </row>
    <row r="45" spans="1:45" s="1" customFormat="1" ht="14.55" customHeight="1" x14ac:dyDescent="0.25">
      <c r="A45" s="129"/>
      <c r="B45" s="138" t="s">
        <v>99</v>
      </c>
      <c r="C45" s="138">
        <v>32</v>
      </c>
      <c r="D45" s="138">
        <v>8</v>
      </c>
      <c r="E45" s="64">
        <v>2</v>
      </c>
      <c r="F45" s="64">
        <v>0</v>
      </c>
      <c r="G45" s="64">
        <v>0</v>
      </c>
      <c r="H45" s="64">
        <v>0</v>
      </c>
      <c r="I45" s="64">
        <v>0</v>
      </c>
      <c r="J45" s="64">
        <v>0</v>
      </c>
      <c r="K45" s="64">
        <v>0</v>
      </c>
      <c r="L45" s="64">
        <v>0</v>
      </c>
      <c r="M45" s="64">
        <v>0</v>
      </c>
      <c r="N45" s="64">
        <v>0</v>
      </c>
      <c r="O45" s="64">
        <f t="shared" si="5"/>
        <v>42</v>
      </c>
      <c r="P45" s="6"/>
      <c r="Q45" s="6"/>
      <c r="R45" s="6"/>
      <c r="S45" s="6"/>
      <c r="T45" s="6"/>
      <c r="U45" s="6"/>
      <c r="V45" s="161"/>
      <c r="W45" s="6"/>
      <c r="X45" s="6"/>
      <c r="Y45" s="6"/>
      <c r="Z45" s="6"/>
      <c r="AA45" s="6"/>
      <c r="AB45" s="97"/>
      <c r="AC45" s="6"/>
      <c r="AD45" s="121"/>
      <c r="AE45" s="32"/>
      <c r="AF45" s="107"/>
      <c r="AG45" s="107"/>
      <c r="AH45" s="107"/>
      <c r="AI45" s="107"/>
      <c r="AQ45" s="107"/>
      <c r="AR45" s="107"/>
      <c r="AS45" s="107"/>
    </row>
    <row r="46" spans="1:45" s="1" customFormat="1" ht="14.55" customHeight="1" x14ac:dyDescent="0.25">
      <c r="A46" s="129"/>
      <c r="B46" s="138" t="s">
        <v>127</v>
      </c>
      <c r="C46" s="138">
        <v>235</v>
      </c>
      <c r="D46" s="138">
        <v>240</v>
      </c>
      <c r="E46" s="64">
        <v>31</v>
      </c>
      <c r="F46" s="64">
        <v>0</v>
      </c>
      <c r="G46" s="64">
        <v>0</v>
      </c>
      <c r="H46" s="64">
        <v>0</v>
      </c>
      <c r="I46" s="64">
        <v>0</v>
      </c>
      <c r="J46" s="64">
        <v>0</v>
      </c>
      <c r="K46" s="64">
        <v>0</v>
      </c>
      <c r="L46" s="64">
        <v>0</v>
      </c>
      <c r="M46" s="64">
        <v>0</v>
      </c>
      <c r="N46" s="64">
        <v>0</v>
      </c>
      <c r="O46" s="64">
        <f t="shared" si="5"/>
        <v>506</v>
      </c>
      <c r="P46" s="6"/>
      <c r="Q46" s="6"/>
      <c r="R46" s="6"/>
      <c r="S46" s="6"/>
      <c r="T46" s="6"/>
      <c r="U46" s="6"/>
      <c r="V46" s="161"/>
      <c r="W46" s="6"/>
      <c r="X46" s="6"/>
      <c r="Y46" s="6"/>
      <c r="Z46" s="6"/>
      <c r="AA46" s="6"/>
      <c r="AB46" s="97"/>
      <c r="AC46" s="6"/>
      <c r="AD46" s="121"/>
      <c r="AE46" s="32"/>
      <c r="AF46" s="107"/>
      <c r="AG46" s="107"/>
      <c r="AH46" s="107"/>
      <c r="AI46" s="107"/>
      <c r="AQ46" s="107"/>
      <c r="AR46" s="107"/>
      <c r="AS46" s="107"/>
    </row>
    <row r="47" spans="1:45" s="1" customFormat="1" ht="14.55" customHeight="1" x14ac:dyDescent="0.25">
      <c r="A47" s="166" t="s">
        <v>571</v>
      </c>
      <c r="B47" s="164" t="s">
        <v>1</v>
      </c>
      <c r="C47" s="163">
        <v>801</v>
      </c>
      <c r="D47" s="163">
        <v>931</v>
      </c>
      <c r="E47" s="162">
        <v>112</v>
      </c>
      <c r="F47" s="162">
        <v>0</v>
      </c>
      <c r="G47" s="162">
        <v>0</v>
      </c>
      <c r="H47" s="162">
        <v>0</v>
      </c>
      <c r="I47" s="162">
        <v>0</v>
      </c>
      <c r="J47" s="162">
        <v>0</v>
      </c>
      <c r="K47" s="162">
        <v>0</v>
      </c>
      <c r="L47" s="162">
        <v>0</v>
      </c>
      <c r="M47" s="162">
        <v>0</v>
      </c>
      <c r="N47" s="162">
        <v>0</v>
      </c>
      <c r="O47" s="162">
        <f t="shared" si="5"/>
        <v>1844</v>
      </c>
      <c r="P47" s="6"/>
      <c r="Q47" s="6"/>
      <c r="R47" s="6"/>
      <c r="S47" s="6"/>
      <c r="T47" s="6"/>
      <c r="U47" s="6"/>
      <c r="V47" s="161"/>
      <c r="W47" s="6"/>
      <c r="X47" s="6"/>
      <c r="Y47" s="6"/>
      <c r="Z47" s="6"/>
      <c r="AA47" s="6"/>
      <c r="AB47" s="97"/>
      <c r="AC47" s="6"/>
      <c r="AD47" s="121"/>
      <c r="AE47" s="32"/>
      <c r="AF47" s="107"/>
      <c r="AG47" s="107"/>
      <c r="AH47" s="107"/>
      <c r="AI47" s="107"/>
      <c r="AP47" s="107"/>
      <c r="AQ47" s="107"/>
      <c r="AR47" s="107"/>
      <c r="AS47" s="107"/>
    </row>
    <row r="48" spans="1:45" s="1" customFormat="1" ht="14.55" customHeight="1" x14ac:dyDescent="0.25">
      <c r="A48" s="129"/>
      <c r="B48" s="138" t="s">
        <v>67</v>
      </c>
      <c r="C48" s="138">
        <v>71</v>
      </c>
      <c r="D48" s="138">
        <v>60</v>
      </c>
      <c r="E48" s="65">
        <v>10</v>
      </c>
      <c r="F48" s="65">
        <v>0</v>
      </c>
      <c r="G48" s="65">
        <v>0</v>
      </c>
      <c r="H48" s="65">
        <v>0</v>
      </c>
      <c r="I48" s="65">
        <v>0</v>
      </c>
      <c r="J48" s="65">
        <v>0</v>
      </c>
      <c r="K48" s="65">
        <v>0</v>
      </c>
      <c r="L48" s="65">
        <v>0</v>
      </c>
      <c r="M48" s="65">
        <v>0</v>
      </c>
      <c r="N48" s="65">
        <v>0</v>
      </c>
      <c r="O48" s="65">
        <f t="shared" si="5"/>
        <v>141</v>
      </c>
      <c r="P48" s="6"/>
      <c r="Q48" s="6"/>
      <c r="R48" s="6"/>
      <c r="S48" s="6"/>
      <c r="T48" s="6"/>
      <c r="U48" s="6"/>
      <c r="V48" s="165"/>
      <c r="W48" s="97"/>
      <c r="X48" s="97"/>
      <c r="Y48" s="97"/>
      <c r="Z48" s="97"/>
      <c r="AA48" s="97"/>
      <c r="AB48" s="97"/>
      <c r="AC48" s="97"/>
      <c r="AD48" s="121"/>
      <c r="AE48" s="121"/>
      <c r="AF48" s="107"/>
      <c r="AG48" s="107"/>
      <c r="AH48" s="107"/>
      <c r="AI48" s="107"/>
      <c r="AP48" s="107"/>
      <c r="AQ48" s="107"/>
      <c r="AR48" s="107"/>
      <c r="AS48" s="107"/>
    </row>
    <row r="49" spans="1:45" s="1" customFormat="1" ht="14.55" customHeight="1" x14ac:dyDescent="0.25">
      <c r="A49" s="129"/>
      <c r="B49" s="138" t="s">
        <v>99</v>
      </c>
      <c r="C49" s="138">
        <v>87</v>
      </c>
      <c r="D49" s="138">
        <v>78</v>
      </c>
      <c r="E49" s="65">
        <v>8</v>
      </c>
      <c r="F49" s="65">
        <v>0</v>
      </c>
      <c r="G49" s="65">
        <v>0</v>
      </c>
      <c r="H49" s="65">
        <v>0</v>
      </c>
      <c r="I49" s="65">
        <v>0</v>
      </c>
      <c r="J49" s="65">
        <v>0</v>
      </c>
      <c r="K49" s="65">
        <v>0</v>
      </c>
      <c r="L49" s="65">
        <v>0</v>
      </c>
      <c r="M49" s="65">
        <v>0</v>
      </c>
      <c r="N49" s="65">
        <v>0</v>
      </c>
      <c r="O49" s="65">
        <f t="shared" si="5"/>
        <v>173</v>
      </c>
      <c r="P49" s="6"/>
      <c r="Q49" s="6"/>
      <c r="R49" s="6"/>
      <c r="S49" s="6"/>
      <c r="T49" s="6"/>
      <c r="U49" s="97"/>
      <c r="V49" s="165"/>
      <c r="W49" s="97"/>
      <c r="X49" s="97"/>
      <c r="Y49" s="97"/>
      <c r="Z49" s="97"/>
      <c r="AA49" s="97"/>
      <c r="AB49" s="97"/>
      <c r="AC49" s="97"/>
      <c r="AD49" s="121"/>
      <c r="AE49" s="121"/>
      <c r="AF49" s="107"/>
      <c r="AG49" s="107"/>
      <c r="AH49" s="107"/>
      <c r="AI49" s="107"/>
      <c r="AL49" s="107"/>
      <c r="AM49" s="107"/>
      <c r="AN49" s="107"/>
      <c r="AO49" s="107"/>
      <c r="AP49" s="107"/>
      <c r="AQ49" s="107"/>
      <c r="AR49" s="107"/>
      <c r="AS49" s="107"/>
    </row>
    <row r="50" spans="1:45" s="1" customFormat="1" ht="14.55" customHeight="1" x14ac:dyDescent="0.25">
      <c r="A50" s="129"/>
      <c r="B50" s="138" t="s">
        <v>127</v>
      </c>
      <c r="C50" s="138">
        <v>643</v>
      </c>
      <c r="D50" s="138">
        <v>793</v>
      </c>
      <c r="E50" s="65">
        <v>94</v>
      </c>
      <c r="F50" s="65">
        <v>0</v>
      </c>
      <c r="G50" s="65">
        <v>0</v>
      </c>
      <c r="H50" s="65">
        <v>0</v>
      </c>
      <c r="I50" s="65">
        <v>0</v>
      </c>
      <c r="J50" s="65">
        <v>0</v>
      </c>
      <c r="K50" s="65">
        <v>0</v>
      </c>
      <c r="L50" s="65">
        <v>0</v>
      </c>
      <c r="M50" s="65">
        <v>0</v>
      </c>
      <c r="N50" s="65">
        <v>0</v>
      </c>
      <c r="O50" s="65">
        <f t="shared" si="5"/>
        <v>1530</v>
      </c>
      <c r="P50" s="6"/>
      <c r="Q50" s="6"/>
      <c r="R50" s="6"/>
      <c r="S50" s="6"/>
      <c r="T50" s="6"/>
      <c r="U50" s="6"/>
      <c r="V50" s="161"/>
      <c r="W50" s="6"/>
      <c r="X50" s="6"/>
      <c r="Y50" s="6"/>
      <c r="Z50" s="6"/>
      <c r="AA50" s="6"/>
      <c r="AB50" s="6"/>
      <c r="AC50" s="6"/>
      <c r="AD50" s="121"/>
      <c r="AE50" s="32"/>
      <c r="AF50" s="107"/>
      <c r="AG50" s="107"/>
      <c r="AH50" s="107"/>
      <c r="AI50" s="107"/>
      <c r="AP50" s="107"/>
      <c r="AQ50" s="107"/>
      <c r="AR50" s="107"/>
      <c r="AS50" s="107"/>
    </row>
    <row r="51" spans="1:45" s="1" customFormat="1" ht="14.55" customHeight="1" x14ac:dyDescent="0.25">
      <c r="A51" s="164" t="s">
        <v>2</v>
      </c>
      <c r="B51" s="164" t="s">
        <v>1</v>
      </c>
      <c r="C51" s="163">
        <v>12954</v>
      </c>
      <c r="D51" s="163">
        <v>16949</v>
      </c>
      <c r="E51" s="162">
        <v>3384</v>
      </c>
      <c r="F51" s="162">
        <v>0</v>
      </c>
      <c r="G51" s="162">
        <v>0</v>
      </c>
      <c r="H51" s="162">
        <v>0</v>
      </c>
      <c r="I51" s="162">
        <v>0</v>
      </c>
      <c r="J51" s="162">
        <v>0</v>
      </c>
      <c r="K51" s="162">
        <v>0</v>
      </c>
      <c r="L51" s="162">
        <v>0</v>
      </c>
      <c r="M51" s="162">
        <v>0</v>
      </c>
      <c r="N51" s="162">
        <v>0</v>
      </c>
      <c r="O51" s="162">
        <f t="shared" si="5"/>
        <v>33287</v>
      </c>
      <c r="P51" s="6"/>
      <c r="Q51" s="6"/>
      <c r="R51" s="6"/>
      <c r="S51" s="6"/>
      <c r="T51" s="6"/>
      <c r="U51" s="97"/>
      <c r="V51" s="165"/>
      <c r="W51" s="97"/>
      <c r="X51" s="97"/>
      <c r="Y51" s="97"/>
      <c r="Z51" s="97"/>
      <c r="AA51" s="97"/>
      <c r="AB51" s="97"/>
      <c r="AC51" s="97"/>
      <c r="AD51" s="121"/>
      <c r="AE51" s="121"/>
      <c r="AF51" s="107"/>
      <c r="AG51" s="107"/>
      <c r="AH51" s="107"/>
      <c r="AI51" s="107"/>
      <c r="AP51" s="107"/>
      <c r="AQ51" s="107"/>
      <c r="AR51" s="107"/>
      <c r="AS51" s="107"/>
    </row>
    <row r="52" spans="1:45" s="1" customFormat="1" ht="14.55" customHeight="1" x14ac:dyDescent="0.25">
      <c r="A52" s="138"/>
      <c r="B52" s="138" t="s">
        <v>67</v>
      </c>
      <c r="C52" s="138">
        <v>148</v>
      </c>
      <c r="D52" s="138">
        <v>155</v>
      </c>
      <c r="E52" s="65">
        <v>29</v>
      </c>
      <c r="F52" s="65">
        <v>0</v>
      </c>
      <c r="G52" s="65">
        <v>0</v>
      </c>
      <c r="H52" s="65">
        <v>0</v>
      </c>
      <c r="I52" s="65">
        <v>0</v>
      </c>
      <c r="J52" s="65">
        <v>0</v>
      </c>
      <c r="K52" s="65">
        <v>0</v>
      </c>
      <c r="L52" s="65">
        <v>0</v>
      </c>
      <c r="M52" s="65">
        <v>0</v>
      </c>
      <c r="N52" s="65">
        <v>0</v>
      </c>
      <c r="O52" s="65">
        <f t="shared" si="5"/>
        <v>332</v>
      </c>
      <c r="P52" s="6"/>
      <c r="Q52" s="6"/>
      <c r="R52" s="6"/>
      <c r="S52" s="6"/>
      <c r="T52" s="6"/>
      <c r="U52" s="6"/>
      <c r="V52" s="161"/>
      <c r="W52" s="6"/>
      <c r="X52" s="97"/>
      <c r="Y52" s="97"/>
      <c r="Z52" s="97"/>
      <c r="AA52" s="97"/>
      <c r="AB52" s="97"/>
      <c r="AC52" s="97"/>
      <c r="AD52" s="121"/>
      <c r="AE52" s="121"/>
      <c r="AF52" s="107"/>
      <c r="AG52" s="107"/>
      <c r="AH52" s="107"/>
      <c r="AI52" s="107"/>
      <c r="AO52" s="107"/>
      <c r="AP52" s="107"/>
      <c r="AQ52" s="107"/>
      <c r="AR52" s="107"/>
      <c r="AS52" s="107"/>
    </row>
    <row r="53" spans="1:45" s="1" customFormat="1" ht="14.55" customHeight="1" x14ac:dyDescent="0.25">
      <c r="A53" s="138"/>
      <c r="B53" s="138" t="s">
        <v>99</v>
      </c>
      <c r="C53" s="138">
        <v>222</v>
      </c>
      <c r="D53" s="138">
        <v>210</v>
      </c>
      <c r="E53" s="65">
        <v>17</v>
      </c>
      <c r="F53" s="65">
        <v>0</v>
      </c>
      <c r="G53" s="65">
        <v>0</v>
      </c>
      <c r="H53" s="65">
        <v>0</v>
      </c>
      <c r="I53" s="65">
        <v>0</v>
      </c>
      <c r="J53" s="65">
        <v>0</v>
      </c>
      <c r="K53" s="65">
        <v>0</v>
      </c>
      <c r="L53" s="65">
        <v>0</v>
      </c>
      <c r="M53" s="65">
        <v>0</v>
      </c>
      <c r="N53" s="65">
        <v>0</v>
      </c>
      <c r="O53" s="65">
        <f t="shared" si="5"/>
        <v>449</v>
      </c>
      <c r="P53" s="6"/>
      <c r="Q53" s="6"/>
      <c r="R53" s="6"/>
      <c r="S53" s="6"/>
      <c r="T53" s="6"/>
      <c r="U53" s="6"/>
      <c r="V53" s="161"/>
      <c r="W53" s="6"/>
      <c r="X53" s="6"/>
      <c r="Y53" s="97"/>
      <c r="Z53" s="97"/>
      <c r="AA53" s="97"/>
      <c r="AB53" s="97"/>
      <c r="AC53" s="6"/>
      <c r="AD53" s="121"/>
      <c r="AE53" s="32"/>
      <c r="AF53" s="107"/>
      <c r="AG53" s="107"/>
      <c r="AH53" s="107"/>
      <c r="AI53" s="107"/>
      <c r="AP53" s="107"/>
      <c r="AQ53" s="107"/>
      <c r="AR53" s="107"/>
      <c r="AS53" s="107"/>
    </row>
    <row r="54" spans="1:45" s="1" customFormat="1" ht="14.55" customHeight="1" x14ac:dyDescent="0.25">
      <c r="A54" s="138"/>
      <c r="B54" s="138" t="s">
        <v>127</v>
      </c>
      <c r="C54" s="138">
        <v>12584</v>
      </c>
      <c r="D54" s="138">
        <v>16584</v>
      </c>
      <c r="E54" s="65">
        <v>3338</v>
      </c>
      <c r="F54" s="65">
        <v>0</v>
      </c>
      <c r="G54" s="65">
        <v>0</v>
      </c>
      <c r="H54" s="65">
        <v>0</v>
      </c>
      <c r="I54" s="65">
        <v>0</v>
      </c>
      <c r="J54" s="65">
        <v>0</v>
      </c>
      <c r="K54" s="65">
        <v>0</v>
      </c>
      <c r="L54" s="65">
        <v>0</v>
      </c>
      <c r="M54" s="65">
        <v>0</v>
      </c>
      <c r="N54" s="65">
        <v>0</v>
      </c>
      <c r="O54" s="65">
        <f t="shared" si="5"/>
        <v>32506</v>
      </c>
      <c r="P54" s="6"/>
      <c r="Q54" s="6"/>
      <c r="R54" s="6"/>
      <c r="S54" s="6"/>
      <c r="T54" s="6"/>
      <c r="U54" s="6"/>
      <c r="V54" s="161"/>
      <c r="W54" s="6"/>
      <c r="X54" s="97"/>
      <c r="Y54" s="97"/>
      <c r="Z54" s="97"/>
      <c r="AA54" s="97"/>
      <c r="AB54" s="97"/>
      <c r="AC54" s="97"/>
      <c r="AD54" s="121"/>
      <c r="AE54" s="121"/>
      <c r="AF54" s="107"/>
      <c r="AG54" s="107"/>
      <c r="AH54" s="107"/>
      <c r="AI54" s="107"/>
      <c r="AP54" s="107"/>
      <c r="AQ54" s="107"/>
      <c r="AR54" s="107"/>
      <c r="AS54" s="107"/>
    </row>
    <row r="55" spans="1:45" s="1" customFormat="1" ht="14.55" customHeight="1" x14ac:dyDescent="0.25">
      <c r="A55" s="164" t="s">
        <v>3</v>
      </c>
      <c r="B55" s="164" t="s">
        <v>1</v>
      </c>
      <c r="C55" s="163">
        <v>555</v>
      </c>
      <c r="D55" s="163">
        <v>844</v>
      </c>
      <c r="E55" s="162">
        <v>155</v>
      </c>
      <c r="F55" s="162">
        <v>0</v>
      </c>
      <c r="G55" s="162">
        <v>0</v>
      </c>
      <c r="H55" s="162">
        <v>0</v>
      </c>
      <c r="I55" s="162">
        <v>0</v>
      </c>
      <c r="J55" s="162">
        <v>0</v>
      </c>
      <c r="K55" s="162">
        <v>0</v>
      </c>
      <c r="L55" s="162">
        <v>0</v>
      </c>
      <c r="M55" s="162">
        <v>0</v>
      </c>
      <c r="N55" s="162">
        <v>0</v>
      </c>
      <c r="O55" s="162">
        <f t="shared" si="5"/>
        <v>1554</v>
      </c>
      <c r="P55" s="6"/>
      <c r="Q55" s="6"/>
      <c r="R55" s="6"/>
      <c r="S55" s="6"/>
      <c r="T55" s="6"/>
      <c r="U55" s="6"/>
      <c r="V55" s="161"/>
      <c r="W55" s="6"/>
      <c r="X55" s="6"/>
      <c r="Y55" s="97"/>
      <c r="Z55" s="97"/>
      <c r="AA55" s="6"/>
      <c r="AB55" s="97"/>
      <c r="AC55" s="6"/>
      <c r="AD55" s="32"/>
      <c r="AE55" s="32"/>
      <c r="AF55" s="107"/>
      <c r="AG55" s="107"/>
      <c r="AH55" s="107"/>
      <c r="AI55" s="107"/>
      <c r="AP55" s="107"/>
      <c r="AQ55" s="107"/>
      <c r="AR55" s="107"/>
      <c r="AS55" s="107"/>
    </row>
    <row r="56" spans="1:45" s="1" customFormat="1" ht="14.55" customHeight="1" x14ac:dyDescent="0.25">
      <c r="A56" s="138"/>
      <c r="B56" s="138" t="s">
        <v>67</v>
      </c>
      <c r="C56" s="138">
        <v>161</v>
      </c>
      <c r="D56" s="138">
        <v>182</v>
      </c>
      <c r="E56" s="65">
        <v>34</v>
      </c>
      <c r="F56" s="65">
        <v>0</v>
      </c>
      <c r="G56" s="65">
        <v>0</v>
      </c>
      <c r="H56" s="65">
        <v>0</v>
      </c>
      <c r="I56" s="65">
        <v>0</v>
      </c>
      <c r="J56" s="65">
        <v>0</v>
      </c>
      <c r="K56" s="65">
        <v>0</v>
      </c>
      <c r="L56" s="65">
        <v>0</v>
      </c>
      <c r="M56" s="65">
        <v>0</v>
      </c>
      <c r="N56" s="65">
        <v>0</v>
      </c>
      <c r="O56" s="65">
        <f t="shared" si="5"/>
        <v>377</v>
      </c>
      <c r="P56" s="6"/>
      <c r="Q56" s="6"/>
      <c r="R56" s="6"/>
      <c r="S56" s="6"/>
      <c r="T56" s="6"/>
      <c r="U56" s="6"/>
      <c r="V56" s="161"/>
      <c r="W56" s="6"/>
      <c r="X56" s="6"/>
      <c r="Y56" s="6"/>
      <c r="Z56" s="97"/>
      <c r="AA56" s="97"/>
      <c r="AB56" s="97"/>
      <c r="AC56" s="97"/>
      <c r="AD56" s="121"/>
      <c r="AE56" s="121"/>
      <c r="AF56" s="107"/>
      <c r="AG56" s="107"/>
      <c r="AH56" s="107"/>
      <c r="AP56" s="107"/>
      <c r="AQ56" s="107"/>
      <c r="AR56" s="107"/>
      <c r="AS56" s="107"/>
    </row>
    <row r="57" spans="1:45" s="1" customFormat="1" ht="14.55" customHeight="1" x14ac:dyDescent="0.25">
      <c r="A57" s="138"/>
      <c r="B57" s="138" t="s">
        <v>99</v>
      </c>
      <c r="C57" s="138">
        <v>35</v>
      </c>
      <c r="D57" s="138">
        <v>23</v>
      </c>
      <c r="E57" s="65">
        <v>8</v>
      </c>
      <c r="F57" s="65">
        <v>0</v>
      </c>
      <c r="G57" s="65">
        <v>0</v>
      </c>
      <c r="H57" s="65">
        <v>0</v>
      </c>
      <c r="I57" s="65">
        <v>0</v>
      </c>
      <c r="J57" s="65">
        <v>0</v>
      </c>
      <c r="K57" s="65">
        <v>0</v>
      </c>
      <c r="L57" s="65">
        <v>0</v>
      </c>
      <c r="M57" s="65">
        <v>0</v>
      </c>
      <c r="N57" s="65">
        <v>0</v>
      </c>
      <c r="O57" s="65">
        <f t="shared" si="5"/>
        <v>66</v>
      </c>
      <c r="P57" s="6"/>
      <c r="Q57" s="6"/>
      <c r="R57" s="6"/>
      <c r="S57" s="6"/>
      <c r="T57" s="6"/>
      <c r="U57" s="6"/>
      <c r="V57" s="165"/>
      <c r="W57" s="97"/>
      <c r="X57" s="97"/>
      <c r="Y57" s="97"/>
      <c r="Z57" s="97"/>
      <c r="AA57" s="97"/>
      <c r="AB57" s="97"/>
      <c r="AC57" s="97"/>
      <c r="AD57" s="121"/>
      <c r="AE57" s="121"/>
      <c r="AF57" s="107"/>
      <c r="AG57" s="107"/>
      <c r="AH57" s="107"/>
      <c r="AI57" s="107"/>
      <c r="AP57" s="107"/>
      <c r="AQ57" s="107"/>
      <c r="AR57" s="107"/>
      <c r="AS57" s="107"/>
    </row>
    <row r="58" spans="1:45" s="1" customFormat="1" ht="14.55" customHeight="1" x14ac:dyDescent="0.25">
      <c r="A58" s="138"/>
      <c r="B58" s="138" t="s">
        <v>127</v>
      </c>
      <c r="C58" s="138">
        <v>359</v>
      </c>
      <c r="D58" s="138">
        <v>639</v>
      </c>
      <c r="E58" s="65">
        <v>113</v>
      </c>
      <c r="F58" s="65">
        <v>0</v>
      </c>
      <c r="G58" s="65">
        <v>0</v>
      </c>
      <c r="H58" s="65">
        <v>0</v>
      </c>
      <c r="I58" s="65">
        <v>0</v>
      </c>
      <c r="J58" s="65">
        <v>0</v>
      </c>
      <c r="K58" s="65">
        <v>0</v>
      </c>
      <c r="L58" s="65">
        <v>0</v>
      </c>
      <c r="M58" s="65">
        <v>0</v>
      </c>
      <c r="N58" s="65">
        <v>0</v>
      </c>
      <c r="O58" s="65">
        <f t="shared" si="5"/>
        <v>1111</v>
      </c>
      <c r="P58" s="6"/>
      <c r="Q58" s="6"/>
      <c r="R58" s="6"/>
      <c r="S58" s="6"/>
      <c r="T58" s="6"/>
      <c r="U58" s="6"/>
      <c r="V58" s="165"/>
      <c r="W58" s="97"/>
      <c r="X58" s="97"/>
      <c r="Y58" s="97"/>
      <c r="Z58" s="97"/>
      <c r="AA58" s="97"/>
      <c r="AB58" s="97"/>
      <c r="AC58" s="6"/>
      <c r="AD58" s="32"/>
      <c r="AE58" s="32"/>
      <c r="AF58" s="107"/>
      <c r="AG58" s="107"/>
      <c r="AI58" s="107"/>
      <c r="AP58" s="107"/>
      <c r="AQ58" s="107"/>
      <c r="AR58" s="107"/>
      <c r="AS58" s="107"/>
    </row>
    <row r="59" spans="1:45" s="1" customFormat="1" ht="14.55" customHeight="1" x14ac:dyDescent="0.25">
      <c r="A59" s="164" t="s">
        <v>572</v>
      </c>
      <c r="B59" s="164" t="s">
        <v>1</v>
      </c>
      <c r="C59" s="163">
        <v>8634</v>
      </c>
      <c r="D59" s="163">
        <v>10659</v>
      </c>
      <c r="E59" s="162">
        <v>1412</v>
      </c>
      <c r="F59" s="162">
        <v>0</v>
      </c>
      <c r="G59" s="162">
        <v>0</v>
      </c>
      <c r="H59" s="162">
        <v>0</v>
      </c>
      <c r="I59" s="162">
        <v>0</v>
      </c>
      <c r="J59" s="162">
        <v>0</v>
      </c>
      <c r="K59" s="162">
        <v>0</v>
      </c>
      <c r="L59" s="162">
        <v>0</v>
      </c>
      <c r="M59" s="162">
        <v>0</v>
      </c>
      <c r="N59" s="162">
        <v>0</v>
      </c>
      <c r="O59" s="162">
        <f t="shared" si="5"/>
        <v>20705</v>
      </c>
      <c r="P59" s="6"/>
      <c r="Q59" s="6"/>
      <c r="R59" s="6"/>
      <c r="S59" s="6"/>
      <c r="T59" s="6"/>
      <c r="U59" s="6"/>
      <c r="V59" s="161"/>
      <c r="W59" s="6"/>
      <c r="X59" s="6"/>
      <c r="Y59" s="97"/>
      <c r="Z59" s="97"/>
      <c r="AA59" s="97"/>
      <c r="AB59" s="97"/>
      <c r="AC59" s="97"/>
      <c r="AD59" s="121"/>
      <c r="AE59" s="121"/>
      <c r="AF59" s="107"/>
      <c r="AG59" s="107"/>
      <c r="AH59" s="107"/>
      <c r="AI59" s="107"/>
      <c r="AP59" s="107"/>
      <c r="AQ59" s="107"/>
      <c r="AR59" s="107"/>
      <c r="AS59" s="107"/>
    </row>
    <row r="60" spans="1:45" s="1" customFormat="1" ht="14.55" customHeight="1" x14ac:dyDescent="0.25">
      <c r="A60" s="138"/>
      <c r="B60" s="138" t="s">
        <v>67</v>
      </c>
      <c r="C60" s="138">
        <v>36</v>
      </c>
      <c r="D60" s="138">
        <v>36</v>
      </c>
      <c r="E60" s="65">
        <v>8</v>
      </c>
      <c r="F60" s="65">
        <v>0</v>
      </c>
      <c r="G60" s="65">
        <v>0</v>
      </c>
      <c r="H60" s="65">
        <v>0</v>
      </c>
      <c r="I60" s="65">
        <v>0</v>
      </c>
      <c r="J60" s="65">
        <v>0</v>
      </c>
      <c r="K60" s="65">
        <v>0</v>
      </c>
      <c r="L60" s="65">
        <v>0</v>
      </c>
      <c r="M60" s="65">
        <v>0</v>
      </c>
      <c r="N60" s="65">
        <v>0</v>
      </c>
      <c r="O60" s="65">
        <f t="shared" si="5"/>
        <v>80</v>
      </c>
      <c r="P60" s="6"/>
      <c r="Q60" s="6"/>
      <c r="R60" s="6"/>
      <c r="S60" s="6"/>
      <c r="T60" s="6"/>
      <c r="U60" s="6"/>
      <c r="V60" s="161"/>
      <c r="W60" s="6"/>
      <c r="X60" s="6"/>
      <c r="Y60" s="97"/>
      <c r="Z60" s="97"/>
      <c r="AA60" s="97"/>
      <c r="AB60" s="97"/>
      <c r="AC60" s="97"/>
      <c r="AD60" s="121"/>
      <c r="AE60" s="121"/>
      <c r="AF60" s="107"/>
      <c r="AG60" s="107"/>
      <c r="AH60" s="107"/>
      <c r="AP60" s="107"/>
      <c r="AQ60" s="107"/>
      <c r="AR60" s="107"/>
      <c r="AS60" s="107"/>
    </row>
    <row r="61" spans="1:45" s="1" customFormat="1" ht="14.55" customHeight="1" x14ac:dyDescent="0.25">
      <c r="A61" s="138"/>
      <c r="B61" s="138" t="s">
        <v>99</v>
      </c>
      <c r="C61" s="138">
        <v>78</v>
      </c>
      <c r="D61" s="138">
        <v>101</v>
      </c>
      <c r="E61" s="65">
        <v>6</v>
      </c>
      <c r="F61" s="65">
        <v>0</v>
      </c>
      <c r="G61" s="65">
        <v>0</v>
      </c>
      <c r="H61" s="65">
        <v>0</v>
      </c>
      <c r="I61" s="65">
        <v>0</v>
      </c>
      <c r="J61" s="65">
        <v>0</v>
      </c>
      <c r="K61" s="65">
        <v>0</v>
      </c>
      <c r="L61" s="65">
        <v>0</v>
      </c>
      <c r="M61" s="65">
        <v>0</v>
      </c>
      <c r="N61" s="65">
        <v>0</v>
      </c>
      <c r="O61" s="65">
        <f t="shared" si="5"/>
        <v>185</v>
      </c>
      <c r="P61" s="6"/>
      <c r="Q61" s="6"/>
      <c r="R61" s="6"/>
      <c r="S61" s="6"/>
      <c r="T61" s="6"/>
      <c r="U61" s="6"/>
      <c r="V61" s="161"/>
      <c r="W61" s="6"/>
      <c r="X61" s="6"/>
      <c r="Y61" s="97"/>
      <c r="Z61" s="97"/>
      <c r="AA61" s="97"/>
      <c r="AB61" s="97"/>
      <c r="AC61" s="97"/>
      <c r="AD61" s="121"/>
      <c r="AE61" s="121"/>
      <c r="AF61" s="107"/>
      <c r="AG61" s="107"/>
      <c r="AH61" s="107"/>
      <c r="AK61" s="107"/>
      <c r="AL61" s="107"/>
      <c r="AM61" s="107"/>
      <c r="AN61" s="107"/>
      <c r="AO61" s="107"/>
      <c r="AP61" s="107"/>
      <c r="AQ61" s="107"/>
      <c r="AR61" s="107"/>
      <c r="AS61" s="107"/>
    </row>
    <row r="62" spans="1:45" s="1" customFormat="1" ht="14.55" customHeight="1" x14ac:dyDescent="0.25">
      <c r="A62" s="138"/>
      <c r="B62" s="138" t="s">
        <v>127</v>
      </c>
      <c r="C62" s="138">
        <v>8520</v>
      </c>
      <c r="D62" s="138">
        <v>10522</v>
      </c>
      <c r="E62" s="65">
        <v>1398</v>
      </c>
      <c r="F62" s="65">
        <v>0</v>
      </c>
      <c r="G62" s="65">
        <v>0</v>
      </c>
      <c r="H62" s="65">
        <v>0</v>
      </c>
      <c r="I62" s="65">
        <v>0</v>
      </c>
      <c r="J62" s="65">
        <v>0</v>
      </c>
      <c r="K62" s="65">
        <v>0</v>
      </c>
      <c r="L62" s="65">
        <v>0</v>
      </c>
      <c r="M62" s="65">
        <v>0</v>
      </c>
      <c r="N62" s="65">
        <v>0</v>
      </c>
      <c r="O62" s="65">
        <f t="shared" si="5"/>
        <v>20440</v>
      </c>
      <c r="P62" s="6"/>
      <c r="Q62" s="6"/>
      <c r="R62" s="6"/>
      <c r="S62" s="6"/>
      <c r="T62" s="6"/>
      <c r="U62" s="6"/>
      <c r="V62" s="161"/>
      <c r="W62" s="6"/>
      <c r="X62" s="6"/>
      <c r="Y62" s="97"/>
      <c r="Z62" s="97"/>
      <c r="AA62" s="97"/>
      <c r="AB62" s="97"/>
      <c r="AC62" s="97"/>
      <c r="AD62" s="121"/>
      <c r="AE62" s="121"/>
      <c r="AF62" s="107"/>
      <c r="AG62" s="107"/>
      <c r="AI62" s="107"/>
      <c r="AP62" s="107"/>
      <c r="AQ62" s="107"/>
      <c r="AR62" s="107"/>
      <c r="AS62" s="107"/>
    </row>
    <row r="63" spans="1:45" s="1" customFormat="1" ht="12" x14ac:dyDescent="0.25">
      <c r="A63" s="71"/>
      <c r="E63" s="6"/>
      <c r="F63" s="6"/>
      <c r="G63" s="6"/>
      <c r="Q63" s="6"/>
      <c r="R63" s="27"/>
      <c r="S63" s="27"/>
      <c r="T63" s="158"/>
      <c r="U63" s="158"/>
      <c r="V63" s="160"/>
      <c r="W63" s="27"/>
      <c r="X63" s="158"/>
      <c r="Y63" s="158"/>
      <c r="Z63" s="27"/>
      <c r="AA63" s="27"/>
      <c r="AB63" s="27"/>
      <c r="AC63" s="32"/>
      <c r="AD63" s="32"/>
      <c r="AE63" s="32"/>
      <c r="AF63" s="32"/>
      <c r="AQ63" s="107"/>
      <c r="AS63" s="107"/>
    </row>
    <row r="64" spans="1:45" s="6" customFormat="1" ht="18" customHeight="1" x14ac:dyDescent="0.25">
      <c r="A64" s="311"/>
      <c r="B64" s="309"/>
      <c r="C64" s="309"/>
      <c r="D64" s="309"/>
      <c r="E64" s="309"/>
      <c r="F64" s="309"/>
      <c r="G64" s="309"/>
      <c r="H64" s="309"/>
      <c r="I64" s="309"/>
      <c r="J64" s="309"/>
      <c r="K64" s="309"/>
      <c r="L64" s="309"/>
      <c r="M64" s="309"/>
      <c r="N64" s="309"/>
      <c r="O64" s="309"/>
      <c r="P64" s="309"/>
      <c r="Q64" s="309"/>
      <c r="R64" s="309"/>
      <c r="S64" s="309"/>
      <c r="T64" s="309"/>
      <c r="U64" s="309"/>
      <c r="V64" s="312"/>
      <c r="W64" s="27"/>
      <c r="X64" s="27"/>
      <c r="Y64" s="27"/>
      <c r="Z64" s="27"/>
    </row>
    <row r="65" spans="1:33" s="1" customFormat="1" ht="12" x14ac:dyDescent="0.25">
      <c r="A65" s="71"/>
      <c r="F65" s="6"/>
      <c r="G65" s="6"/>
      <c r="H65" s="6"/>
      <c r="K65" s="6"/>
      <c r="L65" s="27"/>
      <c r="M65" s="27"/>
      <c r="N65" s="27"/>
      <c r="O65" s="27"/>
      <c r="P65" s="27"/>
      <c r="Q65" s="27"/>
      <c r="R65" s="27"/>
      <c r="S65" s="27"/>
      <c r="T65" s="27"/>
      <c r="U65" s="27"/>
      <c r="V65" s="31"/>
      <c r="W65" s="32"/>
      <c r="X65" s="32"/>
      <c r="Y65" s="32"/>
      <c r="Z65" s="32"/>
    </row>
    <row r="66" spans="1:33" s="1" customFormat="1" ht="23.25" customHeight="1" x14ac:dyDescent="0.25">
      <c r="A66" s="307" t="s">
        <v>743</v>
      </c>
      <c r="B66" s="299"/>
      <c r="C66" s="299"/>
      <c r="D66" s="299"/>
      <c r="E66" s="299"/>
      <c r="F66" s="299"/>
      <c r="G66" s="299"/>
      <c r="H66" s="299"/>
      <c r="I66" s="299"/>
      <c r="J66" s="299"/>
      <c r="K66" s="299"/>
      <c r="L66" s="299"/>
      <c r="M66" s="299"/>
      <c r="N66" s="299"/>
      <c r="O66" s="27"/>
      <c r="P66" s="27"/>
      <c r="Q66" s="153"/>
      <c r="R66" s="153"/>
      <c r="S66" s="153"/>
      <c r="T66" s="153"/>
      <c r="U66" s="153"/>
      <c r="V66" s="98"/>
      <c r="W66" s="104"/>
      <c r="X66" s="104"/>
      <c r="Y66" s="104"/>
      <c r="Z66" s="104"/>
      <c r="AA66" s="99"/>
      <c r="AB66" s="99"/>
    </row>
    <row r="67" spans="1:33" s="1" customFormat="1" ht="22.5" customHeight="1" x14ac:dyDescent="0.25">
      <c r="A67" s="24" t="s">
        <v>131</v>
      </c>
      <c r="B67" s="133" t="s">
        <v>132</v>
      </c>
      <c r="C67" s="133" t="s">
        <v>133</v>
      </c>
      <c r="D67" s="133" t="s">
        <v>134</v>
      </c>
      <c r="E67" s="133" t="s">
        <v>135</v>
      </c>
      <c r="F67" s="133" t="s">
        <v>136</v>
      </c>
      <c r="G67" s="133" t="s">
        <v>137</v>
      </c>
      <c r="H67" s="133" t="s">
        <v>138</v>
      </c>
      <c r="I67" s="133" t="s">
        <v>139</v>
      </c>
      <c r="J67" s="133" t="s">
        <v>140</v>
      </c>
      <c r="K67" s="133" t="s">
        <v>142</v>
      </c>
      <c r="L67" s="133" t="s">
        <v>143</v>
      </c>
      <c r="M67" s="133" t="s">
        <v>144</v>
      </c>
      <c r="N67" s="133" t="s">
        <v>150</v>
      </c>
      <c r="O67" s="27"/>
      <c r="P67" s="153"/>
      <c r="Q67" s="153"/>
      <c r="R67" s="153"/>
      <c r="S67" s="153"/>
      <c r="T67" s="153"/>
      <c r="U67" s="153"/>
      <c r="V67" s="98"/>
      <c r="W67" s="104"/>
      <c r="X67" s="104"/>
      <c r="Y67" s="104"/>
      <c r="Z67" s="104"/>
      <c r="AA67" s="99"/>
      <c r="AB67" s="99"/>
      <c r="AC67" s="99"/>
      <c r="AD67" s="99"/>
      <c r="AE67" s="99"/>
      <c r="AF67" s="99"/>
    </row>
    <row r="68" spans="1:33" s="1" customFormat="1" ht="12" x14ac:dyDescent="0.25">
      <c r="A68" s="74" t="s">
        <v>147</v>
      </c>
      <c r="B68" s="83">
        <v>18004.870967741899</v>
      </c>
      <c r="C68" s="84">
        <v>18590.7</v>
      </c>
      <c r="D68" s="83">
        <v>13930.8</v>
      </c>
      <c r="E68" s="84">
        <v>0</v>
      </c>
      <c r="F68" s="83">
        <v>0</v>
      </c>
      <c r="G68" s="84">
        <v>0</v>
      </c>
      <c r="H68" s="84">
        <v>0</v>
      </c>
      <c r="I68" s="83">
        <v>0</v>
      </c>
      <c r="J68" s="84">
        <v>0</v>
      </c>
      <c r="K68" s="83">
        <v>0</v>
      </c>
      <c r="L68" s="83">
        <v>0</v>
      </c>
      <c r="M68" s="84">
        <v>0</v>
      </c>
      <c r="N68" s="83">
        <v>17962.515151515199</v>
      </c>
      <c r="O68" s="159"/>
      <c r="P68" s="157"/>
      <c r="Q68" s="157"/>
      <c r="R68" s="157"/>
      <c r="S68" s="157"/>
      <c r="T68" s="157"/>
      <c r="U68" s="157"/>
      <c r="V68" s="100"/>
      <c r="W68" s="105"/>
      <c r="X68" s="105"/>
      <c r="Y68" s="105"/>
      <c r="Z68" s="105"/>
      <c r="AA68" s="101"/>
      <c r="AB68" s="101"/>
    </row>
    <row r="69" spans="1:33" s="1" customFormat="1" ht="12" x14ac:dyDescent="0.25">
      <c r="A69" s="75" t="s">
        <v>67</v>
      </c>
      <c r="B69" s="90">
        <v>647.06451612903197</v>
      </c>
      <c r="C69" s="90">
        <v>655.46666666666704</v>
      </c>
      <c r="D69" s="90">
        <v>519.6</v>
      </c>
      <c r="E69" s="90">
        <v>0</v>
      </c>
      <c r="F69" s="90">
        <v>0</v>
      </c>
      <c r="G69" s="90">
        <v>0</v>
      </c>
      <c r="H69" s="90">
        <v>0</v>
      </c>
      <c r="I69" s="90">
        <v>0</v>
      </c>
      <c r="J69" s="90">
        <v>0</v>
      </c>
      <c r="K69" s="90">
        <v>0</v>
      </c>
      <c r="L69" s="90">
        <v>0</v>
      </c>
      <c r="M69" s="90">
        <v>0</v>
      </c>
      <c r="N69" s="90">
        <v>641.22727272727298</v>
      </c>
      <c r="O69" s="27"/>
      <c r="P69" s="157"/>
      <c r="Q69" s="157"/>
      <c r="R69" s="157"/>
      <c r="S69" s="157"/>
      <c r="T69" s="157"/>
      <c r="U69" s="158"/>
      <c r="V69" s="100"/>
      <c r="W69" s="105"/>
      <c r="X69" s="105"/>
      <c r="Y69" s="105"/>
      <c r="Z69" s="105"/>
      <c r="AA69" s="101"/>
      <c r="AB69" s="101"/>
      <c r="AC69" s="101"/>
      <c r="AD69" s="101"/>
      <c r="AE69" s="101"/>
      <c r="AF69" s="101"/>
      <c r="AG69" s="101"/>
    </row>
    <row r="70" spans="1:33" s="1" customFormat="1" ht="12" x14ac:dyDescent="0.25">
      <c r="A70" s="76" t="s">
        <v>99</v>
      </c>
      <c r="B70" s="90">
        <v>405.16129032258101</v>
      </c>
      <c r="C70" s="90">
        <v>299.86666666666702</v>
      </c>
      <c r="D70" s="90">
        <v>239.6</v>
      </c>
      <c r="E70" s="90">
        <v>0</v>
      </c>
      <c r="F70" s="90">
        <v>0</v>
      </c>
      <c r="G70" s="90">
        <v>0</v>
      </c>
      <c r="H70" s="90">
        <v>0</v>
      </c>
      <c r="I70" s="90">
        <v>0</v>
      </c>
      <c r="J70" s="90">
        <v>0</v>
      </c>
      <c r="K70" s="90">
        <v>0</v>
      </c>
      <c r="L70" s="90">
        <v>0</v>
      </c>
      <c r="M70" s="90">
        <v>0</v>
      </c>
      <c r="N70" s="90">
        <v>344.75757575757598</v>
      </c>
      <c r="O70" s="27"/>
      <c r="P70" s="153"/>
      <c r="Q70" s="153"/>
      <c r="R70" s="153"/>
      <c r="S70" s="153"/>
      <c r="T70" s="153"/>
      <c r="U70" s="153"/>
      <c r="V70" s="98"/>
      <c r="W70" s="104"/>
      <c r="X70" s="104"/>
      <c r="Y70" s="104"/>
      <c r="Z70" s="104"/>
      <c r="AA70" s="101"/>
      <c r="AB70" s="101"/>
      <c r="AC70" s="101"/>
      <c r="AG70" s="101"/>
    </row>
    <row r="71" spans="1:33" s="33" customFormat="1" ht="12" x14ac:dyDescent="0.25">
      <c r="A71" s="76" t="s">
        <v>127</v>
      </c>
      <c r="B71" s="90">
        <v>16952.6451612903</v>
      </c>
      <c r="C71" s="90">
        <v>17635.366666666701</v>
      </c>
      <c r="D71" s="90">
        <v>13171.6</v>
      </c>
      <c r="E71" s="90">
        <v>0</v>
      </c>
      <c r="F71" s="90">
        <v>0</v>
      </c>
      <c r="G71" s="90">
        <v>0</v>
      </c>
      <c r="H71" s="90">
        <v>0</v>
      </c>
      <c r="I71" s="90">
        <v>0</v>
      </c>
      <c r="J71" s="90">
        <v>0</v>
      </c>
      <c r="K71" s="90">
        <v>0</v>
      </c>
      <c r="L71" s="90">
        <v>0</v>
      </c>
      <c r="M71" s="90">
        <v>0</v>
      </c>
      <c r="N71" s="90">
        <v>16976.5303030303</v>
      </c>
      <c r="O71" s="157"/>
      <c r="P71" s="157"/>
      <c r="Q71" s="157"/>
      <c r="R71" s="157"/>
      <c r="S71" s="157"/>
      <c r="T71" s="157"/>
      <c r="U71" s="157"/>
      <c r="V71" s="100"/>
      <c r="W71" s="106"/>
      <c r="X71" s="106"/>
      <c r="Y71" s="106"/>
      <c r="Z71" s="106"/>
      <c r="AA71" s="106"/>
      <c r="AB71" s="106"/>
      <c r="AC71" s="106"/>
      <c r="AD71" s="106"/>
      <c r="AE71" s="106"/>
      <c r="AF71" s="106"/>
      <c r="AG71" s="106"/>
    </row>
    <row r="72" spans="1:33" s="1" customFormat="1" ht="12" x14ac:dyDescent="0.25">
      <c r="A72" s="74" t="s">
        <v>148</v>
      </c>
      <c r="B72" s="83">
        <v>4834.6451612903202</v>
      </c>
      <c r="C72" s="84">
        <v>4836.1333333333296</v>
      </c>
      <c r="D72" s="83">
        <v>3865.2</v>
      </c>
      <c r="E72" s="84">
        <v>0</v>
      </c>
      <c r="F72" s="83">
        <v>0</v>
      </c>
      <c r="G72" s="84">
        <v>0</v>
      </c>
      <c r="H72" s="84">
        <v>0</v>
      </c>
      <c r="I72" s="83">
        <v>0</v>
      </c>
      <c r="J72" s="84">
        <v>0</v>
      </c>
      <c r="K72" s="83">
        <v>0</v>
      </c>
      <c r="L72" s="83">
        <v>0</v>
      </c>
      <c r="M72" s="84">
        <v>0</v>
      </c>
      <c r="N72" s="83">
        <v>4761.8787878787898</v>
      </c>
      <c r="O72" s="27"/>
      <c r="P72" s="157"/>
      <c r="Q72" s="157"/>
      <c r="R72" s="157"/>
      <c r="S72" s="157"/>
      <c r="T72" s="157"/>
      <c r="U72" s="157"/>
      <c r="V72" s="100"/>
      <c r="W72" s="101"/>
      <c r="X72" s="101"/>
      <c r="Y72" s="101"/>
      <c r="Z72" s="101"/>
      <c r="AA72" s="101"/>
      <c r="AB72" s="101"/>
      <c r="AC72" s="101"/>
      <c r="AD72" s="101"/>
      <c r="AE72" s="101"/>
      <c r="AF72" s="101"/>
      <c r="AG72" s="101"/>
    </row>
    <row r="73" spans="1:33" s="1" customFormat="1" ht="12" x14ac:dyDescent="0.25">
      <c r="A73" s="75" t="s">
        <v>67</v>
      </c>
      <c r="B73" s="90">
        <v>3982.8709677419401</v>
      </c>
      <c r="C73" s="90">
        <v>3954.6</v>
      </c>
      <c r="D73" s="90">
        <v>3164.4</v>
      </c>
      <c r="E73" s="90">
        <v>0</v>
      </c>
      <c r="F73" s="90">
        <v>0</v>
      </c>
      <c r="G73" s="90">
        <v>0</v>
      </c>
      <c r="H73" s="90">
        <v>0</v>
      </c>
      <c r="I73" s="90">
        <v>0</v>
      </c>
      <c r="J73" s="90">
        <v>0</v>
      </c>
      <c r="K73" s="90">
        <v>0</v>
      </c>
      <c r="L73" s="90">
        <v>0</v>
      </c>
      <c r="M73" s="90">
        <v>0</v>
      </c>
      <c r="N73" s="90">
        <v>3908.0151515151501</v>
      </c>
      <c r="O73" s="27"/>
      <c r="P73" s="157"/>
      <c r="Q73" s="157"/>
      <c r="R73" s="157"/>
      <c r="S73" s="157"/>
      <c r="T73" s="157"/>
      <c r="U73" s="157"/>
      <c r="V73" s="100"/>
      <c r="W73" s="101"/>
      <c r="X73" s="101"/>
      <c r="Y73" s="101"/>
      <c r="Z73" s="101"/>
      <c r="AA73" s="101"/>
      <c r="AB73" s="101"/>
      <c r="AC73" s="107"/>
      <c r="AD73" s="101"/>
      <c r="AE73" s="101"/>
      <c r="AF73" s="101"/>
      <c r="AG73" s="101"/>
    </row>
    <row r="74" spans="1:33" s="1" customFormat="1" ht="12" x14ac:dyDescent="0.25">
      <c r="A74" s="76" t="s">
        <v>99</v>
      </c>
      <c r="B74" s="90">
        <v>597.80645161290295</v>
      </c>
      <c r="C74" s="90">
        <v>604.63333333333298</v>
      </c>
      <c r="D74" s="90">
        <v>498</v>
      </c>
      <c r="E74" s="90">
        <v>0</v>
      </c>
      <c r="F74" s="90">
        <v>0</v>
      </c>
      <c r="G74" s="90">
        <v>0</v>
      </c>
      <c r="H74" s="90">
        <v>0</v>
      </c>
      <c r="I74" s="90">
        <v>0</v>
      </c>
      <c r="J74" s="90">
        <v>0</v>
      </c>
      <c r="K74" s="90">
        <v>0</v>
      </c>
      <c r="L74" s="90">
        <v>0</v>
      </c>
      <c r="M74" s="90">
        <v>0</v>
      </c>
      <c r="N74" s="90">
        <v>593.34848484848499</v>
      </c>
      <c r="O74" s="27"/>
      <c r="P74" s="157"/>
      <c r="Q74" s="157"/>
      <c r="R74" s="157"/>
      <c r="S74" s="157"/>
      <c r="T74" s="158"/>
      <c r="U74" s="157"/>
      <c r="V74" s="100"/>
      <c r="W74" s="101"/>
      <c r="X74" s="101"/>
      <c r="Y74" s="101"/>
      <c r="Z74" s="101"/>
      <c r="AA74" s="101"/>
      <c r="AB74" s="101"/>
      <c r="AC74" s="101"/>
      <c r="AD74" s="101"/>
      <c r="AE74" s="101"/>
      <c r="AF74" s="101"/>
      <c r="AG74" s="101"/>
    </row>
    <row r="75" spans="1:33" s="1" customFormat="1" ht="12" x14ac:dyDescent="0.25">
      <c r="A75" s="76" t="s">
        <v>127</v>
      </c>
      <c r="B75" s="90">
        <v>253.96774193548401</v>
      </c>
      <c r="C75" s="90">
        <v>276.89999999999998</v>
      </c>
      <c r="D75" s="90">
        <v>202.8</v>
      </c>
      <c r="E75" s="90">
        <v>0</v>
      </c>
      <c r="F75" s="90">
        <v>0</v>
      </c>
      <c r="G75" s="90">
        <v>0</v>
      </c>
      <c r="H75" s="90">
        <v>0</v>
      </c>
      <c r="I75" s="90">
        <v>0</v>
      </c>
      <c r="J75" s="90">
        <v>0</v>
      </c>
      <c r="K75" s="90">
        <v>0</v>
      </c>
      <c r="L75" s="90">
        <v>0</v>
      </c>
      <c r="M75" s="90">
        <v>0</v>
      </c>
      <c r="N75" s="90">
        <v>260.51515151515201</v>
      </c>
      <c r="O75" s="27"/>
      <c r="P75" s="157"/>
      <c r="Q75" s="157"/>
      <c r="R75" s="157"/>
      <c r="S75" s="157"/>
      <c r="T75" s="157"/>
      <c r="U75" s="157"/>
      <c r="V75" s="100"/>
      <c r="W75" s="101"/>
      <c r="X75" s="101"/>
      <c r="Y75" s="101"/>
      <c r="Z75" s="107"/>
      <c r="AA75" s="101"/>
      <c r="AB75" s="101"/>
      <c r="AC75" s="101"/>
      <c r="AD75" s="101"/>
      <c r="AG75" s="101"/>
    </row>
    <row r="76" spans="1:33" s="1" customFormat="1" ht="12" x14ac:dyDescent="0.25">
      <c r="A76" s="74" t="s">
        <v>149</v>
      </c>
      <c r="B76" s="83">
        <v>22839.516129032301</v>
      </c>
      <c r="C76" s="84">
        <v>23426.833333333299</v>
      </c>
      <c r="D76" s="83">
        <v>17796</v>
      </c>
      <c r="E76" s="84">
        <v>0</v>
      </c>
      <c r="F76" s="83">
        <v>0</v>
      </c>
      <c r="G76" s="84">
        <v>0</v>
      </c>
      <c r="H76" s="84">
        <v>0</v>
      </c>
      <c r="I76" s="83">
        <v>0</v>
      </c>
      <c r="J76" s="84">
        <v>0</v>
      </c>
      <c r="K76" s="83">
        <v>0</v>
      </c>
      <c r="L76" s="83">
        <v>0</v>
      </c>
      <c r="M76" s="84">
        <v>0</v>
      </c>
      <c r="N76" s="83">
        <v>22724.3939393939</v>
      </c>
      <c r="O76" s="27"/>
      <c r="P76" s="157"/>
      <c r="Q76" s="157"/>
      <c r="R76" s="157"/>
      <c r="S76" s="157"/>
      <c r="T76" s="157"/>
      <c r="U76" s="157"/>
      <c r="V76" s="100"/>
      <c r="W76" s="101"/>
      <c r="X76" s="101"/>
      <c r="Y76" s="101"/>
      <c r="Z76" s="101"/>
      <c r="AA76" s="101"/>
      <c r="AB76" s="101"/>
      <c r="AC76" s="101"/>
      <c r="AD76" s="101"/>
      <c r="AG76" s="101"/>
    </row>
    <row r="77" spans="1:33" s="1" customFormat="1" ht="12" x14ac:dyDescent="0.25">
      <c r="A77" s="75" t="s">
        <v>67</v>
      </c>
      <c r="B77" s="90">
        <v>4629.9354838709696</v>
      </c>
      <c r="C77" s="90">
        <v>4610.0666666666702</v>
      </c>
      <c r="D77" s="90">
        <v>3684</v>
      </c>
      <c r="E77" s="90">
        <v>0</v>
      </c>
      <c r="F77" s="90">
        <v>0</v>
      </c>
      <c r="G77" s="90">
        <v>0</v>
      </c>
      <c r="H77" s="90">
        <v>0</v>
      </c>
      <c r="I77" s="90">
        <v>0</v>
      </c>
      <c r="J77" s="90">
        <v>0</v>
      </c>
      <c r="K77" s="90">
        <v>0</v>
      </c>
      <c r="L77" s="90">
        <v>0</v>
      </c>
      <c r="M77" s="90">
        <v>0</v>
      </c>
      <c r="N77" s="90">
        <v>4549.2424242424204</v>
      </c>
      <c r="O77" s="27"/>
      <c r="P77" s="157"/>
      <c r="Q77" s="157"/>
      <c r="R77" s="101"/>
      <c r="S77" s="157"/>
      <c r="T77" s="157"/>
      <c r="U77" s="157"/>
      <c r="V77" s="100"/>
      <c r="W77" s="101"/>
      <c r="X77" s="101"/>
      <c r="Y77" s="101"/>
      <c r="Z77" s="101"/>
      <c r="AA77" s="101"/>
      <c r="AB77" s="101"/>
    </row>
    <row r="78" spans="1:33" s="1" customFormat="1" ht="12" x14ac:dyDescent="0.25">
      <c r="A78" s="76" t="s">
        <v>99</v>
      </c>
      <c r="B78" s="90">
        <v>1002.96774193548</v>
      </c>
      <c r="C78" s="90">
        <v>904.5</v>
      </c>
      <c r="D78" s="90">
        <v>737.6</v>
      </c>
      <c r="E78" s="90">
        <v>0</v>
      </c>
      <c r="F78" s="90">
        <v>0</v>
      </c>
      <c r="G78" s="90">
        <v>0</v>
      </c>
      <c r="H78" s="90">
        <v>0</v>
      </c>
      <c r="I78" s="90">
        <v>0</v>
      </c>
      <c r="J78" s="90">
        <v>0</v>
      </c>
      <c r="K78" s="90">
        <v>0</v>
      </c>
      <c r="L78" s="90">
        <v>0</v>
      </c>
      <c r="M78" s="90">
        <v>0</v>
      </c>
      <c r="N78" s="90">
        <v>938.10606060606096</v>
      </c>
      <c r="O78" s="27"/>
      <c r="P78" s="157"/>
      <c r="Q78" s="157"/>
      <c r="R78" s="158"/>
      <c r="S78" s="157"/>
      <c r="T78" s="157"/>
      <c r="U78" s="157"/>
      <c r="V78" s="100"/>
      <c r="W78" s="101"/>
      <c r="X78" s="101"/>
      <c r="Y78" s="101"/>
      <c r="Z78" s="101"/>
      <c r="AA78" s="101"/>
      <c r="AB78" s="101"/>
    </row>
    <row r="79" spans="1:33" s="1" customFormat="1" ht="12" x14ac:dyDescent="0.25">
      <c r="A79" s="76" t="s">
        <v>127</v>
      </c>
      <c r="B79" s="90">
        <v>17206.6129032258</v>
      </c>
      <c r="C79" s="90">
        <v>17912.266666666699</v>
      </c>
      <c r="D79" s="90">
        <v>13374.4</v>
      </c>
      <c r="E79" s="90">
        <v>0</v>
      </c>
      <c r="F79" s="90">
        <v>0</v>
      </c>
      <c r="G79" s="90">
        <v>0</v>
      </c>
      <c r="H79" s="90">
        <v>0</v>
      </c>
      <c r="I79" s="90">
        <v>0</v>
      </c>
      <c r="J79" s="90">
        <v>0</v>
      </c>
      <c r="K79" s="90">
        <v>0</v>
      </c>
      <c r="L79" s="90">
        <v>0</v>
      </c>
      <c r="M79" s="90">
        <v>0</v>
      </c>
      <c r="N79" s="90">
        <v>17237.0454545455</v>
      </c>
      <c r="O79" s="27"/>
      <c r="P79" s="157"/>
      <c r="Q79" s="157"/>
      <c r="R79" s="158"/>
      <c r="S79" s="158"/>
      <c r="T79" s="157"/>
      <c r="U79" s="157"/>
      <c r="V79" s="100"/>
      <c r="W79" s="101"/>
      <c r="X79" s="101"/>
      <c r="Y79" s="101"/>
      <c r="Z79" s="101"/>
      <c r="AA79" s="101"/>
      <c r="AB79" s="101"/>
    </row>
    <row r="80" spans="1:33" s="1" customFormat="1" ht="12" x14ac:dyDescent="0.25">
      <c r="A80" s="71"/>
      <c r="F80" s="6"/>
      <c r="G80" s="6"/>
      <c r="H80" s="6"/>
      <c r="I80" s="6"/>
      <c r="J80" s="6"/>
      <c r="K80" s="6"/>
      <c r="L80" s="27"/>
      <c r="M80" s="27"/>
      <c r="N80" s="27"/>
      <c r="O80" s="27"/>
      <c r="P80" s="157"/>
      <c r="Q80" s="157"/>
      <c r="R80" s="157"/>
      <c r="S80" s="158"/>
      <c r="T80" s="157"/>
      <c r="U80" s="157"/>
      <c r="V80" s="100"/>
      <c r="W80" s="101"/>
      <c r="X80" s="101"/>
      <c r="Y80" s="101"/>
      <c r="Z80" s="101"/>
      <c r="AA80" s="101"/>
      <c r="AB80" s="101"/>
    </row>
    <row r="81" spans="1:34" s="1" customFormat="1" ht="12" customHeight="1" x14ac:dyDescent="0.25">
      <c r="A81" s="308"/>
      <c r="B81" s="309"/>
      <c r="C81" s="309"/>
      <c r="D81" s="309"/>
      <c r="E81" s="309"/>
      <c r="F81" s="309"/>
      <c r="G81" s="309"/>
      <c r="H81" s="309"/>
      <c r="I81" s="309"/>
      <c r="J81" s="309"/>
      <c r="K81" s="309"/>
      <c r="L81" s="309"/>
      <c r="M81" s="309"/>
      <c r="N81" s="309"/>
      <c r="O81" s="309"/>
      <c r="P81" s="309"/>
      <c r="Q81" s="309"/>
      <c r="R81" s="309"/>
      <c r="S81" s="309"/>
      <c r="T81" s="309"/>
      <c r="U81" s="309"/>
      <c r="V81" s="310"/>
    </row>
    <row r="82" spans="1:34" s="1" customFormat="1" ht="12" x14ac:dyDescent="0.25">
      <c r="A82" s="71"/>
      <c r="F82" s="6"/>
      <c r="G82" s="6"/>
      <c r="H82" s="6"/>
      <c r="I82" s="6"/>
      <c r="J82" s="6"/>
      <c r="K82" s="6"/>
      <c r="L82" s="27"/>
      <c r="M82" s="27"/>
      <c r="N82" s="27"/>
      <c r="O82" s="27"/>
      <c r="P82" s="27"/>
      <c r="Q82" s="27"/>
      <c r="R82" s="27"/>
      <c r="S82" s="27"/>
      <c r="T82" s="27"/>
      <c r="U82" s="27"/>
      <c r="V82" s="31"/>
      <c r="AA82" s="99"/>
      <c r="AB82" s="99"/>
      <c r="AC82" s="99"/>
      <c r="AD82" s="99"/>
      <c r="AE82" s="99"/>
      <c r="AF82" s="99"/>
      <c r="AG82" s="99"/>
    </row>
    <row r="83" spans="1:34" s="1" customFormat="1" ht="24.75" customHeight="1" x14ac:dyDescent="0.25">
      <c r="A83" s="307" t="s">
        <v>742</v>
      </c>
      <c r="B83" s="299"/>
      <c r="C83" s="299"/>
      <c r="D83" s="299"/>
      <c r="E83" s="299"/>
      <c r="F83" s="299"/>
      <c r="G83" s="299"/>
      <c r="H83" s="299"/>
      <c r="I83" s="299"/>
      <c r="J83" s="299"/>
      <c r="K83" s="299"/>
      <c r="L83" s="299"/>
      <c r="M83" s="299"/>
      <c r="N83" s="299"/>
      <c r="O83" s="27"/>
      <c r="P83" s="27"/>
      <c r="Q83" s="153"/>
      <c r="R83" s="153"/>
      <c r="S83" s="153"/>
      <c r="T83" s="153"/>
      <c r="U83" s="153"/>
      <c r="V83" s="98"/>
      <c r="W83" s="99"/>
      <c r="X83" s="99"/>
      <c r="Y83" s="99"/>
      <c r="Z83" s="99"/>
      <c r="AA83" s="99"/>
      <c r="AB83" s="99"/>
    </row>
    <row r="84" spans="1:34" s="1" customFormat="1" ht="12" x14ac:dyDescent="0.25">
      <c r="A84" s="24" t="s">
        <v>131</v>
      </c>
      <c r="B84" s="133" t="s">
        <v>132</v>
      </c>
      <c r="C84" s="133" t="s">
        <v>133</v>
      </c>
      <c r="D84" s="133" t="s">
        <v>134</v>
      </c>
      <c r="E84" s="133" t="s">
        <v>135</v>
      </c>
      <c r="F84" s="133" t="s">
        <v>136</v>
      </c>
      <c r="G84" s="133" t="s">
        <v>137</v>
      </c>
      <c r="H84" s="133" t="s">
        <v>138</v>
      </c>
      <c r="I84" s="133" t="s">
        <v>139</v>
      </c>
      <c r="J84" s="133" t="s">
        <v>140</v>
      </c>
      <c r="K84" s="133" t="s">
        <v>142</v>
      </c>
      <c r="L84" s="133" t="s">
        <v>143</v>
      </c>
      <c r="M84" s="133" t="s">
        <v>144</v>
      </c>
      <c r="N84" s="133" t="s">
        <v>150</v>
      </c>
      <c r="O84" s="27"/>
      <c r="P84" s="153"/>
      <c r="Q84" s="153"/>
      <c r="R84" s="153"/>
      <c r="S84" s="153"/>
      <c r="T84" s="153"/>
      <c r="U84" s="153"/>
      <c r="V84" s="98"/>
      <c r="W84" s="99"/>
      <c r="X84" s="99"/>
      <c r="Y84" s="99"/>
      <c r="Z84" s="99"/>
      <c r="AA84" s="99"/>
      <c r="AB84" s="99"/>
      <c r="AC84" s="101"/>
      <c r="AD84" s="101"/>
      <c r="AE84" s="101"/>
      <c r="AF84" s="101"/>
      <c r="AG84" s="101"/>
      <c r="AH84" s="101"/>
    </row>
    <row r="85" spans="1:34" s="1" customFormat="1" ht="12.75" customHeight="1" x14ac:dyDescent="0.25">
      <c r="A85" s="74" t="s">
        <v>147</v>
      </c>
      <c r="B85" s="85">
        <v>20.259403965252101</v>
      </c>
      <c r="C85" s="86">
        <v>20.2401159459368</v>
      </c>
      <c r="D85" s="85">
        <v>18.942721217887701</v>
      </c>
      <c r="E85" s="86">
        <v>0</v>
      </c>
      <c r="F85" s="85">
        <v>0</v>
      </c>
      <c r="G85" s="86">
        <v>0</v>
      </c>
      <c r="H85" s="86">
        <v>0</v>
      </c>
      <c r="I85" s="85">
        <v>0</v>
      </c>
      <c r="J85" s="86">
        <v>0</v>
      </c>
      <c r="K85" s="85">
        <v>0</v>
      </c>
      <c r="L85" s="85">
        <v>0</v>
      </c>
      <c r="M85" s="86">
        <v>0</v>
      </c>
      <c r="N85" s="85">
        <v>20.132394079650101</v>
      </c>
      <c r="O85" s="27"/>
      <c r="P85" s="27"/>
      <c r="Q85" s="153"/>
      <c r="R85" s="153"/>
      <c r="S85" s="153"/>
      <c r="T85" s="153"/>
      <c r="U85" s="153"/>
      <c r="V85" s="98"/>
      <c r="W85" s="99"/>
      <c r="X85" s="99"/>
      <c r="Y85" s="99"/>
      <c r="Z85" s="99"/>
      <c r="AA85" s="99"/>
      <c r="AB85" s="99"/>
      <c r="AC85" s="101"/>
      <c r="AD85" s="101"/>
      <c r="AE85" s="101"/>
      <c r="AF85" s="101"/>
      <c r="AG85" s="101"/>
      <c r="AH85" s="101"/>
    </row>
    <row r="86" spans="1:34" s="1" customFormat="1" ht="12" x14ac:dyDescent="0.25">
      <c r="A86" s="75" t="s">
        <v>67</v>
      </c>
      <c r="B86" s="91">
        <v>28.266435986159198</v>
      </c>
      <c r="C86" s="91">
        <v>27.180451127819499</v>
      </c>
      <c r="D86" s="91">
        <v>31.388429752066099</v>
      </c>
      <c r="E86" s="91">
        <v>0</v>
      </c>
      <c r="F86" s="91">
        <v>0</v>
      </c>
      <c r="G86" s="91">
        <v>0</v>
      </c>
      <c r="H86" s="91">
        <v>0</v>
      </c>
      <c r="I86" s="91">
        <v>0</v>
      </c>
      <c r="J86" s="91">
        <v>0</v>
      </c>
      <c r="K86" s="91">
        <v>0</v>
      </c>
      <c r="L86" s="91">
        <v>0</v>
      </c>
      <c r="M86" s="91">
        <v>0</v>
      </c>
      <c r="N86" s="91">
        <v>28.013929618768302</v>
      </c>
      <c r="O86" s="27"/>
      <c r="P86" s="27"/>
      <c r="Q86" s="27"/>
      <c r="R86" s="153"/>
      <c r="S86" s="153"/>
      <c r="T86" s="153"/>
      <c r="U86" s="153"/>
      <c r="V86" s="98"/>
      <c r="W86" s="99"/>
      <c r="X86" s="99"/>
      <c r="Y86" s="99"/>
      <c r="Z86" s="99"/>
      <c r="AA86" s="101"/>
      <c r="AB86" s="101"/>
      <c r="AC86" s="107"/>
      <c r="AD86" s="101"/>
      <c r="AE86" s="101"/>
      <c r="AF86" s="101"/>
      <c r="AH86" s="101"/>
    </row>
    <row r="87" spans="1:34" s="1" customFormat="1" ht="12" x14ac:dyDescent="0.25">
      <c r="A87" s="76" t="s">
        <v>99</v>
      </c>
      <c r="B87" s="91">
        <v>32.982014388489198</v>
      </c>
      <c r="C87" s="91">
        <v>48.018018018017997</v>
      </c>
      <c r="D87" s="91">
        <v>50.1</v>
      </c>
      <c r="E87" s="91">
        <v>0</v>
      </c>
      <c r="F87" s="91">
        <v>0</v>
      </c>
      <c r="G87" s="91">
        <v>0</v>
      </c>
      <c r="H87" s="91">
        <v>0</v>
      </c>
      <c r="I87" s="91">
        <v>0</v>
      </c>
      <c r="J87" s="91">
        <v>0</v>
      </c>
      <c r="K87" s="91">
        <v>0</v>
      </c>
      <c r="L87" s="91">
        <v>0</v>
      </c>
      <c r="M87" s="91">
        <v>0</v>
      </c>
      <c r="N87" s="91">
        <v>41.725038402457798</v>
      </c>
      <c r="O87" s="27"/>
      <c r="P87" s="27"/>
      <c r="Q87" s="153"/>
      <c r="R87" s="153"/>
      <c r="S87" s="153"/>
      <c r="T87" s="153"/>
      <c r="U87" s="153"/>
      <c r="V87" s="98"/>
      <c r="W87" s="99"/>
      <c r="X87" s="99"/>
      <c r="AA87" s="101"/>
      <c r="AB87" s="101"/>
      <c r="AC87" s="101"/>
      <c r="AD87" s="101"/>
      <c r="AE87" s="101"/>
      <c r="AF87" s="101"/>
      <c r="AG87" s="101"/>
      <c r="AH87" s="101"/>
    </row>
    <row r="88" spans="1:34" s="1" customFormat="1" ht="12" x14ac:dyDescent="0.25">
      <c r="A88" s="76" t="s">
        <v>127</v>
      </c>
      <c r="B88" s="91">
        <v>19.9075119596604</v>
      </c>
      <c r="C88" s="91">
        <v>19.756513550277301</v>
      </c>
      <c r="D88" s="91">
        <v>18.402434236356498</v>
      </c>
      <c r="E88" s="91">
        <v>0</v>
      </c>
      <c r="F88" s="91">
        <v>0</v>
      </c>
      <c r="G88" s="91">
        <v>0</v>
      </c>
      <c r="H88" s="91">
        <v>0</v>
      </c>
      <c r="I88" s="91">
        <v>0</v>
      </c>
      <c r="J88" s="91">
        <v>0</v>
      </c>
      <c r="K88" s="91">
        <v>0</v>
      </c>
      <c r="L88" s="91">
        <v>0</v>
      </c>
      <c r="M88" s="91">
        <v>0</v>
      </c>
      <c r="N88" s="91">
        <v>19.6969351214717</v>
      </c>
      <c r="O88" s="27"/>
      <c r="P88" s="153"/>
      <c r="Q88" s="153"/>
      <c r="R88" s="153"/>
      <c r="S88" s="153"/>
      <c r="T88" s="153"/>
      <c r="U88" s="153"/>
      <c r="V88" s="98"/>
      <c r="W88" s="99"/>
      <c r="X88" s="99"/>
      <c r="Y88" s="99"/>
      <c r="Z88" s="99"/>
    </row>
    <row r="89" spans="1:34" s="1" customFormat="1" ht="12" x14ac:dyDescent="0.25">
      <c r="A89" s="74" t="s">
        <v>148</v>
      </c>
      <c r="B89" s="85">
        <v>33.6233766233766</v>
      </c>
      <c r="C89" s="86">
        <v>35.6307935790188</v>
      </c>
      <c r="D89" s="85">
        <v>52.257092198581603</v>
      </c>
      <c r="E89" s="86">
        <v>0</v>
      </c>
      <c r="F89" s="85">
        <v>0</v>
      </c>
      <c r="G89" s="86">
        <v>0</v>
      </c>
      <c r="H89" s="86">
        <v>0</v>
      </c>
      <c r="I89" s="85">
        <v>0</v>
      </c>
      <c r="J89" s="86">
        <v>0</v>
      </c>
      <c r="K89" s="85">
        <v>0</v>
      </c>
      <c r="L89" s="85">
        <v>0</v>
      </c>
      <c r="M89" s="86">
        <v>0</v>
      </c>
      <c r="N89" s="85">
        <v>35.708355737175999</v>
      </c>
      <c r="O89" s="27"/>
      <c r="P89" s="153"/>
      <c r="Q89" s="153"/>
      <c r="R89" s="157"/>
      <c r="S89" s="157"/>
      <c r="T89" s="157"/>
      <c r="U89" s="157"/>
      <c r="V89" s="31"/>
      <c r="Z89" s="99"/>
      <c r="AA89" s="99"/>
      <c r="AB89" s="99"/>
      <c r="AC89" s="99"/>
      <c r="AD89" s="99"/>
      <c r="AE89" s="99"/>
      <c r="AF89" s="99"/>
    </row>
    <row r="90" spans="1:34" s="1" customFormat="1" ht="12" x14ac:dyDescent="0.25">
      <c r="A90" s="75" t="s">
        <v>67</v>
      </c>
      <c r="B90" s="91">
        <v>53.779277318241199</v>
      </c>
      <c r="C90" s="91">
        <v>56.165404040403999</v>
      </c>
      <c r="D90" s="91">
        <v>74.112426035503006</v>
      </c>
      <c r="E90" s="91">
        <v>0</v>
      </c>
      <c r="F90" s="91">
        <v>0</v>
      </c>
      <c r="G90" s="91">
        <v>0</v>
      </c>
      <c r="H90" s="91">
        <v>0</v>
      </c>
      <c r="I90" s="91">
        <v>0</v>
      </c>
      <c r="J90" s="91">
        <v>0</v>
      </c>
      <c r="K90" s="91">
        <v>0</v>
      </c>
      <c r="L90" s="91">
        <v>0</v>
      </c>
      <c r="M90" s="91">
        <v>0</v>
      </c>
      <c r="N90" s="91">
        <v>56.282179205747397</v>
      </c>
      <c r="O90" s="27"/>
      <c r="P90" s="153"/>
      <c r="Q90" s="153"/>
      <c r="R90" s="153"/>
      <c r="S90" s="153"/>
      <c r="T90" s="153"/>
      <c r="U90" s="157"/>
      <c r="V90" s="98"/>
      <c r="W90" s="99"/>
      <c r="X90" s="99"/>
      <c r="Y90" s="99"/>
      <c r="Z90" s="99"/>
      <c r="AA90" s="99"/>
      <c r="AB90" s="99"/>
      <c r="AC90" s="99"/>
    </row>
    <row r="91" spans="1:34" s="1" customFormat="1" ht="12" customHeight="1" x14ac:dyDescent="0.25">
      <c r="A91" s="76" t="s">
        <v>99</v>
      </c>
      <c r="B91" s="91">
        <v>22.9096774193548</v>
      </c>
      <c r="C91" s="91">
        <v>36.907960199004997</v>
      </c>
      <c r="D91" s="91">
        <v>67.488888888888894</v>
      </c>
      <c r="E91" s="91">
        <v>0</v>
      </c>
      <c r="F91" s="91">
        <v>0</v>
      </c>
      <c r="G91" s="91">
        <v>0</v>
      </c>
      <c r="H91" s="91">
        <v>0</v>
      </c>
      <c r="I91" s="91">
        <v>0</v>
      </c>
      <c r="J91" s="91">
        <v>0</v>
      </c>
      <c r="K91" s="91">
        <v>0</v>
      </c>
      <c r="L91" s="91">
        <v>0</v>
      </c>
      <c r="M91" s="91">
        <v>0</v>
      </c>
      <c r="N91" s="91">
        <v>30.063730084348599</v>
      </c>
      <c r="O91" s="27"/>
      <c r="P91" s="153"/>
      <c r="Q91" s="153"/>
      <c r="R91" s="157"/>
      <c r="S91" s="157"/>
      <c r="T91" s="157"/>
      <c r="U91" s="157"/>
      <c r="V91" s="98"/>
      <c r="W91" s="99"/>
      <c r="X91" s="99"/>
      <c r="Y91" s="99"/>
      <c r="Z91" s="99"/>
      <c r="AA91" s="99"/>
      <c r="AB91" s="99"/>
    </row>
    <row r="92" spans="1:34" s="1" customFormat="1" ht="12" x14ac:dyDescent="0.25">
      <c r="A92" s="76" t="s">
        <v>127</v>
      </c>
      <c r="B92" s="91">
        <v>5.1964157706093204</v>
      </c>
      <c r="C92" s="91">
        <v>5.65896656534954</v>
      </c>
      <c r="D92" s="91">
        <v>7.6574585635359096</v>
      </c>
      <c r="E92" s="91">
        <v>0</v>
      </c>
      <c r="F92" s="91">
        <v>0</v>
      </c>
      <c r="G92" s="91">
        <v>0</v>
      </c>
      <c r="H92" s="91">
        <v>0</v>
      </c>
      <c r="I92" s="91">
        <v>0</v>
      </c>
      <c r="J92" s="91">
        <v>0</v>
      </c>
      <c r="K92" s="91">
        <v>0</v>
      </c>
      <c r="L92" s="91">
        <v>0</v>
      </c>
      <c r="M92" s="91">
        <v>0</v>
      </c>
      <c r="N92" s="91">
        <v>5.5709407016454504</v>
      </c>
      <c r="O92" s="27"/>
      <c r="P92" s="153"/>
      <c r="Q92" s="153"/>
      <c r="R92" s="153"/>
      <c r="S92" s="153"/>
      <c r="T92" s="153"/>
      <c r="U92" s="153"/>
      <c r="V92" s="98"/>
      <c r="W92" s="99"/>
      <c r="X92" s="99"/>
      <c r="Y92" s="99"/>
      <c r="Z92" s="99"/>
      <c r="AA92" s="99"/>
      <c r="AB92" s="99"/>
    </row>
    <row r="93" spans="1:34" s="1" customFormat="1" ht="12" x14ac:dyDescent="0.25">
      <c r="A93" s="74" t="s">
        <v>149</v>
      </c>
      <c r="B93" s="85">
        <v>22.290543160269301</v>
      </c>
      <c r="C93" s="86">
        <v>22.236859087175901</v>
      </c>
      <c r="D93" s="85">
        <v>22.171678982643101</v>
      </c>
      <c r="E93" s="86">
        <v>0</v>
      </c>
      <c r="F93" s="85">
        <v>0</v>
      </c>
      <c r="G93" s="86">
        <v>0</v>
      </c>
      <c r="H93" s="86">
        <v>0</v>
      </c>
      <c r="I93" s="85">
        <v>0</v>
      </c>
      <c r="J93" s="86">
        <v>0</v>
      </c>
      <c r="K93" s="85">
        <v>0</v>
      </c>
      <c r="L93" s="85">
        <v>0</v>
      </c>
      <c r="M93" s="86">
        <v>0</v>
      </c>
      <c r="N93" s="85">
        <v>22.2536100289974</v>
      </c>
      <c r="O93" s="27"/>
      <c r="P93" s="27"/>
      <c r="Q93" s="27"/>
      <c r="R93" s="27"/>
      <c r="S93" s="27"/>
      <c r="T93" s="27"/>
      <c r="U93" s="27"/>
      <c r="V93" s="31"/>
    </row>
    <row r="94" spans="1:34" s="1" customFormat="1" ht="12" x14ac:dyDescent="0.25">
      <c r="A94" s="75" t="s">
        <v>67</v>
      </c>
      <c r="B94" s="91">
        <v>48.650086956521697</v>
      </c>
      <c r="C94" s="91">
        <v>49.827030582045403</v>
      </c>
      <c r="D94" s="91">
        <v>62.849673202614397</v>
      </c>
      <c r="E94" s="91">
        <v>0</v>
      </c>
      <c r="F94" s="91">
        <v>0</v>
      </c>
      <c r="G94" s="91">
        <v>0</v>
      </c>
      <c r="H94" s="91">
        <v>0</v>
      </c>
      <c r="I94" s="91">
        <v>0</v>
      </c>
      <c r="J94" s="91">
        <v>0</v>
      </c>
      <c r="K94" s="91">
        <v>0</v>
      </c>
      <c r="L94" s="91">
        <v>0</v>
      </c>
      <c r="M94" s="91">
        <v>0</v>
      </c>
      <c r="N94" s="91">
        <v>50.233882352941201</v>
      </c>
      <c r="O94" s="27"/>
      <c r="P94" s="27"/>
      <c r="Q94" s="27"/>
      <c r="R94" s="27"/>
      <c r="S94" s="27"/>
      <c r="T94" s="27"/>
      <c r="U94" s="27"/>
      <c r="V94" s="31"/>
    </row>
    <row r="95" spans="1:34" s="1" customFormat="1" ht="12" x14ac:dyDescent="0.25">
      <c r="A95" s="76" t="s">
        <v>99</v>
      </c>
      <c r="B95" s="91">
        <v>26.027839643652602</v>
      </c>
      <c r="C95" s="91">
        <v>41.941496598639503</v>
      </c>
      <c r="D95" s="91">
        <v>59.305882352941197</v>
      </c>
      <c r="E95" s="91">
        <v>0</v>
      </c>
      <c r="F95" s="91">
        <v>0</v>
      </c>
      <c r="G95" s="91">
        <v>0</v>
      </c>
      <c r="H95" s="91">
        <v>0</v>
      </c>
      <c r="I95" s="91">
        <v>0</v>
      </c>
      <c r="J95" s="91">
        <v>0</v>
      </c>
      <c r="K95" s="91">
        <v>0</v>
      </c>
      <c r="L95" s="91">
        <v>0</v>
      </c>
      <c r="M95" s="91">
        <v>0</v>
      </c>
      <c r="N95" s="91">
        <v>34.482537834691499</v>
      </c>
      <c r="O95" s="27"/>
      <c r="P95" s="27"/>
      <c r="Q95" s="27"/>
      <c r="R95" s="27"/>
      <c r="S95" s="27"/>
      <c r="T95" s="27"/>
      <c r="U95" s="27"/>
      <c r="V95" s="31"/>
    </row>
    <row r="96" spans="1:34" s="1" customFormat="1" ht="12" x14ac:dyDescent="0.25">
      <c r="A96" s="76" t="s">
        <v>127</v>
      </c>
      <c r="B96" s="91">
        <v>19.073217334742701</v>
      </c>
      <c r="C96" s="91">
        <v>18.9915556141971</v>
      </c>
      <c r="D96" s="91">
        <v>18.0337440758294</v>
      </c>
      <c r="E96" s="91">
        <v>0</v>
      </c>
      <c r="F96" s="91">
        <v>0</v>
      </c>
      <c r="G96" s="91">
        <v>0</v>
      </c>
      <c r="H96" s="91">
        <v>0</v>
      </c>
      <c r="I96" s="91">
        <v>0</v>
      </c>
      <c r="J96" s="91">
        <v>0</v>
      </c>
      <c r="K96" s="91">
        <v>0</v>
      </c>
      <c r="L96" s="91">
        <v>0</v>
      </c>
      <c r="M96" s="91">
        <v>0</v>
      </c>
      <c r="N96" s="91">
        <v>18.940985894432501</v>
      </c>
      <c r="O96" s="27"/>
      <c r="P96" s="27"/>
      <c r="Q96" s="27"/>
      <c r="R96" s="27"/>
      <c r="S96" s="27"/>
      <c r="T96" s="27"/>
      <c r="U96" s="27"/>
      <c r="V96" s="31"/>
    </row>
    <row r="97" spans="1:33" s="1" customFormat="1" ht="12" x14ac:dyDescent="0.25">
      <c r="A97" s="71"/>
      <c r="F97" s="6"/>
      <c r="G97" s="6"/>
      <c r="H97" s="6"/>
      <c r="I97" s="6"/>
      <c r="J97" s="6"/>
      <c r="K97" s="6"/>
      <c r="L97" s="27"/>
      <c r="M97" s="27"/>
      <c r="N97" s="27"/>
      <c r="O97" s="27"/>
      <c r="P97" s="27"/>
      <c r="Q97" s="27"/>
      <c r="R97" s="27"/>
      <c r="S97" s="27"/>
      <c r="T97" s="27"/>
      <c r="U97" s="27"/>
      <c r="V97" s="31"/>
    </row>
    <row r="98" spans="1:33" s="1" customFormat="1" ht="12" x14ac:dyDescent="0.25">
      <c r="A98" s="308"/>
      <c r="B98" s="309"/>
      <c r="C98" s="309"/>
      <c r="D98" s="309"/>
      <c r="E98" s="309"/>
      <c r="F98" s="309"/>
      <c r="G98" s="309"/>
      <c r="H98" s="309"/>
      <c r="I98" s="309"/>
      <c r="J98" s="309"/>
      <c r="K98" s="309"/>
      <c r="L98" s="309"/>
      <c r="M98" s="309"/>
      <c r="N98" s="309"/>
      <c r="O98" s="309"/>
      <c r="P98" s="309"/>
      <c r="Q98" s="309"/>
      <c r="R98" s="309"/>
      <c r="S98" s="309"/>
      <c r="T98" s="309"/>
      <c r="U98" s="309"/>
      <c r="V98" s="310"/>
    </row>
    <row r="99" spans="1:33" s="1" customFormat="1" ht="12" x14ac:dyDescent="0.25">
      <c r="A99" s="71"/>
      <c r="F99" s="6"/>
      <c r="G99" s="6"/>
      <c r="H99" s="6"/>
      <c r="I99" s="6"/>
      <c r="J99" s="6"/>
      <c r="K99" s="6"/>
      <c r="L99" s="27"/>
      <c r="M99" s="27"/>
      <c r="N99" s="27"/>
      <c r="O99" s="27"/>
      <c r="P99" s="27"/>
      <c r="Q99" s="27"/>
      <c r="R99" s="27"/>
      <c r="S99" s="153"/>
      <c r="T99" s="153"/>
      <c r="U99" s="153"/>
      <c r="V99" s="98"/>
    </row>
    <row r="100" spans="1:33" s="6" customFormat="1" ht="24.75" customHeight="1" x14ac:dyDescent="0.25">
      <c r="A100" s="300" t="s">
        <v>741</v>
      </c>
      <c r="B100" s="268"/>
      <c r="C100" s="268"/>
      <c r="D100" s="268"/>
      <c r="E100" s="268"/>
      <c r="F100" s="268"/>
      <c r="G100" s="268"/>
      <c r="H100" s="268"/>
      <c r="I100" s="268"/>
      <c r="J100" s="268"/>
      <c r="K100" s="268"/>
      <c r="L100" s="268"/>
      <c r="M100" s="268"/>
      <c r="N100" s="268"/>
      <c r="O100" s="27"/>
      <c r="P100" s="153"/>
      <c r="Q100" s="153"/>
      <c r="R100" s="153"/>
      <c r="S100" s="153"/>
      <c r="T100" s="153"/>
      <c r="U100" s="153"/>
      <c r="V100" s="98"/>
      <c r="W100" s="103"/>
      <c r="X100" s="103"/>
      <c r="Y100" s="103"/>
      <c r="Z100" s="103"/>
      <c r="AA100" s="103"/>
      <c r="AB100" s="103"/>
    </row>
    <row r="101" spans="1:33" s="1" customFormat="1" ht="12" x14ac:dyDescent="0.25">
      <c r="A101" s="24" t="s">
        <v>146</v>
      </c>
      <c r="B101" s="133" t="s">
        <v>132</v>
      </c>
      <c r="C101" s="133" t="s">
        <v>133</v>
      </c>
      <c r="D101" s="133" t="s">
        <v>134</v>
      </c>
      <c r="E101" s="133" t="s">
        <v>135</v>
      </c>
      <c r="F101" s="133" t="s">
        <v>136</v>
      </c>
      <c r="G101" s="133" t="s">
        <v>137</v>
      </c>
      <c r="H101" s="133" t="s">
        <v>138</v>
      </c>
      <c r="I101" s="133" t="s">
        <v>139</v>
      </c>
      <c r="J101" s="133" t="s">
        <v>140</v>
      </c>
      <c r="K101" s="133" t="s">
        <v>142</v>
      </c>
      <c r="L101" s="133" t="s">
        <v>143</v>
      </c>
      <c r="M101" s="133" t="s">
        <v>144</v>
      </c>
      <c r="N101" s="133" t="s">
        <v>150</v>
      </c>
      <c r="O101" s="27"/>
      <c r="P101" s="157"/>
      <c r="Q101" s="153"/>
      <c r="R101" s="153"/>
      <c r="S101" s="153"/>
      <c r="T101" s="153"/>
      <c r="U101" s="153"/>
      <c r="V101" s="98"/>
      <c r="W101" s="99"/>
      <c r="X101" s="99"/>
      <c r="Y101" s="99"/>
      <c r="Z101" s="99"/>
      <c r="AA101" s="99"/>
      <c r="AB101" s="99"/>
      <c r="AC101" s="99"/>
      <c r="AD101" s="99"/>
      <c r="AE101" s="99"/>
      <c r="AF101" s="99"/>
    </row>
    <row r="102" spans="1:33" s="1" customFormat="1" ht="12.75" customHeight="1" thickBot="1" x14ac:dyDescent="0.3">
      <c r="A102" s="67" t="s">
        <v>1</v>
      </c>
      <c r="B102" s="87">
        <v>22839.516129032301</v>
      </c>
      <c r="C102" s="88">
        <v>23426.833333333299</v>
      </c>
      <c r="D102" s="87">
        <v>17796</v>
      </c>
      <c r="E102" s="88">
        <v>0</v>
      </c>
      <c r="F102" s="87">
        <v>0</v>
      </c>
      <c r="G102" s="88">
        <v>0</v>
      </c>
      <c r="H102" s="88">
        <v>0</v>
      </c>
      <c r="I102" s="87">
        <v>0</v>
      </c>
      <c r="J102" s="88">
        <v>0</v>
      </c>
      <c r="K102" s="87">
        <v>0</v>
      </c>
      <c r="L102" s="87">
        <v>0</v>
      </c>
      <c r="M102" s="88">
        <v>0</v>
      </c>
      <c r="N102" s="87">
        <v>22724.3939393939</v>
      </c>
      <c r="O102" s="27"/>
      <c r="P102" s="157"/>
      <c r="Q102" s="157"/>
      <c r="R102" s="157"/>
      <c r="S102" s="157"/>
      <c r="T102" s="158"/>
      <c r="U102" s="157"/>
      <c r="V102" s="100"/>
      <c r="W102" s="101"/>
      <c r="X102" s="101"/>
      <c r="Y102" s="101"/>
      <c r="Z102" s="101"/>
      <c r="AA102" s="101"/>
      <c r="AB102" s="101"/>
    </row>
    <row r="103" spans="1:33" s="1" customFormat="1" ht="12.6" thickTop="1" x14ac:dyDescent="0.25">
      <c r="A103" s="68" t="s">
        <v>739</v>
      </c>
      <c r="B103" s="89">
        <v>709.90322580645204</v>
      </c>
      <c r="C103" s="89">
        <v>1055.4000000000001</v>
      </c>
      <c r="D103" s="89">
        <v>1004.8</v>
      </c>
      <c r="E103" s="89">
        <v>0</v>
      </c>
      <c r="F103" s="89">
        <v>0</v>
      </c>
      <c r="G103" s="89">
        <v>0</v>
      </c>
      <c r="H103" s="89">
        <v>0</v>
      </c>
      <c r="I103" s="89">
        <v>0</v>
      </c>
      <c r="J103" s="89">
        <v>0</v>
      </c>
      <c r="K103" s="89">
        <v>0</v>
      </c>
      <c r="L103" s="89">
        <v>0</v>
      </c>
      <c r="M103" s="89">
        <v>0</v>
      </c>
      <c r="N103" s="89">
        <v>889.28787878787898</v>
      </c>
      <c r="O103" s="27"/>
      <c r="P103" s="157"/>
      <c r="Q103" s="157"/>
      <c r="R103" s="157"/>
      <c r="S103" s="157"/>
      <c r="T103" s="157"/>
      <c r="U103" s="157"/>
      <c r="V103" s="100"/>
      <c r="W103" s="101"/>
      <c r="X103" s="101"/>
      <c r="Y103" s="101"/>
      <c r="Z103" s="101"/>
      <c r="AA103" s="101"/>
      <c r="AB103" s="101"/>
      <c r="AC103" s="101"/>
      <c r="AD103" s="101"/>
      <c r="AE103" s="101"/>
      <c r="AF103" s="101"/>
      <c r="AG103" s="101"/>
    </row>
    <row r="104" spans="1:33" s="1" customFormat="1" ht="12" x14ac:dyDescent="0.25">
      <c r="A104" s="69" t="s">
        <v>122</v>
      </c>
      <c r="B104" s="90">
        <v>22129.6129032258</v>
      </c>
      <c r="C104" s="90">
        <v>22371.433333333302</v>
      </c>
      <c r="D104" s="90">
        <v>16791.2</v>
      </c>
      <c r="E104" s="90">
        <v>0</v>
      </c>
      <c r="F104" s="90">
        <v>0</v>
      </c>
      <c r="G104" s="90">
        <v>0</v>
      </c>
      <c r="H104" s="90">
        <v>0</v>
      </c>
      <c r="I104" s="90">
        <v>0</v>
      </c>
      <c r="J104" s="90">
        <v>0</v>
      </c>
      <c r="K104" s="90">
        <v>0</v>
      </c>
      <c r="L104" s="90">
        <v>0</v>
      </c>
      <c r="M104" s="90">
        <v>0</v>
      </c>
      <c r="N104" s="90">
        <v>21835.1060606061</v>
      </c>
      <c r="O104" s="27"/>
      <c r="P104" s="157"/>
      <c r="Q104" s="157"/>
      <c r="R104" s="157"/>
      <c r="S104" s="157"/>
      <c r="T104" s="157"/>
      <c r="U104" s="157"/>
      <c r="V104" s="100"/>
      <c r="W104" s="101"/>
      <c r="X104" s="101"/>
      <c r="Y104" s="101"/>
      <c r="Z104" s="101"/>
      <c r="AA104" s="99"/>
      <c r="AB104" s="101"/>
      <c r="AF104" s="101"/>
      <c r="AG104" s="101"/>
    </row>
    <row r="105" spans="1:33" s="3" customFormat="1" ht="23.25" customHeight="1" x14ac:dyDescent="0.25">
      <c r="A105" s="71"/>
      <c r="B105" s="1"/>
      <c r="C105" s="1"/>
      <c r="D105" s="1"/>
      <c r="E105" s="1"/>
      <c r="F105" s="6"/>
      <c r="G105" s="6"/>
      <c r="H105" s="6"/>
      <c r="I105" s="6"/>
      <c r="J105" s="6"/>
      <c r="K105" s="6"/>
      <c r="L105" s="27"/>
      <c r="M105" s="27"/>
      <c r="N105" s="27"/>
      <c r="O105" s="27"/>
      <c r="P105" s="157"/>
      <c r="Q105" s="157"/>
      <c r="R105" s="157"/>
      <c r="S105" s="157"/>
      <c r="T105" s="157"/>
      <c r="U105" s="157"/>
      <c r="V105" s="100"/>
      <c r="W105" s="102"/>
      <c r="X105" s="102"/>
      <c r="Y105" s="102"/>
      <c r="Z105" s="102"/>
      <c r="AA105" s="102"/>
      <c r="AB105" s="102"/>
      <c r="AC105" s="102"/>
      <c r="AD105" s="102"/>
      <c r="AE105" s="102"/>
      <c r="AF105" s="102"/>
      <c r="AG105" s="102"/>
    </row>
    <row r="106" spans="1:33" s="1" customFormat="1" ht="12.75" customHeight="1" x14ac:dyDescent="0.25">
      <c r="A106" s="300" t="s">
        <v>740</v>
      </c>
      <c r="B106" s="268"/>
      <c r="C106" s="268"/>
      <c r="D106" s="268"/>
      <c r="E106" s="268"/>
      <c r="F106" s="268"/>
      <c r="G106" s="268"/>
      <c r="H106" s="268"/>
      <c r="I106" s="268"/>
      <c r="J106" s="268"/>
      <c r="K106" s="268"/>
      <c r="L106" s="268"/>
      <c r="M106" s="268"/>
      <c r="N106" s="268"/>
      <c r="O106" s="27"/>
      <c r="P106" s="27"/>
      <c r="Q106" s="157"/>
      <c r="R106" s="157"/>
      <c r="S106" s="153"/>
      <c r="T106" s="153"/>
      <c r="U106" s="153"/>
      <c r="V106" s="100"/>
      <c r="W106" s="101"/>
      <c r="X106" s="101"/>
      <c r="Y106" s="101"/>
      <c r="Z106" s="101"/>
      <c r="AA106" s="101"/>
    </row>
    <row r="107" spans="1:33" s="1" customFormat="1" ht="12.75" customHeight="1" x14ac:dyDescent="0.25">
      <c r="A107" s="24" t="s">
        <v>146</v>
      </c>
      <c r="B107" s="133" t="s">
        <v>132</v>
      </c>
      <c r="C107" s="133" t="s">
        <v>133</v>
      </c>
      <c r="D107" s="133" t="s">
        <v>134</v>
      </c>
      <c r="E107" s="133" t="s">
        <v>135</v>
      </c>
      <c r="F107" s="133" t="s">
        <v>136</v>
      </c>
      <c r="G107" s="133" t="s">
        <v>137</v>
      </c>
      <c r="H107" s="133" t="s">
        <v>138</v>
      </c>
      <c r="I107" s="133" t="s">
        <v>139</v>
      </c>
      <c r="J107" s="133" t="s">
        <v>140</v>
      </c>
      <c r="K107" s="133" t="s">
        <v>142</v>
      </c>
      <c r="L107" s="133" t="s">
        <v>143</v>
      </c>
      <c r="M107" s="133" t="s">
        <v>144</v>
      </c>
      <c r="N107" s="133" t="s">
        <v>150</v>
      </c>
      <c r="O107" s="27"/>
      <c r="P107" s="153"/>
      <c r="Q107" s="153"/>
      <c r="R107" s="153"/>
      <c r="S107" s="153"/>
      <c r="T107" s="153"/>
      <c r="U107" s="153"/>
      <c r="V107" s="98"/>
      <c r="W107" s="99"/>
      <c r="X107" s="99"/>
      <c r="Y107" s="99"/>
      <c r="Z107" s="99"/>
      <c r="AA107" s="99"/>
      <c r="AB107" s="99"/>
      <c r="AC107" s="99"/>
      <c r="AD107" s="99"/>
      <c r="AE107" s="99"/>
      <c r="AF107" s="99"/>
    </row>
    <row r="108" spans="1:33" s="6" customFormat="1" ht="14.25" customHeight="1" thickBot="1" x14ac:dyDescent="0.3">
      <c r="A108" s="67" t="s">
        <v>1</v>
      </c>
      <c r="B108" s="92">
        <v>22.290543160269301</v>
      </c>
      <c r="C108" s="93">
        <v>22.236859087175901</v>
      </c>
      <c r="D108" s="92">
        <v>22.171678982643101</v>
      </c>
      <c r="E108" s="93">
        <v>0</v>
      </c>
      <c r="F108" s="92">
        <v>0</v>
      </c>
      <c r="G108" s="93">
        <v>0</v>
      </c>
      <c r="H108" s="93">
        <v>0</v>
      </c>
      <c r="I108" s="92">
        <v>0</v>
      </c>
      <c r="J108" s="93">
        <v>0</v>
      </c>
      <c r="K108" s="92">
        <v>0</v>
      </c>
      <c r="L108" s="92">
        <v>0</v>
      </c>
      <c r="M108" s="92">
        <v>0</v>
      </c>
      <c r="N108" s="92">
        <v>22.2536100289974</v>
      </c>
      <c r="P108" s="103"/>
      <c r="Q108" s="103"/>
      <c r="R108" s="103"/>
      <c r="S108" s="103"/>
      <c r="T108" s="103"/>
      <c r="U108" s="103"/>
      <c r="V108" s="156"/>
      <c r="W108" s="103"/>
      <c r="X108" s="103"/>
      <c r="Y108" s="103"/>
      <c r="Z108" s="103"/>
      <c r="AA108" s="155"/>
      <c r="AB108" s="103"/>
    </row>
    <row r="109" spans="1:33" s="1" customFormat="1" ht="12.6" thickTop="1" x14ac:dyDescent="0.25">
      <c r="A109" s="68" t="s">
        <v>739</v>
      </c>
      <c r="B109" s="94">
        <v>3.9693853704136499</v>
      </c>
      <c r="C109" s="94">
        <v>2.8661329361385199</v>
      </c>
      <c r="D109" s="94">
        <v>3.05633802816901</v>
      </c>
      <c r="E109" s="94">
        <v>0</v>
      </c>
      <c r="F109" s="94">
        <v>0</v>
      </c>
      <c r="G109" s="94">
        <v>0</v>
      </c>
      <c r="H109" s="94">
        <v>0</v>
      </c>
      <c r="I109" s="94">
        <v>0</v>
      </c>
      <c r="J109" s="94">
        <v>0</v>
      </c>
      <c r="K109" s="94">
        <v>0</v>
      </c>
      <c r="L109" s="94">
        <v>0</v>
      </c>
      <c r="M109" s="94">
        <v>0</v>
      </c>
      <c r="N109" s="94">
        <v>3.3310797943248902</v>
      </c>
      <c r="O109" s="27"/>
      <c r="P109" s="27"/>
      <c r="Q109" s="27"/>
      <c r="R109" s="27"/>
      <c r="S109" s="27"/>
      <c r="T109" s="27"/>
      <c r="U109" s="27"/>
      <c r="V109" s="146"/>
    </row>
    <row r="110" spans="1:33" s="1" customFormat="1" ht="12.75" customHeight="1" x14ac:dyDescent="0.25">
      <c r="A110" s="69" t="s">
        <v>122</v>
      </c>
      <c r="B110" s="91">
        <v>25.544579113398601</v>
      </c>
      <c r="C110" s="91">
        <v>25.859301556352499</v>
      </c>
      <c r="D110" s="91">
        <v>25.450573786994202</v>
      </c>
      <c r="E110" s="91">
        <v>0</v>
      </c>
      <c r="F110" s="91">
        <v>0</v>
      </c>
      <c r="G110" s="91">
        <v>0</v>
      </c>
      <c r="H110" s="91">
        <v>0</v>
      </c>
      <c r="I110" s="91">
        <v>0</v>
      </c>
      <c r="J110" s="91">
        <v>0</v>
      </c>
      <c r="K110" s="91">
        <v>0</v>
      </c>
      <c r="L110" s="91">
        <v>0</v>
      </c>
      <c r="M110" s="91">
        <v>0</v>
      </c>
      <c r="N110" s="91">
        <v>25.6929387331257</v>
      </c>
      <c r="O110" s="27"/>
      <c r="P110" s="27"/>
      <c r="Q110" s="27"/>
      <c r="R110" s="153"/>
      <c r="S110" s="153"/>
      <c r="T110" s="153"/>
      <c r="U110" s="153"/>
      <c r="V110" s="152"/>
      <c r="W110" s="99"/>
      <c r="X110" s="99"/>
      <c r="Y110" s="99"/>
      <c r="Z110" s="99"/>
      <c r="AA110" s="99"/>
      <c r="AB110" s="99"/>
      <c r="AC110" s="99"/>
    </row>
    <row r="111" spans="1:33" s="1" customFormat="1" ht="12.75" customHeight="1" x14ac:dyDescent="0.25">
      <c r="A111" s="70"/>
      <c r="B111" s="154"/>
      <c r="C111" s="154"/>
      <c r="D111" s="154"/>
      <c r="E111" s="154"/>
      <c r="F111" s="154"/>
      <c r="G111" s="154"/>
      <c r="H111" s="154"/>
      <c r="I111" s="154"/>
      <c r="J111" s="154"/>
      <c r="K111" s="154"/>
      <c r="L111" s="154"/>
      <c r="M111" s="154"/>
      <c r="N111" s="154"/>
      <c r="O111" s="27"/>
      <c r="P111" s="27"/>
      <c r="Q111" s="27"/>
      <c r="R111" s="27"/>
      <c r="S111" s="27"/>
      <c r="T111" s="27"/>
      <c r="U111" s="27"/>
      <c r="V111" s="146"/>
    </row>
    <row r="112" spans="1:33" s="1" customFormat="1" ht="12" x14ac:dyDescent="0.25">
      <c r="A112" s="300" t="s">
        <v>738</v>
      </c>
      <c r="B112" s="268"/>
      <c r="C112" s="268"/>
      <c r="D112" s="268"/>
      <c r="E112" s="268"/>
      <c r="F112" s="268"/>
      <c r="G112" s="268"/>
      <c r="H112" s="268"/>
      <c r="I112" s="268"/>
      <c r="J112" s="268"/>
      <c r="K112" s="268"/>
      <c r="L112" s="268"/>
      <c r="M112" s="268"/>
      <c r="N112" s="268"/>
      <c r="O112" s="27"/>
      <c r="P112" s="27"/>
      <c r="Q112" s="27"/>
      <c r="R112" s="153"/>
      <c r="S112" s="153"/>
      <c r="T112" s="153"/>
      <c r="U112" s="153"/>
      <c r="V112" s="152"/>
      <c r="W112" s="99"/>
      <c r="X112" s="99"/>
      <c r="Y112" s="99"/>
      <c r="Z112" s="99"/>
      <c r="AA112" s="99"/>
      <c r="AB112" s="99"/>
      <c r="AC112" s="99"/>
    </row>
    <row r="113" spans="1:29" s="1" customFormat="1" ht="12" x14ac:dyDescent="0.25">
      <c r="A113" s="24" t="s">
        <v>737</v>
      </c>
      <c r="B113" s="133" t="s">
        <v>132</v>
      </c>
      <c r="C113" s="133" t="s">
        <v>133</v>
      </c>
      <c r="D113" s="133" t="s">
        <v>134</v>
      </c>
      <c r="E113" s="133" t="s">
        <v>135</v>
      </c>
      <c r="F113" s="133" t="s">
        <v>136</v>
      </c>
      <c r="G113" s="133" t="s">
        <v>137</v>
      </c>
      <c r="H113" s="133" t="s">
        <v>138</v>
      </c>
      <c r="I113" s="133" t="s">
        <v>139</v>
      </c>
      <c r="J113" s="133" t="s">
        <v>140</v>
      </c>
      <c r="K113" s="133" t="s">
        <v>142</v>
      </c>
      <c r="L113" s="133" t="s">
        <v>143</v>
      </c>
      <c r="M113" s="133" t="s">
        <v>144</v>
      </c>
      <c r="N113" s="133" t="s">
        <v>150</v>
      </c>
      <c r="O113" s="27"/>
      <c r="P113" s="27"/>
      <c r="Q113" s="27"/>
      <c r="R113" s="153"/>
      <c r="S113" s="153"/>
      <c r="T113" s="153"/>
      <c r="U113" s="153"/>
      <c r="V113" s="152"/>
      <c r="W113" s="99"/>
      <c r="X113" s="99"/>
      <c r="Y113" s="99"/>
      <c r="Z113" s="99"/>
      <c r="AA113" s="99"/>
      <c r="AB113" s="99"/>
      <c r="AC113" s="99"/>
    </row>
    <row r="114" spans="1:29" ht="15" thickBot="1" x14ac:dyDescent="0.35">
      <c r="A114" s="67" t="s">
        <v>1</v>
      </c>
      <c r="B114" s="92">
        <v>25.544579113398601</v>
      </c>
      <c r="C114" s="93">
        <v>25.859301556352499</v>
      </c>
      <c r="D114" s="92">
        <v>25.450573786994202</v>
      </c>
      <c r="E114" s="93">
        <v>0</v>
      </c>
      <c r="F114" s="92">
        <v>0</v>
      </c>
      <c r="G114" s="93">
        <v>0</v>
      </c>
      <c r="H114" s="93">
        <v>0</v>
      </c>
      <c r="I114" s="92">
        <v>0</v>
      </c>
      <c r="J114" s="93">
        <v>0</v>
      </c>
      <c r="K114" s="139">
        <v>0</v>
      </c>
      <c r="L114" s="93">
        <v>0</v>
      </c>
      <c r="M114" s="93">
        <v>0</v>
      </c>
      <c r="N114" s="151">
        <v>25.6929387331257</v>
      </c>
      <c r="V114" s="146"/>
    </row>
    <row r="115" spans="1:29" ht="15" thickTop="1" x14ac:dyDescent="0.3">
      <c r="A115" s="68" t="s">
        <v>63</v>
      </c>
      <c r="B115" s="94">
        <v>23.738856393707099</v>
      </c>
      <c r="C115" s="94">
        <v>24.013825641025601</v>
      </c>
      <c r="D115" s="94">
        <v>22.007264472190698</v>
      </c>
      <c r="E115" s="94">
        <v>0</v>
      </c>
      <c r="F115" s="94">
        <v>0</v>
      </c>
      <c r="G115" s="94">
        <v>0</v>
      </c>
      <c r="H115" s="94">
        <v>0</v>
      </c>
      <c r="I115" s="94">
        <v>0</v>
      </c>
      <c r="J115" s="94">
        <v>0</v>
      </c>
      <c r="K115" s="150">
        <v>0</v>
      </c>
      <c r="L115" s="94">
        <v>0</v>
      </c>
      <c r="M115" s="94">
        <v>0</v>
      </c>
      <c r="N115" s="149">
        <v>23.719822266107101</v>
      </c>
      <c r="V115" s="146"/>
    </row>
    <row r="116" spans="1:29" x14ac:dyDescent="0.3">
      <c r="A116" s="69" t="s">
        <v>80</v>
      </c>
      <c r="B116" s="91">
        <v>33.950938967136203</v>
      </c>
      <c r="C116" s="91">
        <v>36.209848136217197</v>
      </c>
      <c r="D116" s="91">
        <v>52.439501779359396</v>
      </c>
      <c r="E116" s="91">
        <v>0</v>
      </c>
      <c r="F116" s="91">
        <v>0</v>
      </c>
      <c r="G116" s="91">
        <v>0</v>
      </c>
      <c r="H116" s="91">
        <v>0</v>
      </c>
      <c r="I116" s="91">
        <v>0</v>
      </c>
      <c r="J116" s="91">
        <v>0</v>
      </c>
      <c r="K116" s="148">
        <v>0</v>
      </c>
      <c r="L116" s="91">
        <v>0</v>
      </c>
      <c r="M116" s="91">
        <v>0</v>
      </c>
      <c r="N116" s="147">
        <v>36.155104712041897</v>
      </c>
      <c r="O116" s="95"/>
      <c r="V116" s="146"/>
    </row>
    <row r="117" spans="1:29" x14ac:dyDescent="0.3">
      <c r="B117" s="95"/>
      <c r="C117" s="95"/>
      <c r="D117" s="95"/>
      <c r="E117" s="95"/>
      <c r="F117" s="95"/>
      <c r="G117" s="95"/>
      <c r="H117" s="95"/>
      <c r="I117" s="95"/>
      <c r="J117" s="95"/>
      <c r="K117" s="95"/>
      <c r="L117" s="95"/>
      <c r="M117" s="95"/>
      <c r="V117" s="146"/>
    </row>
    <row r="118" spans="1:29" ht="15" thickBot="1" x14ac:dyDescent="0.35">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6"/>
    </row>
    <row r="119" spans="1:29" x14ac:dyDescent="0.3">
      <c r="B119" s="96"/>
      <c r="C119" s="96"/>
      <c r="D119" s="96"/>
      <c r="E119" s="96"/>
      <c r="F119" s="96"/>
      <c r="G119" s="96"/>
      <c r="H119" s="96"/>
      <c r="I119" s="96"/>
      <c r="J119" s="96"/>
      <c r="K119" s="96"/>
      <c r="L119" s="96"/>
      <c r="M119" s="96"/>
      <c r="P119" s="96"/>
    </row>
    <row r="120" spans="1:29" x14ac:dyDescent="0.3">
      <c r="A120" s="299"/>
      <c r="B120" s="299"/>
      <c r="C120" s="299"/>
      <c r="D120" s="299"/>
      <c r="E120" s="299"/>
      <c r="F120" s="299"/>
      <c r="G120" s="299"/>
      <c r="H120" s="299"/>
      <c r="I120" s="299"/>
      <c r="J120" s="299"/>
      <c r="K120" s="299"/>
      <c r="L120" s="299"/>
      <c r="M120" s="299"/>
      <c r="N120" s="299"/>
    </row>
    <row r="121" spans="1:29" x14ac:dyDescent="0.3">
      <c r="A121" s="145"/>
      <c r="B121" s="145"/>
      <c r="C121" s="144"/>
      <c r="D121" s="96"/>
      <c r="E121" s="96"/>
      <c r="F121" s="96"/>
      <c r="G121" s="96"/>
      <c r="H121" s="96"/>
      <c r="I121" s="96"/>
      <c r="J121" s="96"/>
      <c r="K121" s="96"/>
      <c r="L121" s="96"/>
      <c r="M121" s="95"/>
      <c r="P121" s="96"/>
    </row>
    <row r="122" spans="1:29" x14ac:dyDescent="0.3">
      <c r="A122" s="143"/>
      <c r="B122" s="143"/>
      <c r="C122" s="143"/>
      <c r="D122" s="96"/>
      <c r="E122" s="96"/>
      <c r="F122" s="96"/>
      <c r="G122" s="96"/>
      <c r="H122" s="95"/>
      <c r="I122" s="95"/>
    </row>
    <row r="123" spans="1:29" x14ac:dyDescent="0.3">
      <c r="A123" s="143"/>
      <c r="B123" s="143"/>
      <c r="C123" s="143"/>
      <c r="D123" s="95"/>
      <c r="E123" s="96"/>
      <c r="F123" s="95"/>
    </row>
    <row r="124" spans="1:29" x14ac:dyDescent="0.3">
      <c r="A124" s="143"/>
      <c r="B124" s="143"/>
      <c r="C124" s="143"/>
    </row>
    <row r="125" spans="1:29" x14ac:dyDescent="0.3">
      <c r="A125" s="143"/>
      <c r="B125" s="143"/>
      <c r="C125" s="143"/>
    </row>
  </sheetData>
  <mergeCells count="54">
    <mergeCell ref="A3:D3"/>
    <mergeCell ref="H30:I30"/>
    <mergeCell ref="A33:V33"/>
    <mergeCell ref="N30:O30"/>
    <mergeCell ref="H31:I31"/>
    <mergeCell ref="A4:V4"/>
    <mergeCell ref="M8:Q8"/>
    <mergeCell ref="O12:Q12"/>
    <mergeCell ref="O10:Q10"/>
    <mergeCell ref="M9:N9"/>
    <mergeCell ref="H27:L27"/>
    <mergeCell ref="N27:R27"/>
    <mergeCell ref="G9:H9"/>
    <mergeCell ref="G11:H11"/>
    <mergeCell ref="A18:F18"/>
    <mergeCell ref="A16:V16"/>
    <mergeCell ref="A1:D1"/>
    <mergeCell ref="A2:D2"/>
    <mergeCell ref="E2:H2"/>
    <mergeCell ref="I2:L2"/>
    <mergeCell ref="M2:P2"/>
    <mergeCell ref="A120:N120"/>
    <mergeCell ref="A106:N106"/>
    <mergeCell ref="P30:R30"/>
    <mergeCell ref="J30:L30"/>
    <mergeCell ref="J31:L31"/>
    <mergeCell ref="A83:N83"/>
    <mergeCell ref="A112:N112"/>
    <mergeCell ref="A100:N100"/>
    <mergeCell ref="A36:E36"/>
    <mergeCell ref="A81:V81"/>
    <mergeCell ref="A98:V98"/>
    <mergeCell ref="A66:N66"/>
    <mergeCell ref="A64:V64"/>
    <mergeCell ref="A25:V25"/>
    <mergeCell ref="J28:L28"/>
    <mergeCell ref="N28:O28"/>
    <mergeCell ref="P29:R29"/>
    <mergeCell ref="J29:L29"/>
    <mergeCell ref="A27:E27"/>
    <mergeCell ref="H28:I28"/>
    <mergeCell ref="H29:I29"/>
    <mergeCell ref="P28:R28"/>
    <mergeCell ref="N29:O29"/>
    <mergeCell ref="I18:V18"/>
    <mergeCell ref="M12:N12"/>
    <mergeCell ref="A6:V6"/>
    <mergeCell ref="A8:D8"/>
    <mergeCell ref="G8:K8"/>
    <mergeCell ref="G10:H10"/>
    <mergeCell ref="O9:Q9"/>
    <mergeCell ref="M10:N10"/>
    <mergeCell ref="M11:N11"/>
    <mergeCell ref="O11:Q11"/>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48616-5E4A-492C-87C8-2ECC3310BE8B}">
  <dimension ref="A1:BB56"/>
  <sheetViews>
    <sheetView zoomScale="80" zoomScaleNormal="80" workbookViewId="0">
      <pane xSplit="1" topLeftCell="V1" activePane="topRight" state="frozen"/>
      <selection pane="topRight"/>
    </sheetView>
  </sheetViews>
  <sheetFormatPr defaultColWidth="9.21875" defaultRowHeight="15.6" x14ac:dyDescent="0.3"/>
  <cols>
    <col min="1" max="1" width="66.77734375" style="186" bestFit="1" customWidth="1"/>
    <col min="2" max="5" width="7.44140625" style="186" bestFit="1" customWidth="1"/>
    <col min="6" max="6" width="6.77734375" style="186" bestFit="1" customWidth="1"/>
    <col min="7" max="9" width="7.44140625" style="186" bestFit="1" customWidth="1"/>
    <col min="10" max="10" width="7.109375" style="186" bestFit="1" customWidth="1"/>
    <col min="11" max="13" width="7.44140625" style="186" bestFit="1" customWidth="1"/>
    <col min="14" max="14" width="7.44140625" style="186" customWidth="1"/>
    <col min="15" max="15" width="7.21875" style="186" customWidth="1"/>
    <col min="16" max="16" width="8.33203125" style="186" customWidth="1"/>
    <col min="17" max="17" width="8.6640625" style="186" customWidth="1"/>
    <col min="18" max="18" width="7.44140625" style="186" customWidth="1"/>
    <col min="19" max="19" width="8.21875" style="186" customWidth="1"/>
    <col min="20" max="22" width="7.77734375" style="186" bestFit="1" customWidth="1"/>
    <col min="23" max="25" width="8.21875" style="186" bestFit="1" customWidth="1"/>
    <col min="26" max="26" width="7.77734375" style="186" bestFit="1" customWidth="1"/>
    <col min="27" max="28" width="8.21875" style="186" bestFit="1" customWidth="1"/>
    <col min="29" max="16384" width="9.21875" style="186"/>
  </cols>
  <sheetData>
    <row r="1" spans="1:53" x14ac:dyDescent="0.3">
      <c r="A1" s="185" t="s">
        <v>753</v>
      </c>
      <c r="B1" s="185"/>
      <c r="C1" s="185"/>
      <c r="D1" s="185"/>
      <c r="E1" s="185"/>
      <c r="F1" s="185"/>
      <c r="G1" s="185"/>
      <c r="H1" s="185"/>
      <c r="I1" s="185"/>
      <c r="J1" s="185"/>
      <c r="K1" s="185"/>
      <c r="L1" s="185"/>
      <c r="M1" s="185"/>
      <c r="N1" s="185"/>
      <c r="O1" s="185"/>
      <c r="P1" s="185"/>
      <c r="Q1" s="185"/>
      <c r="R1" s="185"/>
      <c r="S1" s="185"/>
      <c r="T1" s="185"/>
      <c r="U1" s="185"/>
      <c r="V1" s="185"/>
      <c r="W1" s="185"/>
      <c r="X1" s="185"/>
      <c r="Y1" s="185"/>
      <c r="Z1" s="185"/>
      <c r="AA1" s="185"/>
    </row>
    <row r="2" spans="1:53" x14ac:dyDescent="0.3">
      <c r="A2" s="185"/>
    </row>
    <row r="3" spans="1:53" x14ac:dyDescent="0.3">
      <c r="A3" s="185"/>
    </row>
    <row r="4" spans="1:53" x14ac:dyDescent="0.3">
      <c r="A4" s="325" t="s">
        <v>754</v>
      </c>
      <c r="B4" s="187">
        <v>2020</v>
      </c>
      <c r="C4" s="188"/>
      <c r="D4" s="188"/>
      <c r="E4" s="188"/>
      <c r="F4" s="188"/>
      <c r="G4" s="188"/>
      <c r="H4" s="188"/>
      <c r="I4" s="188"/>
      <c r="J4" s="188"/>
      <c r="K4" s="188"/>
      <c r="L4" s="188"/>
      <c r="M4" s="189"/>
      <c r="N4" s="190">
        <v>2021</v>
      </c>
      <c r="O4" s="191"/>
      <c r="P4" s="191"/>
      <c r="Q4" s="191"/>
      <c r="R4" s="191"/>
      <c r="S4" s="191"/>
      <c r="T4" s="191"/>
      <c r="U4" s="191"/>
      <c r="V4" s="191"/>
      <c r="W4" s="191"/>
      <c r="X4" s="191"/>
      <c r="Y4" s="191"/>
      <c r="Z4" s="191"/>
      <c r="AA4" s="191"/>
      <c r="AB4" s="191"/>
      <c r="AC4" s="191"/>
      <c r="AD4" s="191"/>
      <c r="AE4" s="192"/>
      <c r="AF4" s="191"/>
      <c r="AG4" s="192"/>
      <c r="AH4" s="191"/>
      <c r="AI4" s="192"/>
      <c r="AJ4" s="193"/>
      <c r="AK4" s="193"/>
      <c r="AL4" s="193"/>
      <c r="AM4" s="193"/>
      <c r="AN4" s="193"/>
      <c r="AO4" s="193"/>
      <c r="AP4" s="193"/>
      <c r="AQ4" s="193"/>
      <c r="AR4" s="193"/>
      <c r="AS4" s="193"/>
    </row>
    <row r="5" spans="1:53" x14ac:dyDescent="0.3">
      <c r="A5" s="325"/>
      <c r="B5" s="326" t="s">
        <v>755</v>
      </c>
      <c r="C5" s="327"/>
      <c r="D5" s="326" t="s">
        <v>756</v>
      </c>
      <c r="E5" s="327"/>
      <c r="F5" s="326" t="s">
        <v>757</v>
      </c>
      <c r="G5" s="327"/>
      <c r="H5" s="326" t="s">
        <v>758</v>
      </c>
      <c r="I5" s="327"/>
      <c r="J5" s="326" t="s">
        <v>759</v>
      </c>
      <c r="K5" s="327"/>
      <c r="L5" s="326" t="s">
        <v>760</v>
      </c>
      <c r="M5" s="327"/>
      <c r="N5" s="328" t="s">
        <v>761</v>
      </c>
      <c r="O5" s="329"/>
      <c r="P5" s="328" t="s">
        <v>762</v>
      </c>
      <c r="Q5" s="329"/>
      <c r="R5" s="328" t="s">
        <v>763</v>
      </c>
      <c r="S5" s="329"/>
      <c r="T5" s="328" t="s">
        <v>764</v>
      </c>
      <c r="U5" s="329"/>
      <c r="V5" s="328" t="s">
        <v>139</v>
      </c>
      <c r="W5" s="329"/>
      <c r="X5" s="328" t="s">
        <v>765</v>
      </c>
      <c r="Y5" s="329"/>
      <c r="Z5" s="328" t="s">
        <v>755</v>
      </c>
      <c r="AA5" s="329"/>
      <c r="AB5" s="328" t="s">
        <v>756</v>
      </c>
      <c r="AC5" s="329"/>
      <c r="AD5" s="328" t="s">
        <v>757</v>
      </c>
      <c r="AE5" s="329"/>
      <c r="AF5" s="328" t="s">
        <v>758</v>
      </c>
      <c r="AG5" s="329"/>
      <c r="AH5" s="328" t="s">
        <v>759</v>
      </c>
      <c r="AI5" s="329"/>
      <c r="AJ5" s="193"/>
      <c r="AK5" s="193"/>
      <c r="AL5" s="193"/>
      <c r="AM5" s="193"/>
      <c r="AN5" s="193"/>
      <c r="AO5" s="193"/>
      <c r="AP5" s="193"/>
      <c r="AQ5" s="193"/>
      <c r="AR5" s="193"/>
      <c r="AS5" s="193"/>
      <c r="AT5" s="193"/>
      <c r="AU5" s="193"/>
      <c r="AV5" s="193"/>
      <c r="AW5" s="193"/>
      <c r="AX5" s="193"/>
      <c r="AY5" s="193"/>
      <c r="AZ5" s="193"/>
      <c r="BA5" s="193"/>
    </row>
    <row r="6" spans="1:53" x14ac:dyDescent="0.3">
      <c r="A6" s="325"/>
      <c r="B6" s="194" t="s">
        <v>766</v>
      </c>
      <c r="C6" s="194" t="s">
        <v>767</v>
      </c>
      <c r="D6" s="194" t="s">
        <v>766</v>
      </c>
      <c r="E6" s="194" t="s">
        <v>767</v>
      </c>
      <c r="F6" s="194" t="s">
        <v>766</v>
      </c>
      <c r="G6" s="194" t="s">
        <v>767</v>
      </c>
      <c r="H6" s="194" t="s">
        <v>766</v>
      </c>
      <c r="I6" s="194" t="s">
        <v>767</v>
      </c>
      <c r="J6" s="194" t="s">
        <v>766</v>
      </c>
      <c r="K6" s="194" t="s">
        <v>767</v>
      </c>
      <c r="L6" s="194" t="s">
        <v>766</v>
      </c>
      <c r="M6" s="194" t="s">
        <v>767</v>
      </c>
      <c r="N6" s="195" t="s">
        <v>766</v>
      </c>
      <c r="O6" s="195" t="s">
        <v>767</v>
      </c>
      <c r="P6" s="195" t="s">
        <v>766</v>
      </c>
      <c r="Q6" s="195" t="s">
        <v>767</v>
      </c>
      <c r="R6" s="195" t="s">
        <v>766</v>
      </c>
      <c r="S6" s="195" t="s">
        <v>767</v>
      </c>
      <c r="T6" s="195" t="s">
        <v>766</v>
      </c>
      <c r="U6" s="195" t="s">
        <v>767</v>
      </c>
      <c r="V6" s="195" t="s">
        <v>766</v>
      </c>
      <c r="W6" s="195" t="s">
        <v>767</v>
      </c>
      <c r="X6" s="195" t="s">
        <v>766</v>
      </c>
      <c r="Y6" s="195" t="s">
        <v>767</v>
      </c>
      <c r="Z6" s="195" t="s">
        <v>766</v>
      </c>
      <c r="AA6" s="195" t="s">
        <v>767</v>
      </c>
      <c r="AB6" s="195" t="s">
        <v>766</v>
      </c>
      <c r="AC6" s="195" t="s">
        <v>767</v>
      </c>
      <c r="AD6" s="195" t="s">
        <v>766</v>
      </c>
      <c r="AE6" s="195" t="s">
        <v>767</v>
      </c>
      <c r="AF6" s="195" t="s">
        <v>766</v>
      </c>
      <c r="AG6" s="195" t="s">
        <v>767</v>
      </c>
      <c r="AH6" s="195" t="s">
        <v>768</v>
      </c>
      <c r="AI6" s="195" t="s">
        <v>767</v>
      </c>
      <c r="AJ6" s="193"/>
      <c r="AK6" s="193"/>
      <c r="AL6" s="193"/>
      <c r="AM6" s="193"/>
      <c r="AN6" s="193"/>
      <c r="AO6" s="193"/>
      <c r="AP6" s="193"/>
    </row>
    <row r="7" spans="1:53" x14ac:dyDescent="0.3">
      <c r="A7" s="196" t="s">
        <v>769</v>
      </c>
      <c r="B7" s="197">
        <v>166.45621</v>
      </c>
      <c r="C7" s="197">
        <v>166.60888</v>
      </c>
      <c r="D7" s="197">
        <v>166.07884000000001</v>
      </c>
      <c r="E7" s="197">
        <v>163.90737999999999</v>
      </c>
      <c r="F7" s="197">
        <v>162.40288000000001</v>
      </c>
      <c r="G7" s="197">
        <v>156.58816999999999</v>
      </c>
      <c r="H7" s="197">
        <v>155.78474</v>
      </c>
      <c r="I7" s="197">
        <v>156.10682</v>
      </c>
      <c r="J7" s="197">
        <v>154.09211999999999</v>
      </c>
      <c r="K7" s="197">
        <v>148.91552999999999</v>
      </c>
      <c r="L7" s="197">
        <v>140.98845</v>
      </c>
      <c r="M7" s="197">
        <v>143.2731</v>
      </c>
      <c r="N7" s="198">
        <v>144.33805000000001</v>
      </c>
      <c r="O7" s="198">
        <v>142.70872</v>
      </c>
      <c r="P7" s="198">
        <v>143.90504999999999</v>
      </c>
      <c r="Q7" s="198">
        <v>142.70633000000001</v>
      </c>
      <c r="R7" s="198">
        <v>128.1009</v>
      </c>
      <c r="S7" s="198">
        <v>111.64449999999999</v>
      </c>
      <c r="T7" s="198">
        <v>92.941900000000004</v>
      </c>
      <c r="U7" s="198">
        <v>76.255539999999996</v>
      </c>
      <c r="V7" s="198">
        <v>65.216229999999996</v>
      </c>
      <c r="W7" s="198">
        <v>63.734160000000003</v>
      </c>
      <c r="X7" s="198">
        <v>59.766379999999998</v>
      </c>
      <c r="Y7" s="198">
        <v>60.389389999999999</v>
      </c>
      <c r="Z7" s="198">
        <v>58.88015</v>
      </c>
      <c r="AA7" s="198">
        <v>61.948590000000003</v>
      </c>
      <c r="AB7" s="198">
        <v>57.586829999999999</v>
      </c>
      <c r="AC7" s="198">
        <v>61.311149999999998</v>
      </c>
      <c r="AD7" s="198">
        <v>64.787239999999997</v>
      </c>
      <c r="AE7" s="198">
        <v>64.646240000000006</v>
      </c>
      <c r="AF7" s="198">
        <v>43.6350793197171</v>
      </c>
      <c r="AG7" s="198">
        <v>43.571914330809498</v>
      </c>
      <c r="AH7" s="198">
        <v>44.122304546120802</v>
      </c>
      <c r="AI7" s="199">
        <v>46.4436237127398</v>
      </c>
    </row>
    <row r="8" spans="1:53" x14ac:dyDescent="0.3">
      <c r="A8" s="196" t="s">
        <v>770</v>
      </c>
      <c r="B8" s="197">
        <v>83.423079999999999</v>
      </c>
      <c r="C8" s="197">
        <v>92.953590000000005</v>
      </c>
      <c r="D8" s="197">
        <v>128.72662</v>
      </c>
      <c r="E8" s="197">
        <v>116.94904</v>
      </c>
      <c r="F8" s="197">
        <v>137.77778000000001</v>
      </c>
      <c r="G8" s="197">
        <v>63.13308</v>
      </c>
      <c r="H8" s="197">
        <v>60.2</v>
      </c>
      <c r="I8" s="197">
        <v>73.017650000000003</v>
      </c>
      <c r="J8" s="197">
        <v>66.228070000000002</v>
      </c>
      <c r="K8" s="197">
        <v>54.49785</v>
      </c>
      <c r="L8" s="197">
        <v>65.342860000000002</v>
      </c>
      <c r="M8" s="197">
        <v>33.012549999999997</v>
      </c>
      <c r="N8" s="198">
        <v>41.149430000000002</v>
      </c>
      <c r="O8" s="198">
        <v>16.395389999999999</v>
      </c>
      <c r="P8" s="198">
        <v>12.27163</v>
      </c>
      <c r="Q8" s="198">
        <v>13.5214</v>
      </c>
      <c r="R8" s="198">
        <v>3.4177</v>
      </c>
      <c r="S8" s="198">
        <v>4.7975500000000002</v>
      </c>
      <c r="T8" s="198">
        <v>7.6909400000000003</v>
      </c>
      <c r="U8" s="198">
        <v>4.40313</v>
      </c>
      <c r="V8" s="198">
        <v>5.7128100000000002</v>
      </c>
      <c r="W8" s="198">
        <v>4.3956</v>
      </c>
      <c r="X8" s="198">
        <v>5.35121</v>
      </c>
      <c r="Y8" s="198">
        <v>4.3433200000000003</v>
      </c>
      <c r="Z8" s="198">
        <v>4.0528599999999999</v>
      </c>
      <c r="AA8" s="198">
        <v>5.9111700000000003</v>
      </c>
      <c r="AB8" s="198">
        <v>4.9472800000000001</v>
      </c>
      <c r="AC8" s="198">
        <v>2.9433500000000001</v>
      </c>
      <c r="AD8" s="198">
        <v>2.59226</v>
      </c>
      <c r="AE8" s="198">
        <v>2.8071100000000002</v>
      </c>
      <c r="AF8" s="198">
        <v>3.1022354127868401</v>
      </c>
      <c r="AG8" s="198">
        <v>1.81822012257378</v>
      </c>
      <c r="AH8" s="198">
        <v>1.9732703625233401</v>
      </c>
      <c r="AI8" s="199">
        <v>1.4419835490828301</v>
      </c>
    </row>
    <row r="9" spans="1:53" x14ac:dyDescent="0.3">
      <c r="A9" s="196" t="s">
        <v>771</v>
      </c>
      <c r="B9" s="197">
        <v>287.27668999999997</v>
      </c>
      <c r="C9" s="197">
        <v>299.18414000000001</v>
      </c>
      <c r="D9" s="197">
        <v>303.41052000000002</v>
      </c>
      <c r="E9" s="197">
        <v>321.93230999999997</v>
      </c>
      <c r="F9" s="197">
        <v>334.91737000000001</v>
      </c>
      <c r="G9" s="197">
        <v>346.06366000000003</v>
      </c>
      <c r="H9" s="197">
        <v>350.20936999999998</v>
      </c>
      <c r="I9" s="197">
        <v>359.56124999999997</v>
      </c>
      <c r="J9" s="197">
        <v>368.41888999999998</v>
      </c>
      <c r="K9" s="197">
        <v>366.08258000000001</v>
      </c>
      <c r="L9" s="197">
        <v>361.91541000000001</v>
      </c>
      <c r="M9" s="197">
        <v>359.04696999999999</v>
      </c>
      <c r="N9" s="198">
        <v>344.00698999999997</v>
      </c>
      <c r="O9" s="198">
        <v>341.17102</v>
      </c>
      <c r="P9" s="198">
        <v>321.68135000000001</v>
      </c>
      <c r="Q9" s="198">
        <v>290.20193</v>
      </c>
      <c r="R9" s="198">
        <v>231.52411000000001</v>
      </c>
      <c r="S9" s="198">
        <v>117.73972999999999</v>
      </c>
      <c r="T9" s="198">
        <v>87.502520000000004</v>
      </c>
      <c r="U9" s="198">
        <v>70.530349999999999</v>
      </c>
      <c r="V9" s="198">
        <v>66.206050000000005</v>
      </c>
      <c r="W9" s="198">
        <v>69.484939999999995</v>
      </c>
      <c r="X9" s="198">
        <v>72.395160000000004</v>
      </c>
      <c r="Y9" s="198">
        <v>72.542649999999995</v>
      </c>
      <c r="Z9" s="198">
        <v>74.830719999999999</v>
      </c>
      <c r="AA9" s="198">
        <v>75.550510000000003</v>
      </c>
      <c r="AB9" s="198">
        <v>79.833640000000003</v>
      </c>
      <c r="AC9" s="198">
        <v>77.329480000000004</v>
      </c>
      <c r="AD9" s="198">
        <v>82.778530000000003</v>
      </c>
      <c r="AE9" s="198">
        <v>78.386970000000005</v>
      </c>
      <c r="AF9" s="198">
        <v>69.375743764759605</v>
      </c>
      <c r="AG9" s="198">
        <v>88.686445319006594</v>
      </c>
      <c r="AH9" s="198">
        <v>108.52619474313001</v>
      </c>
      <c r="AI9" s="199">
        <v>143.14433190601599</v>
      </c>
    </row>
    <row r="10" spans="1:53" ht="16.2" thickBot="1" x14ac:dyDescent="0.35">
      <c r="A10" s="200" t="s">
        <v>772</v>
      </c>
      <c r="B10" s="201">
        <v>201.67815999999999</v>
      </c>
      <c r="C10" s="201">
        <v>174.51886999999999</v>
      </c>
      <c r="D10" s="201">
        <v>198.4898</v>
      </c>
      <c r="E10" s="201">
        <v>239.60975999999999</v>
      </c>
      <c r="F10" s="201">
        <v>296.81159000000002</v>
      </c>
      <c r="G10" s="201">
        <v>272.23077000000001</v>
      </c>
      <c r="H10" s="201">
        <v>186.91011</v>
      </c>
      <c r="I10" s="201">
        <v>177.17142999999999</v>
      </c>
      <c r="J10" s="201">
        <v>247.56863000000001</v>
      </c>
      <c r="K10" s="201">
        <v>147.31578999999999</v>
      </c>
      <c r="L10" s="201">
        <v>206.96666999999999</v>
      </c>
      <c r="M10" s="201">
        <v>46.453130000000002</v>
      </c>
      <c r="N10" s="202">
        <v>27.838709999999999</v>
      </c>
      <c r="O10" s="202">
        <v>13.11842</v>
      </c>
      <c r="P10" s="202">
        <v>22.243590000000001</v>
      </c>
      <c r="Q10" s="202">
        <v>23.435479999999998</v>
      </c>
      <c r="R10" s="202">
        <v>0</v>
      </c>
      <c r="S10" s="202">
        <v>0</v>
      </c>
      <c r="T10" s="202">
        <v>0</v>
      </c>
      <c r="U10" s="202">
        <v>0</v>
      </c>
      <c r="V10" s="202">
        <v>0</v>
      </c>
      <c r="W10" s="202">
        <v>0</v>
      </c>
      <c r="X10" s="202">
        <v>0</v>
      </c>
      <c r="Y10" s="202">
        <v>0</v>
      </c>
      <c r="Z10" s="202">
        <v>0</v>
      </c>
      <c r="AA10" s="202">
        <v>10</v>
      </c>
      <c r="AB10" s="202">
        <v>0</v>
      </c>
      <c r="AC10" s="202">
        <v>0</v>
      </c>
      <c r="AD10" s="202">
        <v>0</v>
      </c>
      <c r="AE10" s="202">
        <v>0</v>
      </c>
      <c r="AF10" s="202">
        <v>0</v>
      </c>
      <c r="AG10" s="202">
        <v>0</v>
      </c>
      <c r="AH10" s="202">
        <v>0</v>
      </c>
      <c r="AI10" s="203" t="s">
        <v>750</v>
      </c>
    </row>
    <row r="11" spans="1:53" x14ac:dyDescent="0.3">
      <c r="A11" s="204" t="s">
        <v>1</v>
      </c>
      <c r="B11" s="205">
        <v>183.48498000000001</v>
      </c>
      <c r="C11" s="205">
        <v>184.75197</v>
      </c>
      <c r="D11" s="205">
        <v>185.28295</v>
      </c>
      <c r="E11" s="205">
        <v>184.77921000000001</v>
      </c>
      <c r="F11" s="205">
        <v>184.77745999999999</v>
      </c>
      <c r="G11" s="205">
        <v>178.81926999999999</v>
      </c>
      <c r="H11" s="205">
        <v>177.94882999999999</v>
      </c>
      <c r="I11" s="205">
        <v>180.06950000000001</v>
      </c>
      <c r="J11" s="205">
        <v>178.56487000000001</v>
      </c>
      <c r="K11" s="205">
        <v>171.97140999999999</v>
      </c>
      <c r="L11" s="205">
        <v>164.59678</v>
      </c>
      <c r="M11" s="205">
        <v>164.15828999999999</v>
      </c>
      <c r="N11" s="206">
        <v>165.49565000000001</v>
      </c>
      <c r="O11" s="206">
        <v>158.70374000000001</v>
      </c>
      <c r="P11" s="206">
        <v>159.12960000000001</v>
      </c>
      <c r="Q11" s="206">
        <v>157.29579000000001</v>
      </c>
      <c r="R11" s="206">
        <v>131.27873</v>
      </c>
      <c r="S11" s="206">
        <v>103.40934</v>
      </c>
      <c r="T11" s="206">
        <v>86.666300000000007</v>
      </c>
      <c r="U11" s="206">
        <v>74.191019999999995</v>
      </c>
      <c r="V11" s="206">
        <v>63.978670000000001</v>
      </c>
      <c r="W11" s="206">
        <v>61.497920000000001</v>
      </c>
      <c r="X11" s="206">
        <v>59.282859999999999</v>
      </c>
      <c r="Y11" s="206">
        <v>60.462649999999996</v>
      </c>
      <c r="Z11" s="206">
        <v>58.61598</v>
      </c>
      <c r="AA11" s="206">
        <v>61.378810000000001</v>
      </c>
      <c r="AB11" s="206">
        <v>57.492809999999999</v>
      </c>
      <c r="AC11" s="206">
        <v>60.223689999999998</v>
      </c>
      <c r="AD11" s="206">
        <v>64.523359999999997</v>
      </c>
      <c r="AE11" s="206">
        <v>64.557969999999997</v>
      </c>
      <c r="AF11" s="206">
        <v>44.210774207726402</v>
      </c>
      <c r="AG11" s="206">
        <v>44.369514731899898</v>
      </c>
      <c r="AH11" s="206">
        <v>44.5242254871198</v>
      </c>
      <c r="AI11" s="207">
        <v>45.771037888949301</v>
      </c>
    </row>
    <row r="13" spans="1:53" x14ac:dyDescent="0.3">
      <c r="A13" s="185" t="s">
        <v>773</v>
      </c>
      <c r="B13"/>
      <c r="C13"/>
      <c r="D13"/>
      <c r="E13"/>
      <c r="F13"/>
      <c r="G13"/>
      <c r="H13"/>
      <c r="I13"/>
      <c r="J13"/>
      <c r="K13"/>
      <c r="L13"/>
      <c r="M13"/>
      <c r="N13"/>
      <c r="O13"/>
      <c r="P13"/>
      <c r="Q13"/>
      <c r="R13"/>
      <c r="S13"/>
      <c r="T13"/>
      <c r="U13"/>
      <c r="V13"/>
      <c r="W13"/>
      <c r="X13"/>
      <c r="Y13"/>
      <c r="Z13"/>
      <c r="AA13"/>
    </row>
    <row r="14" spans="1:53" x14ac:dyDescent="0.3">
      <c r="A14" s="208"/>
      <c r="B14"/>
      <c r="C14"/>
      <c r="D14"/>
      <c r="E14"/>
      <c r="F14"/>
      <c r="G14"/>
      <c r="H14"/>
      <c r="I14"/>
      <c r="J14"/>
      <c r="K14"/>
      <c r="L14"/>
      <c r="M14"/>
      <c r="N14"/>
      <c r="O14"/>
      <c r="P14"/>
      <c r="Q14"/>
      <c r="R14"/>
      <c r="S14"/>
      <c r="T14"/>
      <c r="U14"/>
      <c r="V14"/>
      <c r="W14"/>
      <c r="X14"/>
      <c r="Y14"/>
      <c r="Z14"/>
      <c r="AA14"/>
    </row>
    <row r="15" spans="1:53" x14ac:dyDescent="0.3">
      <c r="A15" s="208"/>
      <c r="B15"/>
      <c r="C15"/>
      <c r="D15"/>
      <c r="E15"/>
      <c r="F15"/>
      <c r="G15"/>
      <c r="H15"/>
      <c r="I15"/>
      <c r="J15"/>
      <c r="K15"/>
      <c r="L15"/>
      <c r="M15"/>
      <c r="N15"/>
      <c r="O15"/>
      <c r="P15"/>
      <c r="Q15"/>
      <c r="R15"/>
      <c r="S15"/>
      <c r="T15"/>
      <c r="U15"/>
      <c r="V15"/>
      <c r="W15"/>
      <c r="X15"/>
      <c r="Y15"/>
      <c r="Z15"/>
      <c r="AA15"/>
    </row>
    <row r="16" spans="1:53" x14ac:dyDescent="0.3">
      <c r="A16" s="330" t="s">
        <v>754</v>
      </c>
      <c r="B16" s="187">
        <v>2020</v>
      </c>
      <c r="C16" s="188"/>
      <c r="D16" s="188"/>
      <c r="E16" s="188"/>
      <c r="F16" s="188"/>
      <c r="G16" s="188"/>
      <c r="H16" s="188"/>
      <c r="I16" s="188"/>
      <c r="J16" s="188"/>
      <c r="K16" s="188"/>
      <c r="L16" s="188"/>
      <c r="M16" s="189"/>
      <c r="N16" s="190">
        <v>2021</v>
      </c>
      <c r="O16" s="191"/>
      <c r="P16" s="191"/>
      <c r="Q16" s="191"/>
      <c r="R16" s="191"/>
      <c r="S16" s="191"/>
      <c r="T16" s="191"/>
      <c r="U16" s="191"/>
      <c r="V16" s="191"/>
      <c r="W16" s="191"/>
      <c r="X16" s="191"/>
      <c r="Y16" s="191"/>
      <c r="Z16" s="191"/>
      <c r="AA16" s="191"/>
      <c r="AB16" s="191"/>
      <c r="AC16" s="191"/>
      <c r="AD16" s="191"/>
      <c r="AE16" s="192"/>
      <c r="AF16" s="191"/>
      <c r="AG16" s="192"/>
      <c r="AH16" s="191"/>
      <c r="AI16" s="192"/>
      <c r="AJ16" s="193"/>
      <c r="AK16" s="193"/>
      <c r="AL16" s="193"/>
      <c r="AM16" s="193"/>
      <c r="AN16" s="193"/>
      <c r="AP16" s="193"/>
      <c r="AQ16" s="193"/>
      <c r="AR16" s="193"/>
      <c r="AS16" s="193"/>
      <c r="AT16" s="193"/>
      <c r="AU16" s="193"/>
      <c r="AV16" s="193"/>
      <c r="AW16" s="193"/>
    </row>
    <row r="17" spans="1:54" x14ac:dyDescent="0.3">
      <c r="A17" s="330"/>
      <c r="B17" s="326" t="s">
        <v>755</v>
      </c>
      <c r="C17" s="327"/>
      <c r="D17" s="326" t="s">
        <v>756</v>
      </c>
      <c r="E17" s="327"/>
      <c r="F17" s="326" t="s">
        <v>757</v>
      </c>
      <c r="G17" s="327"/>
      <c r="H17" s="326" t="s">
        <v>758</v>
      </c>
      <c r="I17" s="327"/>
      <c r="J17" s="326" t="s">
        <v>759</v>
      </c>
      <c r="K17" s="327"/>
      <c r="L17" s="326" t="s">
        <v>760</v>
      </c>
      <c r="M17" s="327"/>
      <c r="N17" s="328" t="s">
        <v>761</v>
      </c>
      <c r="O17" s="329"/>
      <c r="P17" s="328" t="s">
        <v>762</v>
      </c>
      <c r="Q17" s="329"/>
      <c r="R17" s="328" t="s">
        <v>763</v>
      </c>
      <c r="S17" s="329"/>
      <c r="T17" s="328" t="s">
        <v>764</v>
      </c>
      <c r="U17" s="329"/>
      <c r="V17" s="328" t="s">
        <v>139</v>
      </c>
      <c r="W17" s="329"/>
      <c r="X17" s="328" t="s">
        <v>765</v>
      </c>
      <c r="Y17" s="329"/>
      <c r="Z17" s="328" t="s">
        <v>755</v>
      </c>
      <c r="AA17" s="329"/>
      <c r="AB17" s="328" t="s">
        <v>756</v>
      </c>
      <c r="AC17" s="329"/>
      <c r="AD17" s="328" t="s">
        <v>757</v>
      </c>
      <c r="AE17" s="329"/>
      <c r="AF17" s="328" t="s">
        <v>758</v>
      </c>
      <c r="AG17" s="329"/>
      <c r="AH17" s="328" t="s">
        <v>759</v>
      </c>
      <c r="AI17" s="329"/>
      <c r="AJ17" s="193"/>
      <c r="AK17" s="193"/>
      <c r="AL17" s="193"/>
      <c r="AM17" s="193"/>
      <c r="AN17" s="193"/>
      <c r="AO17" s="193"/>
      <c r="AP17" s="193"/>
      <c r="AQ17" s="193"/>
    </row>
    <row r="18" spans="1:54" x14ac:dyDescent="0.3">
      <c r="A18" s="330"/>
      <c r="B18" s="194" t="s">
        <v>766</v>
      </c>
      <c r="C18" s="194" t="s">
        <v>767</v>
      </c>
      <c r="D18" s="194" t="s">
        <v>766</v>
      </c>
      <c r="E18" s="194" t="s">
        <v>767</v>
      </c>
      <c r="F18" s="194" t="s">
        <v>766</v>
      </c>
      <c r="G18" s="194" t="s">
        <v>767</v>
      </c>
      <c r="H18" s="194" t="s">
        <v>766</v>
      </c>
      <c r="I18" s="194" t="s">
        <v>767</v>
      </c>
      <c r="J18" s="194" t="s">
        <v>766</v>
      </c>
      <c r="K18" s="194" t="s">
        <v>767</v>
      </c>
      <c r="L18" s="194" t="s">
        <v>766</v>
      </c>
      <c r="M18" s="194" t="s">
        <v>767</v>
      </c>
      <c r="N18" s="195" t="s">
        <v>766</v>
      </c>
      <c r="O18" s="195" t="s">
        <v>767</v>
      </c>
      <c r="P18" s="195" t="s">
        <v>766</v>
      </c>
      <c r="Q18" s="195" t="s">
        <v>767</v>
      </c>
      <c r="R18" s="195" t="s">
        <v>766</v>
      </c>
      <c r="S18" s="195" t="s">
        <v>767</v>
      </c>
      <c r="T18" s="195" t="s">
        <v>766</v>
      </c>
      <c r="U18" s="195" t="s">
        <v>767</v>
      </c>
      <c r="V18" s="195" t="s">
        <v>766</v>
      </c>
      <c r="W18" s="195" t="s">
        <v>767</v>
      </c>
      <c r="X18" s="195" t="s">
        <v>766</v>
      </c>
      <c r="Y18" s="195" t="s">
        <v>767</v>
      </c>
      <c r="Z18" s="195" t="s">
        <v>766</v>
      </c>
      <c r="AA18" s="195" t="s">
        <v>767</v>
      </c>
      <c r="AB18" s="195" t="s">
        <v>766</v>
      </c>
      <c r="AC18" s="195" t="s">
        <v>767</v>
      </c>
      <c r="AD18" s="195" t="s">
        <v>766</v>
      </c>
      <c r="AE18" s="195" t="s">
        <v>767</v>
      </c>
      <c r="AF18" s="195" t="s">
        <v>766</v>
      </c>
      <c r="AG18" s="195" t="s">
        <v>767</v>
      </c>
      <c r="AH18" s="195" t="s">
        <v>768</v>
      </c>
      <c r="AI18" s="195" t="s">
        <v>767</v>
      </c>
      <c r="AJ18" s="209"/>
      <c r="AK18" s="209"/>
      <c r="AL18" s="209"/>
      <c r="AM18" s="209"/>
      <c r="AN18" s="209"/>
      <c r="AO18" s="209"/>
      <c r="AP18" s="209"/>
      <c r="AQ18" s="209"/>
      <c r="AR18" s="209"/>
      <c r="AS18" s="209"/>
      <c r="AT18" s="209"/>
      <c r="AU18" s="209"/>
      <c r="AV18" s="209"/>
      <c r="AW18" s="209"/>
      <c r="AX18" s="193"/>
      <c r="AY18" s="193"/>
      <c r="AZ18" s="193"/>
      <c r="BA18" s="193"/>
      <c r="BB18" s="193"/>
    </row>
    <row r="19" spans="1:54" x14ac:dyDescent="0.3">
      <c r="A19" s="210" t="s">
        <v>769</v>
      </c>
      <c r="B19" s="211"/>
      <c r="C19" s="211"/>
      <c r="D19" s="211"/>
      <c r="E19" s="211"/>
      <c r="F19" s="211"/>
      <c r="G19" s="211"/>
      <c r="H19" s="211"/>
      <c r="I19" s="211"/>
      <c r="J19" s="211"/>
      <c r="K19" s="211"/>
      <c r="L19" s="211"/>
      <c r="M19" s="211"/>
      <c r="N19" s="211"/>
      <c r="O19" s="211"/>
      <c r="P19" s="211"/>
      <c r="Q19" s="211"/>
      <c r="R19" s="211"/>
      <c r="S19" s="211"/>
      <c r="T19" s="211"/>
      <c r="U19" s="211"/>
      <c r="V19" s="211"/>
      <c r="W19" s="211"/>
      <c r="X19" s="211"/>
      <c r="Y19" s="211"/>
      <c r="Z19" s="211"/>
      <c r="AA19" s="211"/>
      <c r="AB19" s="211"/>
      <c r="AC19" s="211"/>
      <c r="AD19" s="211"/>
      <c r="AE19" s="211"/>
      <c r="AF19" s="211"/>
      <c r="AG19" s="211"/>
      <c r="AH19" s="211"/>
      <c r="AI19" s="212"/>
      <c r="AJ19" s="209"/>
      <c r="AK19" s="209"/>
      <c r="AL19" s="209"/>
      <c r="AM19" s="209"/>
      <c r="AN19" s="209"/>
      <c r="AO19" s="209"/>
      <c r="AP19" s="209"/>
      <c r="AQ19" s="209"/>
    </row>
    <row r="20" spans="1:54" x14ac:dyDescent="0.3">
      <c r="A20" s="213" t="s">
        <v>774</v>
      </c>
      <c r="B20" s="213">
        <v>13186</v>
      </c>
      <c r="C20" s="213">
        <v>12606</v>
      </c>
      <c r="D20" s="213">
        <v>12273</v>
      </c>
      <c r="E20" s="213">
        <v>11957</v>
      </c>
      <c r="F20" s="213">
        <v>11316</v>
      </c>
      <c r="G20" s="213">
        <v>11543</v>
      </c>
      <c r="H20" s="213">
        <v>11306</v>
      </c>
      <c r="I20" s="213">
        <v>10536</v>
      </c>
      <c r="J20" s="213">
        <v>10371</v>
      </c>
      <c r="K20" s="213">
        <v>10663</v>
      </c>
      <c r="L20" s="213">
        <v>10827</v>
      </c>
      <c r="M20" s="213">
        <v>10573</v>
      </c>
      <c r="N20" s="213">
        <v>9822</v>
      </c>
      <c r="O20" s="213">
        <v>9711</v>
      </c>
      <c r="P20" s="213">
        <v>9211</v>
      </c>
      <c r="Q20" s="213">
        <v>9245</v>
      </c>
      <c r="R20" s="213">
        <v>9567</v>
      </c>
      <c r="S20" s="213">
        <v>9524</v>
      </c>
      <c r="T20" s="213">
        <v>10749</v>
      </c>
      <c r="U20" s="213">
        <v>13033</v>
      </c>
      <c r="V20" s="213">
        <v>16183</v>
      </c>
      <c r="W20" s="213">
        <v>17902</v>
      </c>
      <c r="X20" s="213">
        <v>20206</v>
      </c>
      <c r="Y20" s="213">
        <v>20688</v>
      </c>
      <c r="Z20" s="213">
        <v>21653</v>
      </c>
      <c r="AA20" s="213">
        <v>20009</v>
      </c>
      <c r="AB20" s="213">
        <v>21005</v>
      </c>
      <c r="AC20" s="213">
        <v>19286</v>
      </c>
      <c r="AD20" s="213">
        <v>18236</v>
      </c>
      <c r="AE20" s="213">
        <v>17904</v>
      </c>
      <c r="AF20" s="213">
        <v>19719</v>
      </c>
      <c r="AG20" s="213">
        <v>21188</v>
      </c>
      <c r="AH20" s="213">
        <v>22463</v>
      </c>
      <c r="AI20" s="213">
        <v>21045</v>
      </c>
      <c r="AJ20" s="209"/>
      <c r="AK20" s="209"/>
      <c r="AL20" s="209"/>
      <c r="AM20" s="209"/>
      <c r="AN20" s="209"/>
      <c r="AO20" s="209"/>
      <c r="AP20" s="209"/>
      <c r="AQ20" s="209"/>
      <c r="AR20" s="209"/>
      <c r="AS20" s="209"/>
      <c r="AT20" s="209"/>
      <c r="AU20" s="209"/>
      <c r="AV20" s="209"/>
      <c r="AW20" s="209"/>
      <c r="AX20" s="209"/>
      <c r="AY20" s="209"/>
      <c r="AZ20" s="209"/>
      <c r="BA20" s="209"/>
      <c r="BB20" s="209"/>
    </row>
    <row r="21" spans="1:54" x14ac:dyDescent="0.3">
      <c r="A21" s="213" t="s">
        <v>775</v>
      </c>
      <c r="B21" s="213">
        <v>3921</v>
      </c>
      <c r="C21" s="213">
        <v>3963</v>
      </c>
      <c r="D21" s="213">
        <v>4050</v>
      </c>
      <c r="E21" s="213">
        <v>4095</v>
      </c>
      <c r="F21" s="213">
        <v>4222</v>
      </c>
      <c r="G21" s="213">
        <v>3678</v>
      </c>
      <c r="H21" s="213">
        <v>3132</v>
      </c>
      <c r="I21" s="213">
        <v>2500</v>
      </c>
      <c r="J21" s="213">
        <v>2182</v>
      </c>
      <c r="K21" s="213">
        <v>1958</v>
      </c>
      <c r="L21" s="213">
        <v>1720</v>
      </c>
      <c r="M21" s="213">
        <v>1580</v>
      </c>
      <c r="N21" s="213">
        <v>1425</v>
      </c>
      <c r="O21" s="213">
        <v>1335</v>
      </c>
      <c r="P21" s="213">
        <v>1254</v>
      </c>
      <c r="Q21" s="213">
        <v>1176</v>
      </c>
      <c r="R21" s="213">
        <v>1060</v>
      </c>
      <c r="S21" s="213">
        <v>939</v>
      </c>
      <c r="T21" s="213">
        <v>889</v>
      </c>
      <c r="U21" s="213">
        <v>848</v>
      </c>
      <c r="V21" s="213">
        <v>824</v>
      </c>
      <c r="W21" s="213">
        <v>818</v>
      </c>
      <c r="X21" s="213">
        <v>836</v>
      </c>
      <c r="Y21" s="213">
        <v>808</v>
      </c>
      <c r="Z21" s="213">
        <v>761</v>
      </c>
      <c r="AA21" s="213">
        <v>703</v>
      </c>
      <c r="AB21" s="213">
        <v>649</v>
      </c>
      <c r="AC21" s="213">
        <v>623</v>
      </c>
      <c r="AD21" s="213">
        <v>631</v>
      </c>
      <c r="AE21" s="213">
        <v>626</v>
      </c>
      <c r="AF21" s="213">
        <v>368</v>
      </c>
      <c r="AG21" s="213">
        <v>386</v>
      </c>
      <c r="AH21" s="213">
        <v>395</v>
      </c>
      <c r="AI21" s="213">
        <v>424</v>
      </c>
      <c r="AJ21" s="209"/>
      <c r="AK21" s="209"/>
      <c r="AL21" s="209"/>
      <c r="AM21" s="209"/>
      <c r="AN21" s="209"/>
      <c r="AO21" s="209"/>
      <c r="AP21" s="209"/>
      <c r="AQ21" s="209"/>
    </row>
    <row r="22" spans="1:54" x14ac:dyDescent="0.3">
      <c r="A22" s="213" t="s">
        <v>776</v>
      </c>
      <c r="B22" s="213">
        <v>1426</v>
      </c>
      <c r="C22" s="213">
        <v>1456</v>
      </c>
      <c r="D22" s="213">
        <v>1487</v>
      </c>
      <c r="E22" s="213">
        <v>1531</v>
      </c>
      <c r="F22" s="213">
        <v>1556</v>
      </c>
      <c r="G22" s="213">
        <v>1569</v>
      </c>
      <c r="H22" s="213">
        <v>1600</v>
      </c>
      <c r="I22" s="213">
        <v>1556</v>
      </c>
      <c r="J22" s="213">
        <v>1526</v>
      </c>
      <c r="K22" s="213">
        <v>1529</v>
      </c>
      <c r="L22" s="213">
        <v>1406</v>
      </c>
      <c r="M22" s="213">
        <v>1349</v>
      </c>
      <c r="N22" s="213">
        <v>1295</v>
      </c>
      <c r="O22" s="213">
        <v>1284</v>
      </c>
      <c r="P22" s="213">
        <v>1253</v>
      </c>
      <c r="Q22" s="213">
        <v>1269</v>
      </c>
      <c r="R22" s="213">
        <v>1113</v>
      </c>
      <c r="S22" s="213">
        <v>838</v>
      </c>
      <c r="T22" s="213">
        <v>704</v>
      </c>
      <c r="U22" s="213">
        <v>620</v>
      </c>
      <c r="V22" s="213">
        <v>589</v>
      </c>
      <c r="W22" s="213">
        <v>527</v>
      </c>
      <c r="X22" s="213">
        <v>494</v>
      </c>
      <c r="Y22" s="213">
        <v>457</v>
      </c>
      <c r="Z22" s="213">
        <v>433</v>
      </c>
      <c r="AA22" s="213">
        <v>419</v>
      </c>
      <c r="AB22" s="213">
        <v>413</v>
      </c>
      <c r="AC22" s="213">
        <v>408</v>
      </c>
      <c r="AD22" s="213">
        <v>408</v>
      </c>
      <c r="AE22" s="213">
        <v>392</v>
      </c>
      <c r="AF22" s="213">
        <v>238</v>
      </c>
      <c r="AG22" s="213">
        <v>230</v>
      </c>
      <c r="AH22" s="213">
        <v>220</v>
      </c>
      <c r="AI22" s="213">
        <v>224</v>
      </c>
      <c r="AJ22" s="209"/>
      <c r="AK22" s="209"/>
      <c r="AL22" s="209"/>
      <c r="AM22" s="209"/>
      <c r="AN22" s="209"/>
      <c r="AO22" s="209"/>
      <c r="AP22" s="209"/>
      <c r="AQ22" s="209"/>
      <c r="AR22" s="209"/>
      <c r="AS22" s="209"/>
      <c r="AT22" s="209"/>
      <c r="AU22" s="209"/>
      <c r="AV22" s="209"/>
      <c r="AW22" s="209"/>
      <c r="AX22" s="193"/>
      <c r="AY22" s="193"/>
      <c r="AZ22" s="193"/>
    </row>
    <row r="23" spans="1:54" ht="16.2" thickBot="1" x14ac:dyDescent="0.35">
      <c r="A23" s="214" t="s">
        <v>777</v>
      </c>
      <c r="B23" s="214">
        <v>432</v>
      </c>
      <c r="C23" s="214">
        <v>445</v>
      </c>
      <c r="D23" s="214">
        <v>443</v>
      </c>
      <c r="E23" s="214">
        <v>469</v>
      </c>
      <c r="F23" s="214">
        <v>447</v>
      </c>
      <c r="G23" s="214">
        <v>433</v>
      </c>
      <c r="H23" s="214">
        <v>440</v>
      </c>
      <c r="I23" s="214">
        <v>415</v>
      </c>
      <c r="J23" s="214">
        <v>392</v>
      </c>
      <c r="K23" s="214">
        <v>364</v>
      </c>
      <c r="L23" s="214">
        <v>338</v>
      </c>
      <c r="M23" s="214">
        <v>332</v>
      </c>
      <c r="N23" s="214">
        <v>317</v>
      </c>
      <c r="O23" s="214">
        <v>304</v>
      </c>
      <c r="P23" s="214">
        <v>288</v>
      </c>
      <c r="Q23" s="214">
        <v>276</v>
      </c>
      <c r="R23" s="214">
        <v>262</v>
      </c>
      <c r="S23" s="214">
        <v>232</v>
      </c>
      <c r="T23" s="214">
        <v>206</v>
      </c>
      <c r="U23" s="214">
        <v>201</v>
      </c>
      <c r="V23" s="214">
        <v>195</v>
      </c>
      <c r="W23" s="214">
        <v>201</v>
      </c>
      <c r="X23" s="214">
        <v>200</v>
      </c>
      <c r="Y23" s="214">
        <v>197</v>
      </c>
      <c r="Z23" s="214">
        <v>190</v>
      </c>
      <c r="AA23" s="214">
        <v>189</v>
      </c>
      <c r="AB23" s="214">
        <v>183</v>
      </c>
      <c r="AC23" s="214">
        <v>181</v>
      </c>
      <c r="AD23" s="214">
        <v>179</v>
      </c>
      <c r="AE23" s="214">
        <v>190</v>
      </c>
      <c r="AF23" s="214">
        <v>87</v>
      </c>
      <c r="AG23" s="214">
        <v>88</v>
      </c>
      <c r="AH23" s="214">
        <v>90</v>
      </c>
      <c r="AI23" s="214">
        <v>91</v>
      </c>
      <c r="AJ23" s="209"/>
      <c r="AK23" s="209"/>
      <c r="AL23" s="209"/>
      <c r="AM23" s="209"/>
      <c r="AN23" s="209"/>
      <c r="AO23" s="209"/>
      <c r="AP23" s="209"/>
      <c r="AQ23" s="209"/>
      <c r="AR23" s="209"/>
      <c r="AT23" s="209"/>
      <c r="AU23" s="209"/>
      <c r="AV23" s="209"/>
      <c r="AW23" s="209"/>
    </row>
    <row r="24" spans="1:54" x14ac:dyDescent="0.3">
      <c r="A24" s="215" t="s">
        <v>1</v>
      </c>
      <c r="B24" s="215">
        <f>SUM(B20:B23)</f>
        <v>18965</v>
      </c>
      <c r="C24" s="215">
        <f t="shared" ref="C24:M24" si="0">SUM(C20:C23)</f>
        <v>18470</v>
      </c>
      <c r="D24" s="215">
        <f t="shared" si="0"/>
        <v>18253</v>
      </c>
      <c r="E24" s="215">
        <f t="shared" si="0"/>
        <v>18052</v>
      </c>
      <c r="F24" s="215">
        <f t="shared" si="0"/>
        <v>17541</v>
      </c>
      <c r="G24" s="215">
        <f t="shared" si="0"/>
        <v>17223</v>
      </c>
      <c r="H24" s="215">
        <f t="shared" si="0"/>
        <v>16478</v>
      </c>
      <c r="I24" s="215">
        <f t="shared" si="0"/>
        <v>15007</v>
      </c>
      <c r="J24" s="215">
        <f t="shared" si="0"/>
        <v>14471</v>
      </c>
      <c r="K24" s="215">
        <f t="shared" si="0"/>
        <v>14514</v>
      </c>
      <c r="L24" s="215">
        <f t="shared" si="0"/>
        <v>14291</v>
      </c>
      <c r="M24" s="215">
        <f t="shared" si="0"/>
        <v>13834</v>
      </c>
      <c r="N24" s="215">
        <v>12859</v>
      </c>
      <c r="O24" s="215">
        <v>12634</v>
      </c>
      <c r="P24" s="215">
        <v>12006</v>
      </c>
      <c r="Q24" s="215">
        <v>11966</v>
      </c>
      <c r="R24" s="215">
        <v>12002</v>
      </c>
      <c r="S24" s="215">
        <v>11533</v>
      </c>
      <c r="T24" s="215">
        <v>12548</v>
      </c>
      <c r="U24" s="215">
        <v>14702</v>
      </c>
      <c r="V24" s="215">
        <v>17791</v>
      </c>
      <c r="W24" s="215">
        <v>19448</v>
      </c>
      <c r="X24" s="215">
        <v>21736</v>
      </c>
      <c r="Y24" s="215">
        <v>22150</v>
      </c>
      <c r="Z24" s="215">
        <v>23037</v>
      </c>
      <c r="AA24" s="215">
        <v>21320</v>
      </c>
      <c r="AB24" s="215">
        <v>22250</v>
      </c>
      <c r="AC24" s="215">
        <v>20498</v>
      </c>
      <c r="AD24" s="215">
        <v>19454</v>
      </c>
      <c r="AE24" s="215">
        <v>19112</v>
      </c>
      <c r="AF24" s="215">
        <v>20412</v>
      </c>
      <c r="AG24" s="215">
        <v>21892</v>
      </c>
      <c r="AH24" s="213">
        <v>23168</v>
      </c>
      <c r="AI24" s="207">
        <v>21784</v>
      </c>
      <c r="AJ24" s="209"/>
      <c r="AK24" s="209"/>
      <c r="AL24" s="209"/>
      <c r="AM24" s="209"/>
      <c r="AN24" s="209"/>
      <c r="AO24" s="209"/>
      <c r="AP24" s="209"/>
      <c r="AQ24" s="209"/>
      <c r="AR24" s="209"/>
      <c r="AS24" s="209"/>
      <c r="AT24" s="209"/>
      <c r="AU24" s="209"/>
      <c r="AV24" s="209"/>
      <c r="AW24" s="209"/>
      <c r="AX24" s="209"/>
      <c r="AY24" s="209"/>
      <c r="AZ24" s="209"/>
      <c r="BA24" s="209"/>
      <c r="BB24" s="209"/>
    </row>
    <row r="25" spans="1:54" x14ac:dyDescent="0.3">
      <c r="A25" s="210" t="s">
        <v>770</v>
      </c>
      <c r="B25" s="211"/>
      <c r="C25" s="211"/>
      <c r="D25" s="211"/>
      <c r="E25" s="211"/>
      <c r="F25" s="211"/>
      <c r="G25" s="211"/>
      <c r="H25" s="211"/>
      <c r="I25" s="211"/>
      <c r="J25" s="211"/>
      <c r="K25" s="211"/>
      <c r="L25" s="211"/>
      <c r="M25" s="211"/>
      <c r="N25" s="211"/>
      <c r="O25" s="211"/>
      <c r="P25" s="211"/>
      <c r="Q25" s="211"/>
      <c r="R25" s="211"/>
      <c r="S25" s="211"/>
      <c r="T25" s="211"/>
      <c r="U25" s="211"/>
      <c r="V25" s="211"/>
      <c r="W25" s="211"/>
      <c r="X25" s="211"/>
      <c r="Y25" s="211"/>
      <c r="Z25" s="211"/>
      <c r="AA25" s="211"/>
      <c r="AB25" s="211"/>
      <c r="AC25" s="211"/>
      <c r="AD25" s="211"/>
      <c r="AE25" s="211"/>
      <c r="AF25" s="211"/>
      <c r="AG25" s="211"/>
      <c r="AH25" s="211"/>
      <c r="AI25" s="212"/>
      <c r="AJ25" s="209"/>
      <c r="AK25" s="209"/>
      <c r="AL25" s="209"/>
      <c r="AM25" s="209"/>
      <c r="AN25" s="209"/>
      <c r="AO25" s="209"/>
      <c r="AP25" s="209"/>
      <c r="AQ25" s="209"/>
      <c r="AR25" s="209"/>
      <c r="AT25" s="209"/>
      <c r="AU25" s="209"/>
      <c r="AV25" s="209"/>
      <c r="AW25" s="209"/>
      <c r="AX25" s="209"/>
      <c r="AY25" s="209"/>
      <c r="AZ25" s="209"/>
    </row>
    <row r="26" spans="1:54" x14ac:dyDescent="0.3">
      <c r="A26" s="213" t="s">
        <v>774</v>
      </c>
      <c r="B26" s="213">
        <v>244</v>
      </c>
      <c r="C26" s="213">
        <v>197</v>
      </c>
      <c r="D26" s="213">
        <v>99</v>
      </c>
      <c r="E26" s="213">
        <v>116</v>
      </c>
      <c r="F26" s="213">
        <v>89</v>
      </c>
      <c r="G26" s="213">
        <v>228</v>
      </c>
      <c r="H26" s="213">
        <v>209</v>
      </c>
      <c r="I26" s="213">
        <v>146</v>
      </c>
      <c r="J26" s="213">
        <v>149</v>
      </c>
      <c r="K26" s="213">
        <v>211</v>
      </c>
      <c r="L26" s="213">
        <v>153</v>
      </c>
      <c r="M26" s="213">
        <v>227</v>
      </c>
      <c r="N26" s="213">
        <v>164</v>
      </c>
      <c r="O26" s="213">
        <v>554</v>
      </c>
      <c r="P26" s="213">
        <v>416</v>
      </c>
      <c r="Q26" s="213">
        <v>257</v>
      </c>
      <c r="R26" s="213">
        <v>1051</v>
      </c>
      <c r="S26" s="213">
        <v>1225</v>
      </c>
      <c r="T26" s="213">
        <v>1016</v>
      </c>
      <c r="U26" s="213">
        <v>320</v>
      </c>
      <c r="V26" s="213">
        <v>484</v>
      </c>
      <c r="W26" s="213">
        <v>1226</v>
      </c>
      <c r="X26" s="213">
        <v>1119</v>
      </c>
      <c r="Y26" s="213">
        <v>935</v>
      </c>
      <c r="Z26" s="213">
        <v>1135</v>
      </c>
      <c r="AA26" s="213">
        <v>1092</v>
      </c>
      <c r="AB26" s="213">
        <v>1195</v>
      </c>
      <c r="AC26" s="213">
        <v>1165</v>
      </c>
      <c r="AD26" s="213">
        <v>775</v>
      </c>
      <c r="AE26" s="213">
        <v>591</v>
      </c>
      <c r="AF26" s="213">
        <v>895</v>
      </c>
      <c r="AG26" s="213">
        <v>979</v>
      </c>
      <c r="AH26" s="213">
        <v>1180</v>
      </c>
      <c r="AI26" s="213">
        <v>1442</v>
      </c>
      <c r="AJ26" s="209"/>
      <c r="AK26" s="209"/>
      <c r="AL26" s="209"/>
      <c r="AM26" s="209"/>
      <c r="AN26" s="209"/>
      <c r="AO26" s="209"/>
      <c r="AP26" s="209"/>
      <c r="AQ26" s="209"/>
      <c r="AR26" s="209"/>
      <c r="AS26" s="209"/>
      <c r="AT26" s="209"/>
      <c r="AU26" s="209"/>
      <c r="AV26" s="209"/>
      <c r="AW26" s="209"/>
    </row>
    <row r="27" spans="1:54" x14ac:dyDescent="0.3">
      <c r="A27" s="213" t="s">
        <v>775</v>
      </c>
      <c r="B27" s="213">
        <v>42</v>
      </c>
      <c r="C27" s="213">
        <v>40</v>
      </c>
      <c r="D27" s="213">
        <v>40</v>
      </c>
      <c r="E27" s="213">
        <v>26</v>
      </c>
      <c r="F27" s="213">
        <v>12</v>
      </c>
      <c r="G27" s="213">
        <v>10</v>
      </c>
      <c r="H27" s="213">
        <v>12</v>
      </c>
      <c r="I27" s="213">
        <v>2</v>
      </c>
      <c r="J27" s="213">
        <v>2</v>
      </c>
      <c r="K27" s="213">
        <v>2</v>
      </c>
      <c r="L27" s="213">
        <v>2</v>
      </c>
      <c r="M27" s="213">
        <v>0</v>
      </c>
      <c r="N27" s="213">
        <v>0</v>
      </c>
      <c r="O27" s="213">
        <v>0</v>
      </c>
      <c r="P27" s="213">
        <v>0</v>
      </c>
      <c r="Q27" s="213">
        <v>0</v>
      </c>
      <c r="R27" s="213">
        <v>0</v>
      </c>
      <c r="S27" s="213">
        <v>0</v>
      </c>
      <c r="T27" s="213">
        <v>0</v>
      </c>
      <c r="U27" s="213">
        <v>0</v>
      </c>
      <c r="V27" s="213">
        <v>0</v>
      </c>
      <c r="W27" s="213">
        <v>0</v>
      </c>
      <c r="X27" s="213">
        <v>0</v>
      </c>
      <c r="Y27" s="213">
        <v>0</v>
      </c>
      <c r="Z27" s="213">
        <v>0</v>
      </c>
      <c r="AA27" s="213">
        <v>0</v>
      </c>
      <c r="AB27" s="213">
        <v>0</v>
      </c>
      <c r="AC27" s="213">
        <v>0</v>
      </c>
      <c r="AD27" s="213">
        <v>0</v>
      </c>
      <c r="AE27" s="213"/>
      <c r="AF27" s="216">
        <v>0</v>
      </c>
      <c r="AG27" s="216">
        <v>0</v>
      </c>
      <c r="AH27" s="216">
        <v>0</v>
      </c>
      <c r="AI27" s="199" t="s">
        <v>750</v>
      </c>
      <c r="AO27" s="209"/>
      <c r="AP27" s="209"/>
      <c r="AQ27" s="209"/>
      <c r="AT27" s="209"/>
      <c r="AU27" s="209"/>
      <c r="AW27" s="209"/>
      <c r="AX27" s="209"/>
      <c r="AY27" s="209"/>
      <c r="AZ27" s="209"/>
    </row>
    <row r="28" spans="1:54" x14ac:dyDescent="0.3">
      <c r="A28" s="213" t="s">
        <v>776</v>
      </c>
      <c r="B28" s="213">
        <v>0</v>
      </c>
      <c r="C28" s="213">
        <v>0</v>
      </c>
      <c r="D28" s="213">
        <v>0</v>
      </c>
      <c r="E28" s="213">
        <v>15</v>
      </c>
      <c r="F28" s="213">
        <v>25</v>
      </c>
      <c r="G28" s="213">
        <v>25</v>
      </c>
      <c r="H28" s="213">
        <v>24</v>
      </c>
      <c r="I28" s="213">
        <v>22</v>
      </c>
      <c r="J28" s="213">
        <v>20</v>
      </c>
      <c r="K28" s="213">
        <v>20</v>
      </c>
      <c r="L28" s="213">
        <v>20</v>
      </c>
      <c r="M28" s="213">
        <v>12</v>
      </c>
      <c r="N28" s="213">
        <v>10</v>
      </c>
      <c r="O28" s="213">
        <v>10</v>
      </c>
      <c r="P28" s="213">
        <v>0</v>
      </c>
      <c r="Q28" s="213">
        <v>0</v>
      </c>
      <c r="R28" s="213">
        <v>0</v>
      </c>
      <c r="S28" s="213">
        <v>0</v>
      </c>
      <c r="T28" s="213">
        <v>0</v>
      </c>
      <c r="U28" s="213">
        <v>0</v>
      </c>
      <c r="V28" s="213">
        <v>0</v>
      </c>
      <c r="W28" s="213">
        <v>0</v>
      </c>
      <c r="X28" s="213">
        <v>0</v>
      </c>
      <c r="Y28" s="213">
        <v>0</v>
      </c>
      <c r="Z28" s="213">
        <v>0</v>
      </c>
      <c r="AA28" s="213">
        <v>0</v>
      </c>
      <c r="AB28" s="213">
        <v>0</v>
      </c>
      <c r="AC28" s="213">
        <v>0</v>
      </c>
      <c r="AD28" s="213">
        <v>0</v>
      </c>
      <c r="AE28" s="213"/>
      <c r="AF28" s="216">
        <v>0</v>
      </c>
      <c r="AG28" s="216">
        <v>0</v>
      </c>
      <c r="AH28" s="216">
        <v>0</v>
      </c>
      <c r="AI28" s="199" t="s">
        <v>750</v>
      </c>
      <c r="AJ28" s="209"/>
      <c r="AK28" s="209"/>
      <c r="AL28" s="209"/>
      <c r="AM28" s="209"/>
      <c r="AN28" s="209"/>
      <c r="AO28" s="209"/>
      <c r="AP28" s="209"/>
      <c r="AQ28" s="209"/>
      <c r="AR28" s="209"/>
      <c r="AS28" s="209"/>
      <c r="AT28" s="209"/>
      <c r="AU28" s="209"/>
      <c r="AV28" s="209"/>
      <c r="AW28" s="209"/>
      <c r="AX28" s="209"/>
      <c r="AY28" s="209"/>
      <c r="AZ28" s="209"/>
      <c r="BA28" s="209"/>
      <c r="BB28" s="209"/>
    </row>
    <row r="29" spans="1:54" ht="16.2" thickBot="1" x14ac:dyDescent="0.35">
      <c r="A29" s="214" t="s">
        <v>777</v>
      </c>
      <c r="B29" s="214">
        <v>0</v>
      </c>
      <c r="C29" s="214">
        <v>0</v>
      </c>
      <c r="D29" s="214">
        <v>0</v>
      </c>
      <c r="E29" s="214">
        <v>0</v>
      </c>
      <c r="F29" s="214">
        <v>0</v>
      </c>
      <c r="G29" s="214">
        <v>0</v>
      </c>
      <c r="H29" s="214">
        <v>0</v>
      </c>
      <c r="I29" s="214">
        <v>0</v>
      </c>
      <c r="J29" s="214">
        <v>0</v>
      </c>
      <c r="K29" s="214">
        <v>0</v>
      </c>
      <c r="L29" s="214">
        <v>0</v>
      </c>
      <c r="M29" s="214">
        <v>0</v>
      </c>
      <c r="N29" s="214">
        <v>0</v>
      </c>
      <c r="O29" s="214">
        <v>0</v>
      </c>
      <c r="P29" s="214">
        <v>0</v>
      </c>
      <c r="Q29" s="214">
        <v>0</v>
      </c>
      <c r="R29" s="214">
        <v>0</v>
      </c>
      <c r="S29" s="214">
        <v>0</v>
      </c>
      <c r="T29" s="214">
        <v>0</v>
      </c>
      <c r="U29" s="214">
        <v>0</v>
      </c>
      <c r="V29" s="214">
        <v>0</v>
      </c>
      <c r="W29" s="214">
        <v>0</v>
      </c>
      <c r="X29" s="214">
        <v>0</v>
      </c>
      <c r="Y29" s="214">
        <v>0</v>
      </c>
      <c r="Z29" s="214">
        <v>0</v>
      </c>
      <c r="AA29" s="214">
        <v>0</v>
      </c>
      <c r="AB29" s="214">
        <v>0</v>
      </c>
      <c r="AC29" s="214">
        <v>0</v>
      </c>
      <c r="AD29" s="214">
        <v>0</v>
      </c>
      <c r="AE29" s="214"/>
      <c r="AF29" s="217">
        <v>0</v>
      </c>
      <c r="AG29" s="217">
        <v>0</v>
      </c>
      <c r="AH29" s="217">
        <v>0</v>
      </c>
      <c r="AI29" s="203" t="s">
        <v>750</v>
      </c>
      <c r="AN29" s="209"/>
      <c r="AO29" s="209"/>
      <c r="AP29" s="209"/>
      <c r="AS29" s="209"/>
      <c r="AT29" s="209"/>
      <c r="AV29" s="209"/>
      <c r="AW29" s="209"/>
      <c r="AX29" s="209"/>
      <c r="AY29" s="209"/>
    </row>
    <row r="30" spans="1:54" x14ac:dyDescent="0.3">
      <c r="A30" s="215" t="s">
        <v>1</v>
      </c>
      <c r="B30" s="215">
        <f>SUM(B26:B29)</f>
        <v>286</v>
      </c>
      <c r="C30" s="215">
        <f t="shared" ref="C30:M30" si="1">SUM(C26:C29)</f>
        <v>237</v>
      </c>
      <c r="D30" s="215">
        <f t="shared" si="1"/>
        <v>139</v>
      </c>
      <c r="E30" s="215">
        <f t="shared" si="1"/>
        <v>157</v>
      </c>
      <c r="F30" s="215">
        <f t="shared" si="1"/>
        <v>126</v>
      </c>
      <c r="G30" s="215">
        <f t="shared" si="1"/>
        <v>263</v>
      </c>
      <c r="H30" s="215">
        <f t="shared" si="1"/>
        <v>245</v>
      </c>
      <c r="I30" s="215">
        <f t="shared" si="1"/>
        <v>170</v>
      </c>
      <c r="J30" s="215">
        <f t="shared" si="1"/>
        <v>171</v>
      </c>
      <c r="K30" s="215">
        <f t="shared" si="1"/>
        <v>233</v>
      </c>
      <c r="L30" s="215">
        <f t="shared" si="1"/>
        <v>175</v>
      </c>
      <c r="M30" s="215">
        <f t="shared" si="1"/>
        <v>239</v>
      </c>
      <c r="N30" s="215">
        <v>174</v>
      </c>
      <c r="O30" s="215">
        <v>564</v>
      </c>
      <c r="P30" s="215">
        <v>416</v>
      </c>
      <c r="Q30" s="215">
        <v>257</v>
      </c>
      <c r="R30" s="215">
        <v>1051</v>
      </c>
      <c r="S30" s="215">
        <v>1225</v>
      </c>
      <c r="T30" s="215">
        <v>1016</v>
      </c>
      <c r="U30" s="215">
        <v>320</v>
      </c>
      <c r="V30" s="215">
        <v>484</v>
      </c>
      <c r="W30" s="215">
        <v>1226</v>
      </c>
      <c r="X30" s="215">
        <v>1119</v>
      </c>
      <c r="Y30" s="215">
        <v>935</v>
      </c>
      <c r="Z30" s="215">
        <v>1135</v>
      </c>
      <c r="AA30" s="215">
        <v>1092</v>
      </c>
      <c r="AB30" s="215">
        <v>1195</v>
      </c>
      <c r="AC30" s="215">
        <v>1165</v>
      </c>
      <c r="AD30" s="215">
        <v>775</v>
      </c>
      <c r="AE30" s="215">
        <v>591</v>
      </c>
      <c r="AF30" s="215">
        <v>895</v>
      </c>
      <c r="AG30" s="215">
        <v>979</v>
      </c>
      <c r="AH30" s="215">
        <v>1180</v>
      </c>
      <c r="AI30" s="215">
        <v>1442</v>
      </c>
      <c r="AJ30" s="209"/>
      <c r="AK30" s="209"/>
      <c r="AL30" s="209"/>
      <c r="AM30" s="209"/>
      <c r="AN30" s="209"/>
      <c r="AO30" s="209"/>
      <c r="AP30" s="209"/>
      <c r="AQ30" s="209"/>
      <c r="AR30" s="209"/>
      <c r="AS30" s="209"/>
      <c r="AT30" s="209"/>
      <c r="AU30" s="209"/>
      <c r="AV30" s="209"/>
      <c r="AW30" s="209"/>
    </row>
    <row r="31" spans="1:54" x14ac:dyDescent="0.3">
      <c r="A31" s="210" t="s">
        <v>771</v>
      </c>
      <c r="B31" s="211"/>
      <c r="C31" s="211"/>
      <c r="D31" s="211"/>
      <c r="E31" s="211"/>
      <c r="F31" s="211"/>
      <c r="G31" s="211"/>
      <c r="H31" s="211"/>
      <c r="I31" s="211"/>
      <c r="J31" s="211"/>
      <c r="K31" s="211"/>
      <c r="L31" s="211"/>
      <c r="M31" s="211"/>
      <c r="N31" s="211"/>
      <c r="O31" s="211"/>
      <c r="P31" s="211"/>
      <c r="Q31" s="211"/>
      <c r="R31" s="211"/>
      <c r="S31" s="211"/>
      <c r="T31" s="211"/>
      <c r="U31" s="211"/>
      <c r="V31" s="211"/>
      <c r="W31" s="211"/>
      <c r="X31" s="211"/>
      <c r="Y31" s="211"/>
      <c r="Z31" s="211"/>
      <c r="AA31" s="211"/>
      <c r="AB31" s="211"/>
      <c r="AC31" s="211"/>
      <c r="AD31" s="211"/>
      <c r="AE31" s="211"/>
      <c r="AF31" s="211"/>
      <c r="AG31" s="211"/>
      <c r="AH31" s="211"/>
      <c r="AI31" s="212"/>
      <c r="AN31" s="209"/>
      <c r="AO31" s="209"/>
      <c r="AP31" s="209"/>
      <c r="AS31" s="209"/>
      <c r="AT31" s="209"/>
      <c r="AV31" s="209"/>
      <c r="AW31" s="209"/>
      <c r="AX31" s="209"/>
      <c r="AY31" s="209"/>
    </row>
    <row r="32" spans="1:54" x14ac:dyDescent="0.3">
      <c r="A32" s="213" t="s">
        <v>774</v>
      </c>
      <c r="B32" s="213">
        <v>1037</v>
      </c>
      <c r="C32" s="213">
        <v>855</v>
      </c>
      <c r="D32" s="213">
        <v>795</v>
      </c>
      <c r="E32" s="213">
        <v>644</v>
      </c>
      <c r="F32" s="213">
        <v>542</v>
      </c>
      <c r="G32" s="213">
        <v>502</v>
      </c>
      <c r="H32" s="213">
        <v>531</v>
      </c>
      <c r="I32" s="213">
        <v>511</v>
      </c>
      <c r="J32" s="213">
        <v>487</v>
      </c>
      <c r="K32" s="213">
        <v>519</v>
      </c>
      <c r="L32" s="213">
        <v>548</v>
      </c>
      <c r="M32" s="213">
        <v>560</v>
      </c>
      <c r="N32" s="213">
        <v>648</v>
      </c>
      <c r="O32" s="213">
        <v>637</v>
      </c>
      <c r="P32" s="213">
        <v>699</v>
      </c>
      <c r="Q32" s="213">
        <v>855</v>
      </c>
      <c r="R32" s="213">
        <v>1097</v>
      </c>
      <c r="S32" s="213">
        <v>1529</v>
      </c>
      <c r="T32" s="213">
        <v>1625</v>
      </c>
      <c r="U32" s="213">
        <v>2075</v>
      </c>
      <c r="V32" s="213">
        <v>2672</v>
      </c>
      <c r="W32" s="213">
        <v>3212</v>
      </c>
      <c r="X32" s="213">
        <v>3691</v>
      </c>
      <c r="Y32" s="213">
        <v>4359</v>
      </c>
      <c r="Z32" s="213">
        <v>3336</v>
      </c>
      <c r="AA32" s="213">
        <v>3326</v>
      </c>
      <c r="AB32" s="213">
        <v>2608</v>
      </c>
      <c r="AC32" s="213">
        <v>2484</v>
      </c>
      <c r="AD32" s="213">
        <v>2225</v>
      </c>
      <c r="AE32" s="213">
        <v>2397</v>
      </c>
      <c r="AF32" s="213">
        <v>1854</v>
      </c>
      <c r="AG32" s="213">
        <v>1247</v>
      </c>
      <c r="AH32" s="213">
        <v>836</v>
      </c>
      <c r="AI32" s="213">
        <v>412</v>
      </c>
      <c r="AJ32" s="209"/>
      <c r="AK32" s="209"/>
      <c r="AL32" s="209"/>
      <c r="AM32" s="209"/>
      <c r="AN32" s="209"/>
      <c r="AO32" s="209"/>
      <c r="AP32" s="209"/>
      <c r="AQ32" s="209"/>
      <c r="AR32" s="209"/>
      <c r="AS32" s="209"/>
      <c r="AT32" s="209"/>
      <c r="AU32" s="209"/>
      <c r="AV32" s="209"/>
      <c r="AW32" s="209"/>
      <c r="AX32" s="209"/>
      <c r="AY32" s="209"/>
      <c r="AZ32" s="209"/>
      <c r="BA32" s="209"/>
      <c r="BB32" s="209"/>
    </row>
    <row r="33" spans="1:54" x14ac:dyDescent="0.3">
      <c r="A33" s="213" t="s">
        <v>775</v>
      </c>
      <c r="B33" s="213">
        <v>1207</v>
      </c>
      <c r="C33" s="213">
        <v>1052</v>
      </c>
      <c r="D33" s="213">
        <v>1013</v>
      </c>
      <c r="E33" s="213">
        <v>879</v>
      </c>
      <c r="F33" s="213">
        <v>781</v>
      </c>
      <c r="G33" s="213">
        <v>678</v>
      </c>
      <c r="H33" s="213">
        <v>552</v>
      </c>
      <c r="I33" s="213">
        <v>428</v>
      </c>
      <c r="J33" s="213">
        <v>343</v>
      </c>
      <c r="K33" s="213">
        <v>306</v>
      </c>
      <c r="L33" s="213">
        <v>257</v>
      </c>
      <c r="M33" s="213">
        <v>210</v>
      </c>
      <c r="N33" s="213">
        <v>189</v>
      </c>
      <c r="O33" s="213">
        <v>159</v>
      </c>
      <c r="P33" s="213">
        <v>130</v>
      </c>
      <c r="Q33" s="213">
        <v>112</v>
      </c>
      <c r="R33" s="213">
        <v>87</v>
      </c>
      <c r="S33" s="213">
        <v>57</v>
      </c>
      <c r="T33" s="213">
        <v>53</v>
      </c>
      <c r="U33" s="213">
        <v>46</v>
      </c>
      <c r="V33" s="213">
        <v>45</v>
      </c>
      <c r="W33" s="213">
        <v>56</v>
      </c>
      <c r="X33" s="213">
        <v>60</v>
      </c>
      <c r="Y33" s="213">
        <v>68</v>
      </c>
      <c r="Z33" s="213">
        <v>61</v>
      </c>
      <c r="AA33" s="213">
        <v>58</v>
      </c>
      <c r="AB33" s="213">
        <v>60</v>
      </c>
      <c r="AC33" s="213">
        <v>70</v>
      </c>
      <c r="AD33" s="213">
        <v>80</v>
      </c>
      <c r="AE33" s="213">
        <v>77</v>
      </c>
      <c r="AF33" s="213">
        <v>55</v>
      </c>
      <c r="AG33" s="213">
        <v>64</v>
      </c>
      <c r="AH33" s="213">
        <v>71</v>
      </c>
      <c r="AI33" s="213">
        <v>70</v>
      </c>
    </row>
    <row r="34" spans="1:54" x14ac:dyDescent="0.3">
      <c r="A34" s="213" t="s">
        <v>776</v>
      </c>
      <c r="B34" s="213">
        <v>1127</v>
      </c>
      <c r="C34" s="213">
        <v>1220</v>
      </c>
      <c r="D34" s="213">
        <v>1214</v>
      </c>
      <c r="E34" s="213">
        <v>1268</v>
      </c>
      <c r="F34" s="213">
        <v>1278</v>
      </c>
      <c r="G34" s="213">
        <v>1245</v>
      </c>
      <c r="H34" s="213">
        <v>1188</v>
      </c>
      <c r="I34" s="213">
        <v>1150</v>
      </c>
      <c r="J34" s="213">
        <v>1098</v>
      </c>
      <c r="K34" s="213">
        <v>1029</v>
      </c>
      <c r="L34" s="213">
        <v>948</v>
      </c>
      <c r="M34" s="213">
        <v>874</v>
      </c>
      <c r="N34" s="213">
        <v>826</v>
      </c>
      <c r="O34" s="213">
        <v>755</v>
      </c>
      <c r="P34" s="213">
        <v>672</v>
      </c>
      <c r="Q34" s="213">
        <v>623</v>
      </c>
      <c r="R34" s="213">
        <v>477</v>
      </c>
      <c r="S34" s="213">
        <v>181</v>
      </c>
      <c r="T34" s="213">
        <v>84</v>
      </c>
      <c r="U34" s="213">
        <v>56</v>
      </c>
      <c r="V34" s="213">
        <v>48</v>
      </c>
      <c r="W34" s="213">
        <v>41</v>
      </c>
      <c r="X34" s="213">
        <v>40</v>
      </c>
      <c r="Y34" s="213">
        <v>41</v>
      </c>
      <c r="Z34" s="213">
        <v>36</v>
      </c>
      <c r="AA34" s="213">
        <v>40</v>
      </c>
      <c r="AB34" s="213">
        <v>36</v>
      </c>
      <c r="AC34" s="213">
        <v>32</v>
      </c>
      <c r="AD34" s="213">
        <v>30</v>
      </c>
      <c r="AE34" s="213">
        <v>30</v>
      </c>
      <c r="AF34" s="213">
        <v>12</v>
      </c>
      <c r="AG34" s="213">
        <v>15</v>
      </c>
      <c r="AH34" s="213">
        <v>16</v>
      </c>
      <c r="AI34" s="213">
        <v>16</v>
      </c>
      <c r="AJ34" s="209"/>
      <c r="AK34" s="209"/>
      <c r="AL34" s="209"/>
      <c r="AM34" s="209"/>
      <c r="AN34" s="209"/>
      <c r="AO34" s="209"/>
      <c r="AP34" s="209"/>
      <c r="AQ34" s="209"/>
      <c r="AR34" s="209"/>
      <c r="AS34" s="209"/>
      <c r="AT34" s="209"/>
      <c r="AU34" s="209"/>
      <c r="AV34" s="209"/>
      <c r="AW34" s="209"/>
    </row>
    <row r="35" spans="1:54" ht="16.2" thickBot="1" x14ac:dyDescent="0.35">
      <c r="A35" s="214" t="s">
        <v>777</v>
      </c>
      <c r="B35" s="214">
        <v>1</v>
      </c>
      <c r="C35" s="214">
        <v>1</v>
      </c>
      <c r="D35" s="214">
        <v>1</v>
      </c>
      <c r="E35" s="214">
        <v>1</v>
      </c>
      <c r="F35" s="214">
        <v>1</v>
      </c>
      <c r="G35" s="214">
        <v>10</v>
      </c>
      <c r="H35" s="214">
        <v>12</v>
      </c>
      <c r="I35" s="214">
        <v>17</v>
      </c>
      <c r="J35" s="214">
        <v>20</v>
      </c>
      <c r="K35" s="214">
        <v>23</v>
      </c>
      <c r="L35" s="214">
        <v>32</v>
      </c>
      <c r="M35" s="214">
        <v>38</v>
      </c>
      <c r="N35" s="214">
        <v>54</v>
      </c>
      <c r="O35" s="214">
        <v>57</v>
      </c>
      <c r="P35" s="214">
        <v>65</v>
      </c>
      <c r="Q35" s="214">
        <v>64</v>
      </c>
      <c r="R35" s="214">
        <v>60</v>
      </c>
      <c r="S35" s="214">
        <v>35</v>
      </c>
      <c r="T35" s="214">
        <v>23</v>
      </c>
      <c r="U35" s="214">
        <v>14</v>
      </c>
      <c r="V35" s="214">
        <v>11</v>
      </c>
      <c r="W35" s="214">
        <v>11</v>
      </c>
      <c r="X35" s="214">
        <v>10</v>
      </c>
      <c r="Y35" s="214">
        <v>10</v>
      </c>
      <c r="Z35" s="214">
        <v>11</v>
      </c>
      <c r="AA35" s="214">
        <v>11</v>
      </c>
      <c r="AB35" s="214">
        <v>13</v>
      </c>
      <c r="AC35" s="214">
        <v>12</v>
      </c>
      <c r="AD35" s="214">
        <v>13</v>
      </c>
      <c r="AE35" s="214">
        <v>13</v>
      </c>
      <c r="AF35" s="214">
        <v>8</v>
      </c>
      <c r="AG35" s="214">
        <v>8</v>
      </c>
      <c r="AH35" s="214">
        <v>7</v>
      </c>
      <c r="AI35" s="214">
        <v>8</v>
      </c>
    </row>
    <row r="36" spans="1:54" x14ac:dyDescent="0.3">
      <c r="A36" s="215" t="s">
        <v>1</v>
      </c>
      <c r="B36" s="215">
        <v>3372</v>
      </c>
      <c r="C36" s="215">
        <v>3128</v>
      </c>
      <c r="D36" s="215">
        <v>3023</v>
      </c>
      <c r="E36" s="215">
        <v>2792</v>
      </c>
      <c r="F36" s="215">
        <v>2602</v>
      </c>
      <c r="G36" s="215">
        <v>2435</v>
      </c>
      <c r="H36" s="215">
        <v>2283</v>
      </c>
      <c r="I36" s="215">
        <v>2106</v>
      </c>
      <c r="J36" s="215">
        <v>1948</v>
      </c>
      <c r="K36" s="215">
        <v>1877</v>
      </c>
      <c r="L36" s="215">
        <v>1785</v>
      </c>
      <c r="M36" s="215">
        <v>1682</v>
      </c>
      <c r="N36" s="215">
        <v>1717</v>
      </c>
      <c r="O36" s="215">
        <v>1608</v>
      </c>
      <c r="P36" s="215">
        <v>1566</v>
      </c>
      <c r="Q36" s="215">
        <v>1654</v>
      </c>
      <c r="R36" s="215">
        <v>1721</v>
      </c>
      <c r="S36" s="215">
        <v>1802</v>
      </c>
      <c r="T36" s="215">
        <v>1785</v>
      </c>
      <c r="U36" s="215">
        <v>2191</v>
      </c>
      <c r="V36" s="215">
        <v>2776</v>
      </c>
      <c r="W36" s="215">
        <v>3320</v>
      </c>
      <c r="X36" s="215">
        <v>3801</v>
      </c>
      <c r="Y36" s="215">
        <v>4478</v>
      </c>
      <c r="Z36" s="215">
        <v>3444</v>
      </c>
      <c r="AA36" s="215">
        <v>3435</v>
      </c>
      <c r="AB36" s="215">
        <v>2717</v>
      </c>
      <c r="AC36" s="215">
        <v>2598</v>
      </c>
      <c r="AD36" s="215">
        <v>2348</v>
      </c>
      <c r="AE36" s="215">
        <v>2517</v>
      </c>
      <c r="AF36" s="215">
        <v>1929</v>
      </c>
      <c r="AG36" s="215">
        <v>1334</v>
      </c>
      <c r="AH36" s="215">
        <v>930</v>
      </c>
      <c r="AI36" s="215">
        <v>506</v>
      </c>
      <c r="AJ36" s="209"/>
      <c r="AK36" s="209"/>
      <c r="AL36" s="209"/>
      <c r="AM36" s="209"/>
      <c r="AN36" s="209"/>
      <c r="AO36" s="209"/>
      <c r="AP36" s="209"/>
      <c r="AQ36" s="209"/>
      <c r="AR36" s="209"/>
      <c r="AS36" s="209"/>
      <c r="AT36" s="209"/>
      <c r="AU36" s="209"/>
      <c r="AV36" s="209"/>
      <c r="AW36" s="209"/>
      <c r="AX36" s="209"/>
      <c r="AY36" s="209"/>
      <c r="AZ36" s="209"/>
      <c r="BA36" s="209"/>
      <c r="BB36" s="209"/>
    </row>
    <row r="37" spans="1:54" x14ac:dyDescent="0.3">
      <c r="A37" s="210" t="s">
        <v>772</v>
      </c>
      <c r="B37" s="211"/>
      <c r="C37" s="211"/>
      <c r="D37" s="211"/>
      <c r="E37" s="211"/>
      <c r="F37" s="211"/>
      <c r="G37" s="211"/>
      <c r="H37" s="211"/>
      <c r="I37" s="211"/>
      <c r="J37" s="211"/>
      <c r="K37" s="211"/>
      <c r="L37" s="211"/>
      <c r="M37" s="211"/>
      <c r="N37" s="211"/>
      <c r="O37" s="211"/>
      <c r="P37" s="211"/>
      <c r="Q37" s="211"/>
      <c r="R37" s="211"/>
      <c r="S37" s="211"/>
      <c r="T37" s="211"/>
      <c r="U37" s="211"/>
      <c r="V37" s="211"/>
      <c r="W37" s="211"/>
      <c r="X37" s="211"/>
      <c r="Y37" s="211"/>
      <c r="Z37" s="211"/>
      <c r="AA37" s="211"/>
      <c r="AB37" s="211"/>
      <c r="AC37" s="211"/>
      <c r="AD37" s="211"/>
      <c r="AE37" s="211"/>
      <c r="AF37" s="211"/>
      <c r="AG37" s="211"/>
      <c r="AH37" s="211"/>
      <c r="AI37" s="212"/>
      <c r="AJ37" s="209"/>
      <c r="AK37" s="209"/>
      <c r="AL37" s="209"/>
      <c r="AM37" s="209"/>
      <c r="AN37" s="209"/>
      <c r="AO37" s="209"/>
      <c r="AP37" s="209"/>
      <c r="AQ37" s="209"/>
    </row>
    <row r="38" spans="1:54" x14ac:dyDescent="0.3">
      <c r="A38" s="213" t="s">
        <v>774</v>
      </c>
      <c r="B38" s="213">
        <v>38</v>
      </c>
      <c r="C38" s="213">
        <v>54</v>
      </c>
      <c r="D38" s="213">
        <v>46</v>
      </c>
      <c r="E38" s="213">
        <v>30</v>
      </c>
      <c r="F38" s="213">
        <v>7</v>
      </c>
      <c r="G38" s="213">
        <v>13</v>
      </c>
      <c r="H38" s="213">
        <v>46</v>
      </c>
      <c r="I38" s="213">
        <v>39</v>
      </c>
      <c r="J38" s="213">
        <v>20</v>
      </c>
      <c r="K38" s="213">
        <v>64</v>
      </c>
      <c r="L38" s="213">
        <v>33</v>
      </c>
      <c r="M38" s="213">
        <v>58</v>
      </c>
      <c r="N38" s="213">
        <v>90</v>
      </c>
      <c r="O38" s="213">
        <v>76</v>
      </c>
      <c r="P38" s="213">
        <v>78</v>
      </c>
      <c r="Q38" s="213">
        <v>62</v>
      </c>
      <c r="R38" s="213">
        <v>0</v>
      </c>
      <c r="S38" s="213">
        <v>0</v>
      </c>
      <c r="T38" s="213">
        <v>0</v>
      </c>
      <c r="U38" s="213">
        <v>0</v>
      </c>
      <c r="V38" s="213">
        <v>0</v>
      </c>
      <c r="W38" s="213">
        <v>0</v>
      </c>
      <c r="X38" s="213">
        <v>0</v>
      </c>
      <c r="Y38" s="213">
        <v>0</v>
      </c>
      <c r="Z38" s="213">
        <v>0</v>
      </c>
      <c r="AA38" s="213">
        <v>5</v>
      </c>
      <c r="AB38" s="213">
        <v>0</v>
      </c>
      <c r="AC38" s="213">
        <v>0</v>
      </c>
      <c r="AD38" s="213">
        <v>0</v>
      </c>
      <c r="AE38" s="213">
        <v>0</v>
      </c>
      <c r="AF38" s="213">
        <v>0</v>
      </c>
      <c r="AG38" s="213">
        <v>0</v>
      </c>
      <c r="AH38" s="213" t="s">
        <v>750</v>
      </c>
      <c r="AI38" s="199" t="s">
        <v>750</v>
      </c>
    </row>
    <row r="39" spans="1:54" x14ac:dyDescent="0.3">
      <c r="A39" s="213" t="s">
        <v>775</v>
      </c>
      <c r="B39" s="213">
        <v>49</v>
      </c>
      <c r="C39" s="213">
        <v>52</v>
      </c>
      <c r="D39" s="213">
        <v>52</v>
      </c>
      <c r="E39" s="213">
        <v>30</v>
      </c>
      <c r="F39" s="213">
        <v>36</v>
      </c>
      <c r="G39" s="213">
        <v>22</v>
      </c>
      <c r="H39" s="213">
        <v>10</v>
      </c>
      <c r="I39" s="213">
        <v>10</v>
      </c>
      <c r="J39" s="213">
        <v>10</v>
      </c>
      <c r="K39" s="213">
        <v>10</v>
      </c>
      <c r="L39" s="213">
        <v>6</v>
      </c>
      <c r="M39" s="213">
        <v>6</v>
      </c>
      <c r="N39" s="213">
        <v>3</v>
      </c>
      <c r="O39" s="213">
        <v>0</v>
      </c>
      <c r="P39" s="213">
        <v>0</v>
      </c>
      <c r="Q39" s="213">
        <v>0</v>
      </c>
      <c r="R39" s="213">
        <v>0</v>
      </c>
      <c r="S39" s="213">
        <v>0</v>
      </c>
      <c r="T39" s="213">
        <v>0</v>
      </c>
      <c r="U39" s="213">
        <v>0</v>
      </c>
      <c r="V39" s="213">
        <v>0</v>
      </c>
      <c r="W39" s="213">
        <v>0</v>
      </c>
      <c r="X39" s="213">
        <v>0</v>
      </c>
      <c r="Y39" s="213">
        <v>0</v>
      </c>
      <c r="Z39" s="213">
        <v>0</v>
      </c>
      <c r="AA39" s="213">
        <v>0</v>
      </c>
      <c r="AB39" s="213">
        <v>0</v>
      </c>
      <c r="AC39" s="213">
        <v>0</v>
      </c>
      <c r="AD39" s="213">
        <v>0</v>
      </c>
      <c r="AE39" s="213">
        <v>0</v>
      </c>
      <c r="AF39" s="213">
        <v>0</v>
      </c>
      <c r="AG39" s="213">
        <v>0</v>
      </c>
      <c r="AH39" s="213" t="s">
        <v>750</v>
      </c>
      <c r="AI39" s="199" t="s">
        <v>750</v>
      </c>
    </row>
    <row r="40" spans="1:54" x14ac:dyDescent="0.3">
      <c r="A40" s="213" t="s">
        <v>776</v>
      </c>
      <c r="B40" s="213">
        <v>0</v>
      </c>
      <c r="C40" s="213">
        <v>0</v>
      </c>
      <c r="D40" s="213">
        <v>0</v>
      </c>
      <c r="E40" s="213">
        <v>22</v>
      </c>
      <c r="F40" s="213">
        <v>26</v>
      </c>
      <c r="G40" s="213">
        <v>30</v>
      </c>
      <c r="H40" s="213">
        <v>33</v>
      </c>
      <c r="I40" s="213">
        <v>21</v>
      </c>
      <c r="J40" s="213">
        <v>21</v>
      </c>
      <c r="K40" s="213">
        <v>21</v>
      </c>
      <c r="L40" s="213">
        <v>21</v>
      </c>
      <c r="M40" s="213">
        <v>0</v>
      </c>
      <c r="N40" s="213">
        <v>0</v>
      </c>
      <c r="O40" s="213">
        <v>0</v>
      </c>
      <c r="P40" s="213">
        <v>0</v>
      </c>
      <c r="Q40" s="213">
        <v>0</v>
      </c>
      <c r="R40" s="213">
        <v>0</v>
      </c>
      <c r="S40" s="213">
        <v>0</v>
      </c>
      <c r="T40" s="213">
        <v>0</v>
      </c>
      <c r="U40" s="213">
        <v>0</v>
      </c>
      <c r="V40" s="213">
        <v>0</v>
      </c>
      <c r="W40" s="213">
        <v>0</v>
      </c>
      <c r="X40" s="213">
        <v>0</v>
      </c>
      <c r="Y40" s="213">
        <v>0</v>
      </c>
      <c r="Z40" s="213">
        <v>0</v>
      </c>
      <c r="AA40" s="213">
        <v>0</v>
      </c>
      <c r="AB40" s="213">
        <v>0</v>
      </c>
      <c r="AC40" s="213">
        <v>0</v>
      </c>
      <c r="AD40" s="213">
        <v>0</v>
      </c>
      <c r="AE40" s="213">
        <v>0</v>
      </c>
      <c r="AF40" s="213">
        <v>0</v>
      </c>
      <c r="AG40" s="213">
        <v>0</v>
      </c>
      <c r="AH40" s="213" t="s">
        <v>750</v>
      </c>
      <c r="AI40" s="199" t="s">
        <v>750</v>
      </c>
      <c r="AJ40" s="209"/>
      <c r="AK40" s="209"/>
      <c r="AL40" s="209"/>
      <c r="AM40" s="209"/>
      <c r="AN40" s="209"/>
      <c r="AO40" s="209"/>
      <c r="AP40" s="209"/>
      <c r="AQ40" s="209"/>
      <c r="AR40" s="209"/>
      <c r="AS40" s="209"/>
      <c r="AT40" s="209"/>
      <c r="AU40" s="209"/>
      <c r="AV40" s="209"/>
      <c r="AW40" s="209"/>
      <c r="AX40" s="209"/>
      <c r="AY40" s="209"/>
      <c r="AZ40" s="209"/>
    </row>
    <row r="41" spans="1:54" ht="16.2" thickBot="1" x14ac:dyDescent="0.35">
      <c r="A41" s="214" t="s">
        <v>777</v>
      </c>
      <c r="B41" s="214">
        <v>0</v>
      </c>
      <c r="C41" s="214">
        <v>0</v>
      </c>
      <c r="D41" s="214">
        <v>0</v>
      </c>
      <c r="E41" s="214">
        <v>0</v>
      </c>
      <c r="F41" s="214">
        <v>0</v>
      </c>
      <c r="G41" s="214">
        <v>0</v>
      </c>
      <c r="H41" s="214">
        <v>0</v>
      </c>
      <c r="I41" s="214">
        <v>0</v>
      </c>
      <c r="J41" s="214">
        <v>0</v>
      </c>
      <c r="K41" s="214">
        <v>0</v>
      </c>
      <c r="L41" s="214">
        <v>0</v>
      </c>
      <c r="M41" s="214">
        <v>0</v>
      </c>
      <c r="N41" s="214">
        <v>0</v>
      </c>
      <c r="O41" s="214">
        <v>0</v>
      </c>
      <c r="P41" s="214">
        <v>0</v>
      </c>
      <c r="Q41" s="214">
        <v>0</v>
      </c>
      <c r="R41" s="214">
        <v>0</v>
      </c>
      <c r="S41" s="214">
        <v>0</v>
      </c>
      <c r="T41" s="214">
        <v>0</v>
      </c>
      <c r="U41" s="214">
        <v>0</v>
      </c>
      <c r="V41" s="214">
        <v>0</v>
      </c>
      <c r="W41" s="214">
        <v>0</v>
      </c>
      <c r="X41" s="214">
        <v>0</v>
      </c>
      <c r="Y41" s="214">
        <v>0</v>
      </c>
      <c r="Z41" s="214">
        <v>0</v>
      </c>
      <c r="AA41" s="214">
        <v>0</v>
      </c>
      <c r="AB41" s="214">
        <v>0</v>
      </c>
      <c r="AC41" s="214">
        <v>0</v>
      </c>
      <c r="AD41" s="214">
        <v>0</v>
      </c>
      <c r="AE41" s="214">
        <v>0</v>
      </c>
      <c r="AF41" s="214">
        <v>0</v>
      </c>
      <c r="AG41" s="214">
        <v>0</v>
      </c>
      <c r="AH41" s="214" t="s">
        <v>750</v>
      </c>
      <c r="AI41" s="203" t="s">
        <v>750</v>
      </c>
    </row>
    <row r="42" spans="1:54" x14ac:dyDescent="0.3">
      <c r="A42" s="215" t="s">
        <v>1</v>
      </c>
      <c r="B42" s="215">
        <v>87</v>
      </c>
      <c r="C42" s="215">
        <v>106</v>
      </c>
      <c r="D42" s="215">
        <v>98</v>
      </c>
      <c r="E42" s="215">
        <v>82</v>
      </c>
      <c r="F42" s="215">
        <v>69</v>
      </c>
      <c r="G42" s="215">
        <v>65</v>
      </c>
      <c r="H42" s="215">
        <v>89</v>
      </c>
      <c r="I42" s="215">
        <v>70</v>
      </c>
      <c r="J42" s="215">
        <v>51</v>
      </c>
      <c r="K42" s="215">
        <v>95</v>
      </c>
      <c r="L42" s="215">
        <v>60</v>
      </c>
      <c r="M42" s="215">
        <v>64</v>
      </c>
      <c r="N42" s="215">
        <v>93</v>
      </c>
      <c r="O42" s="215">
        <v>76</v>
      </c>
      <c r="P42" s="215">
        <v>78</v>
      </c>
      <c r="Q42" s="215">
        <v>62</v>
      </c>
      <c r="R42" s="215">
        <v>0</v>
      </c>
      <c r="S42" s="215">
        <v>0</v>
      </c>
      <c r="T42" s="215">
        <v>0</v>
      </c>
      <c r="U42" s="215">
        <v>0</v>
      </c>
      <c r="V42" s="215">
        <v>0</v>
      </c>
      <c r="W42" s="215">
        <v>0</v>
      </c>
      <c r="X42" s="215">
        <v>0</v>
      </c>
      <c r="Y42" s="215">
        <v>0</v>
      </c>
      <c r="Z42" s="215">
        <v>0</v>
      </c>
      <c r="AA42" s="215">
        <v>5</v>
      </c>
      <c r="AB42" s="215">
        <v>0</v>
      </c>
      <c r="AC42" s="215">
        <v>0</v>
      </c>
      <c r="AD42" s="215">
        <v>0</v>
      </c>
      <c r="AE42" s="215">
        <v>0</v>
      </c>
      <c r="AF42" s="215">
        <v>0</v>
      </c>
      <c r="AG42" s="215">
        <v>0</v>
      </c>
      <c r="AH42" s="215" t="s">
        <v>750</v>
      </c>
      <c r="AI42" s="207" t="s">
        <v>750</v>
      </c>
    </row>
    <row r="43" spans="1:54" x14ac:dyDescent="0.3">
      <c r="A43" s="210" t="s">
        <v>1</v>
      </c>
      <c r="B43" s="211"/>
      <c r="C43" s="211"/>
      <c r="D43" s="211"/>
      <c r="E43" s="211"/>
      <c r="F43" s="211"/>
      <c r="G43" s="211"/>
      <c r="H43" s="211"/>
      <c r="I43" s="211"/>
      <c r="J43" s="211"/>
      <c r="K43" s="211"/>
      <c r="L43" s="211"/>
      <c r="M43" s="211"/>
      <c r="N43" s="211"/>
      <c r="O43" s="211"/>
      <c r="P43" s="211"/>
      <c r="Q43" s="211"/>
      <c r="R43" s="211"/>
      <c r="S43" s="211"/>
      <c r="T43" s="211"/>
      <c r="U43" s="211"/>
      <c r="V43" s="211"/>
      <c r="W43" s="211"/>
      <c r="X43" s="211"/>
      <c r="Y43" s="211"/>
      <c r="Z43" s="211"/>
      <c r="AA43" s="211"/>
      <c r="AB43" s="211"/>
      <c r="AC43" s="211"/>
      <c r="AD43" s="211"/>
      <c r="AE43" s="211"/>
      <c r="AF43" s="211"/>
      <c r="AG43" s="211"/>
      <c r="AH43" s="211"/>
      <c r="AI43" s="212"/>
    </row>
    <row r="44" spans="1:54" x14ac:dyDescent="0.3">
      <c r="A44" s="213" t="s">
        <v>774</v>
      </c>
      <c r="B44" s="213">
        <f t="shared" ref="B44:AI47" si="2">SUM(B20,B26,B32,B38)</f>
        <v>14505</v>
      </c>
      <c r="C44" s="213">
        <f t="shared" si="2"/>
        <v>13712</v>
      </c>
      <c r="D44" s="213">
        <f t="shared" si="2"/>
        <v>13213</v>
      </c>
      <c r="E44" s="213">
        <f t="shared" si="2"/>
        <v>12747</v>
      </c>
      <c r="F44" s="213">
        <f t="shared" si="2"/>
        <v>11954</v>
      </c>
      <c r="G44" s="213">
        <f t="shared" si="2"/>
        <v>12286</v>
      </c>
      <c r="H44" s="213">
        <f>SUM(H20,H26,H32,H38)</f>
        <v>12092</v>
      </c>
      <c r="I44" s="213">
        <f t="shared" si="2"/>
        <v>11232</v>
      </c>
      <c r="J44" s="213">
        <f t="shared" si="2"/>
        <v>11027</v>
      </c>
      <c r="K44" s="213">
        <f t="shared" si="2"/>
        <v>11457</v>
      </c>
      <c r="L44" s="213">
        <f t="shared" si="2"/>
        <v>11561</v>
      </c>
      <c r="M44" s="213">
        <f t="shared" si="2"/>
        <v>11418</v>
      </c>
      <c r="N44" s="213">
        <f t="shared" si="2"/>
        <v>10724</v>
      </c>
      <c r="O44" s="213">
        <f t="shared" si="2"/>
        <v>10978</v>
      </c>
      <c r="P44" s="213">
        <f t="shared" si="2"/>
        <v>10404</v>
      </c>
      <c r="Q44" s="213">
        <f t="shared" si="2"/>
        <v>10419</v>
      </c>
      <c r="R44" s="213">
        <f t="shared" si="2"/>
        <v>11715</v>
      </c>
      <c r="S44" s="213">
        <f t="shared" si="2"/>
        <v>12278</v>
      </c>
      <c r="T44" s="213">
        <f t="shared" si="2"/>
        <v>13390</v>
      </c>
      <c r="U44" s="213">
        <f t="shared" si="2"/>
        <v>15428</v>
      </c>
      <c r="V44" s="213">
        <f t="shared" si="2"/>
        <v>19339</v>
      </c>
      <c r="W44" s="213">
        <f t="shared" si="2"/>
        <v>22340</v>
      </c>
      <c r="X44" s="213">
        <f t="shared" si="2"/>
        <v>25016</v>
      </c>
      <c r="Y44" s="213">
        <f t="shared" si="2"/>
        <v>25982</v>
      </c>
      <c r="Z44" s="213">
        <f t="shared" si="2"/>
        <v>26124</v>
      </c>
      <c r="AA44" s="213">
        <f t="shared" si="2"/>
        <v>24432</v>
      </c>
      <c r="AB44" s="213">
        <f t="shared" si="2"/>
        <v>24808</v>
      </c>
      <c r="AC44" s="213">
        <f t="shared" si="2"/>
        <v>22935</v>
      </c>
      <c r="AD44" s="213">
        <f t="shared" si="2"/>
        <v>21236</v>
      </c>
      <c r="AE44" s="213">
        <f t="shared" si="2"/>
        <v>20892</v>
      </c>
      <c r="AF44" s="213">
        <f t="shared" si="2"/>
        <v>22468</v>
      </c>
      <c r="AG44" s="213">
        <f t="shared" si="2"/>
        <v>23414</v>
      </c>
      <c r="AH44" s="213">
        <f t="shared" si="2"/>
        <v>24479</v>
      </c>
      <c r="AI44" s="213">
        <f t="shared" si="2"/>
        <v>22899</v>
      </c>
    </row>
    <row r="45" spans="1:54" x14ac:dyDescent="0.3">
      <c r="A45" s="213" t="s">
        <v>775</v>
      </c>
      <c r="B45" s="213">
        <f t="shared" si="2"/>
        <v>5219</v>
      </c>
      <c r="C45" s="213">
        <f t="shared" si="2"/>
        <v>5107</v>
      </c>
      <c r="D45" s="213">
        <f t="shared" si="2"/>
        <v>5155</v>
      </c>
      <c r="E45" s="213">
        <f t="shared" si="2"/>
        <v>5030</v>
      </c>
      <c r="F45" s="213">
        <f t="shared" si="2"/>
        <v>5051</v>
      </c>
      <c r="G45" s="213">
        <f t="shared" si="2"/>
        <v>4388</v>
      </c>
      <c r="H45" s="213">
        <f t="shared" si="2"/>
        <v>3706</v>
      </c>
      <c r="I45" s="213">
        <f t="shared" si="2"/>
        <v>2940</v>
      </c>
      <c r="J45" s="213">
        <f t="shared" si="2"/>
        <v>2537</v>
      </c>
      <c r="K45" s="213">
        <f t="shared" si="2"/>
        <v>2276</v>
      </c>
      <c r="L45" s="213">
        <f t="shared" si="2"/>
        <v>1985</v>
      </c>
      <c r="M45" s="213">
        <f t="shared" si="2"/>
        <v>1796</v>
      </c>
      <c r="N45" s="213">
        <f t="shared" si="2"/>
        <v>1617</v>
      </c>
      <c r="O45" s="213">
        <f t="shared" si="2"/>
        <v>1494</v>
      </c>
      <c r="P45" s="213">
        <f t="shared" si="2"/>
        <v>1384</v>
      </c>
      <c r="Q45" s="213">
        <f t="shared" si="2"/>
        <v>1288</v>
      </c>
      <c r="R45" s="213">
        <f t="shared" si="2"/>
        <v>1147</v>
      </c>
      <c r="S45" s="213">
        <f t="shared" si="2"/>
        <v>996</v>
      </c>
      <c r="T45" s="213">
        <f t="shared" si="2"/>
        <v>942</v>
      </c>
      <c r="U45" s="213">
        <f t="shared" si="2"/>
        <v>894</v>
      </c>
      <c r="V45" s="213">
        <f t="shared" si="2"/>
        <v>869</v>
      </c>
      <c r="W45" s="213">
        <f t="shared" si="2"/>
        <v>874</v>
      </c>
      <c r="X45" s="213">
        <f t="shared" si="2"/>
        <v>896</v>
      </c>
      <c r="Y45" s="213">
        <f t="shared" si="2"/>
        <v>876</v>
      </c>
      <c r="Z45" s="213">
        <f t="shared" si="2"/>
        <v>822</v>
      </c>
      <c r="AA45" s="213">
        <f t="shared" si="2"/>
        <v>761</v>
      </c>
      <c r="AB45" s="213">
        <f t="shared" si="2"/>
        <v>709</v>
      </c>
      <c r="AC45" s="213">
        <f t="shared" si="2"/>
        <v>693</v>
      </c>
      <c r="AD45" s="213">
        <f t="shared" si="2"/>
        <v>711</v>
      </c>
      <c r="AE45" s="213">
        <f t="shared" si="2"/>
        <v>703</v>
      </c>
      <c r="AF45" s="213">
        <f t="shared" si="2"/>
        <v>423</v>
      </c>
      <c r="AG45" s="213">
        <f t="shared" si="2"/>
        <v>450</v>
      </c>
      <c r="AH45" s="213">
        <f t="shared" si="2"/>
        <v>466</v>
      </c>
      <c r="AI45" s="213">
        <f t="shared" si="2"/>
        <v>494</v>
      </c>
    </row>
    <row r="46" spans="1:54" x14ac:dyDescent="0.3">
      <c r="A46" s="213" t="s">
        <v>776</v>
      </c>
      <c r="B46" s="213">
        <f t="shared" si="2"/>
        <v>2553</v>
      </c>
      <c r="C46" s="213">
        <f t="shared" si="2"/>
        <v>2676</v>
      </c>
      <c r="D46" s="213">
        <f t="shared" si="2"/>
        <v>2701</v>
      </c>
      <c r="E46" s="213">
        <f t="shared" si="2"/>
        <v>2836</v>
      </c>
      <c r="F46" s="213">
        <f t="shared" si="2"/>
        <v>2885</v>
      </c>
      <c r="G46" s="213">
        <f t="shared" si="2"/>
        <v>2869</v>
      </c>
      <c r="H46" s="213">
        <f t="shared" si="2"/>
        <v>2845</v>
      </c>
      <c r="I46" s="213">
        <f t="shared" si="2"/>
        <v>2749</v>
      </c>
      <c r="J46" s="213">
        <f t="shared" si="2"/>
        <v>2665</v>
      </c>
      <c r="K46" s="213">
        <f t="shared" si="2"/>
        <v>2599</v>
      </c>
      <c r="L46" s="213">
        <f t="shared" si="2"/>
        <v>2395</v>
      </c>
      <c r="M46" s="213">
        <f t="shared" si="2"/>
        <v>2235</v>
      </c>
      <c r="N46" s="213">
        <f t="shared" si="2"/>
        <v>2131</v>
      </c>
      <c r="O46" s="213">
        <f t="shared" si="2"/>
        <v>2049</v>
      </c>
      <c r="P46" s="213">
        <f t="shared" si="2"/>
        <v>1925</v>
      </c>
      <c r="Q46" s="213">
        <f t="shared" si="2"/>
        <v>1892</v>
      </c>
      <c r="R46" s="213">
        <f t="shared" si="2"/>
        <v>1590</v>
      </c>
      <c r="S46" s="213">
        <f t="shared" si="2"/>
        <v>1019</v>
      </c>
      <c r="T46" s="213">
        <f t="shared" si="2"/>
        <v>788</v>
      </c>
      <c r="U46" s="213">
        <f t="shared" si="2"/>
        <v>676</v>
      </c>
      <c r="V46" s="213">
        <f t="shared" si="2"/>
        <v>637</v>
      </c>
      <c r="W46" s="213">
        <f t="shared" si="2"/>
        <v>568</v>
      </c>
      <c r="X46" s="213">
        <f t="shared" si="2"/>
        <v>534</v>
      </c>
      <c r="Y46" s="213">
        <f t="shared" si="2"/>
        <v>498</v>
      </c>
      <c r="Z46" s="213">
        <f t="shared" si="2"/>
        <v>469</v>
      </c>
      <c r="AA46" s="213">
        <f t="shared" si="2"/>
        <v>459</v>
      </c>
      <c r="AB46" s="213">
        <f t="shared" si="2"/>
        <v>449</v>
      </c>
      <c r="AC46" s="213">
        <f t="shared" si="2"/>
        <v>440</v>
      </c>
      <c r="AD46" s="213">
        <f t="shared" si="2"/>
        <v>438</v>
      </c>
      <c r="AE46" s="213">
        <f t="shared" si="2"/>
        <v>422</v>
      </c>
      <c r="AF46" s="213">
        <f t="shared" si="2"/>
        <v>250</v>
      </c>
      <c r="AG46" s="213">
        <f t="shared" si="2"/>
        <v>245</v>
      </c>
      <c r="AH46" s="213">
        <f t="shared" si="2"/>
        <v>236</v>
      </c>
      <c r="AI46" s="213">
        <f t="shared" si="2"/>
        <v>240</v>
      </c>
    </row>
    <row r="47" spans="1:54" ht="16.2" thickBot="1" x14ac:dyDescent="0.35">
      <c r="A47" s="214" t="s">
        <v>777</v>
      </c>
      <c r="B47" s="214">
        <f t="shared" si="2"/>
        <v>433</v>
      </c>
      <c r="C47" s="214">
        <f t="shared" si="2"/>
        <v>446</v>
      </c>
      <c r="D47" s="214">
        <f t="shared" si="2"/>
        <v>444</v>
      </c>
      <c r="E47" s="214">
        <f t="shared" si="2"/>
        <v>470</v>
      </c>
      <c r="F47" s="214">
        <f t="shared" si="2"/>
        <v>448</v>
      </c>
      <c r="G47" s="214">
        <f t="shared" si="2"/>
        <v>443</v>
      </c>
      <c r="H47" s="214">
        <f t="shared" si="2"/>
        <v>452</v>
      </c>
      <c r="I47" s="214">
        <f t="shared" si="2"/>
        <v>432</v>
      </c>
      <c r="J47" s="214">
        <f t="shared" si="2"/>
        <v>412</v>
      </c>
      <c r="K47" s="214">
        <f t="shared" si="2"/>
        <v>387</v>
      </c>
      <c r="L47" s="214">
        <f t="shared" si="2"/>
        <v>370</v>
      </c>
      <c r="M47" s="214">
        <f t="shared" si="2"/>
        <v>370</v>
      </c>
      <c r="N47" s="214">
        <f t="shared" si="2"/>
        <v>371</v>
      </c>
      <c r="O47" s="214">
        <f t="shared" si="2"/>
        <v>361</v>
      </c>
      <c r="P47" s="214">
        <f t="shared" si="2"/>
        <v>353</v>
      </c>
      <c r="Q47" s="214">
        <f t="shared" si="2"/>
        <v>340</v>
      </c>
      <c r="R47" s="214">
        <f t="shared" si="2"/>
        <v>322</v>
      </c>
      <c r="S47" s="214">
        <f t="shared" si="2"/>
        <v>267</v>
      </c>
      <c r="T47" s="214">
        <f t="shared" si="2"/>
        <v>229</v>
      </c>
      <c r="U47" s="214">
        <f t="shared" si="2"/>
        <v>215</v>
      </c>
      <c r="V47" s="214">
        <f t="shared" si="2"/>
        <v>206</v>
      </c>
      <c r="W47" s="214">
        <f t="shared" si="2"/>
        <v>212</v>
      </c>
      <c r="X47" s="214">
        <f t="shared" si="2"/>
        <v>210</v>
      </c>
      <c r="Y47" s="214">
        <f t="shared" si="2"/>
        <v>207</v>
      </c>
      <c r="Z47" s="214">
        <f t="shared" si="2"/>
        <v>201</v>
      </c>
      <c r="AA47" s="214">
        <f t="shared" si="2"/>
        <v>200</v>
      </c>
      <c r="AB47" s="214">
        <f t="shared" si="2"/>
        <v>196</v>
      </c>
      <c r="AC47" s="214">
        <f t="shared" si="2"/>
        <v>193</v>
      </c>
      <c r="AD47" s="214">
        <f t="shared" si="2"/>
        <v>192</v>
      </c>
      <c r="AE47" s="214">
        <f t="shared" si="2"/>
        <v>203</v>
      </c>
      <c r="AF47" s="214">
        <f t="shared" si="2"/>
        <v>95</v>
      </c>
      <c r="AG47" s="214">
        <f t="shared" si="2"/>
        <v>96</v>
      </c>
      <c r="AH47" s="214">
        <f t="shared" si="2"/>
        <v>97</v>
      </c>
      <c r="AI47" s="214">
        <f t="shared" si="2"/>
        <v>99</v>
      </c>
    </row>
    <row r="48" spans="1:54" x14ac:dyDescent="0.3">
      <c r="A48" s="215" t="s">
        <v>1</v>
      </c>
      <c r="B48" s="215">
        <f t="shared" ref="B48:N48" si="3">SUM(B44:B47)</f>
        <v>22710</v>
      </c>
      <c r="C48" s="215">
        <f t="shared" si="3"/>
        <v>21941</v>
      </c>
      <c r="D48" s="215">
        <f t="shared" si="3"/>
        <v>21513</v>
      </c>
      <c r="E48" s="215">
        <f t="shared" si="3"/>
        <v>21083</v>
      </c>
      <c r="F48" s="215">
        <f t="shared" si="3"/>
        <v>20338</v>
      </c>
      <c r="G48" s="215">
        <f t="shared" si="3"/>
        <v>19986</v>
      </c>
      <c r="H48" s="215">
        <f t="shared" si="3"/>
        <v>19095</v>
      </c>
      <c r="I48" s="215">
        <f t="shared" si="3"/>
        <v>17353</v>
      </c>
      <c r="J48" s="215">
        <f t="shared" si="3"/>
        <v>16641</v>
      </c>
      <c r="K48" s="215">
        <f t="shared" si="3"/>
        <v>16719</v>
      </c>
      <c r="L48" s="215">
        <f t="shared" si="3"/>
        <v>16311</v>
      </c>
      <c r="M48" s="215">
        <f t="shared" si="3"/>
        <v>15819</v>
      </c>
      <c r="N48" s="215">
        <f t="shared" si="3"/>
        <v>14843</v>
      </c>
      <c r="O48" s="215">
        <f t="shared" ref="O48:AI48" si="4">SUM(O44:O47)</f>
        <v>14882</v>
      </c>
      <c r="P48" s="215">
        <f t="shared" si="4"/>
        <v>14066</v>
      </c>
      <c r="Q48" s="215">
        <f t="shared" si="4"/>
        <v>13939</v>
      </c>
      <c r="R48" s="215">
        <f t="shared" si="4"/>
        <v>14774</v>
      </c>
      <c r="S48" s="215">
        <f t="shared" si="4"/>
        <v>14560</v>
      </c>
      <c r="T48" s="215">
        <f t="shared" si="4"/>
        <v>15349</v>
      </c>
      <c r="U48" s="215">
        <f t="shared" si="4"/>
        <v>17213</v>
      </c>
      <c r="V48" s="215">
        <f t="shared" si="4"/>
        <v>21051</v>
      </c>
      <c r="W48" s="215">
        <f t="shared" si="4"/>
        <v>23994</v>
      </c>
      <c r="X48" s="215">
        <f t="shared" si="4"/>
        <v>26656</v>
      </c>
      <c r="Y48" s="215">
        <f t="shared" si="4"/>
        <v>27563</v>
      </c>
      <c r="Z48" s="215">
        <f t="shared" si="4"/>
        <v>27616</v>
      </c>
      <c r="AA48" s="215">
        <f t="shared" si="4"/>
        <v>25852</v>
      </c>
      <c r="AB48" s="215">
        <f t="shared" si="4"/>
        <v>26162</v>
      </c>
      <c r="AC48" s="215">
        <f t="shared" si="4"/>
        <v>24261</v>
      </c>
      <c r="AD48" s="215">
        <f t="shared" si="4"/>
        <v>22577</v>
      </c>
      <c r="AE48" s="215">
        <f t="shared" si="4"/>
        <v>22220</v>
      </c>
      <c r="AF48" s="215">
        <f t="shared" si="4"/>
        <v>23236</v>
      </c>
      <c r="AG48" s="215">
        <f t="shared" si="4"/>
        <v>24205</v>
      </c>
      <c r="AH48" s="215">
        <f t="shared" si="4"/>
        <v>25278</v>
      </c>
      <c r="AI48" s="215">
        <f t="shared" si="4"/>
        <v>23732</v>
      </c>
    </row>
    <row r="49" spans="2:31" x14ac:dyDescent="0.3">
      <c r="B49" s="209"/>
      <c r="C49" s="209"/>
      <c r="D49" s="209"/>
      <c r="E49" s="209"/>
      <c r="F49" s="209"/>
      <c r="G49" s="209"/>
      <c r="H49" s="209"/>
      <c r="I49" s="209"/>
      <c r="J49" s="209"/>
      <c r="K49" s="209"/>
      <c r="L49" s="209"/>
      <c r="M49" s="209"/>
    </row>
    <row r="50" spans="2:31" x14ac:dyDescent="0.3">
      <c r="N50" s="209"/>
      <c r="O50" s="209"/>
      <c r="P50" s="209"/>
      <c r="Q50" s="209"/>
      <c r="R50" s="209"/>
      <c r="S50" s="209"/>
      <c r="T50" s="209"/>
      <c r="U50" s="209"/>
      <c r="V50" s="209"/>
      <c r="W50" s="209"/>
      <c r="X50" s="209"/>
      <c r="Y50" s="209"/>
      <c r="Z50" s="209"/>
      <c r="AA50" s="209"/>
      <c r="AB50" s="209"/>
      <c r="AC50" s="209"/>
      <c r="AD50" s="209"/>
      <c r="AE50" s="193"/>
    </row>
    <row r="52" spans="2:31" x14ac:dyDescent="0.3">
      <c r="N52" s="209"/>
      <c r="O52" s="209"/>
      <c r="P52" s="209"/>
      <c r="Q52" s="209"/>
      <c r="R52" s="209"/>
      <c r="S52" s="209"/>
      <c r="T52" s="209"/>
      <c r="U52" s="209"/>
      <c r="V52" s="209"/>
      <c r="W52" s="209"/>
      <c r="X52" s="209"/>
      <c r="Y52" s="209"/>
      <c r="Z52" s="209"/>
      <c r="AA52" s="209"/>
      <c r="AB52" s="209"/>
      <c r="AC52" s="209"/>
      <c r="AD52" s="209"/>
      <c r="AE52" s="209"/>
    </row>
    <row r="53" spans="2:31" x14ac:dyDescent="0.3">
      <c r="N53" s="209"/>
      <c r="O53" s="209"/>
      <c r="P53" s="209"/>
      <c r="Q53" s="209"/>
      <c r="R53" s="209"/>
      <c r="S53" s="209"/>
    </row>
    <row r="54" spans="2:31" x14ac:dyDescent="0.3">
      <c r="N54" s="209"/>
      <c r="O54" s="209"/>
      <c r="P54" s="209"/>
      <c r="Q54" s="209"/>
      <c r="R54" s="209"/>
      <c r="S54" s="209"/>
      <c r="T54" s="209"/>
    </row>
    <row r="56" spans="2:31" x14ac:dyDescent="0.3">
      <c r="N56" s="209"/>
      <c r="O56" s="209"/>
      <c r="P56" s="209"/>
      <c r="Q56" s="209"/>
      <c r="R56" s="209"/>
      <c r="S56" s="209"/>
      <c r="T56" s="209"/>
      <c r="U56" s="209"/>
      <c r="V56" s="209"/>
      <c r="W56" s="209"/>
      <c r="X56" s="209"/>
      <c r="Y56" s="209"/>
      <c r="Z56" s="209"/>
      <c r="AA56" s="209"/>
      <c r="AB56" s="209"/>
      <c r="AC56" s="209"/>
      <c r="AD56" s="209"/>
      <c r="AE56" s="209"/>
    </row>
  </sheetData>
  <mergeCells count="36">
    <mergeCell ref="AH17:AI17"/>
    <mergeCell ref="L17:M17"/>
    <mergeCell ref="N17:O17"/>
    <mergeCell ref="P17:Q17"/>
    <mergeCell ref="R17:S17"/>
    <mergeCell ref="T17:U17"/>
    <mergeCell ref="V17:W17"/>
    <mergeCell ref="X17:Y17"/>
    <mergeCell ref="Z17:AA17"/>
    <mergeCell ref="AB17:AC17"/>
    <mergeCell ref="AD17:AE17"/>
    <mergeCell ref="AF17:AG17"/>
    <mergeCell ref="A16:A18"/>
    <mergeCell ref="B17:C17"/>
    <mergeCell ref="D17:E17"/>
    <mergeCell ref="F17:G17"/>
    <mergeCell ref="H17:I17"/>
    <mergeCell ref="J17:K17"/>
    <mergeCell ref="X5:Y5"/>
    <mergeCell ref="Z5:AA5"/>
    <mergeCell ref="AB5:AC5"/>
    <mergeCell ref="AD5:AE5"/>
    <mergeCell ref="J5:K5"/>
    <mergeCell ref="AF5:AG5"/>
    <mergeCell ref="AH5:AI5"/>
    <mergeCell ref="L5:M5"/>
    <mergeCell ref="N5:O5"/>
    <mergeCell ref="P5:Q5"/>
    <mergeCell ref="R5:S5"/>
    <mergeCell ref="T5:U5"/>
    <mergeCell ref="V5:W5"/>
    <mergeCell ref="A4:A6"/>
    <mergeCell ref="B5:C5"/>
    <mergeCell ref="D5:E5"/>
    <mergeCell ref="F5:G5"/>
    <mergeCell ref="H5:I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38"/>
  <sheetViews>
    <sheetView tabSelected="1" zoomScale="80" zoomScaleNormal="80" workbookViewId="0">
      <selection sqref="A1:D1"/>
    </sheetView>
  </sheetViews>
  <sheetFormatPr defaultColWidth="9.44140625" defaultRowHeight="15.6" x14ac:dyDescent="0.3"/>
  <cols>
    <col min="1" max="1" width="72.5546875" style="241" customWidth="1"/>
    <col min="2" max="2" width="40.5546875" style="241" customWidth="1"/>
    <col min="3" max="3" width="27.5546875" style="241" customWidth="1"/>
    <col min="4" max="4" width="10" style="241" customWidth="1"/>
    <col min="5" max="5" width="8" style="241" customWidth="1"/>
    <col min="6" max="6" width="10.44140625" style="241" customWidth="1"/>
    <col min="7" max="7" width="23.5546875" style="241" customWidth="1"/>
    <col min="8" max="8" width="14.44140625" style="241" customWidth="1"/>
    <col min="9" max="9" width="23.44140625" style="241" customWidth="1"/>
    <col min="10" max="10" width="17.5546875" style="241" customWidth="1"/>
    <col min="11" max="11" width="20" style="241" customWidth="1"/>
    <col min="12" max="12" width="11.5546875" style="241" customWidth="1"/>
    <col min="13" max="13" width="13.44140625" style="241" customWidth="1"/>
    <col min="14" max="15" width="14.5546875" style="241" customWidth="1"/>
    <col min="16" max="19" width="13.44140625" style="241" customWidth="1"/>
    <col min="20" max="21" width="12" style="241" customWidth="1"/>
    <col min="22" max="22" width="18.5546875" style="241" customWidth="1"/>
    <col min="23" max="23" width="14.5546875" style="241" customWidth="1"/>
    <col min="24" max="24" width="12.44140625" style="241" customWidth="1"/>
    <col min="25" max="25" width="22.5546875" style="241" customWidth="1"/>
    <col min="26" max="26" width="23.44140625" style="241" customWidth="1"/>
    <col min="27" max="27" width="16.5546875" style="241" customWidth="1"/>
    <col min="28" max="28" width="16.44140625" style="241" customWidth="1"/>
    <col min="29" max="29" width="20.5546875" style="241" customWidth="1"/>
    <col min="30" max="30" width="16" style="241" customWidth="1"/>
    <col min="31" max="31" width="16.44140625" style="241" customWidth="1"/>
    <col min="32" max="16384" width="9.44140625" style="240"/>
  </cols>
  <sheetData>
    <row r="1" spans="1:31" s="226" customFormat="1" x14ac:dyDescent="0.3">
      <c r="A1" s="336" t="s">
        <v>48</v>
      </c>
      <c r="B1" s="336"/>
      <c r="C1" s="336"/>
      <c r="D1" s="336"/>
      <c r="E1" s="228"/>
      <c r="F1" s="228"/>
      <c r="G1" s="228"/>
      <c r="H1" s="228"/>
      <c r="I1" s="228"/>
      <c r="J1" s="228"/>
      <c r="K1" s="228"/>
      <c r="L1" s="228"/>
      <c r="M1" s="228"/>
      <c r="N1" s="228"/>
      <c r="O1" s="228"/>
      <c r="P1" s="228"/>
      <c r="Q1" s="228"/>
      <c r="R1" s="228"/>
      <c r="S1" s="228"/>
      <c r="T1" s="228"/>
      <c r="U1" s="228"/>
      <c r="V1" s="228"/>
      <c r="W1" s="228"/>
      <c r="X1" s="228"/>
      <c r="Y1" s="228"/>
      <c r="Z1" s="228"/>
      <c r="AA1" s="228"/>
      <c r="AB1" s="228"/>
      <c r="AC1" s="228"/>
      <c r="AD1" s="228"/>
      <c r="AE1" s="228"/>
    </row>
    <row r="2" spans="1:31" s="226" customFormat="1" ht="74.25" customHeight="1" x14ac:dyDescent="0.3">
      <c r="A2" s="337" t="s">
        <v>49</v>
      </c>
      <c r="B2" s="337"/>
      <c r="C2" s="337"/>
      <c r="D2" s="337"/>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row>
    <row r="3" spans="1:31" s="226" customFormat="1" ht="48.6" customHeight="1" x14ac:dyDescent="0.3">
      <c r="A3" s="331" t="s">
        <v>633</v>
      </c>
      <c r="B3" s="331"/>
      <c r="C3" s="331"/>
      <c r="D3" s="331"/>
      <c r="E3" s="331"/>
      <c r="F3" s="331"/>
      <c r="G3" s="331"/>
      <c r="H3" s="331"/>
      <c r="I3" s="331"/>
      <c r="J3" s="331"/>
      <c r="K3" s="331"/>
      <c r="L3" s="331"/>
      <c r="M3" s="331"/>
      <c r="N3" s="331"/>
      <c r="O3" s="331"/>
      <c r="P3" s="331"/>
      <c r="Q3" s="331"/>
      <c r="R3" s="331"/>
      <c r="S3" s="331"/>
      <c r="T3" s="331"/>
      <c r="U3" s="331"/>
      <c r="V3" s="331"/>
      <c r="W3" s="331"/>
      <c r="X3" s="331"/>
      <c r="Y3" s="331"/>
      <c r="Z3" s="331"/>
      <c r="AA3" s="331"/>
      <c r="AB3" s="331"/>
      <c r="AC3" s="331"/>
      <c r="AD3" s="331"/>
      <c r="AE3" s="331"/>
    </row>
    <row r="4" spans="1:31" s="230" customFormat="1" ht="30.75" customHeight="1" thickBot="1" x14ac:dyDescent="0.35">
      <c r="A4" s="333" t="s">
        <v>635</v>
      </c>
      <c r="B4" s="333"/>
      <c r="C4" s="333"/>
      <c r="D4" s="333"/>
      <c r="E4" s="333"/>
      <c r="F4" s="333"/>
      <c r="G4" s="333"/>
      <c r="H4" s="333"/>
      <c r="I4" s="333"/>
      <c r="J4" s="333"/>
      <c r="K4" s="333"/>
      <c r="L4" s="333"/>
      <c r="M4" s="333"/>
      <c r="N4" s="333"/>
      <c r="O4" s="333"/>
      <c r="P4" s="333"/>
      <c r="Q4" s="333"/>
      <c r="R4" s="333"/>
      <c r="S4" s="333"/>
      <c r="T4" s="333"/>
      <c r="U4" s="333"/>
      <c r="V4" s="333"/>
      <c r="W4" s="229"/>
      <c r="X4" s="229"/>
      <c r="Y4" s="229"/>
      <c r="Z4" s="229"/>
    </row>
    <row r="5" spans="1:31" s="231" customFormat="1" ht="36" customHeight="1" x14ac:dyDescent="0.3">
      <c r="A5" s="242" t="s">
        <v>151</v>
      </c>
      <c r="B5" s="242"/>
      <c r="C5" s="242"/>
      <c r="D5" s="242"/>
      <c r="E5" s="242"/>
      <c r="F5" s="242"/>
      <c r="G5" s="242"/>
      <c r="H5" s="242"/>
      <c r="I5" s="242" t="s">
        <v>152</v>
      </c>
      <c r="J5" s="334" t="s">
        <v>636</v>
      </c>
      <c r="K5" s="334"/>
      <c r="L5" s="334"/>
      <c r="M5" s="334"/>
      <c r="N5" s="335" t="s">
        <v>637</v>
      </c>
      <c r="O5" s="335"/>
      <c r="P5" s="335"/>
      <c r="Q5" s="335"/>
      <c r="R5" s="332" t="s">
        <v>638</v>
      </c>
      <c r="S5" s="332"/>
      <c r="T5" s="332"/>
      <c r="U5" s="332"/>
      <c r="V5" s="243" t="s">
        <v>639</v>
      </c>
      <c r="W5" s="332" t="s">
        <v>153</v>
      </c>
      <c r="X5" s="332"/>
      <c r="Y5" s="332"/>
      <c r="Z5" s="332"/>
      <c r="AA5" s="332"/>
      <c r="AB5" s="332"/>
      <c r="AC5" s="332"/>
      <c r="AD5" s="332"/>
      <c r="AE5" s="332"/>
    </row>
    <row r="6" spans="1:31" s="231" customFormat="1" ht="20.25" customHeight="1" x14ac:dyDescent="0.3">
      <c r="A6" s="244" t="s">
        <v>807</v>
      </c>
      <c r="B6" s="245"/>
      <c r="C6" s="245"/>
      <c r="D6" s="245"/>
      <c r="E6" s="245"/>
      <c r="F6" s="245"/>
      <c r="G6" s="245"/>
      <c r="H6" s="245"/>
      <c r="I6" s="246"/>
      <c r="J6" s="245"/>
      <c r="K6" s="245"/>
      <c r="L6" s="245"/>
      <c r="M6" s="245"/>
      <c r="N6" s="245"/>
      <c r="O6" s="245"/>
      <c r="P6" s="245"/>
      <c r="Q6" s="245"/>
      <c r="R6" s="247"/>
      <c r="S6" s="247"/>
      <c r="T6" s="247"/>
      <c r="U6" s="247"/>
      <c r="V6" s="243"/>
      <c r="W6" s="247"/>
      <c r="X6" s="247"/>
      <c r="Y6" s="247"/>
      <c r="Z6" s="247"/>
      <c r="AA6" s="247"/>
      <c r="AB6" s="247"/>
      <c r="AC6" s="247"/>
      <c r="AD6" s="247"/>
      <c r="AE6" s="247"/>
    </row>
    <row r="7" spans="1:31" s="231" customFormat="1" ht="48" customHeight="1" x14ac:dyDescent="0.3">
      <c r="A7" s="9" t="s">
        <v>154</v>
      </c>
      <c r="B7" s="10" t="s">
        <v>155</v>
      </c>
      <c r="C7" s="10" t="s">
        <v>156</v>
      </c>
      <c r="D7" s="10" t="s">
        <v>157</v>
      </c>
      <c r="E7" s="11" t="s">
        <v>158</v>
      </c>
      <c r="F7" s="10" t="s">
        <v>56</v>
      </c>
      <c r="G7" s="12" t="s">
        <v>159</v>
      </c>
      <c r="H7" s="13" t="s">
        <v>92</v>
      </c>
      <c r="I7" s="14" t="s">
        <v>634</v>
      </c>
      <c r="J7" s="15" t="s">
        <v>160</v>
      </c>
      <c r="K7" s="16" t="s">
        <v>161</v>
      </c>
      <c r="L7" s="17" t="s">
        <v>162</v>
      </c>
      <c r="M7" s="20" t="s">
        <v>163</v>
      </c>
      <c r="N7" s="15" t="s">
        <v>164</v>
      </c>
      <c r="O7" s="16" t="s">
        <v>165</v>
      </c>
      <c r="P7" s="17" t="s">
        <v>166</v>
      </c>
      <c r="Q7" s="18" t="s">
        <v>167</v>
      </c>
      <c r="R7" s="15" t="s">
        <v>168</v>
      </c>
      <c r="S7" s="16" t="s">
        <v>169</v>
      </c>
      <c r="T7" s="17" t="s">
        <v>170</v>
      </c>
      <c r="U7" s="20" t="s">
        <v>171</v>
      </c>
      <c r="V7" s="15" t="s">
        <v>172</v>
      </c>
      <c r="W7" s="16" t="s">
        <v>173</v>
      </c>
      <c r="X7" s="10" t="s">
        <v>174</v>
      </c>
      <c r="Y7" s="10" t="s">
        <v>90</v>
      </c>
      <c r="Z7" s="10" t="s">
        <v>175</v>
      </c>
      <c r="AA7" s="10" t="s">
        <v>86</v>
      </c>
      <c r="AB7" s="10" t="s">
        <v>176</v>
      </c>
      <c r="AC7" s="10" t="s">
        <v>100</v>
      </c>
      <c r="AD7" s="10" t="s">
        <v>177</v>
      </c>
      <c r="AE7" s="22" t="s">
        <v>104</v>
      </c>
    </row>
    <row r="8" spans="1:31" s="231" customFormat="1" ht="12.75" customHeight="1" x14ac:dyDescent="0.3">
      <c r="A8" s="232" t="s">
        <v>18</v>
      </c>
      <c r="B8" s="233" t="s">
        <v>193</v>
      </c>
      <c r="C8" s="227" t="s">
        <v>194</v>
      </c>
      <c r="D8" s="227" t="s">
        <v>195</v>
      </c>
      <c r="E8" s="258">
        <v>78061</v>
      </c>
      <c r="F8" s="227" t="s">
        <v>196</v>
      </c>
      <c r="G8" s="227" t="s">
        <v>197</v>
      </c>
      <c r="H8" s="233" t="s">
        <v>183</v>
      </c>
      <c r="I8" s="234">
        <v>28.4720867208672</v>
      </c>
      <c r="J8" s="235">
        <v>1028.9090909090892</v>
      </c>
      <c r="K8" s="235">
        <v>48.84848484848488</v>
      </c>
      <c r="L8" s="235">
        <v>47.636363636363626</v>
      </c>
      <c r="M8" s="235">
        <v>46.878787878787897</v>
      </c>
      <c r="N8" s="235">
        <v>126.3787878787879</v>
      </c>
      <c r="O8" s="235">
        <v>1045.8939393939338</v>
      </c>
      <c r="P8" s="235">
        <v>0</v>
      </c>
      <c r="Q8" s="235">
        <v>0</v>
      </c>
      <c r="R8" s="235">
        <v>58.5</v>
      </c>
      <c r="S8" s="235">
        <v>18.666666666666668</v>
      </c>
      <c r="T8" s="235">
        <v>23.333333333333336</v>
      </c>
      <c r="U8" s="235">
        <v>1071.77272727272</v>
      </c>
      <c r="V8" s="235">
        <v>0</v>
      </c>
      <c r="W8" s="235">
        <v>1350</v>
      </c>
      <c r="X8" s="233" t="s">
        <v>184</v>
      </c>
      <c r="Y8" s="233" t="s">
        <v>677</v>
      </c>
      <c r="Z8" s="233" t="s">
        <v>186</v>
      </c>
      <c r="AA8" s="236" t="s">
        <v>679</v>
      </c>
      <c r="AB8" s="233" t="s">
        <v>184</v>
      </c>
      <c r="AC8" s="233" t="s">
        <v>185</v>
      </c>
      <c r="AD8" s="233" t="s">
        <v>186</v>
      </c>
      <c r="AE8" s="237">
        <v>43888</v>
      </c>
    </row>
    <row r="9" spans="1:31" x14ac:dyDescent="0.3">
      <c r="A9" s="232" t="s">
        <v>188</v>
      </c>
      <c r="B9" s="233" t="s">
        <v>189</v>
      </c>
      <c r="C9" s="227" t="s">
        <v>190</v>
      </c>
      <c r="D9" s="227" t="s">
        <v>191</v>
      </c>
      <c r="E9" s="258">
        <v>31815</v>
      </c>
      <c r="F9" s="227" t="s">
        <v>192</v>
      </c>
      <c r="G9" s="227" t="s">
        <v>182</v>
      </c>
      <c r="H9" s="233" t="s">
        <v>5</v>
      </c>
      <c r="I9" s="234">
        <v>38.459785522788202</v>
      </c>
      <c r="J9" s="235">
        <v>761.16666666665344</v>
      </c>
      <c r="K9" s="235">
        <v>113.39393939393921</v>
      </c>
      <c r="L9" s="235">
        <v>117.40909090909099</v>
      </c>
      <c r="M9" s="235">
        <v>168.36363636363646</v>
      </c>
      <c r="N9" s="235">
        <v>310.56060606060606</v>
      </c>
      <c r="O9" s="235">
        <v>462.74242424242635</v>
      </c>
      <c r="P9" s="235">
        <v>17.81818181818182</v>
      </c>
      <c r="Q9" s="235">
        <v>369.21212121212</v>
      </c>
      <c r="R9" s="235">
        <v>192.01515151515153</v>
      </c>
      <c r="S9" s="235">
        <v>41.227272727272712</v>
      </c>
      <c r="T9" s="235">
        <v>40</v>
      </c>
      <c r="U9" s="235">
        <v>887.090909090894</v>
      </c>
      <c r="V9" s="235">
        <v>0</v>
      </c>
      <c r="W9" s="235">
        <v>1600</v>
      </c>
      <c r="X9" s="233" t="s">
        <v>184</v>
      </c>
      <c r="Y9" s="238" t="s">
        <v>677</v>
      </c>
      <c r="Z9" s="233" t="s">
        <v>186</v>
      </c>
      <c r="AA9" s="236" t="s">
        <v>680</v>
      </c>
      <c r="AB9" s="233" t="s">
        <v>184</v>
      </c>
      <c r="AC9" s="238" t="s">
        <v>185</v>
      </c>
      <c r="AD9" s="238" t="s">
        <v>186</v>
      </c>
      <c r="AE9" s="239">
        <v>44098</v>
      </c>
    </row>
    <row r="10" spans="1:31" x14ac:dyDescent="0.3">
      <c r="A10" s="232" t="s">
        <v>202</v>
      </c>
      <c r="B10" s="233" t="s">
        <v>203</v>
      </c>
      <c r="C10" s="227" t="s">
        <v>204</v>
      </c>
      <c r="D10" s="227" t="s">
        <v>205</v>
      </c>
      <c r="E10" s="258">
        <v>71483</v>
      </c>
      <c r="F10" s="227" t="s">
        <v>206</v>
      </c>
      <c r="G10" s="227" t="s">
        <v>182</v>
      </c>
      <c r="H10" s="233" t="s">
        <v>5</v>
      </c>
      <c r="I10" s="234">
        <v>46.590780809031003</v>
      </c>
      <c r="J10" s="235">
        <v>949.66666666666094</v>
      </c>
      <c r="K10" s="235">
        <v>7.3787878787878789</v>
      </c>
      <c r="L10" s="235">
        <v>9.045454545454545</v>
      </c>
      <c r="M10" s="235">
        <v>16.090909090909086</v>
      </c>
      <c r="N10" s="235">
        <v>35.075757575757585</v>
      </c>
      <c r="O10" s="235">
        <v>947.10606060605494</v>
      </c>
      <c r="P10" s="235">
        <v>0</v>
      </c>
      <c r="Q10" s="235">
        <v>0</v>
      </c>
      <c r="R10" s="235">
        <v>19.227272727272727</v>
      </c>
      <c r="S10" s="235">
        <v>8.1060606060606073</v>
      </c>
      <c r="T10" s="235">
        <v>7.7424242424242431</v>
      </c>
      <c r="U10" s="235">
        <v>947.10606060605494</v>
      </c>
      <c r="V10" s="235">
        <v>0</v>
      </c>
      <c r="W10" s="235">
        <v>946</v>
      </c>
      <c r="X10" s="233" t="s">
        <v>184</v>
      </c>
      <c r="Y10" s="238" t="s">
        <v>677</v>
      </c>
      <c r="Z10" s="233"/>
      <c r="AA10" s="236" t="s">
        <v>681</v>
      </c>
      <c r="AB10" s="233" t="s">
        <v>184</v>
      </c>
      <c r="AC10" s="238" t="s">
        <v>677</v>
      </c>
      <c r="AD10" s="238" t="s">
        <v>186</v>
      </c>
      <c r="AE10" s="239">
        <v>44127</v>
      </c>
    </row>
    <row r="11" spans="1:31" x14ac:dyDescent="0.3">
      <c r="A11" s="232" t="s">
        <v>27</v>
      </c>
      <c r="B11" s="233" t="s">
        <v>217</v>
      </c>
      <c r="C11" s="227" t="s">
        <v>218</v>
      </c>
      <c r="D11" s="227" t="s">
        <v>219</v>
      </c>
      <c r="E11" s="258">
        <v>39120</v>
      </c>
      <c r="F11" s="227" t="s">
        <v>206</v>
      </c>
      <c r="G11" s="227" t="s">
        <v>182</v>
      </c>
      <c r="H11" s="233" t="s">
        <v>183</v>
      </c>
      <c r="I11" s="234">
        <v>25.460962566844898</v>
      </c>
      <c r="J11" s="235">
        <v>877.93939393940059</v>
      </c>
      <c r="K11" s="235">
        <v>10.560606060606059</v>
      </c>
      <c r="L11" s="235">
        <v>0.16666666666666666</v>
      </c>
      <c r="M11" s="235">
        <v>0</v>
      </c>
      <c r="N11" s="235">
        <v>5.9848484848484844</v>
      </c>
      <c r="O11" s="235">
        <v>882.21212121212682</v>
      </c>
      <c r="P11" s="235">
        <v>0</v>
      </c>
      <c r="Q11" s="235">
        <v>0.46969696969696972</v>
      </c>
      <c r="R11" s="235">
        <v>1</v>
      </c>
      <c r="S11" s="235">
        <v>0</v>
      </c>
      <c r="T11" s="235">
        <v>0.56060606060606055</v>
      </c>
      <c r="U11" s="235">
        <v>887.10606060606619</v>
      </c>
      <c r="V11" s="235">
        <v>0</v>
      </c>
      <c r="W11" s="235">
        <v>1100</v>
      </c>
      <c r="X11" s="233" t="s">
        <v>184</v>
      </c>
      <c r="Y11" s="238" t="s">
        <v>677</v>
      </c>
      <c r="Z11" s="233"/>
      <c r="AA11" s="236" t="s">
        <v>829</v>
      </c>
      <c r="AB11" s="233" t="s">
        <v>184</v>
      </c>
      <c r="AC11" s="238" t="s">
        <v>677</v>
      </c>
      <c r="AD11" s="238" t="s">
        <v>186</v>
      </c>
      <c r="AE11" s="239">
        <v>44168</v>
      </c>
    </row>
    <row r="12" spans="1:31" x14ac:dyDescent="0.3">
      <c r="A12" s="232" t="s">
        <v>292</v>
      </c>
      <c r="B12" s="233" t="s">
        <v>209</v>
      </c>
      <c r="C12" s="227" t="s">
        <v>34</v>
      </c>
      <c r="D12" s="227" t="s">
        <v>210</v>
      </c>
      <c r="E12" s="258">
        <v>85131</v>
      </c>
      <c r="F12" s="227" t="s">
        <v>211</v>
      </c>
      <c r="G12" s="227" t="s">
        <v>182</v>
      </c>
      <c r="H12" s="233" t="s">
        <v>5</v>
      </c>
      <c r="I12" s="234">
        <v>32.5482625482625</v>
      </c>
      <c r="J12" s="235">
        <v>756.46969696968245</v>
      </c>
      <c r="K12" s="235">
        <v>12.090909090909097</v>
      </c>
      <c r="L12" s="235">
        <v>26.90909090909091</v>
      </c>
      <c r="M12" s="235">
        <v>41.409090909090899</v>
      </c>
      <c r="N12" s="235">
        <v>70.045454545454561</v>
      </c>
      <c r="O12" s="235">
        <v>766.81818181816595</v>
      </c>
      <c r="P12" s="235">
        <v>0</v>
      </c>
      <c r="Q12" s="235">
        <v>1.5151515151515152E-2</v>
      </c>
      <c r="R12" s="235">
        <v>23.742424242424246</v>
      </c>
      <c r="S12" s="235">
        <v>8.5</v>
      </c>
      <c r="T12" s="235">
        <v>7.0909090909090899</v>
      </c>
      <c r="U12" s="235">
        <v>797.54545454543791</v>
      </c>
      <c r="V12" s="235">
        <v>0</v>
      </c>
      <c r="W12" s="235">
        <v>1800</v>
      </c>
      <c r="X12" s="233" t="s">
        <v>184</v>
      </c>
      <c r="Y12" s="238" t="s">
        <v>677</v>
      </c>
      <c r="Z12" s="233" t="s">
        <v>186</v>
      </c>
      <c r="AA12" s="236" t="s">
        <v>683</v>
      </c>
      <c r="AB12" s="233" t="s">
        <v>184</v>
      </c>
      <c r="AC12" s="238" t="s">
        <v>677</v>
      </c>
      <c r="AD12" s="238" t="s">
        <v>186</v>
      </c>
      <c r="AE12" s="239">
        <v>44140</v>
      </c>
    </row>
    <row r="13" spans="1:31" x14ac:dyDescent="0.3">
      <c r="A13" s="232" t="s">
        <v>15</v>
      </c>
      <c r="B13" s="233" t="s">
        <v>209</v>
      </c>
      <c r="C13" s="227" t="s">
        <v>34</v>
      </c>
      <c r="D13" s="227" t="s">
        <v>210</v>
      </c>
      <c r="E13" s="258">
        <v>85131</v>
      </c>
      <c r="F13" s="227" t="s">
        <v>211</v>
      </c>
      <c r="G13" s="227" t="s">
        <v>182</v>
      </c>
      <c r="H13" s="233" t="s">
        <v>5</v>
      </c>
      <c r="I13" s="234">
        <v>28.0509383378016</v>
      </c>
      <c r="J13" s="235">
        <v>735.25757575757541</v>
      </c>
      <c r="K13" s="235">
        <v>18.681818181818183</v>
      </c>
      <c r="L13" s="235">
        <v>10.227272727272728</v>
      </c>
      <c r="M13" s="235">
        <v>16.272727272727273</v>
      </c>
      <c r="N13" s="235">
        <v>37.545454545454554</v>
      </c>
      <c r="O13" s="235">
        <v>742.89393939393881</v>
      </c>
      <c r="P13" s="235">
        <v>0</v>
      </c>
      <c r="Q13" s="235">
        <v>0</v>
      </c>
      <c r="R13" s="235">
        <v>16.545454545454547</v>
      </c>
      <c r="S13" s="235">
        <v>4.5909090909090899</v>
      </c>
      <c r="T13" s="235">
        <v>8.9242424242424239</v>
      </c>
      <c r="U13" s="235">
        <v>750.37878787878628</v>
      </c>
      <c r="V13" s="235">
        <v>0</v>
      </c>
      <c r="W13" s="235"/>
      <c r="X13" s="233" t="s">
        <v>184</v>
      </c>
      <c r="Y13" s="238" t="s">
        <v>677</v>
      </c>
      <c r="Z13" s="233" t="s">
        <v>186</v>
      </c>
      <c r="AA13" s="236" t="s">
        <v>683</v>
      </c>
      <c r="AB13" s="233" t="s">
        <v>184</v>
      </c>
      <c r="AC13" s="238" t="s">
        <v>677</v>
      </c>
      <c r="AD13" s="238" t="s">
        <v>186</v>
      </c>
      <c r="AE13" s="239">
        <v>44140</v>
      </c>
    </row>
    <row r="14" spans="1:31" x14ac:dyDescent="0.3">
      <c r="A14" s="232" t="s">
        <v>220</v>
      </c>
      <c r="B14" s="233" t="s">
        <v>221</v>
      </c>
      <c r="C14" s="227" t="s">
        <v>222</v>
      </c>
      <c r="D14" s="227" t="s">
        <v>180</v>
      </c>
      <c r="E14" s="258">
        <v>92154</v>
      </c>
      <c r="F14" s="227" t="s">
        <v>223</v>
      </c>
      <c r="G14" s="227" t="s">
        <v>197</v>
      </c>
      <c r="H14" s="233" t="s">
        <v>183</v>
      </c>
      <c r="I14" s="234">
        <v>73.059445178335494</v>
      </c>
      <c r="J14" s="235">
        <v>658.89393939394188</v>
      </c>
      <c r="K14" s="235">
        <v>17.606060606060602</v>
      </c>
      <c r="L14" s="235">
        <v>17.63636363636364</v>
      </c>
      <c r="M14" s="235">
        <v>51.212121212121211</v>
      </c>
      <c r="N14" s="235">
        <v>79.075757575757621</v>
      </c>
      <c r="O14" s="235">
        <v>594.42424242424511</v>
      </c>
      <c r="P14" s="235">
        <v>6.8484848484848486</v>
      </c>
      <c r="Q14" s="235">
        <v>64.999999999999972</v>
      </c>
      <c r="R14" s="235">
        <v>63.106060606060623</v>
      </c>
      <c r="S14" s="235">
        <v>8.7575757575757578</v>
      </c>
      <c r="T14" s="235">
        <v>7.9848484848484853</v>
      </c>
      <c r="U14" s="235">
        <v>665.50000000000239</v>
      </c>
      <c r="V14" s="235">
        <v>0</v>
      </c>
      <c r="W14" s="235">
        <v>750</v>
      </c>
      <c r="X14" s="233" t="s">
        <v>184</v>
      </c>
      <c r="Y14" s="238" t="s">
        <v>677</v>
      </c>
      <c r="Z14" s="233" t="s">
        <v>186</v>
      </c>
      <c r="AA14" s="236" t="s">
        <v>684</v>
      </c>
      <c r="AB14" s="233" t="s">
        <v>184</v>
      </c>
      <c r="AC14" s="238" t="s">
        <v>185</v>
      </c>
      <c r="AD14" s="238" t="s">
        <v>186</v>
      </c>
      <c r="AE14" s="239">
        <v>43854</v>
      </c>
    </row>
    <row r="15" spans="1:31" x14ac:dyDescent="0.3">
      <c r="A15" s="232" t="s">
        <v>215</v>
      </c>
      <c r="B15" s="233" t="s">
        <v>216</v>
      </c>
      <c r="C15" s="227" t="s">
        <v>34</v>
      </c>
      <c r="D15" s="227" t="s">
        <v>210</v>
      </c>
      <c r="E15" s="258">
        <v>85131</v>
      </c>
      <c r="F15" s="227" t="s">
        <v>211</v>
      </c>
      <c r="G15" s="227" t="s">
        <v>182</v>
      </c>
      <c r="H15" s="233" t="s">
        <v>183</v>
      </c>
      <c r="I15" s="234">
        <v>19.0066815144766</v>
      </c>
      <c r="J15" s="235">
        <v>678.34848484848339</v>
      </c>
      <c r="K15" s="235">
        <v>17.833333333333332</v>
      </c>
      <c r="L15" s="235">
        <v>15.151515151515149</v>
      </c>
      <c r="M15" s="235">
        <v>10.621212121212121</v>
      </c>
      <c r="N15" s="235">
        <v>24.681818181818191</v>
      </c>
      <c r="O15" s="235">
        <v>276.33333333333184</v>
      </c>
      <c r="P15" s="235">
        <v>11.030303030303031</v>
      </c>
      <c r="Q15" s="235">
        <v>409.90909090908968</v>
      </c>
      <c r="R15" s="235">
        <v>24.030303030303031</v>
      </c>
      <c r="S15" s="235">
        <v>3.9242424242424243</v>
      </c>
      <c r="T15" s="235">
        <v>5.0151515151515156</v>
      </c>
      <c r="U15" s="235">
        <v>688.98484848484713</v>
      </c>
      <c r="V15" s="235">
        <v>0</v>
      </c>
      <c r="W15" s="235"/>
      <c r="X15" s="233" t="s">
        <v>184</v>
      </c>
      <c r="Y15" s="238" t="s">
        <v>677</v>
      </c>
      <c r="Z15" s="233" t="s">
        <v>186</v>
      </c>
      <c r="AA15" s="236" t="s">
        <v>685</v>
      </c>
      <c r="AB15" s="233" t="s">
        <v>184</v>
      </c>
      <c r="AC15" s="238" t="s">
        <v>185</v>
      </c>
      <c r="AD15" s="238" t="s">
        <v>186</v>
      </c>
      <c r="AE15" s="239">
        <v>43867</v>
      </c>
    </row>
    <row r="16" spans="1:31" x14ac:dyDescent="0.3">
      <c r="A16" s="232" t="s">
        <v>640</v>
      </c>
      <c r="B16" s="233" t="s">
        <v>653</v>
      </c>
      <c r="C16" s="227" t="s">
        <v>285</v>
      </c>
      <c r="D16" s="227" t="s">
        <v>191</v>
      </c>
      <c r="E16" s="258">
        <v>31537</v>
      </c>
      <c r="F16" s="227" t="s">
        <v>192</v>
      </c>
      <c r="G16" s="227" t="s">
        <v>182</v>
      </c>
      <c r="H16" s="233" t="s">
        <v>5</v>
      </c>
      <c r="I16" s="234">
        <v>33.006566604127599</v>
      </c>
      <c r="J16" s="235">
        <v>530.4545454545397</v>
      </c>
      <c r="K16" s="235">
        <v>15.984848484848474</v>
      </c>
      <c r="L16" s="235">
        <v>9.5909090909090935</v>
      </c>
      <c r="M16" s="235">
        <v>10.757575757575763</v>
      </c>
      <c r="N16" s="235">
        <v>26.242424242424271</v>
      </c>
      <c r="O16" s="235">
        <v>540.54545454544575</v>
      </c>
      <c r="P16" s="235">
        <v>0</v>
      </c>
      <c r="Q16" s="235">
        <v>0</v>
      </c>
      <c r="R16" s="235">
        <v>4.712121212121211</v>
      </c>
      <c r="S16" s="235">
        <v>3.5757575757575757</v>
      </c>
      <c r="T16" s="235">
        <v>2.0151515151515151</v>
      </c>
      <c r="U16" s="235">
        <v>556.48484848483815</v>
      </c>
      <c r="V16" s="235">
        <v>0</v>
      </c>
      <c r="W16" s="235">
        <v>544</v>
      </c>
      <c r="X16" s="233" t="s">
        <v>208</v>
      </c>
      <c r="Y16" s="261" t="s">
        <v>677</v>
      </c>
      <c r="Z16" s="233"/>
      <c r="AA16" s="236" t="s">
        <v>293</v>
      </c>
      <c r="AB16" s="233" t="s">
        <v>208</v>
      </c>
      <c r="AC16" s="238"/>
      <c r="AD16" s="238"/>
      <c r="AE16" s="239"/>
    </row>
    <row r="17" spans="1:31" x14ac:dyDescent="0.3">
      <c r="A17" s="232" t="s">
        <v>20</v>
      </c>
      <c r="B17" s="233" t="s">
        <v>246</v>
      </c>
      <c r="C17" s="227" t="s">
        <v>247</v>
      </c>
      <c r="D17" s="227" t="s">
        <v>205</v>
      </c>
      <c r="E17" s="258">
        <v>71251</v>
      </c>
      <c r="F17" s="227" t="s">
        <v>206</v>
      </c>
      <c r="G17" s="227" t="s">
        <v>182</v>
      </c>
      <c r="H17" s="233" t="s">
        <v>183</v>
      </c>
      <c r="I17" s="234">
        <v>50.865296803653003</v>
      </c>
      <c r="J17" s="235">
        <v>562.06060606060123</v>
      </c>
      <c r="K17" s="235">
        <v>3.3787878787878785</v>
      </c>
      <c r="L17" s="235">
        <v>1.196969696969697</v>
      </c>
      <c r="M17" s="235">
        <v>0</v>
      </c>
      <c r="N17" s="235">
        <v>0</v>
      </c>
      <c r="O17" s="235">
        <v>0.48484848484848486</v>
      </c>
      <c r="P17" s="235">
        <v>2.1969696969696972</v>
      </c>
      <c r="Q17" s="235">
        <v>563.95454545454072</v>
      </c>
      <c r="R17" s="235">
        <v>1</v>
      </c>
      <c r="S17" s="235">
        <v>1</v>
      </c>
      <c r="T17" s="235">
        <v>0.19696969696969696</v>
      </c>
      <c r="U17" s="235">
        <v>564.43939393938911</v>
      </c>
      <c r="V17" s="235">
        <v>0</v>
      </c>
      <c r="W17" s="235">
        <v>751</v>
      </c>
      <c r="X17" s="233" t="s">
        <v>184</v>
      </c>
      <c r="Y17" s="238" t="s">
        <v>677</v>
      </c>
      <c r="Z17" s="233"/>
      <c r="AA17" s="236" t="s">
        <v>686</v>
      </c>
      <c r="AB17" s="233" t="s">
        <v>184</v>
      </c>
      <c r="AC17" s="238" t="s">
        <v>677</v>
      </c>
      <c r="AD17" s="238" t="s">
        <v>186</v>
      </c>
      <c r="AE17" s="239">
        <v>44155</v>
      </c>
    </row>
    <row r="18" spans="1:31" x14ac:dyDescent="0.3">
      <c r="A18" s="232" t="s">
        <v>234</v>
      </c>
      <c r="B18" s="233" t="s">
        <v>235</v>
      </c>
      <c r="C18" s="227" t="s">
        <v>236</v>
      </c>
      <c r="D18" s="227" t="s">
        <v>237</v>
      </c>
      <c r="E18" s="258">
        <v>88081</v>
      </c>
      <c r="F18" s="227" t="s">
        <v>238</v>
      </c>
      <c r="G18" s="227" t="s">
        <v>182</v>
      </c>
      <c r="H18" s="233" t="s">
        <v>5</v>
      </c>
      <c r="I18" s="234">
        <v>26.556302521008401</v>
      </c>
      <c r="J18" s="235">
        <v>397.62121212121309</v>
      </c>
      <c r="K18" s="235">
        <v>144.59090909090907</v>
      </c>
      <c r="L18" s="235">
        <v>13.393939393939393</v>
      </c>
      <c r="M18" s="235">
        <v>3.2575757575757573</v>
      </c>
      <c r="N18" s="235">
        <v>46.439393939393959</v>
      </c>
      <c r="O18" s="235">
        <v>512.42424242424397</v>
      </c>
      <c r="P18" s="235">
        <v>0</v>
      </c>
      <c r="Q18" s="235">
        <v>0</v>
      </c>
      <c r="R18" s="235">
        <v>3.6666666666666665</v>
      </c>
      <c r="S18" s="235">
        <v>2.939393939393939</v>
      </c>
      <c r="T18" s="235">
        <v>30.18181818181818</v>
      </c>
      <c r="U18" s="235">
        <v>522.07575757575614</v>
      </c>
      <c r="V18" s="235">
        <v>0</v>
      </c>
      <c r="W18" s="235">
        <v>500</v>
      </c>
      <c r="X18" s="233" t="s">
        <v>184</v>
      </c>
      <c r="Y18" s="238" t="s">
        <v>677</v>
      </c>
      <c r="Z18" s="233" t="s">
        <v>186</v>
      </c>
      <c r="AA18" s="236" t="s">
        <v>687</v>
      </c>
      <c r="AB18" s="233" t="s">
        <v>184</v>
      </c>
      <c r="AC18" s="238" t="s">
        <v>185</v>
      </c>
      <c r="AD18" s="238" t="s">
        <v>186</v>
      </c>
      <c r="AE18" s="239">
        <v>43860</v>
      </c>
    </row>
    <row r="19" spans="1:31" x14ac:dyDescent="0.3">
      <c r="A19" s="232" t="s">
        <v>264</v>
      </c>
      <c r="B19" s="233" t="s">
        <v>265</v>
      </c>
      <c r="C19" s="227" t="s">
        <v>266</v>
      </c>
      <c r="D19" s="227" t="s">
        <v>180</v>
      </c>
      <c r="E19" s="258">
        <v>92231</v>
      </c>
      <c r="F19" s="227" t="s">
        <v>223</v>
      </c>
      <c r="G19" s="227" t="s">
        <v>197</v>
      </c>
      <c r="H19" s="233" t="s">
        <v>183</v>
      </c>
      <c r="I19" s="234">
        <v>64.953125</v>
      </c>
      <c r="J19" s="235">
        <v>512.06060606060544</v>
      </c>
      <c r="K19" s="235">
        <v>1.6363636363636362</v>
      </c>
      <c r="L19" s="235">
        <v>7.833333333333333</v>
      </c>
      <c r="M19" s="235">
        <v>22.378787878787879</v>
      </c>
      <c r="N19" s="235">
        <v>35.212121212121218</v>
      </c>
      <c r="O19" s="235">
        <v>450.3333333333328</v>
      </c>
      <c r="P19" s="235">
        <v>0</v>
      </c>
      <c r="Q19" s="235">
        <v>58.363636363636338</v>
      </c>
      <c r="R19" s="235">
        <v>28.77272727272727</v>
      </c>
      <c r="S19" s="235">
        <v>3.333333333333333</v>
      </c>
      <c r="T19" s="235">
        <v>0.53030303030303028</v>
      </c>
      <c r="U19" s="235">
        <v>511.2727272727268</v>
      </c>
      <c r="V19" s="235">
        <v>0</v>
      </c>
      <c r="W19" s="235">
        <v>640</v>
      </c>
      <c r="X19" s="233" t="s">
        <v>184</v>
      </c>
      <c r="Y19" s="238" t="s">
        <v>677</v>
      </c>
      <c r="Z19" s="233" t="s">
        <v>186</v>
      </c>
      <c r="AA19" s="236" t="s">
        <v>688</v>
      </c>
      <c r="AB19" s="233" t="s">
        <v>184</v>
      </c>
      <c r="AC19" s="238" t="s">
        <v>185</v>
      </c>
      <c r="AD19" s="238" t="s">
        <v>186</v>
      </c>
      <c r="AE19" s="239">
        <v>43846</v>
      </c>
    </row>
    <row r="20" spans="1:31" x14ac:dyDescent="0.3">
      <c r="A20" s="232" t="s">
        <v>281</v>
      </c>
      <c r="B20" s="233" t="s">
        <v>282</v>
      </c>
      <c r="C20" s="227" t="s">
        <v>42</v>
      </c>
      <c r="D20" s="227" t="s">
        <v>283</v>
      </c>
      <c r="E20" s="258">
        <v>80010</v>
      </c>
      <c r="F20" s="227" t="s">
        <v>284</v>
      </c>
      <c r="G20" s="227" t="s">
        <v>197</v>
      </c>
      <c r="H20" s="233" t="s">
        <v>183</v>
      </c>
      <c r="I20" s="234">
        <v>37.064599483204098</v>
      </c>
      <c r="J20" s="235">
        <v>366.22727272727337</v>
      </c>
      <c r="K20" s="235">
        <v>27.439393939393902</v>
      </c>
      <c r="L20" s="235">
        <v>49.893939393939405</v>
      </c>
      <c r="M20" s="235">
        <v>69.000000000000028</v>
      </c>
      <c r="N20" s="235">
        <v>120.21212121212123</v>
      </c>
      <c r="O20" s="235">
        <v>359.31818181818227</v>
      </c>
      <c r="P20" s="235">
        <v>11.166666666666664</v>
      </c>
      <c r="Q20" s="235">
        <v>21.863636363636335</v>
      </c>
      <c r="R20" s="235">
        <v>99.893939393939348</v>
      </c>
      <c r="S20" s="235">
        <v>14.09090909090909</v>
      </c>
      <c r="T20" s="235">
        <v>9.0606060606060606</v>
      </c>
      <c r="U20" s="235">
        <v>389.5151515151515</v>
      </c>
      <c r="V20" s="235">
        <v>0</v>
      </c>
      <c r="W20" s="235">
        <v>525</v>
      </c>
      <c r="X20" s="233" t="s">
        <v>184</v>
      </c>
      <c r="Y20" s="238" t="s">
        <v>677</v>
      </c>
      <c r="Z20" s="233" t="s">
        <v>186</v>
      </c>
      <c r="AA20" s="236" t="s">
        <v>690</v>
      </c>
      <c r="AB20" s="233" t="s">
        <v>184</v>
      </c>
      <c r="AC20" s="238" t="s">
        <v>677</v>
      </c>
      <c r="AD20" s="238" t="s">
        <v>186</v>
      </c>
      <c r="AE20" s="239">
        <v>44223</v>
      </c>
    </row>
    <row r="21" spans="1:31" x14ac:dyDescent="0.3">
      <c r="A21" s="232" t="s">
        <v>230</v>
      </c>
      <c r="B21" s="233" t="s">
        <v>231</v>
      </c>
      <c r="C21" s="227" t="s">
        <v>232</v>
      </c>
      <c r="D21" s="227" t="s">
        <v>195</v>
      </c>
      <c r="E21" s="258">
        <v>78566</v>
      </c>
      <c r="F21" s="227" t="s">
        <v>676</v>
      </c>
      <c r="G21" s="227" t="s">
        <v>233</v>
      </c>
      <c r="H21" s="233" t="s">
        <v>183</v>
      </c>
      <c r="I21" s="234">
        <v>4.7610497237569103</v>
      </c>
      <c r="J21" s="235">
        <v>480.37878787876701</v>
      </c>
      <c r="K21" s="235">
        <v>10.590909090909093</v>
      </c>
      <c r="L21" s="235">
        <v>0.69696969696969691</v>
      </c>
      <c r="M21" s="235">
        <v>7.7272727272727302</v>
      </c>
      <c r="N21" s="235">
        <v>33.287878787878824</v>
      </c>
      <c r="O21" s="235">
        <v>465.01515151513166</v>
      </c>
      <c r="P21" s="235">
        <v>0.8484848484848484</v>
      </c>
      <c r="Q21" s="235">
        <v>0.24242424242424232</v>
      </c>
      <c r="R21" s="235">
        <v>7.8181818181818183</v>
      </c>
      <c r="S21" s="235">
        <v>3.8939393939393931</v>
      </c>
      <c r="T21" s="235">
        <v>10.272727272727275</v>
      </c>
      <c r="U21" s="235">
        <v>477.40909090907002</v>
      </c>
      <c r="V21" s="235">
        <v>0</v>
      </c>
      <c r="W21" s="235">
        <v>800</v>
      </c>
      <c r="X21" s="233" t="s">
        <v>184</v>
      </c>
      <c r="Y21" s="238" t="s">
        <v>677</v>
      </c>
      <c r="Z21" s="233" t="s">
        <v>186</v>
      </c>
      <c r="AA21" s="236" t="s">
        <v>689</v>
      </c>
      <c r="AB21" s="233" t="s">
        <v>184</v>
      </c>
      <c r="AC21" s="238" t="s">
        <v>185</v>
      </c>
      <c r="AD21" s="238" t="s">
        <v>186</v>
      </c>
      <c r="AE21" s="239">
        <v>43860</v>
      </c>
    </row>
    <row r="22" spans="1:31" x14ac:dyDescent="0.3">
      <c r="A22" s="232" t="s">
        <v>212</v>
      </c>
      <c r="B22" s="233" t="s">
        <v>213</v>
      </c>
      <c r="C22" s="227" t="s">
        <v>214</v>
      </c>
      <c r="D22" s="227" t="s">
        <v>205</v>
      </c>
      <c r="E22" s="258">
        <v>71342</v>
      </c>
      <c r="F22" s="227" t="s">
        <v>206</v>
      </c>
      <c r="G22" s="227" t="s">
        <v>182</v>
      </c>
      <c r="H22" s="233" t="s">
        <v>183</v>
      </c>
      <c r="I22" s="234">
        <v>36.186648501362399</v>
      </c>
      <c r="J22" s="235">
        <v>278.53030303030334</v>
      </c>
      <c r="K22" s="235">
        <v>58.060606060606091</v>
      </c>
      <c r="L22" s="235">
        <v>105.72727272727272</v>
      </c>
      <c r="M22" s="235">
        <v>41.090909090909101</v>
      </c>
      <c r="N22" s="235">
        <v>136.33333333333334</v>
      </c>
      <c r="O22" s="235">
        <v>252.15151515151513</v>
      </c>
      <c r="P22" s="235">
        <v>38.68181818181818</v>
      </c>
      <c r="Q22" s="235">
        <v>56.242424242424235</v>
      </c>
      <c r="R22" s="235">
        <v>124.75757575757581</v>
      </c>
      <c r="S22" s="235">
        <v>20.712121212121211</v>
      </c>
      <c r="T22" s="235">
        <v>21.13636363636364</v>
      </c>
      <c r="U22" s="235">
        <v>316.80303030303031</v>
      </c>
      <c r="V22" s="235">
        <v>0</v>
      </c>
      <c r="W22" s="235">
        <v>1170</v>
      </c>
      <c r="X22" s="233" t="s">
        <v>184</v>
      </c>
      <c r="Y22" s="238" t="s">
        <v>677</v>
      </c>
      <c r="Z22" s="233"/>
      <c r="AA22" s="236" t="s">
        <v>691</v>
      </c>
      <c r="AB22" s="233" t="s">
        <v>184</v>
      </c>
      <c r="AC22" s="238" t="s">
        <v>185</v>
      </c>
      <c r="AD22" s="238" t="s">
        <v>186</v>
      </c>
      <c r="AE22" s="239">
        <v>44111</v>
      </c>
    </row>
    <row r="23" spans="1:31" x14ac:dyDescent="0.3">
      <c r="A23" s="232" t="s">
        <v>261</v>
      </c>
      <c r="B23" s="233" t="s">
        <v>262</v>
      </c>
      <c r="C23" s="227" t="s">
        <v>263</v>
      </c>
      <c r="D23" s="227" t="s">
        <v>205</v>
      </c>
      <c r="E23" s="258">
        <v>70515</v>
      </c>
      <c r="F23" s="227" t="s">
        <v>206</v>
      </c>
      <c r="G23" s="227" t="s">
        <v>182</v>
      </c>
      <c r="H23" s="233" t="s">
        <v>183</v>
      </c>
      <c r="I23" s="234">
        <v>44.004291845493597</v>
      </c>
      <c r="J23" s="235">
        <v>438.36363636363865</v>
      </c>
      <c r="K23" s="235">
        <v>36.333333333333321</v>
      </c>
      <c r="L23" s="235">
        <v>0.62121212121212122</v>
      </c>
      <c r="M23" s="235">
        <v>0.80303030303030309</v>
      </c>
      <c r="N23" s="235">
        <v>0</v>
      </c>
      <c r="O23" s="235">
        <v>0</v>
      </c>
      <c r="P23" s="235">
        <v>1.8939393939393936</v>
      </c>
      <c r="Q23" s="235">
        <v>474.22727272727536</v>
      </c>
      <c r="R23" s="235">
        <v>0.98484848484848497</v>
      </c>
      <c r="S23" s="235">
        <v>0.31818181818181823</v>
      </c>
      <c r="T23" s="235">
        <v>0.31818181818181818</v>
      </c>
      <c r="U23" s="235">
        <v>474.50000000000261</v>
      </c>
      <c r="V23" s="235">
        <v>0</v>
      </c>
      <c r="W23" s="235">
        <v>700</v>
      </c>
      <c r="X23" s="233" t="s">
        <v>184</v>
      </c>
      <c r="Y23" s="238" t="s">
        <v>677</v>
      </c>
      <c r="Z23" s="233"/>
      <c r="AA23" s="236" t="s">
        <v>692</v>
      </c>
      <c r="AB23" s="233" t="s">
        <v>184</v>
      </c>
      <c r="AC23" s="238" t="s">
        <v>677</v>
      </c>
      <c r="AD23" s="238" t="s">
        <v>186</v>
      </c>
      <c r="AE23" s="239">
        <v>44176</v>
      </c>
    </row>
    <row r="24" spans="1:31" x14ac:dyDescent="0.3">
      <c r="A24" s="232" t="s">
        <v>243</v>
      </c>
      <c r="B24" s="233" t="s">
        <v>244</v>
      </c>
      <c r="C24" s="227" t="s">
        <v>245</v>
      </c>
      <c r="D24" s="227" t="s">
        <v>205</v>
      </c>
      <c r="E24" s="258">
        <v>71202</v>
      </c>
      <c r="F24" s="227" t="s">
        <v>206</v>
      </c>
      <c r="G24" s="227" t="s">
        <v>182</v>
      </c>
      <c r="H24" s="233" t="s">
        <v>5</v>
      </c>
      <c r="I24" s="234">
        <v>62.577181208053702</v>
      </c>
      <c r="J24" s="235">
        <v>443.71212121211767</v>
      </c>
      <c r="K24" s="235">
        <v>6.6515151515151514</v>
      </c>
      <c r="L24" s="235">
        <v>3.6969696969696964</v>
      </c>
      <c r="M24" s="235">
        <v>0.65151515151515149</v>
      </c>
      <c r="N24" s="235">
        <v>12.681818181818185</v>
      </c>
      <c r="O24" s="235">
        <v>252.3333333333324</v>
      </c>
      <c r="P24" s="235">
        <v>3.2878787878787876</v>
      </c>
      <c r="Q24" s="235">
        <v>186.40909090909082</v>
      </c>
      <c r="R24" s="235">
        <v>4.9545454545454541</v>
      </c>
      <c r="S24" s="235">
        <v>4.5151515151515138</v>
      </c>
      <c r="T24" s="235">
        <v>6.4090909090909083</v>
      </c>
      <c r="U24" s="235">
        <v>438.83333333332979</v>
      </c>
      <c r="V24" s="235">
        <v>0</v>
      </c>
      <c r="W24" s="235">
        <v>677</v>
      </c>
      <c r="X24" s="233" t="s">
        <v>184</v>
      </c>
      <c r="Y24" s="238" t="s">
        <v>677</v>
      </c>
      <c r="Z24" s="233"/>
      <c r="AA24" s="236" t="s">
        <v>691</v>
      </c>
      <c r="AB24" s="233" t="s">
        <v>184</v>
      </c>
      <c r="AC24" s="238" t="s">
        <v>677</v>
      </c>
      <c r="AD24" s="238" t="s">
        <v>186</v>
      </c>
      <c r="AE24" s="239">
        <v>44125</v>
      </c>
    </row>
    <row r="25" spans="1:31" x14ac:dyDescent="0.3">
      <c r="A25" s="232" t="s">
        <v>225</v>
      </c>
      <c r="B25" s="233" t="s">
        <v>226</v>
      </c>
      <c r="C25" s="227" t="s">
        <v>227</v>
      </c>
      <c r="D25" s="227" t="s">
        <v>228</v>
      </c>
      <c r="E25" s="258">
        <v>98421</v>
      </c>
      <c r="F25" s="227" t="s">
        <v>229</v>
      </c>
      <c r="G25" s="227" t="s">
        <v>197</v>
      </c>
      <c r="H25" s="233" t="s">
        <v>183</v>
      </c>
      <c r="I25" s="234">
        <v>54.7777777777778</v>
      </c>
      <c r="J25" s="235">
        <v>268.93939393939434</v>
      </c>
      <c r="K25" s="235">
        <v>27.333333333333332</v>
      </c>
      <c r="L25" s="235">
        <v>52.106060606060616</v>
      </c>
      <c r="M25" s="235">
        <v>87.93939393939398</v>
      </c>
      <c r="N25" s="235">
        <v>159.51515151515164</v>
      </c>
      <c r="O25" s="235">
        <v>268.22727272727315</v>
      </c>
      <c r="P25" s="235">
        <v>6.9393939393939394</v>
      </c>
      <c r="Q25" s="235">
        <v>1.6363636363636367</v>
      </c>
      <c r="R25" s="235">
        <v>112.42424242424246</v>
      </c>
      <c r="S25" s="235">
        <v>14.363636363636363</v>
      </c>
      <c r="T25" s="235">
        <v>10.712121212121211</v>
      </c>
      <c r="U25" s="235">
        <v>298.81818181818164</v>
      </c>
      <c r="V25" s="235">
        <v>0</v>
      </c>
      <c r="W25" s="235">
        <v>1181</v>
      </c>
      <c r="X25" s="233" t="s">
        <v>184</v>
      </c>
      <c r="Y25" s="238" t="s">
        <v>677</v>
      </c>
      <c r="Z25" s="233" t="s">
        <v>186</v>
      </c>
      <c r="AA25" s="236" t="s">
        <v>693</v>
      </c>
      <c r="AB25" s="233" t="s">
        <v>184</v>
      </c>
      <c r="AC25" s="238" t="s">
        <v>677</v>
      </c>
      <c r="AD25" s="238" t="s">
        <v>186</v>
      </c>
      <c r="AE25" s="239">
        <v>44182</v>
      </c>
    </row>
    <row r="26" spans="1:31" x14ac:dyDescent="0.3">
      <c r="A26" s="232" t="s">
        <v>307</v>
      </c>
      <c r="B26" s="233" t="s">
        <v>308</v>
      </c>
      <c r="C26" s="227" t="s">
        <v>309</v>
      </c>
      <c r="D26" s="227" t="s">
        <v>195</v>
      </c>
      <c r="E26" s="258">
        <v>77351</v>
      </c>
      <c r="F26" s="227" t="s">
        <v>242</v>
      </c>
      <c r="G26" s="227" t="s">
        <v>207</v>
      </c>
      <c r="H26" s="233" t="s">
        <v>5</v>
      </c>
      <c r="I26" s="234">
        <v>15.533488372093</v>
      </c>
      <c r="J26" s="235">
        <v>429.62121212120462</v>
      </c>
      <c r="K26" s="235">
        <v>2.4696969696969697</v>
      </c>
      <c r="L26" s="235">
        <v>0.21212121212121213</v>
      </c>
      <c r="M26" s="235">
        <v>0.81818181818181812</v>
      </c>
      <c r="N26" s="235">
        <v>14.530303030303029</v>
      </c>
      <c r="O26" s="235">
        <v>418.59090909090224</v>
      </c>
      <c r="P26" s="235">
        <v>0</v>
      </c>
      <c r="Q26" s="235">
        <v>0</v>
      </c>
      <c r="R26" s="235">
        <v>6.2727272727272734</v>
      </c>
      <c r="S26" s="235">
        <v>2.6818181818181817</v>
      </c>
      <c r="T26" s="235">
        <v>3.6969696969696964</v>
      </c>
      <c r="U26" s="235">
        <v>420.46969696968989</v>
      </c>
      <c r="V26" s="235">
        <v>0</v>
      </c>
      <c r="W26" s="235">
        <v>350</v>
      </c>
      <c r="X26" s="233" t="s">
        <v>184</v>
      </c>
      <c r="Y26" s="238" t="s">
        <v>678</v>
      </c>
      <c r="Z26" s="233" t="s">
        <v>301</v>
      </c>
      <c r="AA26" s="236" t="s">
        <v>694</v>
      </c>
      <c r="AB26" s="233" t="s">
        <v>184</v>
      </c>
      <c r="AC26" s="238" t="s">
        <v>288</v>
      </c>
      <c r="AD26" s="238" t="s">
        <v>301</v>
      </c>
      <c r="AE26" s="239">
        <v>43839</v>
      </c>
    </row>
    <row r="27" spans="1:31" x14ac:dyDescent="0.3">
      <c r="A27" s="232" t="s">
        <v>253</v>
      </c>
      <c r="B27" s="233" t="s">
        <v>254</v>
      </c>
      <c r="C27" s="227" t="s">
        <v>255</v>
      </c>
      <c r="D27" s="227" t="s">
        <v>195</v>
      </c>
      <c r="E27" s="258">
        <v>79925</v>
      </c>
      <c r="F27" s="227" t="s">
        <v>238</v>
      </c>
      <c r="G27" s="227" t="s">
        <v>233</v>
      </c>
      <c r="H27" s="233" t="s">
        <v>183</v>
      </c>
      <c r="I27" s="234">
        <v>13.541518386714101</v>
      </c>
      <c r="J27" s="235">
        <v>358.48484848484583</v>
      </c>
      <c r="K27" s="235">
        <v>21.287878787878789</v>
      </c>
      <c r="L27" s="235">
        <v>22.318181818181817</v>
      </c>
      <c r="M27" s="235">
        <v>28.863636363636381</v>
      </c>
      <c r="N27" s="235">
        <v>71.757575757575836</v>
      </c>
      <c r="O27" s="235">
        <v>260.2121212121213</v>
      </c>
      <c r="P27" s="235">
        <v>8.7727272727272734</v>
      </c>
      <c r="Q27" s="235">
        <v>90.212121212121616</v>
      </c>
      <c r="R27" s="235">
        <v>32.136363636363662</v>
      </c>
      <c r="S27" s="235">
        <v>14.803030303030306</v>
      </c>
      <c r="T27" s="235">
        <v>6.5606060606060614</v>
      </c>
      <c r="U27" s="235">
        <v>377.45454545454209</v>
      </c>
      <c r="V27" s="235">
        <v>0</v>
      </c>
      <c r="W27" s="235">
        <v>600</v>
      </c>
      <c r="X27" s="233" t="s">
        <v>184</v>
      </c>
      <c r="Y27" s="238" t="s">
        <v>677</v>
      </c>
      <c r="Z27" s="233" t="s">
        <v>186</v>
      </c>
      <c r="AA27" s="236" t="s">
        <v>682</v>
      </c>
      <c r="AB27" s="233" t="s">
        <v>184</v>
      </c>
      <c r="AC27" s="238" t="s">
        <v>185</v>
      </c>
      <c r="AD27" s="238" t="s">
        <v>186</v>
      </c>
      <c r="AE27" s="239">
        <v>43811</v>
      </c>
    </row>
    <row r="28" spans="1:31" x14ac:dyDescent="0.3">
      <c r="A28" s="232" t="s">
        <v>198</v>
      </c>
      <c r="B28" s="233" t="s">
        <v>654</v>
      </c>
      <c r="C28" s="227" t="s">
        <v>199</v>
      </c>
      <c r="D28" s="227" t="s">
        <v>195</v>
      </c>
      <c r="E28" s="258">
        <v>78017</v>
      </c>
      <c r="F28" s="227" t="s">
        <v>196</v>
      </c>
      <c r="G28" s="227" t="s">
        <v>200</v>
      </c>
      <c r="H28" s="233" t="s">
        <v>183</v>
      </c>
      <c r="I28" s="234">
        <v>5.1518481518481503</v>
      </c>
      <c r="J28" s="235">
        <v>402.60606060604346</v>
      </c>
      <c r="K28" s="235">
        <v>4.2878787878787872</v>
      </c>
      <c r="L28" s="235">
        <v>0</v>
      </c>
      <c r="M28" s="235">
        <v>0</v>
      </c>
      <c r="N28" s="235">
        <v>0.13636363636363635</v>
      </c>
      <c r="O28" s="235">
        <v>175.81818181818039</v>
      </c>
      <c r="P28" s="235">
        <v>0</v>
      </c>
      <c r="Q28" s="235">
        <v>230.93939393938882</v>
      </c>
      <c r="R28" s="235">
        <v>0</v>
      </c>
      <c r="S28" s="235">
        <v>0</v>
      </c>
      <c r="T28" s="235">
        <v>0.13636363636363635</v>
      </c>
      <c r="U28" s="235">
        <v>406.75757575755841</v>
      </c>
      <c r="V28" s="235">
        <v>0</v>
      </c>
      <c r="W28" s="235">
        <v>2400</v>
      </c>
      <c r="X28" s="233" t="s">
        <v>184</v>
      </c>
      <c r="Y28" s="238" t="s">
        <v>201</v>
      </c>
      <c r="Z28" s="233"/>
      <c r="AA28" s="236" t="s">
        <v>695</v>
      </c>
      <c r="AB28" s="233" t="s">
        <v>184</v>
      </c>
      <c r="AC28" s="238" t="s">
        <v>201</v>
      </c>
      <c r="AD28" s="238"/>
      <c r="AE28" s="239">
        <v>44427</v>
      </c>
    </row>
    <row r="29" spans="1:31" x14ac:dyDescent="0.3">
      <c r="A29" s="232" t="s">
        <v>267</v>
      </c>
      <c r="B29" s="233" t="s">
        <v>268</v>
      </c>
      <c r="C29" s="227" t="s">
        <v>41</v>
      </c>
      <c r="D29" s="227" t="s">
        <v>195</v>
      </c>
      <c r="E29" s="258">
        <v>76009</v>
      </c>
      <c r="F29" s="227" t="s">
        <v>269</v>
      </c>
      <c r="G29" s="227" t="s">
        <v>182</v>
      </c>
      <c r="H29" s="233" t="s">
        <v>183</v>
      </c>
      <c r="I29" s="234">
        <v>22.450191570881199</v>
      </c>
      <c r="J29" s="235">
        <v>188.93939393939377</v>
      </c>
      <c r="K29" s="235">
        <v>49.257575757575751</v>
      </c>
      <c r="L29" s="235">
        <v>54.560606060606091</v>
      </c>
      <c r="M29" s="235">
        <v>53.348484848484901</v>
      </c>
      <c r="N29" s="235">
        <v>152.71212121212139</v>
      </c>
      <c r="O29" s="235">
        <v>173.96969696969677</v>
      </c>
      <c r="P29" s="235">
        <v>5.2727272727272734</v>
      </c>
      <c r="Q29" s="235">
        <v>14.15151515151515</v>
      </c>
      <c r="R29" s="235">
        <v>105.77272727272738</v>
      </c>
      <c r="S29" s="235">
        <v>24.7878787878788</v>
      </c>
      <c r="T29" s="235">
        <v>18.393939393939402</v>
      </c>
      <c r="U29" s="235">
        <v>197.15151515151496</v>
      </c>
      <c r="V29" s="235">
        <v>0</v>
      </c>
      <c r="W29" s="235">
        <v>525</v>
      </c>
      <c r="X29" s="233" t="s">
        <v>184</v>
      </c>
      <c r="Y29" s="238" t="s">
        <v>677</v>
      </c>
      <c r="Z29" s="233" t="s">
        <v>186</v>
      </c>
      <c r="AA29" s="236" t="s">
        <v>696</v>
      </c>
      <c r="AB29" s="233" t="s">
        <v>184</v>
      </c>
      <c r="AC29" s="238" t="s">
        <v>185</v>
      </c>
      <c r="AD29" s="238" t="s">
        <v>186</v>
      </c>
      <c r="AE29" s="239">
        <v>43874</v>
      </c>
    </row>
    <row r="30" spans="1:31" x14ac:dyDescent="0.3">
      <c r="A30" s="232" t="s">
        <v>40</v>
      </c>
      <c r="B30" s="233" t="s">
        <v>259</v>
      </c>
      <c r="C30" s="227" t="s">
        <v>260</v>
      </c>
      <c r="D30" s="227" t="s">
        <v>205</v>
      </c>
      <c r="E30" s="258">
        <v>70576</v>
      </c>
      <c r="F30" s="227" t="s">
        <v>206</v>
      </c>
      <c r="G30" s="227" t="s">
        <v>207</v>
      </c>
      <c r="H30" s="233" t="s">
        <v>5</v>
      </c>
      <c r="I30" s="234">
        <v>44.912676056338</v>
      </c>
      <c r="J30" s="235">
        <v>294.49999999999915</v>
      </c>
      <c r="K30" s="235">
        <v>19.136363636363637</v>
      </c>
      <c r="L30" s="235">
        <v>13.121212121212125</v>
      </c>
      <c r="M30" s="235">
        <v>12.121212121212123</v>
      </c>
      <c r="N30" s="235">
        <v>41.621212121212132</v>
      </c>
      <c r="O30" s="235">
        <v>297.25757575757495</v>
      </c>
      <c r="P30" s="235">
        <v>0</v>
      </c>
      <c r="Q30" s="235">
        <v>0</v>
      </c>
      <c r="R30" s="235">
        <v>23.621212121212114</v>
      </c>
      <c r="S30" s="235">
        <v>6.0909090909090917</v>
      </c>
      <c r="T30" s="235">
        <v>10.84848484848485</v>
      </c>
      <c r="U30" s="235">
        <v>298.31818181818102</v>
      </c>
      <c r="V30" s="235">
        <v>0</v>
      </c>
      <c r="W30" s="235"/>
      <c r="X30" s="233" t="s">
        <v>184</v>
      </c>
      <c r="Y30" s="238" t="s">
        <v>677</v>
      </c>
      <c r="Z30" s="233" t="s">
        <v>186</v>
      </c>
      <c r="AA30" s="236" t="s">
        <v>697</v>
      </c>
      <c r="AB30" s="233" t="s">
        <v>184</v>
      </c>
      <c r="AC30" s="238" t="s">
        <v>677</v>
      </c>
      <c r="AD30" s="238" t="s">
        <v>186</v>
      </c>
      <c r="AE30" s="239">
        <v>44140</v>
      </c>
    </row>
    <row r="31" spans="1:31" x14ac:dyDescent="0.3">
      <c r="A31" s="232" t="s">
        <v>641</v>
      </c>
      <c r="B31" s="233" t="s">
        <v>291</v>
      </c>
      <c r="C31" s="227" t="s">
        <v>35</v>
      </c>
      <c r="D31" s="227" t="s">
        <v>195</v>
      </c>
      <c r="E31" s="258">
        <v>76574</v>
      </c>
      <c r="F31" s="227" t="s">
        <v>196</v>
      </c>
      <c r="G31" s="227" t="s">
        <v>182</v>
      </c>
      <c r="H31" s="233" t="s">
        <v>9</v>
      </c>
      <c r="I31" s="234">
        <v>16.974901960784301</v>
      </c>
      <c r="J31" s="235">
        <v>326.87878787878549</v>
      </c>
      <c r="K31" s="235">
        <v>1.5606060606060606</v>
      </c>
      <c r="L31" s="235">
        <v>0</v>
      </c>
      <c r="M31" s="235">
        <v>0</v>
      </c>
      <c r="N31" s="235">
        <v>0</v>
      </c>
      <c r="O31" s="235">
        <v>1.7575757575757578</v>
      </c>
      <c r="P31" s="235">
        <v>3.0909090909090908</v>
      </c>
      <c r="Q31" s="235">
        <v>323.59090909090662</v>
      </c>
      <c r="R31" s="235">
        <v>1</v>
      </c>
      <c r="S31" s="235">
        <v>1.2272727272727273</v>
      </c>
      <c r="T31" s="235">
        <v>0.86363636363636376</v>
      </c>
      <c r="U31" s="235">
        <v>325.34848484848243</v>
      </c>
      <c r="V31" s="235">
        <v>0</v>
      </c>
      <c r="W31" s="235">
        <v>461</v>
      </c>
      <c r="X31" s="233" t="s">
        <v>184</v>
      </c>
      <c r="Y31" s="238" t="s">
        <v>677</v>
      </c>
      <c r="Z31" s="233" t="s">
        <v>186</v>
      </c>
      <c r="AA31" s="236" t="s">
        <v>698</v>
      </c>
      <c r="AB31" s="233" t="s">
        <v>184</v>
      </c>
      <c r="AC31" s="238" t="s">
        <v>201</v>
      </c>
      <c r="AD31" s="238" t="s">
        <v>187</v>
      </c>
      <c r="AE31" s="239">
        <v>43706</v>
      </c>
    </row>
    <row r="32" spans="1:31" x14ac:dyDescent="0.3">
      <c r="A32" s="232" t="s">
        <v>7</v>
      </c>
      <c r="B32" s="233" t="s">
        <v>286</v>
      </c>
      <c r="C32" s="227" t="s">
        <v>287</v>
      </c>
      <c r="D32" s="227" t="s">
        <v>280</v>
      </c>
      <c r="E32" s="258">
        <v>33073</v>
      </c>
      <c r="F32" s="227" t="s">
        <v>30</v>
      </c>
      <c r="G32" s="227" t="s">
        <v>197</v>
      </c>
      <c r="H32" s="233" t="s">
        <v>183</v>
      </c>
      <c r="I32" s="234">
        <v>26.158878504672899</v>
      </c>
      <c r="J32" s="235">
        <v>305.12121212120957</v>
      </c>
      <c r="K32" s="235">
        <v>20.439393939393945</v>
      </c>
      <c r="L32" s="235">
        <v>0</v>
      </c>
      <c r="M32" s="235">
        <v>0</v>
      </c>
      <c r="N32" s="235">
        <v>13.242424242424244</v>
      </c>
      <c r="O32" s="235">
        <v>249.80303030302986</v>
      </c>
      <c r="P32" s="235">
        <v>0.5</v>
      </c>
      <c r="Q32" s="235">
        <v>62.015151515151466</v>
      </c>
      <c r="R32" s="235">
        <v>0.43939393939393945</v>
      </c>
      <c r="S32" s="235">
        <v>3.3484848484848486</v>
      </c>
      <c r="T32" s="235">
        <v>7.0757575757575761</v>
      </c>
      <c r="U32" s="235">
        <v>314.69696969696798</v>
      </c>
      <c r="V32" s="235">
        <v>0</v>
      </c>
      <c r="W32" s="235">
        <v>700</v>
      </c>
      <c r="X32" s="233" t="s">
        <v>184</v>
      </c>
      <c r="Y32" s="238" t="s">
        <v>677</v>
      </c>
      <c r="Z32" s="233" t="s">
        <v>186</v>
      </c>
      <c r="AA32" s="236" t="s">
        <v>701</v>
      </c>
      <c r="AB32" s="233" t="s">
        <v>184</v>
      </c>
      <c r="AC32" s="238" t="s">
        <v>185</v>
      </c>
      <c r="AD32" s="238" t="s">
        <v>186</v>
      </c>
      <c r="AE32" s="239">
        <v>44098</v>
      </c>
    </row>
    <row r="33" spans="1:31" x14ac:dyDescent="0.3">
      <c r="A33" s="232" t="s">
        <v>10</v>
      </c>
      <c r="B33" s="233" t="s">
        <v>248</v>
      </c>
      <c r="C33" s="227" t="s">
        <v>249</v>
      </c>
      <c r="D33" s="227" t="s">
        <v>195</v>
      </c>
      <c r="E33" s="258">
        <v>78580</v>
      </c>
      <c r="F33" s="227" t="s">
        <v>676</v>
      </c>
      <c r="G33" s="227" t="s">
        <v>207</v>
      </c>
      <c r="H33" s="233" t="s">
        <v>183</v>
      </c>
      <c r="I33" s="234">
        <v>15.026563838903201</v>
      </c>
      <c r="J33" s="235">
        <v>317.39393939393688</v>
      </c>
      <c r="K33" s="235">
        <v>2.4242424242424239</v>
      </c>
      <c r="L33" s="235">
        <v>1.7878787878787876</v>
      </c>
      <c r="M33" s="235">
        <v>2.2878787878787881</v>
      </c>
      <c r="N33" s="235">
        <v>11.681818181818182</v>
      </c>
      <c r="O33" s="235">
        <v>224.12121212121167</v>
      </c>
      <c r="P33" s="235">
        <v>0.9242424242424242</v>
      </c>
      <c r="Q33" s="235">
        <v>87.166666666666814</v>
      </c>
      <c r="R33" s="235">
        <v>2.2424242424242422</v>
      </c>
      <c r="S33" s="235">
        <v>4.545454545454545</v>
      </c>
      <c r="T33" s="235">
        <v>4.1818181818181817</v>
      </c>
      <c r="U33" s="235">
        <v>312.92424242424005</v>
      </c>
      <c r="V33" s="235">
        <v>0</v>
      </c>
      <c r="W33" s="235">
        <v>750</v>
      </c>
      <c r="X33" s="233" t="s">
        <v>184</v>
      </c>
      <c r="Y33" s="238" t="s">
        <v>677</v>
      </c>
      <c r="Z33" s="233"/>
      <c r="AA33" s="236" t="s">
        <v>695</v>
      </c>
      <c r="AB33" s="233" t="s">
        <v>184</v>
      </c>
      <c r="AC33" s="238" t="s">
        <v>677</v>
      </c>
      <c r="AD33" s="238" t="s">
        <v>186</v>
      </c>
      <c r="AE33" s="239">
        <v>44175</v>
      </c>
    </row>
    <row r="34" spans="1:31" x14ac:dyDescent="0.3">
      <c r="A34" s="232" t="s">
        <v>304</v>
      </c>
      <c r="B34" s="233" t="s">
        <v>305</v>
      </c>
      <c r="C34" s="227" t="s">
        <v>306</v>
      </c>
      <c r="D34" s="227" t="s">
        <v>205</v>
      </c>
      <c r="E34" s="258">
        <v>71334</v>
      </c>
      <c r="F34" s="227" t="s">
        <v>206</v>
      </c>
      <c r="G34" s="227" t="s">
        <v>182</v>
      </c>
      <c r="H34" s="233" t="s">
        <v>5</v>
      </c>
      <c r="I34" s="234">
        <v>69.594696969696997</v>
      </c>
      <c r="J34" s="235">
        <v>321.68181818181671</v>
      </c>
      <c r="K34" s="235">
        <v>1.6363636363636365</v>
      </c>
      <c r="L34" s="235">
        <v>0</v>
      </c>
      <c r="M34" s="235">
        <v>0</v>
      </c>
      <c r="N34" s="235">
        <v>7.3484848484848486</v>
      </c>
      <c r="O34" s="235">
        <v>315.96969696969529</v>
      </c>
      <c r="P34" s="235">
        <v>0</v>
      </c>
      <c r="Q34" s="235">
        <v>0</v>
      </c>
      <c r="R34" s="235">
        <v>0</v>
      </c>
      <c r="S34" s="235">
        <v>3.0909090909090908</v>
      </c>
      <c r="T34" s="235">
        <v>4.2575757575757569</v>
      </c>
      <c r="U34" s="235">
        <v>315.96969696969529</v>
      </c>
      <c r="V34" s="235">
        <v>0</v>
      </c>
      <c r="W34" s="235">
        <v>361</v>
      </c>
      <c r="X34" s="233" t="s">
        <v>184</v>
      </c>
      <c r="Y34" s="238" t="s">
        <v>677</v>
      </c>
      <c r="Z34" s="233"/>
      <c r="AA34" s="236" t="s">
        <v>700</v>
      </c>
      <c r="AB34" s="233" t="s">
        <v>184</v>
      </c>
      <c r="AC34" s="238" t="s">
        <v>678</v>
      </c>
      <c r="AD34" s="238" t="s">
        <v>301</v>
      </c>
      <c r="AE34" s="239">
        <v>44272</v>
      </c>
    </row>
    <row r="35" spans="1:31" x14ac:dyDescent="0.3">
      <c r="A35" s="232" t="s">
        <v>239</v>
      </c>
      <c r="B35" s="233" t="s">
        <v>240</v>
      </c>
      <c r="C35" s="227" t="s">
        <v>241</v>
      </c>
      <c r="D35" s="227" t="s">
        <v>195</v>
      </c>
      <c r="E35" s="258">
        <v>77301</v>
      </c>
      <c r="F35" s="227" t="s">
        <v>242</v>
      </c>
      <c r="G35" s="227" t="s">
        <v>197</v>
      </c>
      <c r="H35" s="233" t="s">
        <v>183</v>
      </c>
      <c r="I35" s="234">
        <v>27.502935420743601</v>
      </c>
      <c r="J35" s="235">
        <v>134.49999999999969</v>
      </c>
      <c r="K35" s="235">
        <v>77.454545454545695</v>
      </c>
      <c r="L35" s="235">
        <v>25.893939393939402</v>
      </c>
      <c r="M35" s="235">
        <v>81.000000000000057</v>
      </c>
      <c r="N35" s="235">
        <v>159.54545454545462</v>
      </c>
      <c r="O35" s="235">
        <v>118.39393939393999</v>
      </c>
      <c r="P35" s="235">
        <v>7.0909090909090926</v>
      </c>
      <c r="Q35" s="235">
        <v>33.818181818181849</v>
      </c>
      <c r="R35" s="235">
        <v>133.63636363636385</v>
      </c>
      <c r="S35" s="235">
        <v>22.272727272727273</v>
      </c>
      <c r="T35" s="235">
        <v>7.7727272727272751</v>
      </c>
      <c r="U35" s="235">
        <v>155.1666666666662</v>
      </c>
      <c r="V35" s="235">
        <v>0</v>
      </c>
      <c r="W35" s="235">
        <v>750</v>
      </c>
      <c r="X35" s="233" t="s">
        <v>184</v>
      </c>
      <c r="Y35" s="238" t="s">
        <v>677</v>
      </c>
      <c r="Z35" s="233"/>
      <c r="AA35" s="236" t="s">
        <v>699</v>
      </c>
      <c r="AB35" s="233" t="s">
        <v>184</v>
      </c>
      <c r="AC35" s="238" t="s">
        <v>185</v>
      </c>
      <c r="AD35" s="238" t="s">
        <v>186</v>
      </c>
      <c r="AE35" s="239">
        <v>43818</v>
      </c>
    </row>
    <row r="36" spans="1:31" x14ac:dyDescent="0.3">
      <c r="A36" s="232" t="s">
        <v>294</v>
      </c>
      <c r="B36" s="233" t="s">
        <v>295</v>
      </c>
      <c r="C36" s="227" t="s">
        <v>296</v>
      </c>
      <c r="D36" s="227" t="s">
        <v>297</v>
      </c>
      <c r="E36" s="258">
        <v>14020</v>
      </c>
      <c r="F36" s="227" t="s">
        <v>298</v>
      </c>
      <c r="G36" s="227" t="s">
        <v>233</v>
      </c>
      <c r="H36" s="233" t="s">
        <v>183</v>
      </c>
      <c r="I36" s="234">
        <v>68.4525547445255</v>
      </c>
      <c r="J36" s="235">
        <v>77.924242424242721</v>
      </c>
      <c r="K36" s="235">
        <v>25.121212121212118</v>
      </c>
      <c r="L36" s="235">
        <v>90.484848484848456</v>
      </c>
      <c r="M36" s="235">
        <v>122.98484848484848</v>
      </c>
      <c r="N36" s="235">
        <v>183.87878787878779</v>
      </c>
      <c r="O36" s="235">
        <v>132.63636363636405</v>
      </c>
      <c r="P36" s="235">
        <v>0</v>
      </c>
      <c r="Q36" s="235">
        <v>0</v>
      </c>
      <c r="R36" s="235">
        <v>127.469696969697</v>
      </c>
      <c r="S36" s="235">
        <v>18.863636363636363</v>
      </c>
      <c r="T36" s="235">
        <v>11.909090909090907</v>
      </c>
      <c r="U36" s="235">
        <v>158.27272727272771</v>
      </c>
      <c r="V36" s="235">
        <v>0</v>
      </c>
      <c r="W36" s="235">
        <v>400</v>
      </c>
      <c r="X36" s="233" t="s">
        <v>184</v>
      </c>
      <c r="Y36" s="238" t="s">
        <v>677</v>
      </c>
      <c r="Z36" s="233"/>
      <c r="AA36" s="236" t="s">
        <v>702</v>
      </c>
      <c r="AB36" s="233" t="s">
        <v>184</v>
      </c>
      <c r="AC36" s="238" t="s">
        <v>677</v>
      </c>
      <c r="AD36" s="238" t="s">
        <v>186</v>
      </c>
      <c r="AE36" s="239">
        <v>44266</v>
      </c>
    </row>
    <row r="37" spans="1:31" x14ac:dyDescent="0.3">
      <c r="A37" s="232" t="s">
        <v>277</v>
      </c>
      <c r="B37" s="233" t="s">
        <v>278</v>
      </c>
      <c r="C37" s="227" t="s">
        <v>279</v>
      </c>
      <c r="D37" s="227" t="s">
        <v>280</v>
      </c>
      <c r="E37" s="258">
        <v>33194</v>
      </c>
      <c r="F37" s="227" t="s">
        <v>30</v>
      </c>
      <c r="G37" s="227" t="s">
        <v>233</v>
      </c>
      <c r="H37" s="233" t="s">
        <v>5</v>
      </c>
      <c r="I37" s="234">
        <v>36.835095137420701</v>
      </c>
      <c r="J37" s="235">
        <v>0.24242424242424243</v>
      </c>
      <c r="K37" s="235">
        <v>0</v>
      </c>
      <c r="L37" s="235">
        <v>112.39393939393946</v>
      </c>
      <c r="M37" s="235">
        <v>184.95454545454555</v>
      </c>
      <c r="N37" s="235">
        <v>233.15151515151516</v>
      </c>
      <c r="O37" s="235">
        <v>64.439393939393952</v>
      </c>
      <c r="P37" s="235">
        <v>0</v>
      </c>
      <c r="Q37" s="235">
        <v>0</v>
      </c>
      <c r="R37" s="235">
        <v>117.90909090909098</v>
      </c>
      <c r="S37" s="235">
        <v>25.954545454545453</v>
      </c>
      <c r="T37" s="235">
        <v>15.393939393939393</v>
      </c>
      <c r="U37" s="235">
        <v>138.33333333333354</v>
      </c>
      <c r="V37" s="235">
        <v>0</v>
      </c>
      <c r="W37" s="235">
        <v>450</v>
      </c>
      <c r="X37" s="233" t="s">
        <v>184</v>
      </c>
      <c r="Y37" s="238" t="s">
        <v>677</v>
      </c>
      <c r="Z37" s="233" t="s">
        <v>186</v>
      </c>
      <c r="AA37" s="236" t="s">
        <v>703</v>
      </c>
      <c r="AB37" s="233" t="s">
        <v>184</v>
      </c>
      <c r="AC37" s="238" t="s">
        <v>677</v>
      </c>
      <c r="AD37" s="238" t="s">
        <v>425</v>
      </c>
      <c r="AE37" s="239">
        <v>44237</v>
      </c>
    </row>
    <row r="38" spans="1:31" x14ac:dyDescent="0.3">
      <c r="A38" s="232" t="s">
        <v>14</v>
      </c>
      <c r="B38" s="233" t="s">
        <v>302</v>
      </c>
      <c r="C38" s="227" t="s">
        <v>303</v>
      </c>
      <c r="D38" s="227" t="s">
        <v>195</v>
      </c>
      <c r="E38" s="258">
        <v>78046</v>
      </c>
      <c r="F38" s="227" t="s">
        <v>676</v>
      </c>
      <c r="G38" s="227" t="s">
        <v>224</v>
      </c>
      <c r="H38" s="233" t="s">
        <v>5</v>
      </c>
      <c r="I38" s="234">
        <v>27.343963553530799</v>
      </c>
      <c r="J38" s="235">
        <v>279.65151515151382</v>
      </c>
      <c r="K38" s="235">
        <v>4.6212121212121211</v>
      </c>
      <c r="L38" s="235">
        <v>0</v>
      </c>
      <c r="M38" s="235">
        <v>0</v>
      </c>
      <c r="N38" s="235">
        <v>6.7121212121212137</v>
      </c>
      <c r="O38" s="235">
        <v>277.56060606060475</v>
      </c>
      <c r="P38" s="235">
        <v>0</v>
      </c>
      <c r="Q38" s="235">
        <v>0</v>
      </c>
      <c r="R38" s="235">
        <v>0.28787878787878785</v>
      </c>
      <c r="S38" s="235">
        <v>1.6363636363636362</v>
      </c>
      <c r="T38" s="235">
        <v>3.3787878787878789</v>
      </c>
      <c r="U38" s="235">
        <v>278.96969696969563</v>
      </c>
      <c r="V38" s="235">
        <v>0</v>
      </c>
      <c r="W38" s="235">
        <v>275</v>
      </c>
      <c r="X38" s="233" t="s">
        <v>184</v>
      </c>
      <c r="Y38" s="238" t="s">
        <v>252</v>
      </c>
      <c r="Z38" s="233" t="s">
        <v>186</v>
      </c>
      <c r="AA38" s="236" t="s">
        <v>704</v>
      </c>
      <c r="AB38" s="233" t="s">
        <v>184</v>
      </c>
      <c r="AC38" s="238" t="s">
        <v>252</v>
      </c>
      <c r="AD38" s="238" t="s">
        <v>186</v>
      </c>
      <c r="AE38" s="239">
        <v>43902</v>
      </c>
    </row>
    <row r="39" spans="1:31" x14ac:dyDescent="0.3">
      <c r="A39" s="232" t="s">
        <v>377</v>
      </c>
      <c r="B39" s="233" t="s">
        <v>378</v>
      </c>
      <c r="C39" s="227" t="s">
        <v>379</v>
      </c>
      <c r="D39" s="227" t="s">
        <v>195</v>
      </c>
      <c r="E39" s="258">
        <v>79501</v>
      </c>
      <c r="F39" s="227" t="s">
        <v>269</v>
      </c>
      <c r="G39" s="227" t="s">
        <v>207</v>
      </c>
      <c r="H39" s="233" t="s">
        <v>5</v>
      </c>
      <c r="I39" s="234">
        <v>23.717777777777801</v>
      </c>
      <c r="J39" s="235">
        <v>189.575757575757</v>
      </c>
      <c r="K39" s="235">
        <v>72.196969696969731</v>
      </c>
      <c r="L39" s="235">
        <v>4.1969696969696972</v>
      </c>
      <c r="M39" s="235">
        <v>14.287878787878791</v>
      </c>
      <c r="N39" s="235">
        <v>27.90909090909091</v>
      </c>
      <c r="O39" s="235">
        <v>152.37878787878836</v>
      </c>
      <c r="P39" s="235">
        <v>2.393939393939394</v>
      </c>
      <c r="Q39" s="235">
        <v>97.575757575758018</v>
      </c>
      <c r="R39" s="235">
        <v>14.393939393939398</v>
      </c>
      <c r="S39" s="235">
        <v>4.7121212121212128</v>
      </c>
      <c r="T39" s="235">
        <v>3.9090909090909087</v>
      </c>
      <c r="U39" s="235">
        <v>257.24242424242334</v>
      </c>
      <c r="V39" s="235">
        <v>0</v>
      </c>
      <c r="W39" s="235">
        <v>750</v>
      </c>
      <c r="X39" s="233" t="s">
        <v>184</v>
      </c>
      <c r="Y39" s="238" t="s">
        <v>677</v>
      </c>
      <c r="Z39" s="233" t="s">
        <v>186</v>
      </c>
      <c r="AA39" s="236" t="s">
        <v>705</v>
      </c>
      <c r="AB39" s="233" t="s">
        <v>184</v>
      </c>
      <c r="AC39" s="238" t="s">
        <v>677</v>
      </c>
      <c r="AD39" s="238" t="s">
        <v>186</v>
      </c>
      <c r="AE39" s="239">
        <v>44378</v>
      </c>
    </row>
    <row r="40" spans="1:31" x14ac:dyDescent="0.3">
      <c r="A40" s="232" t="s">
        <v>24</v>
      </c>
      <c r="B40" s="233" t="s">
        <v>655</v>
      </c>
      <c r="C40" s="227" t="s">
        <v>365</v>
      </c>
      <c r="D40" s="227" t="s">
        <v>195</v>
      </c>
      <c r="E40" s="258">
        <v>78118</v>
      </c>
      <c r="F40" s="227" t="s">
        <v>196</v>
      </c>
      <c r="G40" s="227" t="s">
        <v>182</v>
      </c>
      <c r="H40" s="233" t="s">
        <v>183</v>
      </c>
      <c r="I40" s="234">
        <v>4.0763872207542597</v>
      </c>
      <c r="J40" s="235">
        <v>254.84848484847438</v>
      </c>
      <c r="K40" s="235">
        <v>13.681818181818247</v>
      </c>
      <c r="L40" s="235">
        <v>0.33333333333333331</v>
      </c>
      <c r="M40" s="235">
        <v>0</v>
      </c>
      <c r="N40" s="235">
        <v>0.31818181818181823</v>
      </c>
      <c r="O40" s="235">
        <v>224.96969696968995</v>
      </c>
      <c r="P40" s="235">
        <v>0</v>
      </c>
      <c r="Q40" s="235">
        <v>43.575757575757841</v>
      </c>
      <c r="R40" s="235">
        <v>0</v>
      </c>
      <c r="S40" s="235">
        <v>4.5454545454545456E-2</v>
      </c>
      <c r="T40" s="235">
        <v>0.27272727272727276</v>
      </c>
      <c r="U40" s="235">
        <v>268.54545454544785</v>
      </c>
      <c r="V40" s="235">
        <v>0</v>
      </c>
      <c r="W40" s="235">
        <v>830</v>
      </c>
      <c r="X40" s="233" t="s">
        <v>184</v>
      </c>
      <c r="Y40" s="238" t="s">
        <v>201</v>
      </c>
      <c r="Z40" s="233"/>
      <c r="AA40" s="236" t="s">
        <v>706</v>
      </c>
      <c r="AB40" s="233" t="s">
        <v>184</v>
      </c>
      <c r="AC40" s="238" t="s">
        <v>201</v>
      </c>
      <c r="AD40" s="238"/>
      <c r="AE40" s="239">
        <v>44358</v>
      </c>
    </row>
    <row r="41" spans="1:31" x14ac:dyDescent="0.3">
      <c r="A41" s="232" t="s">
        <v>256</v>
      </c>
      <c r="B41" s="233" t="s">
        <v>257</v>
      </c>
      <c r="C41" s="227" t="s">
        <v>258</v>
      </c>
      <c r="D41" s="227" t="s">
        <v>195</v>
      </c>
      <c r="E41" s="258">
        <v>77032</v>
      </c>
      <c r="F41" s="227" t="s">
        <v>242</v>
      </c>
      <c r="G41" s="227" t="s">
        <v>197</v>
      </c>
      <c r="H41" s="233" t="s">
        <v>183</v>
      </c>
      <c r="I41" s="234">
        <v>15.3032490974729</v>
      </c>
      <c r="J41" s="235">
        <v>227.04545454545229</v>
      </c>
      <c r="K41" s="235">
        <v>28.090909090909069</v>
      </c>
      <c r="L41" s="235">
        <v>0.19696969696969696</v>
      </c>
      <c r="M41" s="235">
        <v>2.1818181818181817</v>
      </c>
      <c r="N41" s="235">
        <v>3.4090909090909087</v>
      </c>
      <c r="O41" s="235">
        <v>203.21212121211903</v>
      </c>
      <c r="P41" s="235">
        <v>0.18181818181818182</v>
      </c>
      <c r="Q41" s="235">
        <v>50.712121212121481</v>
      </c>
      <c r="R41" s="235">
        <v>1.7272727272727273</v>
      </c>
      <c r="S41" s="235">
        <v>0.28787878787878785</v>
      </c>
      <c r="T41" s="235">
        <v>0.9242424242424242</v>
      </c>
      <c r="U41" s="235">
        <v>254.57575757575492</v>
      </c>
      <c r="V41" s="235">
        <v>0</v>
      </c>
      <c r="W41" s="235">
        <v>750</v>
      </c>
      <c r="X41" s="233" t="s">
        <v>184</v>
      </c>
      <c r="Y41" s="238" t="s">
        <v>677</v>
      </c>
      <c r="Z41" s="233" t="s">
        <v>186</v>
      </c>
      <c r="AA41" s="236" t="s">
        <v>694</v>
      </c>
      <c r="AB41" s="233" t="s">
        <v>184</v>
      </c>
      <c r="AC41" s="238" t="s">
        <v>185</v>
      </c>
      <c r="AD41" s="238" t="s">
        <v>186</v>
      </c>
      <c r="AE41" s="239">
        <v>43839</v>
      </c>
    </row>
    <row r="42" spans="1:31" x14ac:dyDescent="0.3">
      <c r="A42" s="232" t="s">
        <v>330</v>
      </c>
      <c r="B42" s="233" t="s">
        <v>331</v>
      </c>
      <c r="C42" s="227" t="s">
        <v>332</v>
      </c>
      <c r="D42" s="227" t="s">
        <v>237</v>
      </c>
      <c r="E42" s="258">
        <v>87016</v>
      </c>
      <c r="F42" s="227" t="s">
        <v>238</v>
      </c>
      <c r="G42" s="227" t="s">
        <v>207</v>
      </c>
      <c r="H42" s="233" t="s">
        <v>5</v>
      </c>
      <c r="I42" s="234">
        <v>48.832861189801697</v>
      </c>
      <c r="J42" s="235">
        <v>177.27272727272779</v>
      </c>
      <c r="K42" s="235">
        <v>68.318181818181799</v>
      </c>
      <c r="L42" s="235">
        <v>4.6666666666666661</v>
      </c>
      <c r="M42" s="235">
        <v>1.3181818181818181</v>
      </c>
      <c r="N42" s="235">
        <v>25.030303030303045</v>
      </c>
      <c r="O42" s="235">
        <v>226.54545454545487</v>
      </c>
      <c r="P42" s="235">
        <v>0</v>
      </c>
      <c r="Q42" s="235">
        <v>0</v>
      </c>
      <c r="R42" s="235">
        <v>8.3787878787878807</v>
      </c>
      <c r="S42" s="235">
        <v>3.6515151515151514</v>
      </c>
      <c r="T42" s="235">
        <v>9.7272727272727284</v>
      </c>
      <c r="U42" s="235">
        <v>229.81818181818218</v>
      </c>
      <c r="V42" s="235">
        <v>0</v>
      </c>
      <c r="W42" s="235">
        <v>714</v>
      </c>
      <c r="X42" s="233" t="s">
        <v>184</v>
      </c>
      <c r="Y42" s="238" t="s">
        <v>677</v>
      </c>
      <c r="Z42" s="233"/>
      <c r="AA42" s="236" t="s">
        <v>705</v>
      </c>
      <c r="AB42" s="233" t="s">
        <v>184</v>
      </c>
      <c r="AC42" s="238" t="s">
        <v>677</v>
      </c>
      <c r="AD42" s="238" t="s">
        <v>425</v>
      </c>
      <c r="AE42" s="239">
        <v>44406</v>
      </c>
    </row>
    <row r="43" spans="1:31" x14ac:dyDescent="0.3">
      <c r="A43" s="232" t="s">
        <v>345</v>
      </c>
      <c r="B43" s="233" t="s">
        <v>346</v>
      </c>
      <c r="C43" s="227" t="s">
        <v>285</v>
      </c>
      <c r="D43" s="227" t="s">
        <v>191</v>
      </c>
      <c r="E43" s="258">
        <v>31537</v>
      </c>
      <c r="F43" s="227" t="s">
        <v>192</v>
      </c>
      <c r="G43" s="227" t="s">
        <v>182</v>
      </c>
      <c r="H43" s="233" t="s">
        <v>5</v>
      </c>
      <c r="I43" s="234">
        <v>24.9097387173397</v>
      </c>
      <c r="J43" s="235">
        <v>129.36363636363649</v>
      </c>
      <c r="K43" s="235">
        <v>21.651515151515152</v>
      </c>
      <c r="L43" s="235">
        <v>29.242424242424246</v>
      </c>
      <c r="M43" s="235">
        <v>37.818181818181827</v>
      </c>
      <c r="N43" s="235">
        <v>68.15151515151517</v>
      </c>
      <c r="O43" s="235">
        <v>149.92424242424261</v>
      </c>
      <c r="P43" s="235">
        <v>0</v>
      </c>
      <c r="Q43" s="235">
        <v>0</v>
      </c>
      <c r="R43" s="235">
        <v>33.909090909090914</v>
      </c>
      <c r="S43" s="235">
        <v>9.787878787878789</v>
      </c>
      <c r="T43" s="235">
        <v>9.0303030303030294</v>
      </c>
      <c r="U43" s="235">
        <v>165.34848484848536</v>
      </c>
      <c r="V43" s="235">
        <v>0</v>
      </c>
      <c r="W43" s="235"/>
      <c r="X43" s="233" t="s">
        <v>184</v>
      </c>
      <c r="Y43" s="238" t="s">
        <v>677</v>
      </c>
      <c r="Z43" s="233" t="s">
        <v>186</v>
      </c>
      <c r="AA43" s="236" t="s">
        <v>707</v>
      </c>
      <c r="AB43" s="233" t="s">
        <v>184</v>
      </c>
      <c r="AC43" s="238" t="s">
        <v>185</v>
      </c>
      <c r="AD43" s="238" t="s">
        <v>186</v>
      </c>
      <c r="AE43" s="239">
        <v>44113</v>
      </c>
    </row>
    <row r="44" spans="1:31" x14ac:dyDescent="0.3">
      <c r="A44" s="232" t="s">
        <v>642</v>
      </c>
      <c r="B44" s="233" t="s">
        <v>656</v>
      </c>
      <c r="C44" s="227" t="s">
        <v>314</v>
      </c>
      <c r="D44" s="227" t="s">
        <v>210</v>
      </c>
      <c r="E44" s="258">
        <v>85132</v>
      </c>
      <c r="F44" s="227" t="s">
        <v>211</v>
      </c>
      <c r="G44" s="227" t="s">
        <v>251</v>
      </c>
      <c r="H44" s="233" t="s">
        <v>5</v>
      </c>
      <c r="I44" s="234">
        <v>21.390977443609</v>
      </c>
      <c r="J44" s="235">
        <v>178.34848484848479</v>
      </c>
      <c r="K44" s="235">
        <v>5.6818181818181817</v>
      </c>
      <c r="L44" s="235">
        <v>9.0606060606060588</v>
      </c>
      <c r="M44" s="235">
        <v>13.409090909090903</v>
      </c>
      <c r="N44" s="235">
        <v>26.363636363636374</v>
      </c>
      <c r="O44" s="235">
        <v>163.80303030303037</v>
      </c>
      <c r="P44" s="235">
        <v>1.3787878787878789</v>
      </c>
      <c r="Q44" s="235">
        <v>14.954545454545451</v>
      </c>
      <c r="R44" s="235">
        <v>11.136363636363631</v>
      </c>
      <c r="S44" s="235">
        <v>2.106060606060606</v>
      </c>
      <c r="T44" s="235">
        <v>4.7727272727272725</v>
      </c>
      <c r="U44" s="235">
        <v>188.4848484848483</v>
      </c>
      <c r="V44" s="235">
        <v>0</v>
      </c>
      <c r="W44" s="235"/>
      <c r="X44" s="233" t="s">
        <v>184</v>
      </c>
      <c r="Y44" s="238" t="s">
        <v>252</v>
      </c>
      <c r="Z44" s="233" t="s">
        <v>186</v>
      </c>
      <c r="AA44" s="236" t="s">
        <v>702</v>
      </c>
      <c r="AB44" s="233" t="s">
        <v>184</v>
      </c>
      <c r="AC44" s="238" t="s">
        <v>252</v>
      </c>
      <c r="AD44" s="238"/>
      <c r="AE44" s="239">
        <v>44141</v>
      </c>
    </row>
    <row r="45" spans="1:31" x14ac:dyDescent="0.3">
      <c r="A45" s="232" t="s">
        <v>335</v>
      </c>
      <c r="B45" s="233" t="s">
        <v>336</v>
      </c>
      <c r="C45" s="227" t="s">
        <v>337</v>
      </c>
      <c r="D45" s="227" t="s">
        <v>275</v>
      </c>
      <c r="E45" s="258">
        <v>22427</v>
      </c>
      <c r="F45" s="227" t="s">
        <v>276</v>
      </c>
      <c r="G45" s="227" t="s">
        <v>182</v>
      </c>
      <c r="H45" s="233" t="s">
        <v>183</v>
      </c>
      <c r="I45" s="234">
        <v>58.344262295081997</v>
      </c>
      <c r="J45" s="235">
        <v>34.80303030303034</v>
      </c>
      <c r="K45" s="235">
        <v>30.969696969696976</v>
      </c>
      <c r="L45" s="235">
        <v>48.954545454545453</v>
      </c>
      <c r="M45" s="235">
        <v>83.363636363636331</v>
      </c>
      <c r="N45" s="235">
        <v>131.06060606060612</v>
      </c>
      <c r="O45" s="235">
        <v>67.030303030303031</v>
      </c>
      <c r="P45" s="235">
        <v>0</v>
      </c>
      <c r="Q45" s="235">
        <v>0</v>
      </c>
      <c r="R45" s="235">
        <v>67.12121212121211</v>
      </c>
      <c r="S45" s="235">
        <v>22.681818181818187</v>
      </c>
      <c r="T45" s="235">
        <v>10.772727272727272</v>
      </c>
      <c r="U45" s="235">
        <v>97.515151515151445</v>
      </c>
      <c r="V45" s="235">
        <v>0</v>
      </c>
      <c r="W45" s="235">
        <v>224</v>
      </c>
      <c r="X45" s="233" t="s">
        <v>184</v>
      </c>
      <c r="Y45" s="238" t="s">
        <v>677</v>
      </c>
      <c r="Z45" s="233" t="s">
        <v>186</v>
      </c>
      <c r="AA45" s="236" t="s">
        <v>708</v>
      </c>
      <c r="AB45" s="233" t="s">
        <v>184</v>
      </c>
      <c r="AC45" s="238" t="s">
        <v>185</v>
      </c>
      <c r="AD45" s="238" t="s">
        <v>186</v>
      </c>
      <c r="AE45" s="239">
        <v>44091</v>
      </c>
    </row>
    <row r="46" spans="1:31" x14ac:dyDescent="0.3">
      <c r="A46" s="232" t="s">
        <v>16</v>
      </c>
      <c r="B46" s="233" t="s">
        <v>347</v>
      </c>
      <c r="C46" s="227" t="s">
        <v>303</v>
      </c>
      <c r="D46" s="227" t="s">
        <v>195</v>
      </c>
      <c r="E46" s="258">
        <v>78041</v>
      </c>
      <c r="F46" s="227" t="s">
        <v>676</v>
      </c>
      <c r="G46" s="227" t="s">
        <v>182</v>
      </c>
      <c r="H46" s="233" t="s">
        <v>183</v>
      </c>
      <c r="I46" s="234">
        <v>16.609448818897601</v>
      </c>
      <c r="J46" s="235">
        <v>177.37878787878594</v>
      </c>
      <c r="K46" s="235">
        <v>0.12121212121212122</v>
      </c>
      <c r="L46" s="235">
        <v>9.0909090909090912E-2</v>
      </c>
      <c r="M46" s="235">
        <v>0</v>
      </c>
      <c r="N46" s="235">
        <v>7.575757575757576E-2</v>
      </c>
      <c r="O46" s="235">
        <v>0.59090909090909083</v>
      </c>
      <c r="P46" s="235">
        <v>2.393939393939394</v>
      </c>
      <c r="Q46" s="235">
        <v>174.53030303030118</v>
      </c>
      <c r="R46" s="235">
        <v>0.2878787878787879</v>
      </c>
      <c r="S46" s="235">
        <v>0.77272727272727271</v>
      </c>
      <c r="T46" s="235">
        <v>1</v>
      </c>
      <c r="U46" s="235">
        <v>175.53030303030118</v>
      </c>
      <c r="V46" s="235">
        <v>0</v>
      </c>
      <c r="W46" s="235"/>
      <c r="X46" s="233" t="s">
        <v>184</v>
      </c>
      <c r="Y46" s="238" t="s">
        <v>678</v>
      </c>
      <c r="Z46" s="233" t="s">
        <v>301</v>
      </c>
      <c r="AA46" s="236" t="s">
        <v>709</v>
      </c>
      <c r="AB46" s="233" t="s">
        <v>184</v>
      </c>
      <c r="AC46" s="238" t="s">
        <v>288</v>
      </c>
      <c r="AD46" s="238" t="s">
        <v>301</v>
      </c>
      <c r="AE46" s="239">
        <v>44127</v>
      </c>
    </row>
    <row r="47" spans="1:31" x14ac:dyDescent="0.3">
      <c r="A47" s="232" t="s">
        <v>26</v>
      </c>
      <c r="B47" s="233" t="s">
        <v>399</v>
      </c>
      <c r="C47" s="227" t="s">
        <v>303</v>
      </c>
      <c r="D47" s="227" t="s">
        <v>195</v>
      </c>
      <c r="E47" s="258">
        <v>78046</v>
      </c>
      <c r="F47" s="227" t="s">
        <v>676</v>
      </c>
      <c r="G47" s="227" t="s">
        <v>182</v>
      </c>
      <c r="H47" s="233" t="s">
        <v>183</v>
      </c>
      <c r="I47" s="234">
        <v>21.774617067833699</v>
      </c>
      <c r="J47" s="235">
        <v>143.15151515151538</v>
      </c>
      <c r="K47" s="235">
        <v>1.6363636363636362</v>
      </c>
      <c r="L47" s="235">
        <v>9.5</v>
      </c>
      <c r="M47" s="235">
        <v>22.727272727272734</v>
      </c>
      <c r="N47" s="235">
        <v>25.803030303030308</v>
      </c>
      <c r="O47" s="235">
        <v>57.712121212121261</v>
      </c>
      <c r="P47" s="235">
        <v>3.2727272727272729</v>
      </c>
      <c r="Q47" s="235">
        <v>90.227272727273004</v>
      </c>
      <c r="R47" s="235">
        <v>10.424242424242424</v>
      </c>
      <c r="S47" s="235">
        <v>5.6818181818181817</v>
      </c>
      <c r="T47" s="235">
        <v>2.7878787878787876</v>
      </c>
      <c r="U47" s="235">
        <v>158.12121212121224</v>
      </c>
      <c r="V47" s="235">
        <v>0</v>
      </c>
      <c r="W47" s="235"/>
      <c r="X47" s="233" t="s">
        <v>184</v>
      </c>
      <c r="Y47" s="238" t="s">
        <v>677</v>
      </c>
      <c r="Z47" s="233" t="s">
        <v>186</v>
      </c>
      <c r="AA47" s="236" t="s">
        <v>684</v>
      </c>
      <c r="AB47" s="233" t="s">
        <v>184</v>
      </c>
      <c r="AC47" s="238" t="s">
        <v>185</v>
      </c>
      <c r="AD47" s="238" t="s">
        <v>186</v>
      </c>
      <c r="AE47" s="239">
        <v>43867</v>
      </c>
    </row>
    <row r="48" spans="1:31" x14ac:dyDescent="0.3">
      <c r="A48" s="232" t="s">
        <v>321</v>
      </c>
      <c r="B48" s="233" t="s">
        <v>322</v>
      </c>
      <c r="C48" s="227" t="s">
        <v>323</v>
      </c>
      <c r="D48" s="227" t="s">
        <v>29</v>
      </c>
      <c r="E48" s="258">
        <v>2360</v>
      </c>
      <c r="F48" s="227" t="s">
        <v>324</v>
      </c>
      <c r="G48" s="227" t="s">
        <v>207</v>
      </c>
      <c r="H48" s="233" t="s">
        <v>5</v>
      </c>
      <c r="I48" s="234">
        <v>62.479591836734699</v>
      </c>
      <c r="J48" s="235">
        <v>0.59090909090909094</v>
      </c>
      <c r="K48" s="235">
        <v>0</v>
      </c>
      <c r="L48" s="235">
        <v>51.575757575757578</v>
      </c>
      <c r="M48" s="235">
        <v>113.39393939393942</v>
      </c>
      <c r="N48" s="235">
        <v>139.07575757575768</v>
      </c>
      <c r="O48" s="235">
        <v>26.484848484848481</v>
      </c>
      <c r="P48" s="235">
        <v>0</v>
      </c>
      <c r="Q48" s="235">
        <v>0</v>
      </c>
      <c r="R48" s="235">
        <v>97.636363636363711</v>
      </c>
      <c r="S48" s="235">
        <v>10.212121212121213</v>
      </c>
      <c r="T48" s="235">
        <v>6.1969696969696964</v>
      </c>
      <c r="U48" s="235">
        <v>51.51515151515153</v>
      </c>
      <c r="V48" s="235">
        <v>0</v>
      </c>
      <c r="W48" s="235"/>
      <c r="X48" s="233" t="s">
        <v>184</v>
      </c>
      <c r="Y48" s="238" t="s">
        <v>678</v>
      </c>
      <c r="Z48" s="233" t="s">
        <v>301</v>
      </c>
      <c r="AA48" s="236" t="s">
        <v>710</v>
      </c>
      <c r="AB48" s="233" t="s">
        <v>184</v>
      </c>
      <c r="AC48" s="238" t="s">
        <v>678</v>
      </c>
      <c r="AD48" s="238" t="s">
        <v>301</v>
      </c>
      <c r="AE48" s="239">
        <v>44195</v>
      </c>
    </row>
    <row r="49" spans="1:31" x14ac:dyDescent="0.3">
      <c r="A49" s="232" t="s">
        <v>17</v>
      </c>
      <c r="B49" s="233" t="s">
        <v>299</v>
      </c>
      <c r="C49" s="227" t="s">
        <v>300</v>
      </c>
      <c r="D49" s="227" t="s">
        <v>280</v>
      </c>
      <c r="E49" s="258">
        <v>33471</v>
      </c>
      <c r="F49" s="227" t="s">
        <v>30</v>
      </c>
      <c r="G49" s="227" t="s">
        <v>207</v>
      </c>
      <c r="H49" s="233" t="s">
        <v>183</v>
      </c>
      <c r="I49" s="234">
        <v>82.594827586206904</v>
      </c>
      <c r="J49" s="235">
        <v>0</v>
      </c>
      <c r="K49" s="235">
        <v>0</v>
      </c>
      <c r="L49" s="235">
        <v>48.924242424242436</v>
      </c>
      <c r="M49" s="235">
        <v>104.09090909090908</v>
      </c>
      <c r="N49" s="235">
        <v>111.22727272727271</v>
      </c>
      <c r="O49" s="235">
        <v>17.484848484848484</v>
      </c>
      <c r="P49" s="235">
        <v>19.499999999999996</v>
      </c>
      <c r="Q49" s="235">
        <v>4.8030303030303036</v>
      </c>
      <c r="R49" s="235">
        <v>45.030303030303031</v>
      </c>
      <c r="S49" s="235">
        <v>2.4242424242424243</v>
      </c>
      <c r="T49" s="235">
        <v>3</v>
      </c>
      <c r="U49" s="235">
        <v>102.56060606060608</v>
      </c>
      <c r="V49" s="235">
        <v>0</v>
      </c>
      <c r="W49" s="235">
        <v>300</v>
      </c>
      <c r="X49" s="233" t="s">
        <v>184</v>
      </c>
      <c r="Y49" s="238" t="s">
        <v>678</v>
      </c>
      <c r="Z49" s="233" t="s">
        <v>301</v>
      </c>
      <c r="AA49" s="236" t="s">
        <v>711</v>
      </c>
      <c r="AB49" s="233" t="s">
        <v>184</v>
      </c>
      <c r="AC49" s="238" t="s">
        <v>288</v>
      </c>
      <c r="AD49" s="238" t="s">
        <v>301</v>
      </c>
      <c r="AE49" s="239">
        <v>43895</v>
      </c>
    </row>
    <row r="50" spans="1:31" x14ac:dyDescent="0.3">
      <c r="A50" s="232" t="s">
        <v>28</v>
      </c>
      <c r="B50" s="233" t="s">
        <v>390</v>
      </c>
      <c r="C50" s="227" t="s">
        <v>391</v>
      </c>
      <c r="D50" s="227" t="s">
        <v>297</v>
      </c>
      <c r="E50" s="258">
        <v>10924</v>
      </c>
      <c r="F50" s="227" t="s">
        <v>329</v>
      </c>
      <c r="G50" s="227" t="s">
        <v>207</v>
      </c>
      <c r="H50" s="233" t="s">
        <v>183</v>
      </c>
      <c r="I50" s="234">
        <v>47.178947368420999</v>
      </c>
      <c r="J50" s="235">
        <v>15.969696969696981</v>
      </c>
      <c r="K50" s="235">
        <v>27.63636363636364</v>
      </c>
      <c r="L50" s="235">
        <v>65.060606060606048</v>
      </c>
      <c r="M50" s="235">
        <v>43.560606060606062</v>
      </c>
      <c r="N50" s="235">
        <v>114.98484848484846</v>
      </c>
      <c r="O50" s="235">
        <v>31.212121212121222</v>
      </c>
      <c r="P50" s="235">
        <v>4.7272727272727275</v>
      </c>
      <c r="Q50" s="235">
        <v>1.303030303030303</v>
      </c>
      <c r="R50" s="235">
        <v>51.848484848484837</v>
      </c>
      <c r="S50" s="235">
        <v>29.27272727272727</v>
      </c>
      <c r="T50" s="235">
        <v>20.666666666666664</v>
      </c>
      <c r="U50" s="235">
        <v>50.439393939393966</v>
      </c>
      <c r="V50" s="235">
        <v>0</v>
      </c>
      <c r="W50" s="235"/>
      <c r="X50" s="233" t="s">
        <v>184</v>
      </c>
      <c r="Y50" s="238" t="s">
        <v>678</v>
      </c>
      <c r="Z50" s="233" t="s">
        <v>301</v>
      </c>
      <c r="AA50" s="236" t="s">
        <v>712</v>
      </c>
      <c r="AB50" s="233" t="s">
        <v>184</v>
      </c>
      <c r="AC50" s="238" t="s">
        <v>678</v>
      </c>
      <c r="AD50" s="238" t="s">
        <v>301</v>
      </c>
      <c r="AE50" s="239">
        <v>44134</v>
      </c>
    </row>
    <row r="51" spans="1:31" x14ac:dyDescent="0.3">
      <c r="A51" s="232" t="s">
        <v>338</v>
      </c>
      <c r="B51" s="233" t="s">
        <v>339</v>
      </c>
      <c r="C51" s="227" t="s">
        <v>340</v>
      </c>
      <c r="D51" s="227" t="s">
        <v>280</v>
      </c>
      <c r="E51" s="258">
        <v>32063</v>
      </c>
      <c r="F51" s="227" t="s">
        <v>30</v>
      </c>
      <c r="G51" s="227" t="s">
        <v>207</v>
      </c>
      <c r="H51" s="233" t="s">
        <v>183</v>
      </c>
      <c r="I51" s="234">
        <v>44.620512820512801</v>
      </c>
      <c r="J51" s="235">
        <v>5.7575757575757578</v>
      </c>
      <c r="K51" s="235">
        <v>20.63636363636364</v>
      </c>
      <c r="L51" s="235">
        <v>57.272727272727266</v>
      </c>
      <c r="M51" s="235">
        <v>55.212121212121211</v>
      </c>
      <c r="N51" s="235">
        <v>110.51515151515146</v>
      </c>
      <c r="O51" s="235">
        <v>24.74242424242426</v>
      </c>
      <c r="P51" s="235">
        <v>2.7121212121212124</v>
      </c>
      <c r="Q51" s="235">
        <v>0.90909090909090917</v>
      </c>
      <c r="R51" s="235">
        <v>55.80303030303029</v>
      </c>
      <c r="S51" s="235">
        <v>13.40909090909091</v>
      </c>
      <c r="T51" s="235">
        <v>9.5</v>
      </c>
      <c r="U51" s="235">
        <v>60.166666666666671</v>
      </c>
      <c r="V51" s="235">
        <v>0</v>
      </c>
      <c r="W51" s="235">
        <v>192</v>
      </c>
      <c r="X51" s="233" t="s">
        <v>184</v>
      </c>
      <c r="Y51" s="238" t="s">
        <v>678</v>
      </c>
      <c r="Z51" s="233" t="s">
        <v>301</v>
      </c>
      <c r="AA51" s="236" t="s">
        <v>713</v>
      </c>
      <c r="AB51" s="233" t="s">
        <v>184</v>
      </c>
      <c r="AC51" s="238" t="s">
        <v>678</v>
      </c>
      <c r="AD51" s="238" t="s">
        <v>301</v>
      </c>
      <c r="AE51" s="239">
        <v>44140</v>
      </c>
    </row>
    <row r="52" spans="1:31" x14ac:dyDescent="0.3">
      <c r="A52" s="232" t="s">
        <v>312</v>
      </c>
      <c r="B52" s="233" t="s">
        <v>313</v>
      </c>
      <c r="C52" s="227" t="s">
        <v>314</v>
      </c>
      <c r="D52" s="227" t="s">
        <v>210</v>
      </c>
      <c r="E52" s="258">
        <v>85132</v>
      </c>
      <c r="F52" s="227" t="s">
        <v>211</v>
      </c>
      <c r="G52" s="227" t="s">
        <v>233</v>
      </c>
      <c r="H52" s="233" t="s">
        <v>5</v>
      </c>
      <c r="I52" s="234">
        <v>3.4393000364564301</v>
      </c>
      <c r="J52" s="235">
        <v>127.36363636363669</v>
      </c>
      <c r="K52" s="235">
        <v>5.3636363636363686</v>
      </c>
      <c r="L52" s="235">
        <v>1.0909090909090906</v>
      </c>
      <c r="M52" s="235">
        <v>0.63636363636363602</v>
      </c>
      <c r="N52" s="235">
        <v>4.2424242424242413</v>
      </c>
      <c r="O52" s="235">
        <v>130.09090909090889</v>
      </c>
      <c r="P52" s="235">
        <v>9.0909090909090912E-2</v>
      </c>
      <c r="Q52" s="235">
        <v>3.0303030303030304E-2</v>
      </c>
      <c r="R52" s="235">
        <v>1.1818181818181814</v>
      </c>
      <c r="S52" s="235">
        <v>0.53030303030303017</v>
      </c>
      <c r="T52" s="235">
        <v>0.5757575757575758</v>
      </c>
      <c r="U52" s="235">
        <v>132.16666666666578</v>
      </c>
      <c r="V52" s="235">
        <v>0</v>
      </c>
      <c r="W52" s="235">
        <v>392</v>
      </c>
      <c r="X52" s="233" t="s">
        <v>184</v>
      </c>
      <c r="Y52" s="238" t="s">
        <v>677</v>
      </c>
      <c r="Z52" s="233"/>
      <c r="AA52" s="236" t="s">
        <v>714</v>
      </c>
      <c r="AB52" s="233" t="s">
        <v>184</v>
      </c>
      <c r="AC52" s="238" t="s">
        <v>677</v>
      </c>
      <c r="AD52" s="238" t="s">
        <v>186</v>
      </c>
      <c r="AE52" s="239">
        <v>44139</v>
      </c>
    </row>
    <row r="53" spans="1:31" x14ac:dyDescent="0.3">
      <c r="A53" s="232" t="s">
        <v>643</v>
      </c>
      <c r="B53" s="233" t="s">
        <v>657</v>
      </c>
      <c r="C53" s="227" t="s">
        <v>658</v>
      </c>
      <c r="D53" s="227" t="s">
        <v>180</v>
      </c>
      <c r="E53" s="258">
        <v>93250</v>
      </c>
      <c r="F53" s="227" t="s">
        <v>317</v>
      </c>
      <c r="G53" s="227" t="s">
        <v>197</v>
      </c>
      <c r="H53" s="233" t="s">
        <v>183</v>
      </c>
      <c r="I53" s="234">
        <v>46.482758620689701</v>
      </c>
      <c r="J53" s="235">
        <v>0</v>
      </c>
      <c r="K53" s="235">
        <v>0.93939393939393934</v>
      </c>
      <c r="L53" s="235">
        <v>40.651515151515163</v>
      </c>
      <c r="M53" s="235">
        <v>90.681818181818173</v>
      </c>
      <c r="N53" s="235">
        <v>131.27272727272717</v>
      </c>
      <c r="O53" s="235">
        <v>1</v>
      </c>
      <c r="P53" s="235">
        <v>0</v>
      </c>
      <c r="Q53" s="235">
        <v>0</v>
      </c>
      <c r="R53" s="235">
        <v>96.81818181818177</v>
      </c>
      <c r="S53" s="235">
        <v>6.3484848484848486</v>
      </c>
      <c r="T53" s="235">
        <v>1</v>
      </c>
      <c r="U53" s="235">
        <v>28.106060606060609</v>
      </c>
      <c r="V53" s="235">
        <v>0</v>
      </c>
      <c r="W53" s="235">
        <v>560</v>
      </c>
      <c r="X53" s="233" t="s">
        <v>184</v>
      </c>
      <c r="Y53" s="238" t="s">
        <v>677</v>
      </c>
      <c r="Z53" s="233" t="s">
        <v>186</v>
      </c>
      <c r="AA53" s="236" t="s">
        <v>701</v>
      </c>
      <c r="AB53" s="233" t="s">
        <v>184</v>
      </c>
      <c r="AC53" s="238" t="s">
        <v>677</v>
      </c>
      <c r="AD53" s="238" t="s">
        <v>186</v>
      </c>
      <c r="AE53" s="239">
        <v>44272</v>
      </c>
    </row>
    <row r="54" spans="1:31" x14ac:dyDescent="0.3">
      <c r="A54" s="232" t="s">
        <v>6</v>
      </c>
      <c r="B54" s="233" t="s">
        <v>392</v>
      </c>
      <c r="C54" s="227" t="s">
        <v>393</v>
      </c>
      <c r="D54" s="227" t="s">
        <v>205</v>
      </c>
      <c r="E54" s="258">
        <v>70655</v>
      </c>
      <c r="F54" s="227" t="s">
        <v>206</v>
      </c>
      <c r="G54" s="227" t="s">
        <v>207</v>
      </c>
      <c r="H54" s="233" t="s">
        <v>5</v>
      </c>
      <c r="I54" s="234">
        <v>50.84375</v>
      </c>
      <c r="J54" s="235">
        <v>127.92424242424249</v>
      </c>
      <c r="K54" s="235">
        <v>2.9545454545454541</v>
      </c>
      <c r="L54" s="235">
        <v>0</v>
      </c>
      <c r="M54" s="235">
        <v>0.5</v>
      </c>
      <c r="N54" s="235">
        <v>3.7272727272727271</v>
      </c>
      <c r="O54" s="235">
        <v>127.65151515151518</v>
      </c>
      <c r="P54" s="235">
        <v>0</v>
      </c>
      <c r="Q54" s="235">
        <v>0</v>
      </c>
      <c r="R54" s="235">
        <v>2.9242424242424243</v>
      </c>
      <c r="S54" s="235">
        <v>0</v>
      </c>
      <c r="T54" s="235">
        <v>0.80303030303030298</v>
      </c>
      <c r="U54" s="235">
        <v>127.65151515151518</v>
      </c>
      <c r="V54" s="235">
        <v>0</v>
      </c>
      <c r="W54" s="235">
        <v>170</v>
      </c>
      <c r="X54" s="233" t="s">
        <v>184</v>
      </c>
      <c r="Y54" s="238" t="s">
        <v>677</v>
      </c>
      <c r="Z54" s="233" t="s">
        <v>186</v>
      </c>
      <c r="AA54" s="236" t="s">
        <v>700</v>
      </c>
      <c r="AB54" s="233" t="s">
        <v>184</v>
      </c>
      <c r="AC54" s="238" t="s">
        <v>677</v>
      </c>
      <c r="AD54" s="238" t="s">
        <v>186</v>
      </c>
      <c r="AE54" s="239">
        <v>44174</v>
      </c>
    </row>
    <row r="55" spans="1:31" x14ac:dyDescent="0.3">
      <c r="A55" s="232" t="s">
        <v>348</v>
      </c>
      <c r="B55" s="233" t="s">
        <v>349</v>
      </c>
      <c r="C55" s="227" t="s">
        <v>350</v>
      </c>
      <c r="D55" s="227" t="s">
        <v>44</v>
      </c>
      <c r="E55" s="258">
        <v>35901</v>
      </c>
      <c r="F55" s="227" t="s">
        <v>206</v>
      </c>
      <c r="G55" s="227" t="s">
        <v>251</v>
      </c>
      <c r="H55" s="233" t="s">
        <v>5</v>
      </c>
      <c r="I55" s="234">
        <v>59.2950819672131</v>
      </c>
      <c r="J55" s="235">
        <v>84.666666666666629</v>
      </c>
      <c r="K55" s="235">
        <v>2.1212121212121202</v>
      </c>
      <c r="L55" s="235">
        <v>13.560606060606064</v>
      </c>
      <c r="M55" s="235">
        <v>13.666666666666668</v>
      </c>
      <c r="N55" s="235">
        <v>25.196969696969713</v>
      </c>
      <c r="O55" s="235">
        <v>88.575757575757564</v>
      </c>
      <c r="P55" s="235">
        <v>0</v>
      </c>
      <c r="Q55" s="235">
        <v>0.24242424242424243</v>
      </c>
      <c r="R55" s="235">
        <v>13.348484848484848</v>
      </c>
      <c r="S55" s="235">
        <v>4.454545454545455</v>
      </c>
      <c r="T55" s="235">
        <v>1.4848484848484849</v>
      </c>
      <c r="U55" s="235">
        <v>94.72727272727272</v>
      </c>
      <c r="V55" s="235">
        <v>0</v>
      </c>
      <c r="W55" s="235"/>
      <c r="X55" s="233" t="s">
        <v>184</v>
      </c>
      <c r="Y55" s="238" t="s">
        <v>678</v>
      </c>
      <c r="Z55" s="233"/>
      <c r="AA55" s="236" t="s">
        <v>715</v>
      </c>
      <c r="AB55" s="233" t="s">
        <v>184</v>
      </c>
      <c r="AC55" s="238" t="s">
        <v>288</v>
      </c>
      <c r="AD55" s="238" t="s">
        <v>301</v>
      </c>
      <c r="AE55" s="239">
        <v>44127</v>
      </c>
    </row>
    <row r="56" spans="1:31" x14ac:dyDescent="0.3">
      <c r="A56" s="232" t="s">
        <v>8</v>
      </c>
      <c r="B56" s="233" t="s">
        <v>333</v>
      </c>
      <c r="C56" s="227" t="s">
        <v>31</v>
      </c>
      <c r="D56" s="227" t="s">
        <v>205</v>
      </c>
      <c r="E56" s="258">
        <v>71303</v>
      </c>
      <c r="F56" s="227" t="s">
        <v>206</v>
      </c>
      <c r="G56" s="227" t="s">
        <v>334</v>
      </c>
      <c r="H56" s="233" t="s">
        <v>5</v>
      </c>
      <c r="I56" s="234">
        <v>4.1286043829296402</v>
      </c>
      <c r="J56" s="235">
        <v>50.439393939394272</v>
      </c>
      <c r="K56" s="235">
        <v>7.2878787878787961</v>
      </c>
      <c r="L56" s="235">
        <v>23.272727272727369</v>
      </c>
      <c r="M56" s="235">
        <v>29.469696969697168</v>
      </c>
      <c r="N56" s="235">
        <v>54.227272727273494</v>
      </c>
      <c r="O56" s="235">
        <v>56.106060606061092</v>
      </c>
      <c r="P56" s="235">
        <v>0.13636363636363635</v>
      </c>
      <c r="Q56" s="235">
        <v>0</v>
      </c>
      <c r="R56" s="235">
        <v>33.651515151515397</v>
      </c>
      <c r="S56" s="235">
        <v>9.3939393939394122</v>
      </c>
      <c r="T56" s="235">
        <v>7.1515151515151594</v>
      </c>
      <c r="U56" s="235">
        <v>60.27272727272787</v>
      </c>
      <c r="V56" s="235">
        <v>0</v>
      </c>
      <c r="W56" s="235"/>
      <c r="X56" s="233" t="s">
        <v>208</v>
      </c>
      <c r="Y56" s="238"/>
      <c r="Z56" s="233"/>
      <c r="AA56" s="236"/>
      <c r="AB56" s="233" t="s">
        <v>208</v>
      </c>
      <c r="AC56" s="238"/>
      <c r="AD56" s="238"/>
      <c r="AE56" s="239"/>
    </row>
    <row r="57" spans="1:31" x14ac:dyDescent="0.3">
      <c r="A57" s="232" t="s">
        <v>644</v>
      </c>
      <c r="B57" s="233" t="s">
        <v>659</v>
      </c>
      <c r="C57" s="227" t="s">
        <v>179</v>
      </c>
      <c r="D57" s="227" t="s">
        <v>180</v>
      </c>
      <c r="E57" s="258">
        <v>92301</v>
      </c>
      <c r="F57" s="227" t="s">
        <v>181</v>
      </c>
      <c r="G57" s="227" t="s">
        <v>197</v>
      </c>
      <c r="H57" s="233" t="s">
        <v>183</v>
      </c>
      <c r="I57" s="234">
        <v>48.194805194805198</v>
      </c>
      <c r="J57" s="235">
        <v>2.5454545454545454</v>
      </c>
      <c r="K57" s="235">
        <v>7.0454545454545459</v>
      </c>
      <c r="L57" s="235">
        <v>26.287878787878789</v>
      </c>
      <c r="M57" s="235">
        <v>67.757575757575751</v>
      </c>
      <c r="N57" s="235">
        <v>89.984848484848499</v>
      </c>
      <c r="O57" s="235">
        <v>7.6969696969696972</v>
      </c>
      <c r="P57" s="235">
        <v>3.7272727272727275</v>
      </c>
      <c r="Q57" s="235">
        <v>2.2272727272727275</v>
      </c>
      <c r="R57" s="235">
        <v>68.787878787878782</v>
      </c>
      <c r="S57" s="235">
        <v>10.257575757575758</v>
      </c>
      <c r="T57" s="235">
        <v>3.0757575757575757</v>
      </c>
      <c r="U57" s="235">
        <v>21.515151515151523</v>
      </c>
      <c r="V57" s="235">
        <v>0</v>
      </c>
      <c r="W57" s="235">
        <v>120</v>
      </c>
      <c r="X57" s="233" t="s">
        <v>184</v>
      </c>
      <c r="Y57" s="238" t="s">
        <v>677</v>
      </c>
      <c r="Z57" s="233" t="s">
        <v>186</v>
      </c>
      <c r="AA57" s="236" t="s">
        <v>716</v>
      </c>
      <c r="AB57" s="233" t="s">
        <v>184</v>
      </c>
      <c r="AC57" s="238" t="s">
        <v>677</v>
      </c>
      <c r="AD57" s="238"/>
      <c r="AE57" s="239">
        <v>44133</v>
      </c>
    </row>
    <row r="58" spans="1:31" x14ac:dyDescent="0.3">
      <c r="A58" s="232" t="s">
        <v>837</v>
      </c>
      <c r="B58" s="233" t="s">
        <v>846</v>
      </c>
      <c r="C58" s="227" t="s">
        <v>854</v>
      </c>
      <c r="D58" s="227" t="s">
        <v>210</v>
      </c>
      <c r="E58" s="258">
        <v>85253</v>
      </c>
      <c r="F58" s="227" t="s">
        <v>211</v>
      </c>
      <c r="G58" s="227" t="s">
        <v>859</v>
      </c>
      <c r="H58" s="233" t="s">
        <v>183</v>
      </c>
      <c r="I58" s="234">
        <v>2.8606368251038301</v>
      </c>
      <c r="J58" s="235">
        <v>96.121212121214114</v>
      </c>
      <c r="K58" s="235">
        <v>0</v>
      </c>
      <c r="L58" s="235">
        <v>0</v>
      </c>
      <c r="M58" s="235">
        <v>0</v>
      </c>
      <c r="N58" s="235">
        <v>0.42424242424242409</v>
      </c>
      <c r="O58" s="235">
        <v>44.727272727273608</v>
      </c>
      <c r="P58" s="235">
        <v>0.15151515151515152</v>
      </c>
      <c r="Q58" s="235">
        <v>50.81818181818285</v>
      </c>
      <c r="R58" s="235">
        <v>0</v>
      </c>
      <c r="S58" s="235">
        <v>9.0909090909090912E-2</v>
      </c>
      <c r="T58" s="235">
        <v>0.48484848484848475</v>
      </c>
      <c r="U58" s="235">
        <v>95.545454545456536</v>
      </c>
      <c r="V58" s="235">
        <v>0</v>
      </c>
      <c r="W58" s="235"/>
      <c r="X58" s="233" t="s">
        <v>184</v>
      </c>
      <c r="Y58" s="238" t="s">
        <v>201</v>
      </c>
      <c r="Z58" s="233"/>
      <c r="AA58" s="236" t="s">
        <v>860</v>
      </c>
      <c r="AB58" s="233" t="s">
        <v>208</v>
      </c>
      <c r="AC58" s="238"/>
      <c r="AD58" s="238"/>
      <c r="AE58" s="239"/>
    </row>
    <row r="59" spans="1:31" x14ac:dyDescent="0.3">
      <c r="A59" s="232" t="s">
        <v>341</v>
      </c>
      <c r="B59" s="233" t="s">
        <v>342</v>
      </c>
      <c r="C59" s="227" t="s">
        <v>343</v>
      </c>
      <c r="D59" s="227" t="s">
        <v>344</v>
      </c>
      <c r="E59" s="258">
        <v>60098</v>
      </c>
      <c r="F59" s="227" t="s">
        <v>36</v>
      </c>
      <c r="G59" s="227" t="s">
        <v>251</v>
      </c>
      <c r="H59" s="233" t="s">
        <v>183</v>
      </c>
      <c r="I59" s="234">
        <v>63.181159420289902</v>
      </c>
      <c r="J59" s="235">
        <v>27.409090909090903</v>
      </c>
      <c r="K59" s="235">
        <v>13.424242424242422</v>
      </c>
      <c r="L59" s="235">
        <v>26.86363636363636</v>
      </c>
      <c r="M59" s="235">
        <v>26.196969696969703</v>
      </c>
      <c r="N59" s="235">
        <v>62.621212121212146</v>
      </c>
      <c r="O59" s="235">
        <v>25.318181818181813</v>
      </c>
      <c r="P59" s="235">
        <v>3.5151515151515151</v>
      </c>
      <c r="Q59" s="235">
        <v>2.4393939393939394</v>
      </c>
      <c r="R59" s="235">
        <v>32.196969696969703</v>
      </c>
      <c r="S59" s="235">
        <v>8.5</v>
      </c>
      <c r="T59" s="235">
        <v>8.0606060606060606</v>
      </c>
      <c r="U59" s="235">
        <v>45.13636363636364</v>
      </c>
      <c r="V59" s="235">
        <v>0</v>
      </c>
      <c r="W59" s="235"/>
      <c r="X59" s="233" t="s">
        <v>184</v>
      </c>
      <c r="Y59" s="238" t="s">
        <v>678</v>
      </c>
      <c r="Z59" s="233" t="s">
        <v>301</v>
      </c>
      <c r="AA59" s="236" t="s">
        <v>710</v>
      </c>
      <c r="AB59" s="233" t="s">
        <v>184</v>
      </c>
      <c r="AC59" s="238" t="s">
        <v>288</v>
      </c>
      <c r="AD59" s="238" t="s">
        <v>301</v>
      </c>
      <c r="AE59" s="239">
        <v>44105</v>
      </c>
    </row>
    <row r="60" spans="1:31" x14ac:dyDescent="0.3">
      <c r="A60" s="232" t="s">
        <v>318</v>
      </c>
      <c r="B60" s="233" t="s">
        <v>319</v>
      </c>
      <c r="C60" s="227" t="s">
        <v>320</v>
      </c>
      <c r="D60" s="227" t="s">
        <v>195</v>
      </c>
      <c r="E60" s="258">
        <v>76642</v>
      </c>
      <c r="F60" s="227" t="s">
        <v>242</v>
      </c>
      <c r="G60" s="227" t="s">
        <v>251</v>
      </c>
      <c r="H60" s="233" t="s">
        <v>5</v>
      </c>
      <c r="I60" s="234">
        <v>37.764084507042298</v>
      </c>
      <c r="J60" s="235">
        <v>89.181818181818329</v>
      </c>
      <c r="K60" s="235">
        <v>1.0909090909090908</v>
      </c>
      <c r="L60" s="235">
        <v>2</v>
      </c>
      <c r="M60" s="235">
        <v>0.31818181818181818</v>
      </c>
      <c r="N60" s="235">
        <v>3.3787878787878789</v>
      </c>
      <c r="O60" s="235">
        <v>89.21212121212136</v>
      </c>
      <c r="P60" s="235">
        <v>0</v>
      </c>
      <c r="Q60" s="235">
        <v>0</v>
      </c>
      <c r="R60" s="235">
        <v>2.3181818181818183</v>
      </c>
      <c r="S60" s="235">
        <v>0.54545454545454541</v>
      </c>
      <c r="T60" s="235">
        <v>0.51515151515151514</v>
      </c>
      <c r="U60" s="235">
        <v>89.21212121212136</v>
      </c>
      <c r="V60" s="235">
        <v>0</v>
      </c>
      <c r="W60" s="235"/>
      <c r="X60" s="233" t="s">
        <v>184</v>
      </c>
      <c r="Y60" s="238" t="s">
        <v>288</v>
      </c>
      <c r="Z60" s="233" t="s">
        <v>301</v>
      </c>
      <c r="AA60" s="236" t="s">
        <v>695</v>
      </c>
      <c r="AB60" s="233" t="s">
        <v>184</v>
      </c>
      <c r="AC60" s="238" t="s">
        <v>288</v>
      </c>
      <c r="AD60" s="238" t="s">
        <v>301</v>
      </c>
      <c r="AE60" s="239">
        <v>44105</v>
      </c>
    </row>
    <row r="61" spans="1:31" x14ac:dyDescent="0.3">
      <c r="A61" s="232" t="s">
        <v>351</v>
      </c>
      <c r="B61" s="233" t="s">
        <v>352</v>
      </c>
      <c r="C61" s="227" t="s">
        <v>22</v>
      </c>
      <c r="D61" s="227" t="s">
        <v>270</v>
      </c>
      <c r="E61" s="258">
        <v>7201</v>
      </c>
      <c r="F61" s="227" t="s">
        <v>271</v>
      </c>
      <c r="G61" s="227" t="s">
        <v>197</v>
      </c>
      <c r="H61" s="233" t="s">
        <v>183</v>
      </c>
      <c r="I61" s="234">
        <v>13.6615384615385</v>
      </c>
      <c r="J61" s="235">
        <v>76.136363636363782</v>
      </c>
      <c r="K61" s="235">
        <v>8.9545454545454533</v>
      </c>
      <c r="L61" s="235">
        <v>4.5606060606060606</v>
      </c>
      <c r="M61" s="235">
        <v>2.6818181818181812</v>
      </c>
      <c r="N61" s="235">
        <v>8.8484848484848513</v>
      </c>
      <c r="O61" s="235">
        <v>77.212121212121346</v>
      </c>
      <c r="P61" s="235">
        <v>0.51515151515151514</v>
      </c>
      <c r="Q61" s="235">
        <v>5.7575757575757596</v>
      </c>
      <c r="R61" s="235">
        <v>2.893939393939394</v>
      </c>
      <c r="S61" s="235">
        <v>2.5454545454545454</v>
      </c>
      <c r="T61" s="235">
        <v>1.106060606060606</v>
      </c>
      <c r="U61" s="235">
        <v>85.787878787879038</v>
      </c>
      <c r="V61" s="235">
        <v>0</v>
      </c>
      <c r="W61" s="235">
        <v>285</v>
      </c>
      <c r="X61" s="233" t="s">
        <v>184</v>
      </c>
      <c r="Y61" s="238" t="s">
        <v>677</v>
      </c>
      <c r="Z61" s="233" t="s">
        <v>186</v>
      </c>
      <c r="AA61" s="236" t="s">
        <v>681</v>
      </c>
      <c r="AB61" s="233" t="s">
        <v>184</v>
      </c>
      <c r="AC61" s="238" t="s">
        <v>185</v>
      </c>
      <c r="AD61" s="238" t="s">
        <v>186</v>
      </c>
      <c r="AE61" s="239">
        <v>44091</v>
      </c>
    </row>
    <row r="62" spans="1:31" x14ac:dyDescent="0.3">
      <c r="A62" s="232" t="s">
        <v>838</v>
      </c>
      <c r="B62" s="233" t="s">
        <v>847</v>
      </c>
      <c r="C62" s="227" t="s">
        <v>855</v>
      </c>
      <c r="D62" s="227" t="s">
        <v>195</v>
      </c>
      <c r="E62" s="258">
        <v>78040</v>
      </c>
      <c r="F62" s="227" t="s">
        <v>196</v>
      </c>
      <c r="G62" s="227" t="s">
        <v>859</v>
      </c>
      <c r="H62" s="233" t="s">
        <v>183</v>
      </c>
      <c r="I62" s="234">
        <v>2.35086277732128</v>
      </c>
      <c r="J62" s="235">
        <v>90.696969696971593</v>
      </c>
      <c r="K62" s="235">
        <v>9.0909090909090912E-2</v>
      </c>
      <c r="L62" s="235">
        <v>6.0606060606060608E-2</v>
      </c>
      <c r="M62" s="235">
        <v>0</v>
      </c>
      <c r="N62" s="235">
        <v>0.27272727272727271</v>
      </c>
      <c r="O62" s="235">
        <v>40.181818181818876</v>
      </c>
      <c r="P62" s="235">
        <v>3.0303030303030304E-2</v>
      </c>
      <c r="Q62" s="235">
        <v>50.363636363637298</v>
      </c>
      <c r="R62" s="235">
        <v>0</v>
      </c>
      <c r="S62" s="235">
        <v>9.0909090909090912E-2</v>
      </c>
      <c r="T62" s="235">
        <v>0.21212121212121213</v>
      </c>
      <c r="U62" s="235">
        <v>90.545454545456437</v>
      </c>
      <c r="V62" s="235">
        <v>0</v>
      </c>
      <c r="W62" s="235"/>
      <c r="X62" s="233" t="s">
        <v>208</v>
      </c>
      <c r="Y62" s="238"/>
      <c r="Z62" s="233"/>
      <c r="AA62" s="236"/>
      <c r="AB62" s="233" t="s">
        <v>208</v>
      </c>
      <c r="AC62" s="238"/>
      <c r="AD62" s="238"/>
      <c r="AE62" s="239"/>
    </row>
    <row r="63" spans="1:31" x14ac:dyDescent="0.3">
      <c r="A63" s="232" t="s">
        <v>25</v>
      </c>
      <c r="B63" s="233" t="s">
        <v>394</v>
      </c>
      <c r="C63" s="227" t="s">
        <v>37</v>
      </c>
      <c r="D63" s="227" t="s">
        <v>237</v>
      </c>
      <c r="E63" s="258">
        <v>87021</v>
      </c>
      <c r="F63" s="227" t="s">
        <v>238</v>
      </c>
      <c r="G63" s="227" t="s">
        <v>207</v>
      </c>
      <c r="H63" s="233" t="s">
        <v>5</v>
      </c>
      <c r="I63" s="234">
        <v>45.9324324324324</v>
      </c>
      <c r="J63" s="235">
        <v>78.090909090909065</v>
      </c>
      <c r="K63" s="235">
        <v>8.1969696969696972</v>
      </c>
      <c r="L63" s="235">
        <v>1</v>
      </c>
      <c r="M63" s="235">
        <v>0</v>
      </c>
      <c r="N63" s="235">
        <v>9.454545454545455</v>
      </c>
      <c r="O63" s="235">
        <v>77.8333333333333</v>
      </c>
      <c r="P63" s="235">
        <v>0</v>
      </c>
      <c r="Q63" s="235">
        <v>0</v>
      </c>
      <c r="R63" s="235">
        <v>0</v>
      </c>
      <c r="S63" s="235">
        <v>1</v>
      </c>
      <c r="T63" s="235">
        <v>7.0757575757575761</v>
      </c>
      <c r="U63" s="235">
        <v>79.212121212121176</v>
      </c>
      <c r="V63" s="235">
        <v>0</v>
      </c>
      <c r="W63" s="235"/>
      <c r="X63" s="233" t="s">
        <v>184</v>
      </c>
      <c r="Y63" s="238" t="s">
        <v>677</v>
      </c>
      <c r="Z63" s="233" t="s">
        <v>186</v>
      </c>
      <c r="AA63" s="236" t="s">
        <v>680</v>
      </c>
      <c r="AB63" s="233" t="s">
        <v>184</v>
      </c>
      <c r="AC63" s="238" t="s">
        <v>677</v>
      </c>
      <c r="AD63" s="238" t="s">
        <v>186</v>
      </c>
      <c r="AE63" s="239">
        <v>44168</v>
      </c>
    </row>
    <row r="64" spans="1:31" x14ac:dyDescent="0.3">
      <c r="A64" s="232" t="s">
        <v>383</v>
      </c>
      <c r="B64" s="233" t="s">
        <v>384</v>
      </c>
      <c r="C64" s="227" t="s">
        <v>385</v>
      </c>
      <c r="D64" s="227" t="s">
        <v>386</v>
      </c>
      <c r="E64" s="258">
        <v>41005</v>
      </c>
      <c r="F64" s="227" t="s">
        <v>36</v>
      </c>
      <c r="G64" s="227" t="s">
        <v>251</v>
      </c>
      <c r="H64" s="233" t="s">
        <v>183</v>
      </c>
      <c r="I64" s="234">
        <v>61.131147540983598</v>
      </c>
      <c r="J64" s="235">
        <v>14.863636363636365</v>
      </c>
      <c r="K64" s="235">
        <v>13.636363636363637</v>
      </c>
      <c r="L64" s="235">
        <v>28.95454545454546</v>
      </c>
      <c r="M64" s="235">
        <v>28.575757575757578</v>
      </c>
      <c r="N64" s="235">
        <v>65.878787878787904</v>
      </c>
      <c r="O64" s="235">
        <v>17.560606060606066</v>
      </c>
      <c r="P64" s="235">
        <v>2.393939393939394</v>
      </c>
      <c r="Q64" s="235">
        <v>0.19696969696969696</v>
      </c>
      <c r="R64" s="235">
        <v>26.106060606060606</v>
      </c>
      <c r="S64" s="235">
        <v>12.590909090909092</v>
      </c>
      <c r="T64" s="235">
        <v>7.6060606060606046</v>
      </c>
      <c r="U64" s="235">
        <v>39.72727272727272</v>
      </c>
      <c r="V64" s="235">
        <v>0</v>
      </c>
      <c r="W64" s="235"/>
      <c r="X64" s="233" t="s">
        <v>184</v>
      </c>
      <c r="Y64" s="238" t="s">
        <v>288</v>
      </c>
      <c r="Z64" s="233" t="s">
        <v>301</v>
      </c>
      <c r="AA64" s="236" t="s">
        <v>717</v>
      </c>
      <c r="AB64" s="233" t="s">
        <v>184</v>
      </c>
      <c r="AC64" s="238" t="s">
        <v>288</v>
      </c>
      <c r="AD64" s="238" t="s">
        <v>301</v>
      </c>
      <c r="AE64" s="239">
        <v>43895</v>
      </c>
    </row>
    <row r="65" spans="1:31" x14ac:dyDescent="0.3">
      <c r="A65" s="232" t="s">
        <v>645</v>
      </c>
      <c r="B65" s="233" t="s">
        <v>660</v>
      </c>
      <c r="C65" s="227" t="s">
        <v>241</v>
      </c>
      <c r="D65" s="227" t="s">
        <v>195</v>
      </c>
      <c r="E65" s="258">
        <v>77301</v>
      </c>
      <c r="F65" s="227" t="s">
        <v>242</v>
      </c>
      <c r="G65" s="227" t="s">
        <v>207</v>
      </c>
      <c r="H65" s="233" t="s">
        <v>183</v>
      </c>
      <c r="I65" s="234">
        <v>39.018633540372697</v>
      </c>
      <c r="J65" s="235">
        <v>62.090909090909079</v>
      </c>
      <c r="K65" s="235">
        <v>16.439393939393938</v>
      </c>
      <c r="L65" s="235">
        <v>4.8636363636363642</v>
      </c>
      <c r="M65" s="235">
        <v>2.2727272727272729</v>
      </c>
      <c r="N65" s="235">
        <v>13.545454545454549</v>
      </c>
      <c r="O65" s="235">
        <v>72.121212121212082</v>
      </c>
      <c r="P65" s="235">
        <v>0</v>
      </c>
      <c r="Q65" s="235">
        <v>0</v>
      </c>
      <c r="R65" s="235">
        <v>9.5151515151515156</v>
      </c>
      <c r="S65" s="235">
        <v>1.0757575757575757</v>
      </c>
      <c r="T65" s="235">
        <v>2.3181818181818179</v>
      </c>
      <c r="U65" s="235">
        <v>72.757575757575708</v>
      </c>
      <c r="V65" s="235">
        <v>0</v>
      </c>
      <c r="W65" s="235"/>
      <c r="X65" s="233" t="s">
        <v>184</v>
      </c>
      <c r="Y65" s="238" t="s">
        <v>678</v>
      </c>
      <c r="Z65" s="233" t="s">
        <v>301</v>
      </c>
      <c r="AA65" s="236" t="s">
        <v>690</v>
      </c>
      <c r="AB65" s="233" t="s">
        <v>184</v>
      </c>
      <c r="AC65" s="238" t="s">
        <v>678</v>
      </c>
      <c r="AD65" s="238" t="s">
        <v>301</v>
      </c>
      <c r="AE65" s="239">
        <v>44183</v>
      </c>
    </row>
    <row r="66" spans="1:31" x14ac:dyDescent="0.3">
      <c r="A66" s="232" t="s">
        <v>839</v>
      </c>
      <c r="B66" s="233" t="s">
        <v>848</v>
      </c>
      <c r="C66" s="227" t="s">
        <v>856</v>
      </c>
      <c r="D66" s="227" t="s">
        <v>210</v>
      </c>
      <c r="E66" s="258">
        <v>85044</v>
      </c>
      <c r="F66" s="227" t="s">
        <v>211</v>
      </c>
      <c r="G66" s="227" t="s">
        <v>859</v>
      </c>
      <c r="H66" s="233" t="s">
        <v>183</v>
      </c>
      <c r="I66" s="234">
        <v>2.7176220806794098</v>
      </c>
      <c r="J66" s="235">
        <v>81.409090909092583</v>
      </c>
      <c r="K66" s="235">
        <v>0</v>
      </c>
      <c r="L66" s="235">
        <v>0</v>
      </c>
      <c r="M66" s="235">
        <v>0</v>
      </c>
      <c r="N66" s="235">
        <v>6.0606060606060608E-2</v>
      </c>
      <c r="O66" s="235">
        <v>39.287878787879535</v>
      </c>
      <c r="P66" s="235">
        <v>0</v>
      </c>
      <c r="Q66" s="235">
        <v>42.060606060606858</v>
      </c>
      <c r="R66" s="235">
        <v>3.0303030303030304E-2</v>
      </c>
      <c r="S66" s="235">
        <v>0</v>
      </c>
      <c r="T66" s="235">
        <v>3.0303030303030304E-2</v>
      </c>
      <c r="U66" s="235">
        <v>81.348484848486535</v>
      </c>
      <c r="V66" s="235">
        <v>0</v>
      </c>
      <c r="W66" s="235"/>
      <c r="X66" s="233" t="s">
        <v>184</v>
      </c>
      <c r="Y66" s="238" t="s">
        <v>201</v>
      </c>
      <c r="Z66" s="233"/>
      <c r="AA66" s="236" t="s">
        <v>861</v>
      </c>
      <c r="AB66" s="233" t="s">
        <v>184</v>
      </c>
      <c r="AC66" s="238" t="s">
        <v>201</v>
      </c>
      <c r="AD66" s="238"/>
      <c r="AE66" s="239">
        <v>44314</v>
      </c>
    </row>
    <row r="67" spans="1:31" x14ac:dyDescent="0.3">
      <c r="A67" s="232" t="s">
        <v>310</v>
      </c>
      <c r="B67" s="233" t="s">
        <v>311</v>
      </c>
      <c r="C67" s="227" t="s">
        <v>38</v>
      </c>
      <c r="D67" s="227" t="s">
        <v>195</v>
      </c>
      <c r="E67" s="258">
        <v>76837</v>
      </c>
      <c r="F67" s="227" t="s">
        <v>269</v>
      </c>
      <c r="G67" s="227" t="s">
        <v>251</v>
      </c>
      <c r="H67" s="233" t="s">
        <v>5</v>
      </c>
      <c r="I67" s="234">
        <v>29.981595092024499</v>
      </c>
      <c r="J67" s="235">
        <v>4.6969696969696981</v>
      </c>
      <c r="K67" s="235">
        <v>24.378787878787875</v>
      </c>
      <c r="L67" s="235">
        <v>18.22727272727273</v>
      </c>
      <c r="M67" s="235">
        <v>33.575757575757564</v>
      </c>
      <c r="N67" s="235">
        <v>75.242424242424235</v>
      </c>
      <c r="O67" s="235">
        <v>5.3636363636363678</v>
      </c>
      <c r="P67" s="235">
        <v>0.27272727272727271</v>
      </c>
      <c r="Q67" s="235">
        <v>0</v>
      </c>
      <c r="R67" s="235">
        <v>46.636363636363633</v>
      </c>
      <c r="S67" s="235">
        <v>9.454545454545455</v>
      </c>
      <c r="T67" s="235">
        <v>1</v>
      </c>
      <c r="U67" s="235">
        <v>23.7878787878788</v>
      </c>
      <c r="V67" s="235">
        <v>0</v>
      </c>
      <c r="W67" s="235"/>
      <c r="X67" s="233" t="s">
        <v>184</v>
      </c>
      <c r="Y67" s="238" t="s">
        <v>288</v>
      </c>
      <c r="Z67" s="233" t="s">
        <v>301</v>
      </c>
      <c r="AA67" s="236" t="s">
        <v>682</v>
      </c>
      <c r="AB67" s="233" t="s">
        <v>184</v>
      </c>
      <c r="AC67" s="238" t="s">
        <v>288</v>
      </c>
      <c r="AD67" s="238" t="s">
        <v>301</v>
      </c>
      <c r="AE67" s="239">
        <v>43818</v>
      </c>
    </row>
    <row r="68" spans="1:31" x14ac:dyDescent="0.3">
      <c r="A68" s="232" t="s">
        <v>840</v>
      </c>
      <c r="B68" s="233" t="s">
        <v>178</v>
      </c>
      <c r="C68" s="227" t="s">
        <v>179</v>
      </c>
      <c r="D68" s="227" t="s">
        <v>180</v>
      </c>
      <c r="E68" s="258">
        <v>92301</v>
      </c>
      <c r="F68" s="227" t="s">
        <v>181</v>
      </c>
      <c r="G68" s="227" t="s">
        <v>197</v>
      </c>
      <c r="H68" s="233" t="s">
        <v>183</v>
      </c>
      <c r="I68" s="234">
        <v>677.47058823529403</v>
      </c>
      <c r="J68" s="235">
        <v>5</v>
      </c>
      <c r="K68" s="235">
        <v>3</v>
      </c>
      <c r="L68" s="235">
        <v>16.863636363636363</v>
      </c>
      <c r="M68" s="235">
        <v>54.833333333333336</v>
      </c>
      <c r="N68" s="235">
        <v>66.681818181818187</v>
      </c>
      <c r="O68" s="235">
        <v>4</v>
      </c>
      <c r="P68" s="235">
        <v>8.0151515151515156</v>
      </c>
      <c r="Q68" s="235">
        <v>1</v>
      </c>
      <c r="R68" s="235">
        <v>60.454545454545453</v>
      </c>
      <c r="S68" s="235">
        <v>10.106060606060606</v>
      </c>
      <c r="T68" s="235">
        <v>2</v>
      </c>
      <c r="U68" s="235">
        <v>7.1363636363636367</v>
      </c>
      <c r="V68" s="235">
        <v>0</v>
      </c>
      <c r="W68" s="235">
        <v>1455</v>
      </c>
      <c r="X68" s="233" t="s">
        <v>184</v>
      </c>
      <c r="Y68" s="238" t="s">
        <v>677</v>
      </c>
      <c r="Z68" s="233" t="s">
        <v>186</v>
      </c>
      <c r="AA68" s="236" t="s">
        <v>718</v>
      </c>
      <c r="AB68" s="233" t="s">
        <v>184</v>
      </c>
      <c r="AC68" s="238" t="s">
        <v>677</v>
      </c>
      <c r="AD68" s="238" t="s">
        <v>186</v>
      </c>
      <c r="AE68" s="239">
        <v>44155</v>
      </c>
    </row>
    <row r="69" spans="1:31" x14ac:dyDescent="0.3">
      <c r="A69" s="232" t="s">
        <v>841</v>
      </c>
      <c r="B69" s="233" t="s">
        <v>849</v>
      </c>
      <c r="C69" s="227" t="s">
        <v>857</v>
      </c>
      <c r="D69" s="227" t="s">
        <v>210</v>
      </c>
      <c r="E69" s="258">
        <v>85365</v>
      </c>
      <c r="F69" s="227" t="s">
        <v>211</v>
      </c>
      <c r="G69" s="227" t="s">
        <v>859</v>
      </c>
      <c r="H69" s="233" t="s">
        <v>183</v>
      </c>
      <c r="I69" s="234">
        <v>2.8803468208092502</v>
      </c>
      <c r="J69" s="235">
        <v>0.63636363636363602</v>
      </c>
      <c r="K69" s="235">
        <v>75.969696969698646</v>
      </c>
      <c r="L69" s="235">
        <v>0.30303030303030304</v>
      </c>
      <c r="M69" s="235">
        <v>0</v>
      </c>
      <c r="N69" s="235">
        <v>9.0909090909090912E-2</v>
      </c>
      <c r="O69" s="235">
        <v>37.454545454546178</v>
      </c>
      <c r="P69" s="235">
        <v>0</v>
      </c>
      <c r="Q69" s="235">
        <v>39.363636363637198</v>
      </c>
      <c r="R69" s="235">
        <v>4.5454545454545456E-2</v>
      </c>
      <c r="S69" s="235">
        <v>0</v>
      </c>
      <c r="T69" s="235">
        <v>0</v>
      </c>
      <c r="U69" s="235">
        <v>76.863636363638065</v>
      </c>
      <c r="V69" s="235">
        <v>0</v>
      </c>
      <c r="W69" s="235"/>
      <c r="X69" s="233" t="s">
        <v>184</v>
      </c>
      <c r="Y69" s="238" t="s">
        <v>201</v>
      </c>
      <c r="Z69" s="233"/>
      <c r="AA69" s="236" t="s">
        <v>703</v>
      </c>
      <c r="AB69" s="233" t="s">
        <v>208</v>
      </c>
      <c r="AC69" s="238"/>
      <c r="AD69" s="238"/>
      <c r="AE69" s="239"/>
    </row>
    <row r="70" spans="1:31" x14ac:dyDescent="0.3">
      <c r="A70" s="232" t="s">
        <v>395</v>
      </c>
      <c r="B70" s="233" t="s">
        <v>396</v>
      </c>
      <c r="C70" s="227" t="s">
        <v>397</v>
      </c>
      <c r="D70" s="227" t="s">
        <v>398</v>
      </c>
      <c r="E70" s="258">
        <v>2863</v>
      </c>
      <c r="F70" s="227" t="s">
        <v>324</v>
      </c>
      <c r="G70" s="227" t="s">
        <v>251</v>
      </c>
      <c r="H70" s="233" t="s">
        <v>5</v>
      </c>
      <c r="I70" s="234">
        <v>77.180722891566305</v>
      </c>
      <c r="J70" s="235">
        <v>56.333333333333321</v>
      </c>
      <c r="K70" s="235">
        <v>16.621212121212118</v>
      </c>
      <c r="L70" s="235">
        <v>0</v>
      </c>
      <c r="M70" s="235">
        <v>0</v>
      </c>
      <c r="N70" s="235">
        <v>15.65151515151515</v>
      </c>
      <c r="O70" s="235">
        <v>57.303030303030297</v>
      </c>
      <c r="P70" s="235">
        <v>0</v>
      </c>
      <c r="Q70" s="235">
        <v>0</v>
      </c>
      <c r="R70" s="235">
        <v>4.454545454545455</v>
      </c>
      <c r="S70" s="235">
        <v>7.2878787878787881</v>
      </c>
      <c r="T70" s="235">
        <v>2.939393939393939</v>
      </c>
      <c r="U70" s="235">
        <v>58.272727272727273</v>
      </c>
      <c r="V70" s="235">
        <v>0</v>
      </c>
      <c r="W70" s="235"/>
      <c r="X70" s="233" t="s">
        <v>184</v>
      </c>
      <c r="Y70" s="238" t="s">
        <v>678</v>
      </c>
      <c r="Z70" s="233" t="s">
        <v>301</v>
      </c>
      <c r="AA70" s="236" t="s">
        <v>714</v>
      </c>
      <c r="AB70" s="233" t="s">
        <v>184</v>
      </c>
      <c r="AC70" s="238" t="s">
        <v>678</v>
      </c>
      <c r="AD70" s="238" t="s">
        <v>301</v>
      </c>
      <c r="AE70" s="239">
        <v>44155</v>
      </c>
    </row>
    <row r="71" spans="1:31" x14ac:dyDescent="0.3">
      <c r="A71" s="232" t="s">
        <v>410</v>
      </c>
      <c r="B71" s="233" t="s">
        <v>411</v>
      </c>
      <c r="C71" s="227" t="s">
        <v>364</v>
      </c>
      <c r="D71" s="227" t="s">
        <v>358</v>
      </c>
      <c r="E71" s="258">
        <v>89060</v>
      </c>
      <c r="F71" s="227" t="s">
        <v>359</v>
      </c>
      <c r="G71" s="227" t="s">
        <v>207</v>
      </c>
      <c r="H71" s="233" t="s">
        <v>183</v>
      </c>
      <c r="I71" s="234">
        <v>32.966666666666697</v>
      </c>
      <c r="J71" s="235">
        <v>10.212121212121209</v>
      </c>
      <c r="K71" s="235">
        <v>9.0303030303030294</v>
      </c>
      <c r="L71" s="235">
        <v>19.939393939393945</v>
      </c>
      <c r="M71" s="235">
        <v>30.969696969696976</v>
      </c>
      <c r="N71" s="235">
        <v>58.924242424242436</v>
      </c>
      <c r="O71" s="235">
        <v>11.227272727272727</v>
      </c>
      <c r="P71" s="235">
        <v>0</v>
      </c>
      <c r="Q71" s="235">
        <v>0</v>
      </c>
      <c r="R71" s="235">
        <v>41.621212121212132</v>
      </c>
      <c r="S71" s="235">
        <v>4.8939393939393936</v>
      </c>
      <c r="T71" s="235">
        <v>3.4242424242424248</v>
      </c>
      <c r="U71" s="235">
        <v>20.212121212121218</v>
      </c>
      <c r="V71" s="235">
        <v>0</v>
      </c>
      <c r="W71" s="235"/>
      <c r="X71" s="233" t="s">
        <v>184</v>
      </c>
      <c r="Y71" s="238" t="s">
        <v>678</v>
      </c>
      <c r="Z71" s="233" t="s">
        <v>301</v>
      </c>
      <c r="AA71" s="236" t="s">
        <v>713</v>
      </c>
      <c r="AB71" s="233" t="s">
        <v>184</v>
      </c>
      <c r="AC71" s="238" t="s">
        <v>678</v>
      </c>
      <c r="AD71" s="238" t="s">
        <v>301</v>
      </c>
      <c r="AE71" s="239">
        <v>44139</v>
      </c>
    </row>
    <row r="72" spans="1:31" x14ac:dyDescent="0.3">
      <c r="A72" s="232" t="s">
        <v>32</v>
      </c>
      <c r="B72" s="233" t="s">
        <v>363</v>
      </c>
      <c r="C72" s="227" t="s">
        <v>364</v>
      </c>
      <c r="D72" s="227" t="s">
        <v>358</v>
      </c>
      <c r="E72" s="258">
        <v>89060</v>
      </c>
      <c r="F72" s="227" t="s">
        <v>359</v>
      </c>
      <c r="G72" s="227" t="s">
        <v>251</v>
      </c>
      <c r="H72" s="233" t="s">
        <v>183</v>
      </c>
      <c r="I72" s="234">
        <v>61.1875</v>
      </c>
      <c r="J72" s="235">
        <v>54.151515151515163</v>
      </c>
      <c r="K72" s="235">
        <v>5.7272727272727266</v>
      </c>
      <c r="L72" s="235">
        <v>4.5606060606060606</v>
      </c>
      <c r="M72" s="235">
        <v>0</v>
      </c>
      <c r="N72" s="235">
        <v>9.2878787878787872</v>
      </c>
      <c r="O72" s="235">
        <v>19.196969696969706</v>
      </c>
      <c r="P72" s="235">
        <v>1</v>
      </c>
      <c r="Q72" s="235">
        <v>34.954545454545446</v>
      </c>
      <c r="R72" s="235">
        <v>5.9242424242424239</v>
      </c>
      <c r="S72" s="235">
        <v>1</v>
      </c>
      <c r="T72" s="235">
        <v>2</v>
      </c>
      <c r="U72" s="235">
        <v>55.515151515151537</v>
      </c>
      <c r="V72" s="235">
        <v>0</v>
      </c>
      <c r="W72" s="235"/>
      <c r="X72" s="233" t="s">
        <v>184</v>
      </c>
      <c r="Y72" s="238" t="s">
        <v>252</v>
      </c>
      <c r="Z72" s="233" t="s">
        <v>186</v>
      </c>
      <c r="AA72" s="236" t="s">
        <v>719</v>
      </c>
      <c r="AB72" s="233" t="s">
        <v>184</v>
      </c>
      <c r="AC72" s="238" t="s">
        <v>252</v>
      </c>
      <c r="AD72" s="238" t="s">
        <v>186</v>
      </c>
      <c r="AE72" s="239">
        <v>44154</v>
      </c>
    </row>
    <row r="73" spans="1:31" x14ac:dyDescent="0.3">
      <c r="A73" s="232" t="s">
        <v>442</v>
      </c>
      <c r="B73" s="233" t="s">
        <v>443</v>
      </c>
      <c r="C73" s="227" t="s">
        <v>11</v>
      </c>
      <c r="D73" s="227" t="s">
        <v>444</v>
      </c>
      <c r="E73" s="258">
        <v>47834</v>
      </c>
      <c r="F73" s="227" t="s">
        <v>36</v>
      </c>
      <c r="G73" s="227" t="s">
        <v>251</v>
      </c>
      <c r="H73" s="233" t="s">
        <v>183</v>
      </c>
      <c r="I73" s="234">
        <v>15.932773109243699</v>
      </c>
      <c r="J73" s="235">
        <v>11.80303030303031</v>
      </c>
      <c r="K73" s="235">
        <v>11.348484848484853</v>
      </c>
      <c r="L73" s="235">
        <v>20.393939393939409</v>
      </c>
      <c r="M73" s="235">
        <v>16.424242424242433</v>
      </c>
      <c r="N73" s="235">
        <v>37.393939393939412</v>
      </c>
      <c r="O73" s="235">
        <v>21.303030303030322</v>
      </c>
      <c r="P73" s="235">
        <v>0.51515151515151514</v>
      </c>
      <c r="Q73" s="235">
        <v>0.75757575757575757</v>
      </c>
      <c r="R73" s="235">
        <v>4.4242424242424248</v>
      </c>
      <c r="S73" s="235">
        <v>3.8939393939393931</v>
      </c>
      <c r="T73" s="235">
        <v>10.757575757575756</v>
      </c>
      <c r="U73" s="235">
        <v>40.893939393939391</v>
      </c>
      <c r="V73" s="235">
        <v>0</v>
      </c>
      <c r="W73" s="235"/>
      <c r="X73" s="233" t="s">
        <v>184</v>
      </c>
      <c r="Y73" s="238" t="s">
        <v>252</v>
      </c>
      <c r="Z73" s="233" t="s">
        <v>186</v>
      </c>
      <c r="AA73" s="236" t="s">
        <v>720</v>
      </c>
      <c r="AB73" s="233" t="s">
        <v>184</v>
      </c>
      <c r="AC73" s="238" t="s">
        <v>252</v>
      </c>
      <c r="AD73" s="238" t="s">
        <v>425</v>
      </c>
      <c r="AE73" s="239">
        <v>44336</v>
      </c>
    </row>
    <row r="74" spans="1:31" x14ac:dyDescent="0.3">
      <c r="A74" s="232" t="s">
        <v>842</v>
      </c>
      <c r="B74" s="233" t="s">
        <v>850</v>
      </c>
      <c r="C74" s="227" t="s">
        <v>858</v>
      </c>
      <c r="D74" s="227" t="s">
        <v>195</v>
      </c>
      <c r="E74" s="258">
        <v>78014</v>
      </c>
      <c r="F74" s="227" t="s">
        <v>196</v>
      </c>
      <c r="G74" s="227" t="s">
        <v>859</v>
      </c>
      <c r="H74" s="233" t="s">
        <v>183</v>
      </c>
      <c r="I74" s="234">
        <v>2.8014084507042298</v>
      </c>
      <c r="J74" s="235">
        <v>59.86363636363739</v>
      </c>
      <c r="K74" s="235">
        <v>6.0606060606060608E-2</v>
      </c>
      <c r="L74" s="235">
        <v>0</v>
      </c>
      <c r="M74" s="235">
        <v>0</v>
      </c>
      <c r="N74" s="235">
        <v>3.0303030303030304E-2</v>
      </c>
      <c r="O74" s="235">
        <v>33.575757575757891</v>
      </c>
      <c r="P74" s="235">
        <v>0</v>
      </c>
      <c r="Q74" s="235">
        <v>26.318181818182108</v>
      </c>
      <c r="R74" s="235">
        <v>0</v>
      </c>
      <c r="S74" s="235">
        <v>0</v>
      </c>
      <c r="T74" s="235">
        <v>3.0303030303030304E-2</v>
      </c>
      <c r="U74" s="235">
        <v>59.893939393940421</v>
      </c>
      <c r="V74" s="235">
        <v>0</v>
      </c>
      <c r="W74" s="235"/>
      <c r="X74" s="233" t="s">
        <v>184</v>
      </c>
      <c r="Y74" s="238" t="s">
        <v>201</v>
      </c>
      <c r="Z74" s="233"/>
      <c r="AA74" s="236" t="s">
        <v>686</v>
      </c>
      <c r="AB74" s="233" t="s">
        <v>208</v>
      </c>
      <c r="AC74" s="238"/>
      <c r="AD74" s="238"/>
      <c r="AE74" s="239"/>
    </row>
    <row r="75" spans="1:31" x14ac:dyDescent="0.3">
      <c r="A75" s="232" t="s">
        <v>400</v>
      </c>
      <c r="B75" s="233" t="s">
        <v>401</v>
      </c>
      <c r="C75" s="227" t="s">
        <v>402</v>
      </c>
      <c r="D75" s="227" t="s">
        <v>355</v>
      </c>
      <c r="E75" s="258">
        <v>74647</v>
      </c>
      <c r="F75" s="227" t="s">
        <v>36</v>
      </c>
      <c r="G75" s="227" t="s">
        <v>207</v>
      </c>
      <c r="H75" s="233" t="s">
        <v>183</v>
      </c>
      <c r="I75" s="234">
        <v>41.278350515463899</v>
      </c>
      <c r="J75" s="235">
        <v>38.848484848484787</v>
      </c>
      <c r="K75" s="235">
        <v>4.7878787878787872</v>
      </c>
      <c r="L75" s="235">
        <v>10.348484848484848</v>
      </c>
      <c r="M75" s="235">
        <v>4.5151515151515147</v>
      </c>
      <c r="N75" s="235">
        <v>15.272727272727272</v>
      </c>
      <c r="O75" s="235">
        <v>29.984848484848456</v>
      </c>
      <c r="P75" s="235">
        <v>1.2727272727272727</v>
      </c>
      <c r="Q75" s="235">
        <v>11.969696969696971</v>
      </c>
      <c r="R75" s="235">
        <v>9.1818181818181834</v>
      </c>
      <c r="S75" s="235">
        <v>1.1515151515151516</v>
      </c>
      <c r="T75" s="235">
        <v>2.6969696969696972</v>
      </c>
      <c r="U75" s="235">
        <v>45.46969696969694</v>
      </c>
      <c r="V75" s="235">
        <v>0</v>
      </c>
      <c r="W75" s="235"/>
      <c r="X75" s="233" t="s">
        <v>184</v>
      </c>
      <c r="Y75" s="238" t="s">
        <v>677</v>
      </c>
      <c r="Z75" s="233" t="s">
        <v>186</v>
      </c>
      <c r="AA75" s="236" t="s">
        <v>721</v>
      </c>
      <c r="AB75" s="233" t="s">
        <v>184</v>
      </c>
      <c r="AC75" s="238" t="s">
        <v>185</v>
      </c>
      <c r="AD75" s="238" t="s">
        <v>186</v>
      </c>
      <c r="AE75" s="239">
        <v>44119</v>
      </c>
    </row>
    <row r="76" spans="1:31" x14ac:dyDescent="0.3">
      <c r="A76" s="232" t="s">
        <v>418</v>
      </c>
      <c r="B76" s="233" t="s">
        <v>419</v>
      </c>
      <c r="C76" s="227" t="s">
        <v>420</v>
      </c>
      <c r="D76" s="227" t="s">
        <v>421</v>
      </c>
      <c r="E76" s="258">
        <v>66845</v>
      </c>
      <c r="F76" s="227" t="s">
        <v>36</v>
      </c>
      <c r="G76" s="227" t="s">
        <v>207</v>
      </c>
      <c r="H76" s="233" t="s">
        <v>183</v>
      </c>
      <c r="I76" s="234">
        <v>25.9294871794872</v>
      </c>
      <c r="J76" s="235">
        <v>8.3636363636363651</v>
      </c>
      <c r="K76" s="235">
        <v>13.363636363636363</v>
      </c>
      <c r="L76" s="235">
        <v>21.696969696969706</v>
      </c>
      <c r="M76" s="235">
        <v>13.500000000000005</v>
      </c>
      <c r="N76" s="235">
        <v>36.939393939393952</v>
      </c>
      <c r="O76" s="235">
        <v>15.727272727272732</v>
      </c>
      <c r="P76" s="235">
        <v>2.333333333333333</v>
      </c>
      <c r="Q76" s="235">
        <v>1.9242424242424243</v>
      </c>
      <c r="R76" s="235">
        <v>18.727272727272737</v>
      </c>
      <c r="S76" s="235">
        <v>8.1818181818181834</v>
      </c>
      <c r="T76" s="235">
        <v>4.6515151515151523</v>
      </c>
      <c r="U76" s="235">
        <v>25.363636363636356</v>
      </c>
      <c r="V76" s="235">
        <v>0</v>
      </c>
      <c r="W76" s="235"/>
      <c r="X76" s="233" t="s">
        <v>184</v>
      </c>
      <c r="Y76" s="238" t="s">
        <v>678</v>
      </c>
      <c r="Z76" s="233" t="s">
        <v>301</v>
      </c>
      <c r="AA76" s="236" t="s">
        <v>722</v>
      </c>
      <c r="AB76" s="233" t="s">
        <v>184</v>
      </c>
      <c r="AC76" s="238" t="s">
        <v>678</v>
      </c>
      <c r="AD76" s="238" t="s">
        <v>301</v>
      </c>
      <c r="AE76" s="239">
        <v>44223</v>
      </c>
    </row>
    <row r="77" spans="1:31" x14ac:dyDescent="0.3">
      <c r="A77" s="232" t="s">
        <v>422</v>
      </c>
      <c r="B77" s="233" t="s">
        <v>423</v>
      </c>
      <c r="C77" s="227" t="s">
        <v>424</v>
      </c>
      <c r="D77" s="227" t="s">
        <v>289</v>
      </c>
      <c r="E77" s="258">
        <v>17745</v>
      </c>
      <c r="F77" s="227" t="s">
        <v>290</v>
      </c>
      <c r="G77" s="227" t="s">
        <v>251</v>
      </c>
      <c r="H77" s="233" t="s">
        <v>5</v>
      </c>
      <c r="I77" s="234">
        <v>39.737704918032797</v>
      </c>
      <c r="J77" s="235">
        <v>2.5909090909090908</v>
      </c>
      <c r="K77" s="235">
        <v>8.545454545454545</v>
      </c>
      <c r="L77" s="235">
        <v>20.621212121212128</v>
      </c>
      <c r="M77" s="235">
        <v>22.696969696969703</v>
      </c>
      <c r="N77" s="235">
        <v>49.636363636363626</v>
      </c>
      <c r="O77" s="235">
        <v>4.4393939393939386</v>
      </c>
      <c r="P77" s="235">
        <v>0.37878787878787878</v>
      </c>
      <c r="Q77" s="235">
        <v>0</v>
      </c>
      <c r="R77" s="235">
        <v>33.015151515151516</v>
      </c>
      <c r="S77" s="235">
        <v>6.7272727272727266</v>
      </c>
      <c r="T77" s="235">
        <v>3.4545454545454541</v>
      </c>
      <c r="U77" s="235">
        <v>11.257575757575761</v>
      </c>
      <c r="V77" s="235">
        <v>0</v>
      </c>
      <c r="W77" s="235"/>
      <c r="X77" s="233" t="s">
        <v>184</v>
      </c>
      <c r="Y77" s="238" t="s">
        <v>678</v>
      </c>
      <c r="Z77" s="233" t="s">
        <v>301</v>
      </c>
      <c r="AA77" s="236" t="s">
        <v>681</v>
      </c>
      <c r="AB77" s="233" t="s">
        <v>184</v>
      </c>
      <c r="AC77" s="238" t="s">
        <v>678</v>
      </c>
      <c r="AD77" s="238" t="s">
        <v>301</v>
      </c>
      <c r="AE77" s="239">
        <v>44160</v>
      </c>
    </row>
    <row r="78" spans="1:31" x14ac:dyDescent="0.3">
      <c r="A78" s="232" t="s">
        <v>47</v>
      </c>
      <c r="B78" s="233" t="s">
        <v>315</v>
      </c>
      <c r="C78" s="227" t="s">
        <v>316</v>
      </c>
      <c r="D78" s="227" t="s">
        <v>180</v>
      </c>
      <c r="E78" s="258">
        <v>93301</v>
      </c>
      <c r="F78" s="227" t="s">
        <v>317</v>
      </c>
      <c r="G78" s="227" t="s">
        <v>197</v>
      </c>
      <c r="H78" s="233" t="s">
        <v>183</v>
      </c>
      <c r="I78" s="234">
        <v>363.73333333333301</v>
      </c>
      <c r="J78" s="235">
        <v>0</v>
      </c>
      <c r="K78" s="235">
        <v>0</v>
      </c>
      <c r="L78" s="235">
        <v>16.833333333333336</v>
      </c>
      <c r="M78" s="235">
        <v>36.575757575757571</v>
      </c>
      <c r="N78" s="235">
        <v>51.924242424242408</v>
      </c>
      <c r="O78" s="235">
        <v>1.4848484848484849</v>
      </c>
      <c r="P78" s="235">
        <v>0</v>
      </c>
      <c r="Q78" s="235">
        <v>0</v>
      </c>
      <c r="R78" s="235">
        <v>43.499999999999986</v>
      </c>
      <c r="S78" s="235">
        <v>3.2121212121212119</v>
      </c>
      <c r="T78" s="235">
        <v>0</v>
      </c>
      <c r="U78" s="235">
        <v>6.6969696969696955</v>
      </c>
      <c r="V78" s="235">
        <v>0</v>
      </c>
      <c r="W78" s="235">
        <v>320</v>
      </c>
      <c r="X78" s="233" t="s">
        <v>184</v>
      </c>
      <c r="Y78" s="238" t="s">
        <v>677</v>
      </c>
      <c r="Z78" s="233" t="s">
        <v>186</v>
      </c>
      <c r="AA78" s="236" t="s">
        <v>683</v>
      </c>
      <c r="AB78" s="233" t="s">
        <v>184</v>
      </c>
      <c r="AC78" s="238" t="s">
        <v>185</v>
      </c>
      <c r="AD78" s="238" t="s">
        <v>186</v>
      </c>
      <c r="AE78" s="239">
        <v>44118</v>
      </c>
    </row>
    <row r="79" spans="1:31" x14ac:dyDescent="0.3">
      <c r="A79" s="232" t="s">
        <v>369</v>
      </c>
      <c r="B79" s="233" t="s">
        <v>370</v>
      </c>
      <c r="C79" s="227" t="s">
        <v>371</v>
      </c>
      <c r="D79" s="227" t="s">
        <v>372</v>
      </c>
      <c r="E79" s="258">
        <v>49014</v>
      </c>
      <c r="F79" s="227" t="s">
        <v>367</v>
      </c>
      <c r="G79" s="227" t="s">
        <v>207</v>
      </c>
      <c r="H79" s="233" t="s">
        <v>183</v>
      </c>
      <c r="I79" s="234">
        <v>41.337837837837803</v>
      </c>
      <c r="J79" s="235">
        <v>6.9696969696969706</v>
      </c>
      <c r="K79" s="235">
        <v>13.515151515151519</v>
      </c>
      <c r="L79" s="235">
        <v>17.63636363636363</v>
      </c>
      <c r="M79" s="235">
        <v>13.393939393939394</v>
      </c>
      <c r="N79" s="235">
        <v>39.696969696969695</v>
      </c>
      <c r="O79" s="235">
        <v>9.4999999999999982</v>
      </c>
      <c r="P79" s="235">
        <v>1.5606060606060606</v>
      </c>
      <c r="Q79" s="235">
        <v>0.75757575757575757</v>
      </c>
      <c r="R79" s="235">
        <v>23.212121212121215</v>
      </c>
      <c r="S79" s="235">
        <v>10.287878787878787</v>
      </c>
      <c r="T79" s="235">
        <v>4.5757575757575761</v>
      </c>
      <c r="U79" s="235">
        <v>13.439393939393948</v>
      </c>
      <c r="V79" s="235">
        <v>0</v>
      </c>
      <c r="W79" s="235">
        <v>75</v>
      </c>
      <c r="X79" s="233" t="s">
        <v>184</v>
      </c>
      <c r="Y79" s="238" t="s">
        <v>678</v>
      </c>
      <c r="Z79" s="233" t="s">
        <v>301</v>
      </c>
      <c r="AA79" s="236" t="s">
        <v>717</v>
      </c>
      <c r="AB79" s="233" t="s">
        <v>184</v>
      </c>
      <c r="AC79" s="238" t="s">
        <v>288</v>
      </c>
      <c r="AD79" s="238" t="s">
        <v>301</v>
      </c>
      <c r="AE79" s="239">
        <v>43895</v>
      </c>
    </row>
    <row r="80" spans="1:31" x14ac:dyDescent="0.3">
      <c r="A80" s="232" t="s">
        <v>843</v>
      </c>
      <c r="B80" s="233" t="s">
        <v>851</v>
      </c>
      <c r="C80" s="227" t="s">
        <v>194</v>
      </c>
      <c r="D80" s="227" t="s">
        <v>195</v>
      </c>
      <c r="E80" s="258">
        <v>78061</v>
      </c>
      <c r="F80" s="227" t="s">
        <v>196</v>
      </c>
      <c r="G80" s="227" t="s">
        <v>859</v>
      </c>
      <c r="H80" s="233" t="s">
        <v>183</v>
      </c>
      <c r="I80" s="234">
        <v>3.5607210626186001</v>
      </c>
      <c r="J80" s="235">
        <v>49.227272727273338</v>
      </c>
      <c r="K80" s="235">
        <v>3.0303030303030304E-2</v>
      </c>
      <c r="L80" s="235">
        <v>0</v>
      </c>
      <c r="M80" s="235">
        <v>0</v>
      </c>
      <c r="N80" s="235">
        <v>0</v>
      </c>
      <c r="O80" s="235">
        <v>25.606060606060751</v>
      </c>
      <c r="P80" s="235">
        <v>0</v>
      </c>
      <c r="Q80" s="235">
        <v>23.651515151515369</v>
      </c>
      <c r="R80" s="235">
        <v>0</v>
      </c>
      <c r="S80" s="235">
        <v>0</v>
      </c>
      <c r="T80" s="235">
        <v>0</v>
      </c>
      <c r="U80" s="235">
        <v>49.257575757576369</v>
      </c>
      <c r="V80" s="235">
        <v>0</v>
      </c>
      <c r="W80" s="235"/>
      <c r="X80" s="233" t="s">
        <v>184</v>
      </c>
      <c r="Y80" s="238" t="s">
        <v>201</v>
      </c>
      <c r="Z80" s="233"/>
      <c r="AA80" s="236" t="s">
        <v>862</v>
      </c>
      <c r="AB80" s="233" t="s">
        <v>208</v>
      </c>
      <c r="AC80" s="238"/>
      <c r="AD80" s="238"/>
      <c r="AE80" s="239"/>
    </row>
    <row r="81" spans="1:31" x14ac:dyDescent="0.3">
      <c r="A81" s="232" t="s">
        <v>436</v>
      </c>
      <c r="B81" s="233" t="s">
        <v>437</v>
      </c>
      <c r="C81" s="227" t="s">
        <v>438</v>
      </c>
      <c r="D81" s="227" t="s">
        <v>327</v>
      </c>
      <c r="E81" s="258">
        <v>56201</v>
      </c>
      <c r="F81" s="227" t="s">
        <v>328</v>
      </c>
      <c r="G81" s="227" t="s">
        <v>207</v>
      </c>
      <c r="H81" s="233" t="s">
        <v>183</v>
      </c>
      <c r="I81" s="234">
        <v>69.969696969696997</v>
      </c>
      <c r="J81" s="235">
        <v>2.6212121212121211</v>
      </c>
      <c r="K81" s="235">
        <v>4.9090909090909083</v>
      </c>
      <c r="L81" s="235">
        <v>28.121212121212128</v>
      </c>
      <c r="M81" s="235">
        <v>12.196969696969695</v>
      </c>
      <c r="N81" s="235">
        <v>34.863636363636367</v>
      </c>
      <c r="O81" s="235">
        <v>4.378787878787878</v>
      </c>
      <c r="P81" s="235">
        <v>6.954545454545455</v>
      </c>
      <c r="Q81" s="235">
        <v>1.6515151515151514</v>
      </c>
      <c r="R81" s="235">
        <v>30.545454545454554</v>
      </c>
      <c r="S81" s="235">
        <v>5.6666666666666661</v>
      </c>
      <c r="T81" s="235">
        <v>1.5606060606060606</v>
      </c>
      <c r="U81" s="235">
        <v>10.075757575757574</v>
      </c>
      <c r="V81" s="235">
        <v>0</v>
      </c>
      <c r="W81" s="235"/>
      <c r="X81" s="233" t="s">
        <v>184</v>
      </c>
      <c r="Y81" s="238" t="s">
        <v>288</v>
      </c>
      <c r="Z81" s="233"/>
      <c r="AA81" s="236" t="s">
        <v>723</v>
      </c>
      <c r="AB81" s="233" t="s">
        <v>184</v>
      </c>
      <c r="AC81" s="238" t="s">
        <v>288</v>
      </c>
      <c r="AD81" s="238" t="s">
        <v>301</v>
      </c>
      <c r="AE81" s="239">
        <v>43657</v>
      </c>
    </row>
    <row r="82" spans="1:31" x14ac:dyDescent="0.3">
      <c r="A82" s="232" t="s">
        <v>387</v>
      </c>
      <c r="B82" s="233" t="s">
        <v>388</v>
      </c>
      <c r="C82" s="227" t="s">
        <v>389</v>
      </c>
      <c r="D82" s="227" t="s">
        <v>368</v>
      </c>
      <c r="E82" s="258">
        <v>53039</v>
      </c>
      <c r="F82" s="227" t="s">
        <v>36</v>
      </c>
      <c r="G82" s="227" t="s">
        <v>251</v>
      </c>
      <c r="H82" s="233" t="s">
        <v>183</v>
      </c>
      <c r="I82" s="234">
        <v>89.442622950819697</v>
      </c>
      <c r="J82" s="235">
        <v>6.7424242424242431</v>
      </c>
      <c r="K82" s="235">
        <v>2.1666666666666665</v>
      </c>
      <c r="L82" s="235">
        <v>13.34848484848485</v>
      </c>
      <c r="M82" s="235">
        <v>24.757575757575758</v>
      </c>
      <c r="N82" s="235">
        <v>38.893939393939398</v>
      </c>
      <c r="O82" s="235">
        <v>8.1212121212121229</v>
      </c>
      <c r="P82" s="235">
        <v>0</v>
      </c>
      <c r="Q82" s="235">
        <v>0</v>
      </c>
      <c r="R82" s="235">
        <v>14.287878787878787</v>
      </c>
      <c r="S82" s="235">
        <v>8.5606060606060606</v>
      </c>
      <c r="T82" s="235">
        <v>4.9090909090909092</v>
      </c>
      <c r="U82" s="235">
        <v>19.257575757575761</v>
      </c>
      <c r="V82" s="235">
        <v>0</v>
      </c>
      <c r="W82" s="235"/>
      <c r="X82" s="233" t="s">
        <v>184</v>
      </c>
      <c r="Y82" s="238" t="s">
        <v>678</v>
      </c>
      <c r="Z82" s="233" t="s">
        <v>301</v>
      </c>
      <c r="AA82" s="236" t="s">
        <v>724</v>
      </c>
      <c r="AB82" s="233" t="s">
        <v>184</v>
      </c>
      <c r="AC82" s="238" t="s">
        <v>288</v>
      </c>
      <c r="AD82" s="238" t="s">
        <v>301</v>
      </c>
      <c r="AE82" s="239">
        <v>44133</v>
      </c>
    </row>
    <row r="83" spans="1:31" x14ac:dyDescent="0.3">
      <c r="A83" s="232" t="s">
        <v>808</v>
      </c>
      <c r="B83" s="233" t="s">
        <v>809</v>
      </c>
      <c r="C83" s="227" t="s">
        <v>822</v>
      </c>
      <c r="D83" s="227" t="s">
        <v>289</v>
      </c>
      <c r="E83" s="258">
        <v>16866</v>
      </c>
      <c r="F83" s="227" t="s">
        <v>290</v>
      </c>
      <c r="G83" s="227" t="s">
        <v>207</v>
      </c>
      <c r="H83" s="233" t="s">
        <v>183</v>
      </c>
      <c r="I83" s="234">
        <v>9</v>
      </c>
      <c r="J83" s="235">
        <v>34.530303030302946</v>
      </c>
      <c r="K83" s="235">
        <v>1.9242424242424243</v>
      </c>
      <c r="L83" s="235">
        <v>5.378787878787878</v>
      </c>
      <c r="M83" s="235">
        <v>5.045454545454545</v>
      </c>
      <c r="N83" s="235">
        <v>11.924242424242427</v>
      </c>
      <c r="O83" s="235">
        <v>34.590909090909008</v>
      </c>
      <c r="P83" s="235">
        <v>0.36363636363636365</v>
      </c>
      <c r="Q83" s="235">
        <v>0</v>
      </c>
      <c r="R83" s="235">
        <v>7.7121212121212119</v>
      </c>
      <c r="S83" s="235">
        <v>2.1818181818181821</v>
      </c>
      <c r="T83" s="235">
        <v>1.106060606060606</v>
      </c>
      <c r="U83" s="235">
        <v>35.878787878787797</v>
      </c>
      <c r="V83" s="235">
        <v>0</v>
      </c>
      <c r="W83" s="235"/>
      <c r="X83" s="233" t="s">
        <v>208</v>
      </c>
      <c r="Y83" s="238" t="s">
        <v>677</v>
      </c>
      <c r="Z83" s="233"/>
      <c r="AA83" s="236"/>
      <c r="AB83" s="233" t="s">
        <v>208</v>
      </c>
      <c r="AC83" s="238"/>
      <c r="AD83" s="238"/>
      <c r="AE83" s="239"/>
    </row>
    <row r="84" spans="1:31" x14ac:dyDescent="0.3">
      <c r="A84" s="232" t="s">
        <v>12</v>
      </c>
      <c r="B84" s="233" t="s">
        <v>313</v>
      </c>
      <c r="C84" s="227" t="s">
        <v>314</v>
      </c>
      <c r="D84" s="227" t="s">
        <v>210</v>
      </c>
      <c r="E84" s="258">
        <v>85232</v>
      </c>
      <c r="F84" s="227" t="s">
        <v>211</v>
      </c>
      <c r="G84" s="227" t="s">
        <v>334</v>
      </c>
      <c r="H84" s="233" t="s">
        <v>5</v>
      </c>
      <c r="I84" s="234">
        <v>1.4486486486486501</v>
      </c>
      <c r="J84" s="235">
        <v>25.87878787878822</v>
      </c>
      <c r="K84" s="235">
        <v>6.3636363636363926</v>
      </c>
      <c r="L84" s="235">
        <v>7.0909090909091166</v>
      </c>
      <c r="M84" s="235">
        <v>4.9090909090909109</v>
      </c>
      <c r="N84" s="235">
        <v>15.484848484848646</v>
      </c>
      <c r="O84" s="235">
        <v>22.575757575757891</v>
      </c>
      <c r="P84" s="235">
        <v>1.2727272727272725</v>
      </c>
      <c r="Q84" s="235">
        <v>4.9090909090909252</v>
      </c>
      <c r="R84" s="235">
        <v>3.9999999999999969</v>
      </c>
      <c r="S84" s="235">
        <v>1.4696969696969686</v>
      </c>
      <c r="T84" s="235">
        <v>0.83333333333333282</v>
      </c>
      <c r="U84" s="235">
        <v>37.939393939394478</v>
      </c>
      <c r="V84" s="235">
        <v>0</v>
      </c>
      <c r="W84" s="235"/>
      <c r="X84" s="233" t="s">
        <v>208</v>
      </c>
      <c r="Y84" s="238"/>
      <c r="Z84" s="233"/>
      <c r="AA84" s="236"/>
      <c r="AB84" s="233" t="s">
        <v>208</v>
      </c>
      <c r="AC84" s="238"/>
      <c r="AD84" s="238"/>
      <c r="AE84" s="239"/>
    </row>
    <row r="85" spans="1:31" x14ac:dyDescent="0.3">
      <c r="A85" s="232" t="s">
        <v>13</v>
      </c>
      <c r="B85" s="233" t="s">
        <v>430</v>
      </c>
      <c r="C85" s="227" t="s">
        <v>431</v>
      </c>
      <c r="D85" s="227" t="s">
        <v>366</v>
      </c>
      <c r="E85" s="258">
        <v>44883</v>
      </c>
      <c r="F85" s="227" t="s">
        <v>367</v>
      </c>
      <c r="G85" s="227" t="s">
        <v>207</v>
      </c>
      <c r="H85" s="233" t="s">
        <v>183</v>
      </c>
      <c r="I85" s="234">
        <v>62.266666666666701</v>
      </c>
      <c r="J85" s="235">
        <v>1.7424242424242424</v>
      </c>
      <c r="K85" s="235">
        <v>2.6969696969696972</v>
      </c>
      <c r="L85" s="235">
        <v>18.030303030303031</v>
      </c>
      <c r="M85" s="235">
        <v>16.939393939393941</v>
      </c>
      <c r="N85" s="235">
        <v>31.833333333333329</v>
      </c>
      <c r="O85" s="235">
        <v>4.1060606060606055</v>
      </c>
      <c r="P85" s="235">
        <v>2.4696969696969697</v>
      </c>
      <c r="Q85" s="235">
        <v>1</v>
      </c>
      <c r="R85" s="235">
        <v>23.424242424242426</v>
      </c>
      <c r="S85" s="235">
        <v>5.6060606060606064</v>
      </c>
      <c r="T85" s="235">
        <v>3.4393939393939394</v>
      </c>
      <c r="U85" s="235">
        <v>6.9393939393939386</v>
      </c>
      <c r="V85" s="235">
        <v>0</v>
      </c>
      <c r="W85" s="235"/>
      <c r="X85" s="233" t="s">
        <v>184</v>
      </c>
      <c r="Y85" s="238" t="s">
        <v>288</v>
      </c>
      <c r="Z85" s="233" t="s">
        <v>301</v>
      </c>
      <c r="AA85" s="236" t="s">
        <v>691</v>
      </c>
      <c r="AB85" s="233" t="s">
        <v>184</v>
      </c>
      <c r="AC85" s="238" t="s">
        <v>288</v>
      </c>
      <c r="AD85" s="238" t="s">
        <v>301</v>
      </c>
      <c r="AE85" s="239">
        <v>44209</v>
      </c>
    </row>
    <row r="86" spans="1:31" x14ac:dyDescent="0.3">
      <c r="A86" s="232" t="s">
        <v>356</v>
      </c>
      <c r="B86" s="233" t="s">
        <v>357</v>
      </c>
      <c r="C86" s="227" t="s">
        <v>45</v>
      </c>
      <c r="D86" s="227" t="s">
        <v>358</v>
      </c>
      <c r="E86" s="258">
        <v>89015</v>
      </c>
      <c r="F86" s="227" t="s">
        <v>359</v>
      </c>
      <c r="G86" s="227" t="s">
        <v>251</v>
      </c>
      <c r="H86" s="233" t="s">
        <v>183</v>
      </c>
      <c r="I86" s="234">
        <v>28.428571428571399</v>
      </c>
      <c r="J86" s="235">
        <v>16.19696969696971</v>
      </c>
      <c r="K86" s="235">
        <v>6.2727272727272858</v>
      </c>
      <c r="L86" s="235">
        <v>6.6363636363636358</v>
      </c>
      <c r="M86" s="235">
        <v>6.1969696969696955</v>
      </c>
      <c r="N86" s="235">
        <v>16.984848484848492</v>
      </c>
      <c r="O86" s="235">
        <v>14.454545454545469</v>
      </c>
      <c r="P86" s="235">
        <v>2.6969696969696972</v>
      </c>
      <c r="Q86" s="235">
        <v>1.1666666666666665</v>
      </c>
      <c r="R86" s="235">
        <v>12.560606060606066</v>
      </c>
      <c r="S86" s="235">
        <v>3.1212121212121211</v>
      </c>
      <c r="T86" s="235">
        <v>1.5909090909090908</v>
      </c>
      <c r="U86" s="235">
        <v>18.03030303030306</v>
      </c>
      <c r="V86" s="235">
        <v>0</v>
      </c>
      <c r="W86" s="235"/>
      <c r="X86" s="233" t="s">
        <v>184</v>
      </c>
      <c r="Y86" s="238" t="s">
        <v>288</v>
      </c>
      <c r="Z86" s="233" t="s">
        <v>301</v>
      </c>
      <c r="AA86" s="236" t="s">
        <v>719</v>
      </c>
      <c r="AB86" s="233" t="s">
        <v>184</v>
      </c>
      <c r="AC86" s="238" t="s">
        <v>288</v>
      </c>
      <c r="AD86" s="238" t="s">
        <v>301</v>
      </c>
      <c r="AE86" s="239">
        <v>44155</v>
      </c>
    </row>
    <row r="87" spans="1:31" x14ac:dyDescent="0.3">
      <c r="A87" s="232" t="s">
        <v>439</v>
      </c>
      <c r="B87" s="233" t="s">
        <v>440</v>
      </c>
      <c r="C87" s="227" t="s">
        <v>441</v>
      </c>
      <c r="D87" s="227" t="s">
        <v>327</v>
      </c>
      <c r="E87" s="258">
        <v>56007</v>
      </c>
      <c r="F87" s="227" t="s">
        <v>328</v>
      </c>
      <c r="G87" s="227" t="s">
        <v>207</v>
      </c>
      <c r="H87" s="233" t="s">
        <v>5</v>
      </c>
      <c r="I87" s="234">
        <v>38.097560975609802</v>
      </c>
      <c r="J87" s="235">
        <v>21.333333333333332</v>
      </c>
      <c r="K87" s="235">
        <v>0.31818181818181818</v>
      </c>
      <c r="L87" s="235">
        <v>11.272727272727273</v>
      </c>
      <c r="M87" s="235">
        <v>1.7727272727272727</v>
      </c>
      <c r="N87" s="235">
        <v>10.106060606060606</v>
      </c>
      <c r="O87" s="235">
        <v>24.590909090909093</v>
      </c>
      <c r="P87" s="235">
        <v>0</v>
      </c>
      <c r="Q87" s="235">
        <v>0</v>
      </c>
      <c r="R87" s="235">
        <v>7.5000000000000009</v>
      </c>
      <c r="S87" s="235">
        <v>2.1515151515151514</v>
      </c>
      <c r="T87" s="235">
        <v>0</v>
      </c>
      <c r="U87" s="235">
        <v>25.045454545454547</v>
      </c>
      <c r="V87" s="235">
        <v>0</v>
      </c>
      <c r="W87" s="235"/>
      <c r="X87" s="233" t="s">
        <v>184</v>
      </c>
      <c r="Y87" s="238" t="s">
        <v>678</v>
      </c>
      <c r="Z87" s="233"/>
      <c r="AA87" s="236" t="s">
        <v>724</v>
      </c>
      <c r="AB87" s="233" t="s">
        <v>184</v>
      </c>
      <c r="AC87" s="238" t="s">
        <v>288</v>
      </c>
      <c r="AD87" s="238" t="s">
        <v>301</v>
      </c>
      <c r="AE87" s="239">
        <v>44084</v>
      </c>
    </row>
    <row r="88" spans="1:31" x14ac:dyDescent="0.3">
      <c r="A88" s="232" t="s">
        <v>33</v>
      </c>
      <c r="B88" s="233" t="s">
        <v>353</v>
      </c>
      <c r="C88" s="227" t="s">
        <v>354</v>
      </c>
      <c r="D88" s="227" t="s">
        <v>355</v>
      </c>
      <c r="E88" s="258">
        <v>74447</v>
      </c>
      <c r="F88" s="227" t="s">
        <v>269</v>
      </c>
      <c r="G88" s="227" t="s">
        <v>207</v>
      </c>
      <c r="H88" s="233" t="s">
        <v>5</v>
      </c>
      <c r="I88" s="234">
        <v>36.014285714285698</v>
      </c>
      <c r="J88" s="235">
        <v>2.4696969696969697</v>
      </c>
      <c r="K88" s="235">
        <v>5.5606060606060614</v>
      </c>
      <c r="L88" s="235">
        <v>8.6212121212121211</v>
      </c>
      <c r="M88" s="235">
        <v>16.530303030303035</v>
      </c>
      <c r="N88" s="235">
        <v>26.121212121212121</v>
      </c>
      <c r="O88" s="235">
        <v>7.0606060606060606</v>
      </c>
      <c r="P88" s="235">
        <v>0</v>
      </c>
      <c r="Q88" s="235">
        <v>0</v>
      </c>
      <c r="R88" s="235">
        <v>12.196969696969699</v>
      </c>
      <c r="S88" s="235">
        <v>2</v>
      </c>
      <c r="T88" s="235">
        <v>0.90909090909090906</v>
      </c>
      <c r="U88" s="235">
        <v>18.075757575757574</v>
      </c>
      <c r="V88" s="235">
        <v>0</v>
      </c>
      <c r="W88" s="235"/>
      <c r="X88" s="233" t="s">
        <v>184</v>
      </c>
      <c r="Y88" s="238" t="s">
        <v>677</v>
      </c>
      <c r="Z88" s="233" t="s">
        <v>425</v>
      </c>
      <c r="AA88" s="236" t="s">
        <v>690</v>
      </c>
      <c r="AB88" s="233" t="s">
        <v>184</v>
      </c>
      <c r="AC88" s="238" t="s">
        <v>185</v>
      </c>
      <c r="AD88" s="238" t="s">
        <v>186</v>
      </c>
      <c r="AE88" s="239">
        <v>44105</v>
      </c>
    </row>
    <row r="89" spans="1:31" x14ac:dyDescent="0.3">
      <c r="A89" s="232" t="s">
        <v>433</v>
      </c>
      <c r="B89" s="233" t="s">
        <v>434</v>
      </c>
      <c r="C89" s="227" t="s">
        <v>435</v>
      </c>
      <c r="D89" s="227" t="s">
        <v>210</v>
      </c>
      <c r="E89" s="258">
        <v>85349</v>
      </c>
      <c r="F89" s="227" t="s">
        <v>223</v>
      </c>
      <c r="G89" s="227" t="s">
        <v>207</v>
      </c>
      <c r="H89" s="233" t="s">
        <v>183</v>
      </c>
      <c r="I89" s="234">
        <v>16.625570776255699</v>
      </c>
      <c r="J89" s="235">
        <v>30.393939393939423</v>
      </c>
      <c r="K89" s="235">
        <v>1.1515151515151507</v>
      </c>
      <c r="L89" s="235">
        <v>1.5151515151515152E-2</v>
      </c>
      <c r="M89" s="235">
        <v>0.10606060606060606</v>
      </c>
      <c r="N89" s="235">
        <v>0.22727272727272724</v>
      </c>
      <c r="O89" s="235">
        <v>13.727272727272771</v>
      </c>
      <c r="P89" s="235">
        <v>0.40909090909090912</v>
      </c>
      <c r="Q89" s="235">
        <v>17.303030303030319</v>
      </c>
      <c r="R89" s="235">
        <v>9.0909090909090912E-2</v>
      </c>
      <c r="S89" s="235">
        <v>1.5151515151515152E-2</v>
      </c>
      <c r="T89" s="235">
        <v>0</v>
      </c>
      <c r="U89" s="235">
        <v>31.560606060606123</v>
      </c>
      <c r="V89" s="235">
        <v>0</v>
      </c>
      <c r="W89" s="235">
        <v>100</v>
      </c>
      <c r="X89" s="233" t="s">
        <v>184</v>
      </c>
      <c r="Y89" s="238" t="s">
        <v>678</v>
      </c>
      <c r="Z89" s="233" t="s">
        <v>301</v>
      </c>
      <c r="AA89" s="236" t="s">
        <v>708</v>
      </c>
      <c r="AB89" s="233" t="s">
        <v>184</v>
      </c>
      <c r="AC89" s="238" t="s">
        <v>678</v>
      </c>
      <c r="AD89" s="238" t="s">
        <v>301</v>
      </c>
      <c r="AE89" s="239">
        <v>44160</v>
      </c>
    </row>
    <row r="90" spans="1:31" x14ac:dyDescent="0.3">
      <c r="A90" s="232" t="s">
        <v>380</v>
      </c>
      <c r="B90" s="233" t="s">
        <v>381</v>
      </c>
      <c r="C90" s="227" t="s">
        <v>382</v>
      </c>
      <c r="D90" s="227" t="s">
        <v>344</v>
      </c>
      <c r="E90" s="258">
        <v>60901</v>
      </c>
      <c r="F90" s="227" t="s">
        <v>36</v>
      </c>
      <c r="G90" s="227" t="s">
        <v>251</v>
      </c>
      <c r="H90" s="233" t="s">
        <v>5</v>
      </c>
      <c r="I90" s="234">
        <v>66.723404255319195</v>
      </c>
      <c r="J90" s="235">
        <v>7.5000000000000009</v>
      </c>
      <c r="K90" s="235">
        <v>0.53030303030303028</v>
      </c>
      <c r="L90" s="235">
        <v>9.8181818181818183</v>
      </c>
      <c r="M90" s="235">
        <v>13.303030303030306</v>
      </c>
      <c r="N90" s="235">
        <v>21.424242424242426</v>
      </c>
      <c r="O90" s="235">
        <v>9.7272727272727284</v>
      </c>
      <c r="P90" s="235">
        <v>0</v>
      </c>
      <c r="Q90" s="235">
        <v>0</v>
      </c>
      <c r="R90" s="235">
        <v>10.712121212121211</v>
      </c>
      <c r="S90" s="235">
        <v>5.2878787878787872</v>
      </c>
      <c r="T90" s="235">
        <v>1.5</v>
      </c>
      <c r="U90" s="235">
        <v>13.651515151515152</v>
      </c>
      <c r="V90" s="235">
        <v>0</v>
      </c>
      <c r="W90" s="235"/>
      <c r="X90" s="233" t="s">
        <v>184</v>
      </c>
      <c r="Y90" s="238" t="s">
        <v>288</v>
      </c>
      <c r="Z90" s="233" t="s">
        <v>301</v>
      </c>
      <c r="AA90" s="236" t="s">
        <v>725</v>
      </c>
      <c r="AB90" s="233" t="s">
        <v>184</v>
      </c>
      <c r="AC90" s="238" t="s">
        <v>288</v>
      </c>
      <c r="AD90" s="238" t="s">
        <v>301</v>
      </c>
      <c r="AE90" s="239">
        <v>44160</v>
      </c>
    </row>
    <row r="91" spans="1:31" x14ac:dyDescent="0.3">
      <c r="A91" s="232" t="s">
        <v>406</v>
      </c>
      <c r="B91" s="233" t="s">
        <v>407</v>
      </c>
      <c r="C91" s="227" t="s">
        <v>408</v>
      </c>
      <c r="D91" s="227" t="s">
        <v>409</v>
      </c>
      <c r="E91" s="258">
        <v>3820</v>
      </c>
      <c r="F91" s="227" t="s">
        <v>324</v>
      </c>
      <c r="G91" s="227" t="s">
        <v>207</v>
      </c>
      <c r="H91" s="233" t="s">
        <v>183</v>
      </c>
      <c r="I91" s="234">
        <v>134.13333333333301</v>
      </c>
      <c r="J91" s="235">
        <v>0</v>
      </c>
      <c r="K91" s="235">
        <v>3.7727272727272734</v>
      </c>
      <c r="L91" s="235">
        <v>7.9848484848484853</v>
      </c>
      <c r="M91" s="235">
        <v>17.484848484848488</v>
      </c>
      <c r="N91" s="235">
        <v>21.696969696969695</v>
      </c>
      <c r="O91" s="235">
        <v>5.954545454545455</v>
      </c>
      <c r="P91" s="235">
        <v>1.5909090909090908</v>
      </c>
      <c r="Q91" s="235">
        <v>0</v>
      </c>
      <c r="R91" s="235">
        <v>16.590909090909093</v>
      </c>
      <c r="S91" s="235">
        <v>2.9090909090909092</v>
      </c>
      <c r="T91" s="235">
        <v>0.2878787878787879</v>
      </c>
      <c r="U91" s="235">
        <v>9.454545454545455</v>
      </c>
      <c r="V91" s="235">
        <v>0</v>
      </c>
      <c r="W91" s="235"/>
      <c r="X91" s="233" t="s">
        <v>184</v>
      </c>
      <c r="Y91" s="238" t="s">
        <v>252</v>
      </c>
      <c r="Z91" s="233" t="s">
        <v>186</v>
      </c>
      <c r="AA91" s="236" t="s">
        <v>726</v>
      </c>
      <c r="AB91" s="233" t="s">
        <v>184</v>
      </c>
      <c r="AC91" s="238" t="s">
        <v>252</v>
      </c>
      <c r="AD91" s="238" t="s">
        <v>186</v>
      </c>
      <c r="AE91" s="239">
        <v>43811</v>
      </c>
    </row>
    <row r="92" spans="1:31" x14ac:dyDescent="0.3">
      <c r="A92" s="232" t="s">
        <v>21</v>
      </c>
      <c r="B92" s="233" t="s">
        <v>416</v>
      </c>
      <c r="C92" s="227" t="s">
        <v>417</v>
      </c>
      <c r="D92" s="227" t="s">
        <v>372</v>
      </c>
      <c r="E92" s="258">
        <v>48161</v>
      </c>
      <c r="F92" s="227" t="s">
        <v>367</v>
      </c>
      <c r="G92" s="227" t="s">
        <v>207</v>
      </c>
      <c r="H92" s="233" t="s">
        <v>5</v>
      </c>
      <c r="I92" s="234">
        <v>15.6585365853659</v>
      </c>
      <c r="J92" s="235">
        <v>10.727272727272732</v>
      </c>
      <c r="K92" s="235">
        <v>6.8333333333333321</v>
      </c>
      <c r="L92" s="235">
        <v>4.5303030303030303</v>
      </c>
      <c r="M92" s="235">
        <v>5.3181818181818175</v>
      </c>
      <c r="N92" s="235">
        <v>17.348484848484844</v>
      </c>
      <c r="O92" s="235">
        <v>10.060606060606064</v>
      </c>
      <c r="P92" s="235">
        <v>0</v>
      </c>
      <c r="Q92" s="235">
        <v>0</v>
      </c>
      <c r="R92" s="235">
        <v>10.939393939393939</v>
      </c>
      <c r="S92" s="235">
        <v>4.1666666666666661</v>
      </c>
      <c r="T92" s="235">
        <v>0.15151515151515152</v>
      </c>
      <c r="U92" s="235">
        <v>12.151515151515158</v>
      </c>
      <c r="V92" s="235">
        <v>0</v>
      </c>
      <c r="W92" s="235"/>
      <c r="X92" s="233" t="s">
        <v>184</v>
      </c>
      <c r="Y92" s="238" t="s">
        <v>678</v>
      </c>
      <c r="Z92" s="233" t="s">
        <v>301</v>
      </c>
      <c r="AA92" s="236" t="s">
        <v>727</v>
      </c>
      <c r="AB92" s="233" t="s">
        <v>184</v>
      </c>
      <c r="AC92" s="238" t="s">
        <v>678</v>
      </c>
      <c r="AD92" s="238" t="s">
        <v>301</v>
      </c>
      <c r="AE92" s="239">
        <v>44195</v>
      </c>
    </row>
    <row r="93" spans="1:31" x14ac:dyDescent="0.3">
      <c r="A93" s="232" t="s">
        <v>360</v>
      </c>
      <c r="B93" s="233" t="s">
        <v>361</v>
      </c>
      <c r="C93" s="227" t="s">
        <v>362</v>
      </c>
      <c r="D93" s="227" t="s">
        <v>289</v>
      </c>
      <c r="E93" s="258">
        <v>18428</v>
      </c>
      <c r="F93" s="227" t="s">
        <v>290</v>
      </c>
      <c r="G93" s="227" t="s">
        <v>207</v>
      </c>
      <c r="H93" s="233" t="s">
        <v>5</v>
      </c>
      <c r="I93" s="234">
        <v>133.666666666667</v>
      </c>
      <c r="J93" s="235">
        <v>3.1818181818181821</v>
      </c>
      <c r="K93" s="235">
        <v>3</v>
      </c>
      <c r="L93" s="235">
        <v>7.5606060606060614</v>
      </c>
      <c r="M93" s="235">
        <v>11.196969696969695</v>
      </c>
      <c r="N93" s="235">
        <v>24.015151515151508</v>
      </c>
      <c r="O93" s="235">
        <v>0.92424242424242431</v>
      </c>
      <c r="P93" s="235">
        <v>0</v>
      </c>
      <c r="Q93" s="235">
        <v>0</v>
      </c>
      <c r="R93" s="235">
        <v>8.7727272727272734</v>
      </c>
      <c r="S93" s="235">
        <v>6.5151515151515156</v>
      </c>
      <c r="T93" s="235">
        <v>5</v>
      </c>
      <c r="U93" s="235">
        <v>4.6515151515151514</v>
      </c>
      <c r="V93" s="235">
        <v>0</v>
      </c>
      <c r="W93" s="235"/>
      <c r="X93" s="233" t="s">
        <v>184</v>
      </c>
      <c r="Y93" s="238" t="s">
        <v>252</v>
      </c>
      <c r="Z93" s="233" t="s">
        <v>186</v>
      </c>
      <c r="AA93" s="236" t="s">
        <v>697</v>
      </c>
      <c r="AB93" s="233" t="s">
        <v>184</v>
      </c>
      <c r="AC93" s="238" t="s">
        <v>252</v>
      </c>
      <c r="AD93" s="238" t="s">
        <v>186</v>
      </c>
      <c r="AE93" s="239">
        <v>44132</v>
      </c>
    </row>
    <row r="94" spans="1:31" x14ac:dyDescent="0.3">
      <c r="A94" s="232" t="s">
        <v>403</v>
      </c>
      <c r="B94" s="233" t="s">
        <v>404</v>
      </c>
      <c r="C94" s="227" t="s">
        <v>405</v>
      </c>
      <c r="D94" s="227" t="s">
        <v>195</v>
      </c>
      <c r="E94" s="258">
        <v>79521</v>
      </c>
      <c r="F94" s="227" t="s">
        <v>269</v>
      </c>
      <c r="G94" s="227" t="s">
        <v>251</v>
      </c>
      <c r="H94" s="233" t="s">
        <v>183</v>
      </c>
      <c r="I94" s="234">
        <v>16.650602409638601</v>
      </c>
      <c r="J94" s="235">
        <v>17.40909090909091</v>
      </c>
      <c r="K94" s="235">
        <v>6.378787878787878</v>
      </c>
      <c r="L94" s="235">
        <v>0</v>
      </c>
      <c r="M94" s="235">
        <v>0</v>
      </c>
      <c r="N94" s="235">
        <v>0</v>
      </c>
      <c r="O94" s="235">
        <v>0</v>
      </c>
      <c r="P94" s="235">
        <v>0</v>
      </c>
      <c r="Q94" s="235">
        <v>23.787878787878778</v>
      </c>
      <c r="R94" s="235">
        <v>0</v>
      </c>
      <c r="S94" s="235">
        <v>0</v>
      </c>
      <c r="T94" s="235">
        <v>0</v>
      </c>
      <c r="U94" s="235">
        <v>23.787878787878778</v>
      </c>
      <c r="V94" s="235">
        <v>0</v>
      </c>
      <c r="W94" s="235"/>
      <c r="X94" s="233" t="s">
        <v>184</v>
      </c>
      <c r="Y94" s="238" t="s">
        <v>678</v>
      </c>
      <c r="Z94" s="233" t="s">
        <v>301</v>
      </c>
      <c r="AA94" s="236" t="s">
        <v>722</v>
      </c>
      <c r="AB94" s="233" t="s">
        <v>184</v>
      </c>
      <c r="AC94" s="238" t="s">
        <v>678</v>
      </c>
      <c r="AD94" s="238" t="s">
        <v>301</v>
      </c>
      <c r="AE94" s="239">
        <v>44125</v>
      </c>
    </row>
    <row r="95" spans="1:31" x14ac:dyDescent="0.3">
      <c r="A95" s="232" t="s">
        <v>844</v>
      </c>
      <c r="B95" s="233" t="s">
        <v>852</v>
      </c>
      <c r="C95" s="227" t="s">
        <v>255</v>
      </c>
      <c r="D95" s="227" t="s">
        <v>195</v>
      </c>
      <c r="E95" s="258">
        <v>79925</v>
      </c>
      <c r="F95" s="227" t="s">
        <v>238</v>
      </c>
      <c r="G95" s="227" t="s">
        <v>859</v>
      </c>
      <c r="H95" s="233" t="s">
        <v>183</v>
      </c>
      <c r="I95" s="234">
        <v>2.2121771217712198</v>
      </c>
      <c r="J95" s="235">
        <v>23.409090909091073</v>
      </c>
      <c r="K95" s="235">
        <v>0</v>
      </c>
      <c r="L95" s="235">
        <v>0</v>
      </c>
      <c r="M95" s="235">
        <v>0</v>
      </c>
      <c r="N95" s="235">
        <v>0.22727272727272727</v>
      </c>
      <c r="O95" s="235">
        <v>10.606060606060653</v>
      </c>
      <c r="P95" s="235">
        <v>0</v>
      </c>
      <c r="Q95" s="235">
        <v>12.575757575757642</v>
      </c>
      <c r="R95" s="235">
        <v>0</v>
      </c>
      <c r="S95" s="235">
        <v>0</v>
      </c>
      <c r="T95" s="235">
        <v>0.22727272727272727</v>
      </c>
      <c r="U95" s="235">
        <v>23.18181818181834</v>
      </c>
      <c r="V95" s="235">
        <v>0</v>
      </c>
      <c r="W95" s="235"/>
      <c r="X95" s="233" t="s">
        <v>184</v>
      </c>
      <c r="Y95" s="238" t="s">
        <v>201</v>
      </c>
      <c r="Z95" s="233"/>
      <c r="AA95" s="236" t="s">
        <v>863</v>
      </c>
      <c r="AB95" s="233" t="s">
        <v>184</v>
      </c>
      <c r="AC95" s="238" t="s">
        <v>201</v>
      </c>
      <c r="AD95" s="238"/>
      <c r="AE95" s="239">
        <v>44334</v>
      </c>
    </row>
    <row r="96" spans="1:31" x14ac:dyDescent="0.3">
      <c r="A96" s="232" t="s">
        <v>646</v>
      </c>
      <c r="B96" s="233" t="s">
        <v>661</v>
      </c>
      <c r="C96" s="227" t="s">
        <v>662</v>
      </c>
      <c r="D96" s="227" t="s">
        <v>39</v>
      </c>
      <c r="E96" s="258">
        <v>21613</v>
      </c>
      <c r="F96" s="227" t="s">
        <v>376</v>
      </c>
      <c r="G96" s="227" t="s">
        <v>207</v>
      </c>
      <c r="H96" s="233" t="s">
        <v>183</v>
      </c>
      <c r="I96" s="234">
        <v>115.727272727273</v>
      </c>
      <c r="J96" s="235">
        <v>0</v>
      </c>
      <c r="K96" s="235">
        <v>0</v>
      </c>
      <c r="L96" s="235">
        <v>8.1363636363636367</v>
      </c>
      <c r="M96" s="235">
        <v>15.121212121212123</v>
      </c>
      <c r="N96" s="235">
        <v>21.575757575757574</v>
      </c>
      <c r="O96" s="235">
        <v>1.6818181818181817</v>
      </c>
      <c r="P96" s="235">
        <v>0</v>
      </c>
      <c r="Q96" s="235">
        <v>0</v>
      </c>
      <c r="R96" s="235">
        <v>13.545454545454547</v>
      </c>
      <c r="S96" s="235">
        <v>2.9545454545454546</v>
      </c>
      <c r="T96" s="235">
        <v>1</v>
      </c>
      <c r="U96" s="235">
        <v>5.7575757575757578</v>
      </c>
      <c r="V96" s="235">
        <v>0</v>
      </c>
      <c r="W96" s="235"/>
      <c r="X96" s="233" t="s">
        <v>184</v>
      </c>
      <c r="Y96" s="238" t="s">
        <v>678</v>
      </c>
      <c r="Z96" s="233" t="s">
        <v>301</v>
      </c>
      <c r="AA96" s="236" t="s">
        <v>716</v>
      </c>
      <c r="AB96" s="233" t="s">
        <v>184</v>
      </c>
      <c r="AC96" s="238" t="s">
        <v>288</v>
      </c>
      <c r="AD96" s="238" t="s">
        <v>301</v>
      </c>
      <c r="AE96" s="239">
        <v>43908</v>
      </c>
    </row>
    <row r="97" spans="1:31" x14ac:dyDescent="0.3">
      <c r="A97" s="232" t="s">
        <v>845</v>
      </c>
      <c r="B97" s="233" t="s">
        <v>853</v>
      </c>
      <c r="C97" s="227" t="s">
        <v>255</v>
      </c>
      <c r="D97" s="227" t="s">
        <v>195</v>
      </c>
      <c r="E97" s="258">
        <v>79925</v>
      </c>
      <c r="F97" s="227" t="s">
        <v>238</v>
      </c>
      <c r="G97" s="227" t="s">
        <v>859</v>
      </c>
      <c r="H97" s="233" t="s">
        <v>183</v>
      </c>
      <c r="I97" s="234">
        <v>1.9626334519573001</v>
      </c>
      <c r="J97" s="235">
        <v>21.484848484848708</v>
      </c>
      <c r="K97" s="235">
        <v>0</v>
      </c>
      <c r="L97" s="235">
        <v>0</v>
      </c>
      <c r="M97" s="235">
        <v>0</v>
      </c>
      <c r="N97" s="235">
        <v>1.5151515151515152E-2</v>
      </c>
      <c r="O97" s="235">
        <v>9.4393939393939839</v>
      </c>
      <c r="P97" s="235">
        <v>1.5151515151515152E-2</v>
      </c>
      <c r="Q97" s="235">
        <v>12.015151515151604</v>
      </c>
      <c r="R97" s="235">
        <v>0</v>
      </c>
      <c r="S97" s="235">
        <v>0</v>
      </c>
      <c r="T97" s="235">
        <v>3.0303030303030304E-2</v>
      </c>
      <c r="U97" s="235">
        <v>21.454545454545677</v>
      </c>
      <c r="V97" s="235">
        <v>0</v>
      </c>
      <c r="W97" s="235"/>
      <c r="X97" s="233" t="s">
        <v>184</v>
      </c>
      <c r="Y97" s="238" t="s">
        <v>201</v>
      </c>
      <c r="Z97" s="233"/>
      <c r="AA97" s="236" t="s">
        <v>864</v>
      </c>
      <c r="AB97" s="233" t="s">
        <v>184</v>
      </c>
      <c r="AC97" s="238" t="s">
        <v>201</v>
      </c>
      <c r="AD97" s="238"/>
      <c r="AE97" s="239">
        <v>44333</v>
      </c>
    </row>
    <row r="98" spans="1:31" x14ac:dyDescent="0.3">
      <c r="A98" s="232" t="s">
        <v>373</v>
      </c>
      <c r="B98" s="233" t="s">
        <v>374</v>
      </c>
      <c r="C98" s="227" t="s">
        <v>375</v>
      </c>
      <c r="D98" s="227" t="s">
        <v>39</v>
      </c>
      <c r="E98" s="258">
        <v>21863</v>
      </c>
      <c r="F98" s="227" t="s">
        <v>376</v>
      </c>
      <c r="G98" s="227" t="s">
        <v>207</v>
      </c>
      <c r="H98" s="233" t="s">
        <v>183</v>
      </c>
      <c r="I98" s="234">
        <v>112.833333333333</v>
      </c>
      <c r="J98" s="235">
        <v>0</v>
      </c>
      <c r="K98" s="235">
        <v>0</v>
      </c>
      <c r="L98" s="235">
        <v>4.7424242424242422</v>
      </c>
      <c r="M98" s="235">
        <v>13.833333333333334</v>
      </c>
      <c r="N98" s="235">
        <v>14.060606060606061</v>
      </c>
      <c r="O98" s="235">
        <v>4.5151515151515156</v>
      </c>
      <c r="P98" s="235">
        <v>0</v>
      </c>
      <c r="Q98" s="235">
        <v>0</v>
      </c>
      <c r="R98" s="235">
        <v>9.712121212121211</v>
      </c>
      <c r="S98" s="235">
        <v>2.3636363636363638</v>
      </c>
      <c r="T98" s="235">
        <v>0.31818181818181818</v>
      </c>
      <c r="U98" s="235">
        <v>6.1818181818181817</v>
      </c>
      <c r="V98" s="235">
        <v>0</v>
      </c>
      <c r="W98" s="235"/>
      <c r="X98" s="233" t="s">
        <v>184</v>
      </c>
      <c r="Y98" s="238" t="s">
        <v>678</v>
      </c>
      <c r="Z98" s="233" t="s">
        <v>301</v>
      </c>
      <c r="AA98" s="236" t="s">
        <v>727</v>
      </c>
      <c r="AB98" s="233" t="s">
        <v>184</v>
      </c>
      <c r="AC98" s="238" t="s">
        <v>678</v>
      </c>
      <c r="AD98" s="238" t="s">
        <v>301</v>
      </c>
      <c r="AE98" s="239">
        <v>44230</v>
      </c>
    </row>
    <row r="99" spans="1:31" x14ac:dyDescent="0.3">
      <c r="A99" s="232" t="s">
        <v>43</v>
      </c>
      <c r="B99" s="233" t="s">
        <v>445</v>
      </c>
      <c r="C99" s="227" t="s">
        <v>446</v>
      </c>
      <c r="D99" s="227" t="s">
        <v>366</v>
      </c>
      <c r="E99" s="258">
        <v>44024</v>
      </c>
      <c r="F99" s="227" t="s">
        <v>367</v>
      </c>
      <c r="G99" s="227" t="s">
        <v>251</v>
      </c>
      <c r="H99" s="233" t="s">
        <v>183</v>
      </c>
      <c r="I99" s="234">
        <v>76.6666666666667</v>
      </c>
      <c r="J99" s="235">
        <v>2.8636363636363633</v>
      </c>
      <c r="K99" s="235">
        <v>1.3181818181818181</v>
      </c>
      <c r="L99" s="235">
        <v>5.5151515151515147</v>
      </c>
      <c r="M99" s="235">
        <v>6.9393939393939394</v>
      </c>
      <c r="N99" s="235">
        <v>11.969696969696969</v>
      </c>
      <c r="O99" s="235">
        <v>1.606060606060606</v>
      </c>
      <c r="P99" s="235">
        <v>2</v>
      </c>
      <c r="Q99" s="235">
        <v>1.0606060606060606</v>
      </c>
      <c r="R99" s="235">
        <v>10.803030303030301</v>
      </c>
      <c r="S99" s="235">
        <v>2.1666666666666665</v>
      </c>
      <c r="T99" s="235">
        <v>1</v>
      </c>
      <c r="U99" s="235">
        <v>2.666666666666667</v>
      </c>
      <c r="V99" s="235">
        <v>0</v>
      </c>
      <c r="W99" s="235"/>
      <c r="X99" s="233" t="s">
        <v>184</v>
      </c>
      <c r="Y99" s="238" t="s">
        <v>288</v>
      </c>
      <c r="Z99" s="233" t="s">
        <v>301</v>
      </c>
      <c r="AA99" s="236" t="s">
        <v>729</v>
      </c>
      <c r="AB99" s="233" t="s">
        <v>184</v>
      </c>
      <c r="AC99" s="238" t="s">
        <v>288</v>
      </c>
      <c r="AD99" s="238" t="s">
        <v>301</v>
      </c>
      <c r="AE99" s="239">
        <v>44175</v>
      </c>
    </row>
    <row r="100" spans="1:31" x14ac:dyDescent="0.3">
      <c r="A100" s="232" t="s">
        <v>412</v>
      </c>
      <c r="B100" s="233" t="s">
        <v>413</v>
      </c>
      <c r="C100" s="227" t="s">
        <v>414</v>
      </c>
      <c r="D100" s="227" t="s">
        <v>415</v>
      </c>
      <c r="E100" s="258">
        <v>68801</v>
      </c>
      <c r="F100" s="227" t="s">
        <v>328</v>
      </c>
      <c r="G100" s="227" t="s">
        <v>207</v>
      </c>
      <c r="H100" s="233" t="s">
        <v>183</v>
      </c>
      <c r="I100" s="234">
        <v>35.357142857142897</v>
      </c>
      <c r="J100" s="235">
        <v>0.46969696969696972</v>
      </c>
      <c r="K100" s="235">
        <v>2.3030303030303032</v>
      </c>
      <c r="L100" s="235">
        <v>5.4848484848484862</v>
      </c>
      <c r="M100" s="235">
        <v>8.0303030303030312</v>
      </c>
      <c r="N100" s="235">
        <v>15.287878787878787</v>
      </c>
      <c r="O100" s="235">
        <v>0</v>
      </c>
      <c r="P100" s="235">
        <v>1</v>
      </c>
      <c r="Q100" s="235">
        <v>0</v>
      </c>
      <c r="R100" s="235">
        <v>5.6060606060606055</v>
      </c>
      <c r="S100" s="235">
        <v>0.80303030303030298</v>
      </c>
      <c r="T100" s="235">
        <v>4</v>
      </c>
      <c r="U100" s="235">
        <v>5.878787878787878</v>
      </c>
      <c r="V100" s="235">
        <v>0</v>
      </c>
      <c r="W100" s="235"/>
      <c r="X100" s="233" t="s">
        <v>184</v>
      </c>
      <c r="Y100" s="238" t="s">
        <v>678</v>
      </c>
      <c r="Z100" s="233"/>
      <c r="AA100" s="236" t="s">
        <v>702</v>
      </c>
      <c r="AB100" s="233" t="s">
        <v>184</v>
      </c>
      <c r="AC100" s="238" t="s">
        <v>288</v>
      </c>
      <c r="AD100" s="238" t="s">
        <v>301</v>
      </c>
      <c r="AE100" s="239">
        <v>44091</v>
      </c>
    </row>
    <row r="101" spans="1:31" x14ac:dyDescent="0.3">
      <c r="A101" s="232" t="s">
        <v>427</v>
      </c>
      <c r="B101" s="233" t="s">
        <v>428</v>
      </c>
      <c r="C101" s="227" t="s">
        <v>429</v>
      </c>
      <c r="D101" s="227" t="s">
        <v>372</v>
      </c>
      <c r="E101" s="258">
        <v>48060</v>
      </c>
      <c r="F101" s="227" t="s">
        <v>367</v>
      </c>
      <c r="G101" s="227" t="s">
        <v>207</v>
      </c>
      <c r="H101" s="233" t="s">
        <v>5</v>
      </c>
      <c r="I101" s="234">
        <v>94.421052631578902</v>
      </c>
      <c r="J101" s="235">
        <v>4.5454545454545459</v>
      </c>
      <c r="K101" s="235">
        <v>3.2878787878787881</v>
      </c>
      <c r="L101" s="235">
        <v>5.2272727272727275</v>
      </c>
      <c r="M101" s="235">
        <v>2.7424242424242422</v>
      </c>
      <c r="N101" s="235">
        <v>12.818181818181817</v>
      </c>
      <c r="O101" s="235">
        <v>2.9848484848484844</v>
      </c>
      <c r="P101" s="235">
        <v>0</v>
      </c>
      <c r="Q101" s="235">
        <v>0</v>
      </c>
      <c r="R101" s="235">
        <v>8.4848484848484862</v>
      </c>
      <c r="S101" s="235">
        <v>0</v>
      </c>
      <c r="T101" s="235">
        <v>1.4696969696969697</v>
      </c>
      <c r="U101" s="235">
        <v>5.8484848484848486</v>
      </c>
      <c r="V101" s="235">
        <v>0</v>
      </c>
      <c r="W101" s="235"/>
      <c r="X101" s="233" t="s">
        <v>184</v>
      </c>
      <c r="Y101" s="238" t="s">
        <v>252</v>
      </c>
      <c r="Z101" s="233" t="s">
        <v>186</v>
      </c>
      <c r="AA101" s="236" t="s">
        <v>728</v>
      </c>
      <c r="AB101" s="233" t="s">
        <v>184</v>
      </c>
      <c r="AC101" s="238" t="s">
        <v>252</v>
      </c>
      <c r="AD101" s="238" t="s">
        <v>186</v>
      </c>
      <c r="AE101" s="239">
        <v>43769</v>
      </c>
    </row>
    <row r="102" spans="1:31" x14ac:dyDescent="0.3">
      <c r="A102" s="232" t="s">
        <v>19</v>
      </c>
      <c r="B102" s="233" t="s">
        <v>325</v>
      </c>
      <c r="C102" s="227" t="s">
        <v>326</v>
      </c>
      <c r="D102" s="227" t="s">
        <v>327</v>
      </c>
      <c r="E102" s="258">
        <v>55330</v>
      </c>
      <c r="F102" s="227" t="s">
        <v>328</v>
      </c>
      <c r="G102" s="227" t="s">
        <v>207</v>
      </c>
      <c r="H102" s="233" t="s">
        <v>183</v>
      </c>
      <c r="I102" s="234">
        <v>195.75</v>
      </c>
      <c r="J102" s="235">
        <v>4.5454545454545456E-2</v>
      </c>
      <c r="K102" s="235">
        <v>1.5</v>
      </c>
      <c r="L102" s="235">
        <v>8.5909090909090917</v>
      </c>
      <c r="M102" s="235">
        <v>3.4090909090909092</v>
      </c>
      <c r="N102" s="235">
        <v>11.863636363636365</v>
      </c>
      <c r="O102" s="235">
        <v>1.1666666666666667</v>
      </c>
      <c r="P102" s="235">
        <v>0.51515151515151514</v>
      </c>
      <c r="Q102" s="235">
        <v>0</v>
      </c>
      <c r="R102" s="235">
        <v>5.6212121212121202</v>
      </c>
      <c r="S102" s="235">
        <v>3.106060606060606</v>
      </c>
      <c r="T102" s="235">
        <v>0.51515151515151514</v>
      </c>
      <c r="U102" s="235">
        <v>4.3030303030303028</v>
      </c>
      <c r="V102" s="235">
        <v>0</v>
      </c>
      <c r="W102" s="235"/>
      <c r="X102" s="233" t="s">
        <v>184</v>
      </c>
      <c r="Y102" s="238" t="s">
        <v>678</v>
      </c>
      <c r="Z102" s="233"/>
      <c r="AA102" s="236" t="s">
        <v>690</v>
      </c>
      <c r="AB102" s="233" t="s">
        <v>184</v>
      </c>
      <c r="AC102" s="238" t="s">
        <v>678</v>
      </c>
      <c r="AD102" s="238" t="s">
        <v>301</v>
      </c>
      <c r="AE102" s="239">
        <v>44217</v>
      </c>
    </row>
    <row r="103" spans="1:31" x14ac:dyDescent="0.3">
      <c r="A103" s="232" t="s">
        <v>447</v>
      </c>
      <c r="B103" s="233" t="s">
        <v>448</v>
      </c>
      <c r="C103" s="227" t="s">
        <v>449</v>
      </c>
      <c r="D103" s="227" t="s">
        <v>450</v>
      </c>
      <c r="E103" s="258">
        <v>27253</v>
      </c>
      <c r="F103" s="227" t="s">
        <v>192</v>
      </c>
      <c r="G103" s="227" t="s">
        <v>207</v>
      </c>
      <c r="H103" s="233" t="s">
        <v>183</v>
      </c>
      <c r="I103" s="234">
        <v>5.16</v>
      </c>
      <c r="J103" s="235">
        <v>0.31818181818181818</v>
      </c>
      <c r="K103" s="235">
        <v>0.69696969696969679</v>
      </c>
      <c r="L103" s="235">
        <v>5.3030303030303028</v>
      </c>
      <c r="M103" s="235">
        <v>6.8787878787878798</v>
      </c>
      <c r="N103" s="235">
        <v>11.818181818181833</v>
      </c>
      <c r="O103" s="235">
        <v>1.3636363636363635</v>
      </c>
      <c r="P103" s="235">
        <v>0</v>
      </c>
      <c r="Q103" s="235">
        <v>1.5151515151515152E-2</v>
      </c>
      <c r="R103" s="235">
        <v>1.9848484848484849</v>
      </c>
      <c r="S103" s="235">
        <v>1.2121212121212122</v>
      </c>
      <c r="T103" s="235">
        <v>0.36363636363636365</v>
      </c>
      <c r="U103" s="235">
        <v>9.6363636363636385</v>
      </c>
      <c r="V103" s="235">
        <v>0</v>
      </c>
      <c r="W103" s="235">
        <v>50</v>
      </c>
      <c r="X103" s="233" t="s">
        <v>184</v>
      </c>
      <c r="Y103" s="238" t="s">
        <v>288</v>
      </c>
      <c r="Z103" s="233" t="s">
        <v>301</v>
      </c>
      <c r="AA103" s="236" t="s">
        <v>731</v>
      </c>
      <c r="AB103" s="233" t="s">
        <v>184</v>
      </c>
      <c r="AC103" s="238" t="s">
        <v>288</v>
      </c>
      <c r="AD103" s="238" t="s">
        <v>301</v>
      </c>
      <c r="AE103" s="239">
        <v>44204</v>
      </c>
    </row>
    <row r="104" spans="1:31" x14ac:dyDescent="0.3">
      <c r="A104" s="232" t="s">
        <v>272</v>
      </c>
      <c r="B104" s="233" t="s">
        <v>273</v>
      </c>
      <c r="C104" s="227" t="s">
        <v>274</v>
      </c>
      <c r="D104" s="227" t="s">
        <v>275</v>
      </c>
      <c r="E104" s="258">
        <v>23901</v>
      </c>
      <c r="F104" s="227" t="s">
        <v>276</v>
      </c>
      <c r="G104" s="227" t="s">
        <v>182</v>
      </c>
      <c r="H104" s="233" t="s">
        <v>5</v>
      </c>
      <c r="I104" s="234"/>
      <c r="J104" s="235">
        <v>0</v>
      </c>
      <c r="K104" s="235">
        <v>0</v>
      </c>
      <c r="L104" s="235">
        <v>5</v>
      </c>
      <c r="M104" s="235">
        <v>8</v>
      </c>
      <c r="N104" s="235">
        <v>13</v>
      </c>
      <c r="O104" s="235">
        <v>0</v>
      </c>
      <c r="P104" s="235">
        <v>0</v>
      </c>
      <c r="Q104" s="235">
        <v>0</v>
      </c>
      <c r="R104" s="235">
        <v>10</v>
      </c>
      <c r="S104" s="235">
        <v>3</v>
      </c>
      <c r="T104" s="235">
        <v>0</v>
      </c>
      <c r="U104" s="235">
        <v>0</v>
      </c>
      <c r="V104" s="235">
        <v>0</v>
      </c>
      <c r="W104" s="235">
        <v>500</v>
      </c>
      <c r="X104" s="233" t="s">
        <v>184</v>
      </c>
      <c r="Y104" s="238" t="s">
        <v>677</v>
      </c>
      <c r="Z104" s="233" t="s">
        <v>186</v>
      </c>
      <c r="AA104" s="236" t="s">
        <v>711</v>
      </c>
      <c r="AB104" s="233" t="s">
        <v>184</v>
      </c>
      <c r="AC104" s="238" t="s">
        <v>185</v>
      </c>
      <c r="AD104" s="238" t="s">
        <v>186</v>
      </c>
      <c r="AE104" s="239">
        <v>43888</v>
      </c>
    </row>
    <row r="105" spans="1:31" x14ac:dyDescent="0.3">
      <c r="A105" s="232" t="s">
        <v>456</v>
      </c>
      <c r="B105" s="233" t="s">
        <v>457</v>
      </c>
      <c r="C105" s="227" t="s">
        <v>458</v>
      </c>
      <c r="D105" s="227" t="s">
        <v>426</v>
      </c>
      <c r="E105" s="258">
        <v>50313</v>
      </c>
      <c r="F105" s="227" t="s">
        <v>328</v>
      </c>
      <c r="G105" s="227" t="s">
        <v>251</v>
      </c>
      <c r="H105" s="233" t="s">
        <v>183</v>
      </c>
      <c r="I105" s="234">
        <v>75.076923076923094</v>
      </c>
      <c r="J105" s="235">
        <v>1.4090909090909092</v>
      </c>
      <c r="K105" s="235">
        <v>2.5303030303030303</v>
      </c>
      <c r="L105" s="235">
        <v>4.3181818181818183</v>
      </c>
      <c r="M105" s="235">
        <v>4.2121212121212119</v>
      </c>
      <c r="N105" s="235">
        <v>11.045454545454547</v>
      </c>
      <c r="O105" s="235">
        <v>1.4242424242424243</v>
      </c>
      <c r="P105" s="235">
        <v>0</v>
      </c>
      <c r="Q105" s="235">
        <v>0</v>
      </c>
      <c r="R105" s="235">
        <v>6.6969696969696972</v>
      </c>
      <c r="S105" s="235">
        <v>2.5</v>
      </c>
      <c r="T105" s="235">
        <v>0</v>
      </c>
      <c r="U105" s="235">
        <v>3.2727272727272725</v>
      </c>
      <c r="V105" s="235">
        <v>0</v>
      </c>
      <c r="W105" s="235"/>
      <c r="X105" s="233" t="s">
        <v>184</v>
      </c>
      <c r="Y105" s="238" t="s">
        <v>288</v>
      </c>
      <c r="Z105" s="233"/>
      <c r="AA105" s="236" t="s">
        <v>730</v>
      </c>
      <c r="AB105" s="233" t="s">
        <v>184</v>
      </c>
      <c r="AC105" s="238" t="s">
        <v>288</v>
      </c>
      <c r="AD105" s="238" t="s">
        <v>301</v>
      </c>
      <c r="AE105" s="239">
        <v>43678</v>
      </c>
    </row>
    <row r="106" spans="1:31" x14ac:dyDescent="0.3">
      <c r="A106" s="232" t="s">
        <v>462</v>
      </c>
      <c r="B106" s="233" t="s">
        <v>463</v>
      </c>
      <c r="C106" s="227" t="s">
        <v>464</v>
      </c>
      <c r="D106" s="227" t="s">
        <v>195</v>
      </c>
      <c r="E106" s="258">
        <v>78380</v>
      </c>
      <c r="F106" s="227" t="s">
        <v>676</v>
      </c>
      <c r="G106" s="227" t="s">
        <v>251</v>
      </c>
      <c r="H106" s="233" t="s">
        <v>5</v>
      </c>
      <c r="I106" s="234">
        <v>3.8711656441717799</v>
      </c>
      <c r="J106" s="235">
        <v>2.3939393939393927</v>
      </c>
      <c r="K106" s="235">
        <v>6.4696969696969751</v>
      </c>
      <c r="L106" s="235">
        <v>1.4696969696969693</v>
      </c>
      <c r="M106" s="235">
        <v>0</v>
      </c>
      <c r="N106" s="235">
        <v>3.15151515151515</v>
      </c>
      <c r="O106" s="235">
        <v>4.7424242424242431</v>
      </c>
      <c r="P106" s="235">
        <v>7.575757575757576E-2</v>
      </c>
      <c r="Q106" s="235">
        <v>2.3636363636363629</v>
      </c>
      <c r="R106" s="235">
        <v>0.5</v>
      </c>
      <c r="S106" s="235">
        <v>0.36363636363636365</v>
      </c>
      <c r="T106" s="235">
        <v>0.2121212121212121</v>
      </c>
      <c r="U106" s="235">
        <v>9.2575757575757684</v>
      </c>
      <c r="V106" s="235">
        <v>0</v>
      </c>
      <c r="W106" s="235"/>
      <c r="X106" s="233" t="s">
        <v>184</v>
      </c>
      <c r="Y106" s="238" t="s">
        <v>678</v>
      </c>
      <c r="Z106" s="233"/>
      <c r="AA106" s="236" t="s">
        <v>830</v>
      </c>
      <c r="AB106" s="233" t="s">
        <v>184</v>
      </c>
      <c r="AC106" s="238" t="s">
        <v>252</v>
      </c>
      <c r="AD106" s="238" t="s">
        <v>186</v>
      </c>
      <c r="AE106" s="239">
        <v>43839</v>
      </c>
    </row>
    <row r="107" spans="1:31" x14ac:dyDescent="0.3">
      <c r="A107" s="232" t="s">
        <v>451</v>
      </c>
      <c r="B107" s="233" t="s">
        <v>452</v>
      </c>
      <c r="C107" s="227" t="s">
        <v>453</v>
      </c>
      <c r="D107" s="227" t="s">
        <v>454</v>
      </c>
      <c r="E107" s="258">
        <v>96819</v>
      </c>
      <c r="F107" s="227" t="s">
        <v>317</v>
      </c>
      <c r="G107" s="227" t="s">
        <v>455</v>
      </c>
      <c r="H107" s="233" t="s">
        <v>183</v>
      </c>
      <c r="I107" s="234"/>
      <c r="J107" s="235">
        <v>0</v>
      </c>
      <c r="K107" s="235">
        <v>3</v>
      </c>
      <c r="L107" s="235">
        <v>0</v>
      </c>
      <c r="M107" s="235">
        <v>5.8939393939393936</v>
      </c>
      <c r="N107" s="235">
        <v>7.8939393939393936</v>
      </c>
      <c r="O107" s="235">
        <v>0</v>
      </c>
      <c r="P107" s="235">
        <v>1</v>
      </c>
      <c r="Q107" s="235">
        <v>0</v>
      </c>
      <c r="R107" s="235">
        <v>8.8939393939393945</v>
      </c>
      <c r="S107" s="235">
        <v>0</v>
      </c>
      <c r="T107" s="235">
        <v>0</v>
      </c>
      <c r="U107" s="235">
        <v>0</v>
      </c>
      <c r="V107" s="235">
        <v>0</v>
      </c>
      <c r="W107" s="235"/>
      <c r="X107" s="233" t="s">
        <v>208</v>
      </c>
      <c r="Y107" s="238"/>
      <c r="Z107" s="233"/>
      <c r="AA107" s="236"/>
      <c r="AB107" s="233" t="s">
        <v>208</v>
      </c>
      <c r="AC107" s="238"/>
      <c r="AD107" s="238"/>
      <c r="AE107" s="239"/>
    </row>
    <row r="108" spans="1:31" x14ac:dyDescent="0.3">
      <c r="A108" s="232" t="s">
        <v>474</v>
      </c>
      <c r="B108" s="233" t="s">
        <v>475</v>
      </c>
      <c r="C108" s="227" t="s">
        <v>476</v>
      </c>
      <c r="D108" s="227" t="s">
        <v>415</v>
      </c>
      <c r="E108" s="258">
        <v>68102</v>
      </c>
      <c r="F108" s="227" t="s">
        <v>328</v>
      </c>
      <c r="G108" s="227" t="s">
        <v>207</v>
      </c>
      <c r="H108" s="233" t="s">
        <v>183</v>
      </c>
      <c r="I108" s="234">
        <v>179.9</v>
      </c>
      <c r="J108" s="235">
        <v>0</v>
      </c>
      <c r="K108" s="235">
        <v>0</v>
      </c>
      <c r="L108" s="235">
        <v>2.0151515151515151</v>
      </c>
      <c r="M108" s="235">
        <v>6.7121212121212128</v>
      </c>
      <c r="N108" s="235">
        <v>7.7272727272727275</v>
      </c>
      <c r="O108" s="235">
        <v>0</v>
      </c>
      <c r="P108" s="235">
        <v>1</v>
      </c>
      <c r="Q108" s="235">
        <v>0</v>
      </c>
      <c r="R108" s="235">
        <v>6.2272727272727275</v>
      </c>
      <c r="S108" s="235">
        <v>0</v>
      </c>
      <c r="T108" s="235">
        <v>0</v>
      </c>
      <c r="U108" s="235">
        <v>2.5</v>
      </c>
      <c r="V108" s="235">
        <v>0</v>
      </c>
      <c r="W108" s="235"/>
      <c r="X108" s="233" t="s">
        <v>184</v>
      </c>
      <c r="Y108" s="238" t="s">
        <v>252</v>
      </c>
      <c r="Z108" s="233" t="s">
        <v>186</v>
      </c>
      <c r="AA108" s="236" t="s">
        <v>250</v>
      </c>
      <c r="AB108" s="233" t="s">
        <v>184</v>
      </c>
      <c r="AC108" s="238" t="s">
        <v>252</v>
      </c>
      <c r="AD108" s="238" t="s">
        <v>186</v>
      </c>
      <c r="AE108" s="239">
        <v>43398</v>
      </c>
    </row>
    <row r="109" spans="1:31" x14ac:dyDescent="0.3">
      <c r="A109" s="232" t="s">
        <v>485</v>
      </c>
      <c r="B109" s="233" t="s">
        <v>486</v>
      </c>
      <c r="C109" s="227" t="s">
        <v>487</v>
      </c>
      <c r="D109" s="227" t="s">
        <v>488</v>
      </c>
      <c r="E109" s="258">
        <v>96950</v>
      </c>
      <c r="F109" s="227" t="s">
        <v>317</v>
      </c>
      <c r="G109" s="227" t="s">
        <v>251</v>
      </c>
      <c r="H109" s="233" t="s">
        <v>183</v>
      </c>
      <c r="I109" s="234">
        <v>109</v>
      </c>
      <c r="J109" s="235">
        <v>0</v>
      </c>
      <c r="K109" s="235">
        <v>5.9696969696969697</v>
      </c>
      <c r="L109" s="235">
        <v>0</v>
      </c>
      <c r="M109" s="235">
        <v>1</v>
      </c>
      <c r="N109" s="235">
        <v>6.666666666666667</v>
      </c>
      <c r="O109" s="235">
        <v>0</v>
      </c>
      <c r="P109" s="235">
        <v>0.30303030303030304</v>
      </c>
      <c r="Q109" s="235">
        <v>0</v>
      </c>
      <c r="R109" s="235">
        <v>6.8030303030303028</v>
      </c>
      <c r="S109" s="235">
        <v>0.16666666666666666</v>
      </c>
      <c r="T109" s="235">
        <v>0</v>
      </c>
      <c r="U109" s="235">
        <v>0</v>
      </c>
      <c r="V109" s="235">
        <v>0</v>
      </c>
      <c r="W109" s="235"/>
      <c r="X109" s="233" t="s">
        <v>208</v>
      </c>
      <c r="Y109" s="238"/>
      <c r="Z109" s="233"/>
      <c r="AA109" s="236"/>
      <c r="AB109" s="233" t="s">
        <v>208</v>
      </c>
      <c r="AC109" s="238"/>
      <c r="AD109" s="238"/>
      <c r="AE109" s="239"/>
    </row>
    <row r="110" spans="1:31" x14ac:dyDescent="0.3">
      <c r="A110" s="232" t="s">
        <v>495</v>
      </c>
      <c r="B110" s="233" t="s">
        <v>496</v>
      </c>
      <c r="C110" s="227" t="s">
        <v>497</v>
      </c>
      <c r="D110" s="227" t="s">
        <v>498</v>
      </c>
      <c r="E110" s="258">
        <v>96910</v>
      </c>
      <c r="F110" s="227" t="s">
        <v>317</v>
      </c>
      <c r="G110" s="227" t="s">
        <v>251</v>
      </c>
      <c r="H110" s="233" t="s">
        <v>183</v>
      </c>
      <c r="I110" s="234">
        <v>238.333333333333</v>
      </c>
      <c r="J110" s="235">
        <v>0</v>
      </c>
      <c r="K110" s="235">
        <v>0</v>
      </c>
      <c r="L110" s="235">
        <v>6.5303030303030303</v>
      </c>
      <c r="M110" s="235">
        <v>0.2878787878787879</v>
      </c>
      <c r="N110" s="235">
        <v>6.8181818181818183</v>
      </c>
      <c r="O110" s="235">
        <v>0</v>
      </c>
      <c r="P110" s="235">
        <v>0</v>
      </c>
      <c r="Q110" s="235">
        <v>0</v>
      </c>
      <c r="R110" s="235">
        <v>5.8181818181818183</v>
      </c>
      <c r="S110" s="235">
        <v>1</v>
      </c>
      <c r="T110" s="235">
        <v>0</v>
      </c>
      <c r="U110" s="235">
        <v>0</v>
      </c>
      <c r="V110" s="235">
        <v>0</v>
      </c>
      <c r="W110" s="235"/>
      <c r="X110" s="233" t="s">
        <v>208</v>
      </c>
      <c r="Y110" s="238"/>
      <c r="Z110" s="233"/>
      <c r="AA110" s="236"/>
      <c r="AB110" s="233" t="s">
        <v>208</v>
      </c>
      <c r="AC110" s="238"/>
      <c r="AD110" s="238"/>
      <c r="AE110" s="239"/>
    </row>
    <row r="111" spans="1:31" x14ac:dyDescent="0.3">
      <c r="A111" s="232" t="s">
        <v>647</v>
      </c>
      <c r="B111" s="233" t="s">
        <v>663</v>
      </c>
      <c r="C111" s="227" t="s">
        <v>664</v>
      </c>
      <c r="D111" s="227" t="s">
        <v>484</v>
      </c>
      <c r="E111" s="258">
        <v>965</v>
      </c>
      <c r="F111" s="227" t="s">
        <v>30</v>
      </c>
      <c r="G111" s="227" t="s">
        <v>334</v>
      </c>
      <c r="H111" s="233" t="s">
        <v>183</v>
      </c>
      <c r="I111" s="234">
        <v>1.82327586206897</v>
      </c>
      <c r="J111" s="235">
        <v>6.4090909090909189</v>
      </c>
      <c r="K111" s="235">
        <v>0</v>
      </c>
      <c r="L111" s="235">
        <v>0</v>
      </c>
      <c r="M111" s="235">
        <v>0</v>
      </c>
      <c r="N111" s="235">
        <v>1.5151515151515152E-2</v>
      </c>
      <c r="O111" s="235">
        <v>6.0606060606060703</v>
      </c>
      <c r="P111" s="235">
        <v>0</v>
      </c>
      <c r="Q111" s="235">
        <v>0.33333333333333315</v>
      </c>
      <c r="R111" s="235">
        <v>0</v>
      </c>
      <c r="S111" s="235">
        <v>0</v>
      </c>
      <c r="T111" s="235">
        <v>0</v>
      </c>
      <c r="U111" s="235">
        <v>6.4090909090909189</v>
      </c>
      <c r="V111" s="235">
        <v>0</v>
      </c>
      <c r="W111" s="235"/>
      <c r="X111" s="233" t="s">
        <v>208</v>
      </c>
      <c r="Y111" s="238"/>
      <c r="Z111" s="233"/>
      <c r="AA111" s="236"/>
      <c r="AB111" s="233" t="s">
        <v>208</v>
      </c>
      <c r="AC111" s="238"/>
      <c r="AD111" s="238"/>
      <c r="AE111" s="239"/>
    </row>
    <row r="112" spans="1:31" x14ac:dyDescent="0.3">
      <c r="A112" s="232" t="s">
        <v>459</v>
      </c>
      <c r="B112" s="233" t="s">
        <v>460</v>
      </c>
      <c r="C112" s="227" t="s">
        <v>461</v>
      </c>
      <c r="D112" s="227" t="s">
        <v>372</v>
      </c>
      <c r="E112" s="258">
        <v>49783</v>
      </c>
      <c r="F112" s="227" t="s">
        <v>367</v>
      </c>
      <c r="G112" s="227" t="s">
        <v>207</v>
      </c>
      <c r="H112" s="233" t="s">
        <v>183</v>
      </c>
      <c r="I112" s="234">
        <v>12.6666666666667</v>
      </c>
      <c r="J112" s="235">
        <v>2.2575757575757578</v>
      </c>
      <c r="K112" s="235">
        <v>0.42424242424242425</v>
      </c>
      <c r="L112" s="235">
        <v>2</v>
      </c>
      <c r="M112" s="235">
        <v>1</v>
      </c>
      <c r="N112" s="235">
        <v>3.4242424242424243</v>
      </c>
      <c r="O112" s="235">
        <v>2.2575757575757578</v>
      </c>
      <c r="P112" s="235">
        <v>0</v>
      </c>
      <c r="Q112" s="235">
        <v>0</v>
      </c>
      <c r="R112" s="235">
        <v>2.4242424242424243</v>
      </c>
      <c r="S112" s="235">
        <v>1</v>
      </c>
      <c r="T112" s="235">
        <v>0</v>
      </c>
      <c r="U112" s="235">
        <v>2.2575757575757578</v>
      </c>
      <c r="V112" s="235">
        <v>0</v>
      </c>
      <c r="W112" s="235"/>
      <c r="X112" s="233" t="s">
        <v>184</v>
      </c>
      <c r="Y112" s="238" t="s">
        <v>678</v>
      </c>
      <c r="Z112" s="233" t="s">
        <v>301</v>
      </c>
      <c r="AA112" s="236" t="s">
        <v>716</v>
      </c>
      <c r="AB112" s="233" t="s">
        <v>184</v>
      </c>
      <c r="AC112" s="238" t="s">
        <v>288</v>
      </c>
      <c r="AD112" s="238" t="s">
        <v>301</v>
      </c>
      <c r="AE112" s="239">
        <v>43552</v>
      </c>
    </row>
    <row r="113" spans="1:31" x14ac:dyDescent="0.3">
      <c r="A113" s="232" t="s">
        <v>470</v>
      </c>
      <c r="B113" s="233" t="s">
        <v>471</v>
      </c>
      <c r="C113" s="227" t="s">
        <v>472</v>
      </c>
      <c r="D113" s="227" t="s">
        <v>358</v>
      </c>
      <c r="E113" s="258">
        <v>89512</v>
      </c>
      <c r="F113" s="227" t="s">
        <v>359</v>
      </c>
      <c r="G113" s="227" t="s">
        <v>251</v>
      </c>
      <c r="H113" s="233" t="s">
        <v>183</v>
      </c>
      <c r="I113" s="234">
        <v>22.1428571428571</v>
      </c>
      <c r="J113" s="235">
        <v>0.71212121212121215</v>
      </c>
      <c r="K113" s="235">
        <v>0.21212121212121213</v>
      </c>
      <c r="L113" s="235">
        <v>0.6515151515151516</v>
      </c>
      <c r="M113" s="235">
        <v>3.7878787878787876</v>
      </c>
      <c r="N113" s="235">
        <v>4.6515151515151505</v>
      </c>
      <c r="O113" s="235">
        <v>0.71212121212121215</v>
      </c>
      <c r="P113" s="235">
        <v>0</v>
      </c>
      <c r="Q113" s="235">
        <v>0</v>
      </c>
      <c r="R113" s="235">
        <v>3.0757575757575752</v>
      </c>
      <c r="S113" s="235">
        <v>0</v>
      </c>
      <c r="T113" s="235">
        <v>0</v>
      </c>
      <c r="U113" s="235">
        <v>2.2878787878787876</v>
      </c>
      <c r="V113" s="235">
        <v>0</v>
      </c>
      <c r="W113" s="235"/>
      <c r="X113" s="233" t="s">
        <v>184</v>
      </c>
      <c r="Y113" s="238" t="s">
        <v>288</v>
      </c>
      <c r="Z113" s="233" t="s">
        <v>301</v>
      </c>
      <c r="AA113" s="236" t="s">
        <v>733</v>
      </c>
      <c r="AB113" s="233" t="s">
        <v>184</v>
      </c>
      <c r="AC113" s="238" t="s">
        <v>288</v>
      </c>
      <c r="AD113" s="238" t="s">
        <v>301</v>
      </c>
      <c r="AE113" s="239">
        <v>43342</v>
      </c>
    </row>
    <row r="114" spans="1:31" x14ac:dyDescent="0.3">
      <c r="A114" s="232" t="s">
        <v>649</v>
      </c>
      <c r="B114" s="233" t="s">
        <v>667</v>
      </c>
      <c r="C114" s="227" t="s">
        <v>668</v>
      </c>
      <c r="D114" s="227" t="s">
        <v>195</v>
      </c>
      <c r="E114" s="258">
        <v>76040</v>
      </c>
      <c r="F114" s="227" t="s">
        <v>269</v>
      </c>
      <c r="G114" s="227" t="s">
        <v>207</v>
      </c>
      <c r="H114" s="233" t="s">
        <v>183</v>
      </c>
      <c r="I114" s="234">
        <v>1.4229074889867801</v>
      </c>
      <c r="J114" s="235">
        <v>3.6060606060606037</v>
      </c>
      <c r="K114" s="235">
        <v>0.65151515151515127</v>
      </c>
      <c r="L114" s="235">
        <v>0.2878787878787879</v>
      </c>
      <c r="M114" s="235">
        <v>0.57575757575757569</v>
      </c>
      <c r="N114" s="235">
        <v>2.0757575757575744</v>
      </c>
      <c r="O114" s="235">
        <v>2.1060606060606051</v>
      </c>
      <c r="P114" s="235">
        <v>0.63636363636363635</v>
      </c>
      <c r="Q114" s="235">
        <v>0.30303030303030287</v>
      </c>
      <c r="R114" s="235">
        <v>0.2121212121212121</v>
      </c>
      <c r="S114" s="235">
        <v>0.12121212121212122</v>
      </c>
      <c r="T114" s="235">
        <v>6.0606060606060608E-2</v>
      </c>
      <c r="U114" s="235">
        <v>4.7272727272727373</v>
      </c>
      <c r="V114" s="235">
        <v>0</v>
      </c>
      <c r="W114" s="235"/>
      <c r="X114" s="233" t="s">
        <v>468</v>
      </c>
      <c r="Y114" s="238" t="s">
        <v>288</v>
      </c>
      <c r="Z114" s="233" t="s">
        <v>301</v>
      </c>
      <c r="AA114" s="236" t="s">
        <v>734</v>
      </c>
      <c r="AB114" s="233" t="s">
        <v>468</v>
      </c>
      <c r="AC114" s="238" t="s">
        <v>288</v>
      </c>
      <c r="AD114" s="238" t="s">
        <v>301</v>
      </c>
      <c r="AE114" s="239">
        <v>42613</v>
      </c>
    </row>
    <row r="115" spans="1:31" x14ac:dyDescent="0.3">
      <c r="A115" s="232" t="s">
        <v>648</v>
      </c>
      <c r="B115" s="233" t="s">
        <v>665</v>
      </c>
      <c r="C115" s="227" t="s">
        <v>666</v>
      </c>
      <c r="D115" s="227" t="s">
        <v>297</v>
      </c>
      <c r="E115" s="258">
        <v>12901</v>
      </c>
      <c r="F115" s="227" t="s">
        <v>298</v>
      </c>
      <c r="G115" s="227" t="s">
        <v>251</v>
      </c>
      <c r="H115" s="233" t="s">
        <v>183</v>
      </c>
      <c r="I115" s="234">
        <v>19.962962962963001</v>
      </c>
      <c r="J115" s="235">
        <v>2.5606060606060601</v>
      </c>
      <c r="K115" s="235">
        <v>1.4545454545454546</v>
      </c>
      <c r="L115" s="235">
        <v>0.18181818181818182</v>
      </c>
      <c r="M115" s="235">
        <v>0.48484848484848486</v>
      </c>
      <c r="N115" s="235">
        <v>1.4848484848484849</v>
      </c>
      <c r="O115" s="235">
        <v>2.8939393939393936</v>
      </c>
      <c r="P115" s="235">
        <v>0</v>
      </c>
      <c r="Q115" s="235">
        <v>0.30303030303030304</v>
      </c>
      <c r="R115" s="235">
        <v>4.5454545454545456E-2</v>
      </c>
      <c r="S115" s="235">
        <v>0.10606060606060606</v>
      </c>
      <c r="T115" s="235">
        <v>0.51515151515151514</v>
      </c>
      <c r="U115" s="235">
        <v>4.0151515151515147</v>
      </c>
      <c r="V115" s="235">
        <v>0</v>
      </c>
      <c r="W115" s="235"/>
      <c r="X115" s="233" t="s">
        <v>184</v>
      </c>
      <c r="Y115" s="238" t="s">
        <v>288</v>
      </c>
      <c r="Z115" s="233" t="s">
        <v>301</v>
      </c>
      <c r="AA115" s="236" t="s">
        <v>732</v>
      </c>
      <c r="AB115" s="233" t="s">
        <v>184</v>
      </c>
      <c r="AC115" s="238" t="s">
        <v>288</v>
      </c>
      <c r="AD115" s="238" t="s">
        <v>301</v>
      </c>
      <c r="AE115" s="239">
        <v>43139</v>
      </c>
    </row>
    <row r="116" spans="1:31" x14ac:dyDescent="0.3">
      <c r="A116" s="232" t="s">
        <v>512</v>
      </c>
      <c r="B116" s="233" t="s">
        <v>513</v>
      </c>
      <c r="C116" s="227" t="s">
        <v>514</v>
      </c>
      <c r="D116" s="227" t="s">
        <v>426</v>
      </c>
      <c r="E116" s="258">
        <v>51501</v>
      </c>
      <c r="F116" s="227" t="s">
        <v>328</v>
      </c>
      <c r="G116" s="227" t="s">
        <v>251</v>
      </c>
      <c r="H116" s="233" t="s">
        <v>183</v>
      </c>
      <c r="I116" s="234">
        <v>37.470588235294102</v>
      </c>
      <c r="J116" s="235">
        <v>0</v>
      </c>
      <c r="K116" s="235">
        <v>0.15151515151515152</v>
      </c>
      <c r="L116" s="235">
        <v>1.7727272727272727</v>
      </c>
      <c r="M116" s="235">
        <v>2.4242424242424243</v>
      </c>
      <c r="N116" s="235">
        <v>4.3484848484848486</v>
      </c>
      <c r="O116" s="235">
        <v>0</v>
      </c>
      <c r="P116" s="235">
        <v>0</v>
      </c>
      <c r="Q116" s="235">
        <v>0</v>
      </c>
      <c r="R116" s="235">
        <v>0.37878787878787878</v>
      </c>
      <c r="S116" s="235">
        <v>0</v>
      </c>
      <c r="T116" s="235">
        <v>0.36363636363636365</v>
      </c>
      <c r="U116" s="235">
        <v>3.6060606060606055</v>
      </c>
      <c r="V116" s="235">
        <v>0</v>
      </c>
      <c r="W116" s="235"/>
      <c r="X116" s="233" t="s">
        <v>184</v>
      </c>
      <c r="Y116" s="238" t="s">
        <v>288</v>
      </c>
      <c r="Z116" s="233" t="s">
        <v>301</v>
      </c>
      <c r="AA116" s="236" t="s">
        <v>515</v>
      </c>
      <c r="AB116" s="233" t="s">
        <v>184</v>
      </c>
      <c r="AC116" s="238" t="s">
        <v>288</v>
      </c>
      <c r="AD116" s="238" t="s">
        <v>301</v>
      </c>
      <c r="AE116" s="239">
        <v>42838</v>
      </c>
    </row>
    <row r="117" spans="1:31" x14ac:dyDescent="0.3">
      <c r="A117" s="232" t="s">
        <v>528</v>
      </c>
      <c r="B117" s="233" t="s">
        <v>529</v>
      </c>
      <c r="C117" s="227" t="s">
        <v>530</v>
      </c>
      <c r="D117" s="227" t="s">
        <v>289</v>
      </c>
      <c r="E117" s="258">
        <v>15001</v>
      </c>
      <c r="F117" s="227" t="s">
        <v>290</v>
      </c>
      <c r="G117" s="227" t="s">
        <v>251</v>
      </c>
      <c r="H117" s="233" t="s">
        <v>183</v>
      </c>
      <c r="I117" s="234">
        <v>9.7777777777777803</v>
      </c>
      <c r="J117" s="235">
        <v>0</v>
      </c>
      <c r="K117" s="235">
        <v>0.69696969696969702</v>
      </c>
      <c r="L117" s="235">
        <v>2.6666666666666665</v>
      </c>
      <c r="M117" s="235">
        <v>0.78787878787878785</v>
      </c>
      <c r="N117" s="235">
        <v>3.484848484848484</v>
      </c>
      <c r="O117" s="235">
        <v>0.18181818181818182</v>
      </c>
      <c r="P117" s="235">
        <v>0.48484848484848486</v>
      </c>
      <c r="Q117" s="235">
        <v>0</v>
      </c>
      <c r="R117" s="235">
        <v>0.8484848484848484</v>
      </c>
      <c r="S117" s="235">
        <v>0.12121212121212122</v>
      </c>
      <c r="T117" s="235">
        <v>0</v>
      </c>
      <c r="U117" s="235">
        <v>3.1818181818181812</v>
      </c>
      <c r="V117" s="235">
        <v>0</v>
      </c>
      <c r="W117" s="235"/>
      <c r="X117" s="233" t="s">
        <v>468</v>
      </c>
      <c r="Y117" s="238" t="s">
        <v>288</v>
      </c>
      <c r="Z117" s="233" t="s">
        <v>301</v>
      </c>
      <c r="AA117" s="236" t="s">
        <v>531</v>
      </c>
      <c r="AB117" s="233" t="s">
        <v>208</v>
      </c>
      <c r="AC117" s="238"/>
      <c r="AD117" s="238"/>
      <c r="AE117" s="239"/>
    </row>
    <row r="118" spans="1:31" x14ac:dyDescent="0.3">
      <c r="A118" s="232" t="s">
        <v>519</v>
      </c>
      <c r="B118" s="233" t="s">
        <v>520</v>
      </c>
      <c r="C118" s="227" t="s">
        <v>494</v>
      </c>
      <c r="D118" s="227" t="s">
        <v>297</v>
      </c>
      <c r="E118" s="258">
        <v>12180</v>
      </c>
      <c r="F118" s="227" t="s">
        <v>298</v>
      </c>
      <c r="G118" s="227" t="s">
        <v>251</v>
      </c>
      <c r="H118" s="233" t="s">
        <v>183</v>
      </c>
      <c r="I118" s="234">
        <v>37.5</v>
      </c>
      <c r="J118" s="235">
        <v>2.0606060606060606</v>
      </c>
      <c r="K118" s="235">
        <v>1.0303030303030303</v>
      </c>
      <c r="L118" s="235">
        <v>9.0909090909090912E-2</v>
      </c>
      <c r="M118" s="235">
        <v>0.13636363636363635</v>
      </c>
      <c r="N118" s="235">
        <v>0.18181818181818182</v>
      </c>
      <c r="O118" s="235">
        <v>0.13636363636363635</v>
      </c>
      <c r="P118" s="235">
        <v>3</v>
      </c>
      <c r="Q118" s="235">
        <v>0</v>
      </c>
      <c r="R118" s="235">
        <v>1.9545454545454546</v>
      </c>
      <c r="S118" s="235">
        <v>0</v>
      </c>
      <c r="T118" s="235">
        <v>1</v>
      </c>
      <c r="U118" s="235">
        <v>0.36363636363636365</v>
      </c>
      <c r="V118" s="235">
        <v>0</v>
      </c>
      <c r="W118" s="235"/>
      <c r="X118" s="233" t="s">
        <v>208</v>
      </c>
      <c r="Y118" s="238"/>
      <c r="Z118" s="233"/>
      <c r="AA118" s="236"/>
      <c r="AB118" s="233" t="s">
        <v>208</v>
      </c>
      <c r="AC118" s="238"/>
      <c r="AD118" s="238"/>
      <c r="AE118" s="239"/>
    </row>
    <row r="119" spans="1:31" x14ac:dyDescent="0.3">
      <c r="A119" s="232" t="s">
        <v>502</v>
      </c>
      <c r="B119" s="233" t="s">
        <v>503</v>
      </c>
      <c r="C119" s="227" t="s">
        <v>504</v>
      </c>
      <c r="D119" s="227" t="s">
        <v>426</v>
      </c>
      <c r="E119" s="258">
        <v>52401</v>
      </c>
      <c r="F119" s="227" t="s">
        <v>328</v>
      </c>
      <c r="G119" s="227" t="s">
        <v>251</v>
      </c>
      <c r="H119" s="233" t="s">
        <v>183</v>
      </c>
      <c r="I119" s="234">
        <v>27</v>
      </c>
      <c r="J119" s="235">
        <v>0.42424242424242425</v>
      </c>
      <c r="K119" s="235">
        <v>1.2878787878787881</v>
      </c>
      <c r="L119" s="235">
        <v>1</v>
      </c>
      <c r="M119" s="235">
        <v>0.30303030303030304</v>
      </c>
      <c r="N119" s="235">
        <v>1.5909090909090911</v>
      </c>
      <c r="O119" s="235">
        <v>0.42424242424242425</v>
      </c>
      <c r="P119" s="235">
        <v>1</v>
      </c>
      <c r="Q119" s="235">
        <v>0</v>
      </c>
      <c r="R119" s="235">
        <v>1.9242424242424243</v>
      </c>
      <c r="S119" s="235">
        <v>0.28787878787878785</v>
      </c>
      <c r="T119" s="235">
        <v>0</v>
      </c>
      <c r="U119" s="235">
        <v>0.80303030303030298</v>
      </c>
      <c r="V119" s="235">
        <v>0</v>
      </c>
      <c r="W119" s="235"/>
      <c r="X119" s="233" t="s">
        <v>184</v>
      </c>
      <c r="Y119" s="238" t="s">
        <v>288</v>
      </c>
      <c r="Z119" s="233" t="s">
        <v>301</v>
      </c>
      <c r="AA119" s="236" t="s">
        <v>505</v>
      </c>
      <c r="AB119" s="233" t="s">
        <v>184</v>
      </c>
      <c r="AC119" s="238" t="s">
        <v>288</v>
      </c>
      <c r="AD119" s="238" t="s">
        <v>301</v>
      </c>
      <c r="AE119" s="239">
        <v>43041</v>
      </c>
    </row>
    <row r="120" spans="1:31" x14ac:dyDescent="0.3">
      <c r="A120" s="232" t="s">
        <v>499</v>
      </c>
      <c r="B120" s="233" t="s">
        <v>500</v>
      </c>
      <c r="C120" s="227" t="s">
        <v>501</v>
      </c>
      <c r="D120" s="227" t="s">
        <v>415</v>
      </c>
      <c r="E120" s="258">
        <v>68949</v>
      </c>
      <c r="F120" s="227" t="s">
        <v>328</v>
      </c>
      <c r="G120" s="227" t="s">
        <v>251</v>
      </c>
      <c r="H120" s="233" t="s">
        <v>183</v>
      </c>
      <c r="I120" s="234">
        <v>204</v>
      </c>
      <c r="J120" s="235">
        <v>0.42424242424242425</v>
      </c>
      <c r="K120" s="235">
        <v>0.42424242424242425</v>
      </c>
      <c r="L120" s="235">
        <v>0.63636363636363635</v>
      </c>
      <c r="M120" s="235">
        <v>1.4090909090909092</v>
      </c>
      <c r="N120" s="235">
        <v>2.893939393939394</v>
      </c>
      <c r="O120" s="235">
        <v>0</v>
      </c>
      <c r="P120" s="235">
        <v>0</v>
      </c>
      <c r="Q120" s="235">
        <v>0</v>
      </c>
      <c r="R120" s="235">
        <v>0.25757575757575757</v>
      </c>
      <c r="S120" s="235">
        <v>1</v>
      </c>
      <c r="T120" s="235">
        <v>0</v>
      </c>
      <c r="U120" s="235">
        <v>1.6363636363636362</v>
      </c>
      <c r="V120" s="235">
        <v>0</v>
      </c>
      <c r="W120" s="235"/>
      <c r="X120" s="233" t="s">
        <v>184</v>
      </c>
      <c r="Y120" s="238" t="s">
        <v>288</v>
      </c>
      <c r="Z120" s="233" t="s">
        <v>301</v>
      </c>
      <c r="AA120" s="236" t="s">
        <v>715</v>
      </c>
      <c r="AB120" s="233" t="s">
        <v>184</v>
      </c>
      <c r="AC120" s="238" t="s">
        <v>288</v>
      </c>
      <c r="AD120" s="238" t="s">
        <v>301</v>
      </c>
      <c r="AE120" s="239">
        <v>43664</v>
      </c>
    </row>
    <row r="121" spans="1:31" x14ac:dyDescent="0.3">
      <c r="A121" s="232" t="s">
        <v>525</v>
      </c>
      <c r="B121" s="233" t="s">
        <v>526</v>
      </c>
      <c r="C121" s="227" t="s">
        <v>524</v>
      </c>
      <c r="D121" s="227" t="s">
        <v>473</v>
      </c>
      <c r="E121" s="258">
        <v>29072</v>
      </c>
      <c r="F121" s="227" t="s">
        <v>192</v>
      </c>
      <c r="G121" s="227" t="s">
        <v>251</v>
      </c>
      <c r="H121" s="233" t="s">
        <v>183</v>
      </c>
      <c r="I121" s="234">
        <v>2.04</v>
      </c>
      <c r="J121" s="235">
        <v>7.575757575757576E-2</v>
      </c>
      <c r="K121" s="235">
        <v>1.3787878787878782</v>
      </c>
      <c r="L121" s="235">
        <v>0.63636363636363624</v>
      </c>
      <c r="M121" s="235">
        <v>0.60606060606060597</v>
      </c>
      <c r="N121" s="235">
        <v>2.1363636363636354</v>
      </c>
      <c r="O121" s="235">
        <v>0.56060606060606055</v>
      </c>
      <c r="P121" s="235">
        <v>0</v>
      </c>
      <c r="Q121" s="235">
        <v>0</v>
      </c>
      <c r="R121" s="235">
        <v>0.31818181818181823</v>
      </c>
      <c r="S121" s="235">
        <v>0</v>
      </c>
      <c r="T121" s="235">
        <v>4.5454545454545456E-2</v>
      </c>
      <c r="U121" s="235">
        <v>2.3333333333333317</v>
      </c>
      <c r="V121" s="235">
        <v>0</v>
      </c>
      <c r="W121" s="235"/>
      <c r="X121" s="233" t="s">
        <v>468</v>
      </c>
      <c r="Y121" s="238" t="s">
        <v>288</v>
      </c>
      <c r="Z121" s="233" t="s">
        <v>301</v>
      </c>
      <c r="AA121" s="236" t="s">
        <v>527</v>
      </c>
      <c r="AB121" s="233" t="s">
        <v>468</v>
      </c>
      <c r="AC121" s="238" t="s">
        <v>288</v>
      </c>
      <c r="AD121" s="238" t="s">
        <v>301</v>
      </c>
      <c r="AE121" s="239">
        <v>42629</v>
      </c>
    </row>
    <row r="122" spans="1:31" x14ac:dyDescent="0.3">
      <c r="A122" s="232" t="s">
        <v>810</v>
      </c>
      <c r="B122" s="233" t="s">
        <v>811</v>
      </c>
      <c r="C122" s="227" t="s">
        <v>823</v>
      </c>
      <c r="D122" s="227" t="s">
        <v>191</v>
      </c>
      <c r="E122" s="258">
        <v>30250</v>
      </c>
      <c r="F122" s="227" t="s">
        <v>192</v>
      </c>
      <c r="G122" s="227" t="s">
        <v>224</v>
      </c>
      <c r="H122" s="233" t="s">
        <v>183</v>
      </c>
      <c r="I122" s="234">
        <v>3.0566037735849099</v>
      </c>
      <c r="J122" s="235">
        <v>0.2121212121212121</v>
      </c>
      <c r="K122" s="235">
        <v>0.59090909090909083</v>
      </c>
      <c r="L122" s="235">
        <v>1.2727272727272725</v>
      </c>
      <c r="M122" s="235">
        <v>0.43939393939393928</v>
      </c>
      <c r="N122" s="235">
        <v>1.9393939393939388</v>
      </c>
      <c r="O122" s="235">
        <v>0.57575757575757558</v>
      </c>
      <c r="P122" s="235">
        <v>0</v>
      </c>
      <c r="Q122" s="235">
        <v>0</v>
      </c>
      <c r="R122" s="235">
        <v>0.10606060606060606</v>
      </c>
      <c r="S122" s="235">
        <v>0</v>
      </c>
      <c r="T122" s="235">
        <v>0</v>
      </c>
      <c r="U122" s="235">
        <v>2.4090909090909083</v>
      </c>
      <c r="V122" s="235">
        <v>0</v>
      </c>
      <c r="W122" s="235"/>
      <c r="X122" s="233" t="s">
        <v>184</v>
      </c>
      <c r="Y122" s="238" t="s">
        <v>678</v>
      </c>
      <c r="Z122" s="233" t="s">
        <v>301</v>
      </c>
      <c r="AA122" s="236" t="s">
        <v>831</v>
      </c>
      <c r="AB122" s="233" t="s">
        <v>184</v>
      </c>
      <c r="AC122" s="238" t="s">
        <v>288</v>
      </c>
      <c r="AD122" s="238" t="s">
        <v>301</v>
      </c>
      <c r="AE122" s="239">
        <v>43804</v>
      </c>
    </row>
    <row r="123" spans="1:31" x14ac:dyDescent="0.3">
      <c r="A123" s="232" t="s">
        <v>465</v>
      </c>
      <c r="B123" s="233" t="s">
        <v>466</v>
      </c>
      <c r="C123" s="227" t="s">
        <v>467</v>
      </c>
      <c r="D123" s="227" t="s">
        <v>283</v>
      </c>
      <c r="E123" s="258">
        <v>80814</v>
      </c>
      <c r="F123" s="227" t="s">
        <v>284</v>
      </c>
      <c r="G123" s="227" t="s">
        <v>207</v>
      </c>
      <c r="H123" s="233" t="s">
        <v>183</v>
      </c>
      <c r="I123" s="234">
        <v>103.333333333333</v>
      </c>
      <c r="J123" s="235">
        <v>0</v>
      </c>
      <c r="K123" s="235">
        <v>0</v>
      </c>
      <c r="L123" s="235">
        <v>2.0606060606060606</v>
      </c>
      <c r="M123" s="235">
        <v>9.0909090909090912E-2</v>
      </c>
      <c r="N123" s="235">
        <v>2.1515151515151514</v>
      </c>
      <c r="O123" s="235">
        <v>0</v>
      </c>
      <c r="P123" s="235">
        <v>0</v>
      </c>
      <c r="Q123" s="235">
        <v>0</v>
      </c>
      <c r="R123" s="235">
        <v>1</v>
      </c>
      <c r="S123" s="235">
        <v>0</v>
      </c>
      <c r="T123" s="235">
        <v>0</v>
      </c>
      <c r="U123" s="235">
        <v>1.1515151515151514</v>
      </c>
      <c r="V123" s="235">
        <v>0</v>
      </c>
      <c r="W123" s="235"/>
      <c r="X123" s="233" t="s">
        <v>184</v>
      </c>
      <c r="Y123" s="238" t="s">
        <v>678</v>
      </c>
      <c r="Z123" s="233" t="s">
        <v>301</v>
      </c>
      <c r="AA123" s="236" t="s">
        <v>700</v>
      </c>
      <c r="AB123" s="233" t="s">
        <v>184</v>
      </c>
      <c r="AC123" s="238" t="s">
        <v>678</v>
      </c>
      <c r="AD123" s="238" t="s">
        <v>301</v>
      </c>
      <c r="AE123" s="239">
        <v>44286</v>
      </c>
    </row>
    <row r="124" spans="1:31" x14ac:dyDescent="0.3">
      <c r="A124" s="232" t="s">
        <v>506</v>
      </c>
      <c r="B124" s="233" t="s">
        <v>507</v>
      </c>
      <c r="C124" s="227" t="s">
        <v>508</v>
      </c>
      <c r="D124" s="227" t="s">
        <v>509</v>
      </c>
      <c r="E124" s="258">
        <v>25309</v>
      </c>
      <c r="F124" s="227" t="s">
        <v>290</v>
      </c>
      <c r="G124" s="227" t="s">
        <v>251</v>
      </c>
      <c r="H124" s="233" t="s">
        <v>183</v>
      </c>
      <c r="I124" s="234">
        <v>9.4285714285714306</v>
      </c>
      <c r="J124" s="235">
        <v>0</v>
      </c>
      <c r="K124" s="235">
        <v>0.27272727272727271</v>
      </c>
      <c r="L124" s="235">
        <v>1.4393939393939394</v>
      </c>
      <c r="M124" s="235">
        <v>0.30303030303030304</v>
      </c>
      <c r="N124" s="235">
        <v>2.0151515151515151</v>
      </c>
      <c r="O124" s="235">
        <v>0</v>
      </c>
      <c r="P124" s="235">
        <v>0</v>
      </c>
      <c r="Q124" s="235">
        <v>0</v>
      </c>
      <c r="R124" s="235">
        <v>0.63636363636363635</v>
      </c>
      <c r="S124" s="235">
        <v>0.45454545454545459</v>
      </c>
      <c r="T124" s="235">
        <v>0</v>
      </c>
      <c r="U124" s="235">
        <v>0.92424242424242431</v>
      </c>
      <c r="V124" s="235">
        <v>0</v>
      </c>
      <c r="W124" s="235"/>
      <c r="X124" s="233" t="s">
        <v>468</v>
      </c>
      <c r="Y124" s="238" t="s">
        <v>288</v>
      </c>
      <c r="Z124" s="233" t="s">
        <v>301</v>
      </c>
      <c r="AA124" s="236" t="s">
        <v>510</v>
      </c>
      <c r="AB124" s="233" t="s">
        <v>468</v>
      </c>
      <c r="AC124" s="238" t="s">
        <v>288</v>
      </c>
      <c r="AD124" s="238" t="s">
        <v>301</v>
      </c>
      <c r="AE124" s="239">
        <v>42996</v>
      </c>
    </row>
    <row r="125" spans="1:31" x14ac:dyDescent="0.3">
      <c r="A125" s="232" t="s">
        <v>481</v>
      </c>
      <c r="B125" s="233" t="s">
        <v>669</v>
      </c>
      <c r="C125" s="227" t="s">
        <v>482</v>
      </c>
      <c r="D125" s="227" t="s">
        <v>469</v>
      </c>
      <c r="E125" s="258">
        <v>84737</v>
      </c>
      <c r="F125" s="227" t="s">
        <v>359</v>
      </c>
      <c r="G125" s="227" t="s">
        <v>251</v>
      </c>
      <c r="H125" s="233" t="s">
        <v>183</v>
      </c>
      <c r="I125" s="234">
        <v>6.9</v>
      </c>
      <c r="J125" s="235">
        <v>0.10606060606060606</v>
      </c>
      <c r="K125" s="235">
        <v>0.54545454545454541</v>
      </c>
      <c r="L125" s="235">
        <v>0.45454545454545453</v>
      </c>
      <c r="M125" s="235">
        <v>0.74242424242424243</v>
      </c>
      <c r="N125" s="235">
        <v>1.4848484848484844</v>
      </c>
      <c r="O125" s="235">
        <v>0.36363636363636365</v>
      </c>
      <c r="P125" s="235">
        <v>0</v>
      </c>
      <c r="Q125" s="235">
        <v>0</v>
      </c>
      <c r="R125" s="235">
        <v>0.13636363636363635</v>
      </c>
      <c r="S125" s="235">
        <v>1.0151515151515151</v>
      </c>
      <c r="T125" s="235">
        <v>0</v>
      </c>
      <c r="U125" s="235">
        <v>0.69696969696969702</v>
      </c>
      <c r="V125" s="235">
        <v>0</v>
      </c>
      <c r="W125" s="235"/>
      <c r="X125" s="233" t="s">
        <v>468</v>
      </c>
      <c r="Y125" s="238" t="s">
        <v>288</v>
      </c>
      <c r="Z125" s="233" t="s">
        <v>301</v>
      </c>
      <c r="AA125" s="236" t="s">
        <v>483</v>
      </c>
      <c r="AB125" s="233" t="s">
        <v>468</v>
      </c>
      <c r="AC125" s="238" t="s">
        <v>288</v>
      </c>
      <c r="AD125" s="238" t="s">
        <v>301</v>
      </c>
      <c r="AE125" s="239">
        <v>42978</v>
      </c>
    </row>
    <row r="126" spans="1:31" x14ac:dyDescent="0.3">
      <c r="A126" s="232" t="s">
        <v>477</v>
      </c>
      <c r="B126" s="233" t="s">
        <v>478</v>
      </c>
      <c r="C126" s="227" t="s">
        <v>479</v>
      </c>
      <c r="D126" s="227" t="s">
        <v>195</v>
      </c>
      <c r="E126" s="258">
        <v>75202</v>
      </c>
      <c r="F126" s="227" t="s">
        <v>269</v>
      </c>
      <c r="G126" s="227" t="s">
        <v>251</v>
      </c>
      <c r="H126" s="233" t="s">
        <v>183</v>
      </c>
      <c r="I126" s="234">
        <v>1.6666666666666701</v>
      </c>
      <c r="J126" s="235">
        <v>1.4393939393939386</v>
      </c>
      <c r="K126" s="235">
        <v>0</v>
      </c>
      <c r="L126" s="235">
        <v>0</v>
      </c>
      <c r="M126" s="235">
        <v>0</v>
      </c>
      <c r="N126" s="235">
        <v>0.98484848484848431</v>
      </c>
      <c r="O126" s="235">
        <v>0.43939393939393934</v>
      </c>
      <c r="P126" s="235">
        <v>1.5151515151515152E-2</v>
      </c>
      <c r="Q126" s="235">
        <v>0</v>
      </c>
      <c r="R126" s="235">
        <v>0</v>
      </c>
      <c r="S126" s="235">
        <v>0</v>
      </c>
      <c r="T126" s="235">
        <v>4.5454545454545456E-2</v>
      </c>
      <c r="U126" s="235">
        <v>1.3939393939393931</v>
      </c>
      <c r="V126" s="235">
        <v>0</v>
      </c>
      <c r="W126" s="235"/>
      <c r="X126" s="233" t="s">
        <v>468</v>
      </c>
      <c r="Y126" s="238" t="s">
        <v>288</v>
      </c>
      <c r="Z126" s="233" t="s">
        <v>301</v>
      </c>
      <c r="AA126" s="236" t="s">
        <v>480</v>
      </c>
      <c r="AB126" s="233" t="s">
        <v>208</v>
      </c>
      <c r="AC126" s="238"/>
      <c r="AD126" s="238"/>
      <c r="AE126" s="239"/>
    </row>
    <row r="127" spans="1:31" x14ac:dyDescent="0.3">
      <c r="A127" s="232" t="s">
        <v>812</v>
      </c>
      <c r="B127" s="233" t="s">
        <v>813</v>
      </c>
      <c r="C127" s="227" t="s">
        <v>824</v>
      </c>
      <c r="D127" s="227" t="s">
        <v>444</v>
      </c>
      <c r="E127" s="258">
        <v>46204</v>
      </c>
      <c r="F127" s="227" t="s">
        <v>36</v>
      </c>
      <c r="G127" s="227" t="s">
        <v>251</v>
      </c>
      <c r="H127" s="233" t="s">
        <v>183</v>
      </c>
      <c r="I127" s="234">
        <v>1.5833333333333299</v>
      </c>
      <c r="J127" s="235">
        <v>0.2878787878787879</v>
      </c>
      <c r="K127" s="235">
        <v>0.24242424242424243</v>
      </c>
      <c r="L127" s="235">
        <v>0.48484848484848475</v>
      </c>
      <c r="M127" s="235">
        <v>0.39393939393939392</v>
      </c>
      <c r="N127" s="235">
        <v>0.60606060606060586</v>
      </c>
      <c r="O127" s="235">
        <v>0.75757575757575724</v>
      </c>
      <c r="P127" s="235">
        <v>0</v>
      </c>
      <c r="Q127" s="235">
        <v>4.5454545454545456E-2</v>
      </c>
      <c r="R127" s="235">
        <v>0</v>
      </c>
      <c r="S127" s="235">
        <v>0</v>
      </c>
      <c r="T127" s="235">
        <v>0</v>
      </c>
      <c r="U127" s="235">
        <v>1.4090909090909083</v>
      </c>
      <c r="V127" s="235">
        <v>0</v>
      </c>
      <c r="W127" s="235"/>
      <c r="X127" s="233" t="s">
        <v>468</v>
      </c>
      <c r="Y127" s="238" t="s">
        <v>288</v>
      </c>
      <c r="Z127" s="233" t="s">
        <v>301</v>
      </c>
      <c r="AA127" s="236" t="s">
        <v>832</v>
      </c>
      <c r="AB127" s="233" t="s">
        <v>468</v>
      </c>
      <c r="AC127" s="238" t="s">
        <v>288</v>
      </c>
      <c r="AD127" s="238" t="s">
        <v>301</v>
      </c>
      <c r="AE127" s="239">
        <v>42551</v>
      </c>
    </row>
    <row r="128" spans="1:31" x14ac:dyDescent="0.3">
      <c r="A128" s="232" t="s">
        <v>521</v>
      </c>
      <c r="B128" s="233" t="s">
        <v>522</v>
      </c>
      <c r="C128" s="227" t="s">
        <v>523</v>
      </c>
      <c r="D128" s="227" t="s">
        <v>195</v>
      </c>
      <c r="E128" s="258">
        <v>78562</v>
      </c>
      <c r="F128" s="227" t="s">
        <v>676</v>
      </c>
      <c r="G128" s="227" t="s">
        <v>251</v>
      </c>
      <c r="H128" s="233" t="s">
        <v>183</v>
      </c>
      <c r="I128" s="234">
        <v>1.4117647058823499</v>
      </c>
      <c r="J128" s="235">
        <v>1.2121212121212119</v>
      </c>
      <c r="K128" s="235">
        <v>1.5151515151515152E-2</v>
      </c>
      <c r="L128" s="235">
        <v>9.0909090909090912E-2</v>
      </c>
      <c r="M128" s="235">
        <v>4.5454545454545456E-2</v>
      </c>
      <c r="N128" s="235">
        <v>1.3484848484848482</v>
      </c>
      <c r="O128" s="235">
        <v>0</v>
      </c>
      <c r="P128" s="235">
        <v>1.5151515151515152E-2</v>
      </c>
      <c r="Q128" s="235">
        <v>0</v>
      </c>
      <c r="R128" s="235">
        <v>0.19696969696969696</v>
      </c>
      <c r="S128" s="235">
        <v>4.5454545454545456E-2</v>
      </c>
      <c r="T128" s="235">
        <v>0</v>
      </c>
      <c r="U128" s="235">
        <v>1.1212121212121211</v>
      </c>
      <c r="V128" s="235">
        <v>0</v>
      </c>
      <c r="W128" s="235"/>
      <c r="X128" s="233" t="s">
        <v>184</v>
      </c>
      <c r="Y128" s="238" t="s">
        <v>288</v>
      </c>
      <c r="Z128" s="233" t="s">
        <v>301</v>
      </c>
      <c r="AA128" s="236" t="s">
        <v>735</v>
      </c>
      <c r="AB128" s="233" t="s">
        <v>184</v>
      </c>
      <c r="AC128" s="238" t="s">
        <v>288</v>
      </c>
      <c r="AD128" s="238" t="s">
        <v>301</v>
      </c>
      <c r="AE128" s="239">
        <v>43714</v>
      </c>
    </row>
    <row r="129" spans="1:31" x14ac:dyDescent="0.3">
      <c r="A129" s="232" t="s">
        <v>814</v>
      </c>
      <c r="B129" s="233" t="s">
        <v>815</v>
      </c>
      <c r="C129" s="227" t="s">
        <v>524</v>
      </c>
      <c r="D129" s="227" t="s">
        <v>386</v>
      </c>
      <c r="E129" s="258">
        <v>40510</v>
      </c>
      <c r="F129" s="227" t="s">
        <v>36</v>
      </c>
      <c r="G129" s="227" t="s">
        <v>251</v>
      </c>
      <c r="H129" s="233" t="s">
        <v>183</v>
      </c>
      <c r="I129" s="234">
        <v>1.57894736842105</v>
      </c>
      <c r="J129" s="235">
        <v>0.15151515151515149</v>
      </c>
      <c r="K129" s="235">
        <v>0.16666666666666666</v>
      </c>
      <c r="L129" s="235">
        <v>0.6212121212121211</v>
      </c>
      <c r="M129" s="235">
        <v>0.42424242424242425</v>
      </c>
      <c r="N129" s="235">
        <v>0.939393939393939</v>
      </c>
      <c r="O129" s="235">
        <v>0.34848484848484851</v>
      </c>
      <c r="P129" s="235">
        <v>4.5454545454545456E-2</v>
      </c>
      <c r="Q129" s="235">
        <v>3.0303030303030304E-2</v>
      </c>
      <c r="R129" s="235">
        <v>0</v>
      </c>
      <c r="S129" s="235">
        <v>0</v>
      </c>
      <c r="T129" s="235">
        <v>0</v>
      </c>
      <c r="U129" s="235">
        <v>1.3636363636363629</v>
      </c>
      <c r="V129" s="235">
        <v>0</v>
      </c>
      <c r="W129" s="235"/>
      <c r="X129" s="233" t="s">
        <v>468</v>
      </c>
      <c r="Y129" s="238" t="s">
        <v>288</v>
      </c>
      <c r="Z129" s="233" t="s">
        <v>301</v>
      </c>
      <c r="AA129" s="236" t="s">
        <v>833</v>
      </c>
      <c r="AB129" s="233" t="s">
        <v>468</v>
      </c>
      <c r="AC129" s="238" t="s">
        <v>288</v>
      </c>
      <c r="AD129" s="238" t="s">
        <v>301</v>
      </c>
      <c r="AE129" s="239">
        <v>42983</v>
      </c>
    </row>
    <row r="130" spans="1:31" x14ac:dyDescent="0.3">
      <c r="A130" s="232" t="s">
        <v>816</v>
      </c>
      <c r="B130" s="233" t="s">
        <v>817</v>
      </c>
      <c r="C130" s="227" t="s">
        <v>825</v>
      </c>
      <c r="D130" s="227" t="s">
        <v>280</v>
      </c>
      <c r="E130" s="258">
        <v>33762</v>
      </c>
      <c r="F130" s="227" t="s">
        <v>30</v>
      </c>
      <c r="G130" s="227" t="s">
        <v>251</v>
      </c>
      <c r="H130" s="233" t="s">
        <v>183</v>
      </c>
      <c r="I130" s="234">
        <v>1.68421052631579</v>
      </c>
      <c r="J130" s="235">
        <v>3.0303030303030304E-2</v>
      </c>
      <c r="K130" s="235">
        <v>0.49999999999999983</v>
      </c>
      <c r="L130" s="235">
        <v>0.30303030303030298</v>
      </c>
      <c r="M130" s="235">
        <v>0.12121212121212122</v>
      </c>
      <c r="N130" s="235">
        <v>0.59090909090909083</v>
      </c>
      <c r="O130" s="235">
        <v>0.34848484848484845</v>
      </c>
      <c r="P130" s="235">
        <v>0</v>
      </c>
      <c r="Q130" s="235">
        <v>1.5151515151515152E-2</v>
      </c>
      <c r="R130" s="235">
        <v>0</v>
      </c>
      <c r="S130" s="235">
        <v>0</v>
      </c>
      <c r="T130" s="235">
        <v>0</v>
      </c>
      <c r="U130" s="235">
        <v>0.95454545454545414</v>
      </c>
      <c r="V130" s="235">
        <v>0</v>
      </c>
      <c r="W130" s="235"/>
      <c r="X130" s="233" t="s">
        <v>468</v>
      </c>
      <c r="Y130" s="238" t="s">
        <v>288</v>
      </c>
      <c r="Z130" s="233" t="s">
        <v>301</v>
      </c>
      <c r="AA130" s="236" t="s">
        <v>834</v>
      </c>
      <c r="AB130" s="233" t="s">
        <v>468</v>
      </c>
      <c r="AC130" s="238" t="s">
        <v>288</v>
      </c>
      <c r="AD130" s="238" t="s">
        <v>301</v>
      </c>
      <c r="AE130" s="239">
        <v>43019</v>
      </c>
    </row>
    <row r="131" spans="1:31" x14ac:dyDescent="0.3">
      <c r="A131" s="248" t="s">
        <v>489</v>
      </c>
      <c r="B131" s="249" t="s">
        <v>490</v>
      </c>
      <c r="C131" s="249" t="s">
        <v>491</v>
      </c>
      <c r="D131" s="249" t="s">
        <v>492</v>
      </c>
      <c r="E131" s="259">
        <v>58206</v>
      </c>
      <c r="F131" s="249" t="s">
        <v>328</v>
      </c>
      <c r="G131" s="249" t="s">
        <v>207</v>
      </c>
      <c r="H131" s="249" t="s">
        <v>183</v>
      </c>
      <c r="I131" s="234">
        <v>7</v>
      </c>
      <c r="J131" s="235">
        <v>0</v>
      </c>
      <c r="K131" s="235">
        <v>0</v>
      </c>
      <c r="L131" s="235">
        <v>0.84848484848484851</v>
      </c>
      <c r="M131" s="235">
        <v>0</v>
      </c>
      <c r="N131" s="235">
        <v>0.68181818181818188</v>
      </c>
      <c r="O131" s="235">
        <v>0.16666666666666669</v>
      </c>
      <c r="P131" s="235">
        <v>0</v>
      </c>
      <c r="Q131" s="235">
        <v>0</v>
      </c>
      <c r="R131" s="235">
        <v>0</v>
      </c>
      <c r="S131" s="235">
        <v>0</v>
      </c>
      <c r="T131" s="235">
        <v>0</v>
      </c>
      <c r="U131" s="235">
        <v>0.84848484848484851</v>
      </c>
      <c r="V131" s="250">
        <v>0</v>
      </c>
      <c r="W131" s="250"/>
      <c r="X131" s="249" t="s">
        <v>184</v>
      </c>
      <c r="Y131" s="251" t="s">
        <v>288</v>
      </c>
      <c r="Z131" s="249" t="s">
        <v>432</v>
      </c>
      <c r="AA131" s="250" t="s">
        <v>493</v>
      </c>
      <c r="AB131" s="249" t="s">
        <v>468</v>
      </c>
      <c r="AC131" s="251" t="s">
        <v>288</v>
      </c>
      <c r="AD131" s="251" t="s">
        <v>301</v>
      </c>
      <c r="AE131" s="252">
        <v>42999</v>
      </c>
    </row>
    <row r="132" spans="1:31" x14ac:dyDescent="0.3">
      <c r="A132" s="248" t="s">
        <v>650</v>
      </c>
      <c r="B132" s="249" t="s">
        <v>670</v>
      </c>
      <c r="C132" s="249" t="s">
        <v>671</v>
      </c>
      <c r="D132" s="249" t="s">
        <v>180</v>
      </c>
      <c r="E132" s="259">
        <v>92225</v>
      </c>
      <c r="F132" s="249" t="s">
        <v>181</v>
      </c>
      <c r="G132" s="249" t="s">
        <v>207</v>
      </c>
      <c r="H132" s="249" t="s">
        <v>183</v>
      </c>
      <c r="I132" s="234"/>
      <c r="J132" s="235">
        <v>0</v>
      </c>
      <c r="K132" s="235">
        <v>0</v>
      </c>
      <c r="L132" s="235">
        <v>0</v>
      </c>
      <c r="M132" s="235">
        <v>0.80303030303030298</v>
      </c>
      <c r="N132" s="235">
        <v>0.80303030303030298</v>
      </c>
      <c r="O132" s="235">
        <v>0</v>
      </c>
      <c r="P132" s="235">
        <v>0</v>
      </c>
      <c r="Q132" s="235">
        <v>0</v>
      </c>
      <c r="R132" s="235">
        <v>0</v>
      </c>
      <c r="S132" s="235">
        <v>0</v>
      </c>
      <c r="T132" s="235">
        <v>0</v>
      </c>
      <c r="U132" s="235">
        <v>0.80303030303030298</v>
      </c>
      <c r="V132" s="250">
        <v>0</v>
      </c>
      <c r="W132" s="250"/>
      <c r="X132" s="249" t="s">
        <v>208</v>
      </c>
      <c r="Y132" s="251"/>
      <c r="Z132" s="249"/>
      <c r="AA132" s="250"/>
      <c r="AB132" s="249" t="s">
        <v>208</v>
      </c>
      <c r="AC132" s="251"/>
      <c r="AD132" s="251"/>
      <c r="AE132" s="252"/>
    </row>
    <row r="133" spans="1:31" x14ac:dyDescent="0.3">
      <c r="A133" s="248" t="s">
        <v>818</v>
      </c>
      <c r="B133" s="249" t="s">
        <v>819</v>
      </c>
      <c r="C133" s="249" t="s">
        <v>826</v>
      </c>
      <c r="D133" s="249" t="s">
        <v>355</v>
      </c>
      <c r="E133" s="259">
        <v>74103</v>
      </c>
      <c r="F133" s="249" t="s">
        <v>269</v>
      </c>
      <c r="G133" s="249" t="s">
        <v>207</v>
      </c>
      <c r="H133" s="249" t="s">
        <v>183</v>
      </c>
      <c r="I133" s="234">
        <v>1.8823529411764699</v>
      </c>
      <c r="J133" s="235">
        <v>0.10606060606060606</v>
      </c>
      <c r="K133" s="235">
        <v>0.37878787878787873</v>
      </c>
      <c r="L133" s="235">
        <v>6.0606060606060608E-2</v>
      </c>
      <c r="M133" s="235">
        <v>7.575757575757576E-2</v>
      </c>
      <c r="N133" s="235">
        <v>0.51515151515151514</v>
      </c>
      <c r="O133" s="235">
        <v>9.0909090909090912E-2</v>
      </c>
      <c r="P133" s="235">
        <v>1.5151515151515152E-2</v>
      </c>
      <c r="Q133" s="235">
        <v>0</v>
      </c>
      <c r="R133" s="235">
        <v>9.0909090909090912E-2</v>
      </c>
      <c r="S133" s="235">
        <v>0</v>
      </c>
      <c r="T133" s="235">
        <v>0</v>
      </c>
      <c r="U133" s="235">
        <v>0.53030303030303017</v>
      </c>
      <c r="V133" s="250">
        <v>0</v>
      </c>
      <c r="W133" s="250"/>
      <c r="X133" s="249" t="s">
        <v>184</v>
      </c>
      <c r="Y133" s="251" t="s">
        <v>288</v>
      </c>
      <c r="Z133" s="249"/>
      <c r="AA133" s="250" t="s">
        <v>835</v>
      </c>
      <c r="AB133" s="249" t="s">
        <v>184</v>
      </c>
      <c r="AC133" s="251" t="s">
        <v>288</v>
      </c>
      <c r="AD133" s="251"/>
      <c r="AE133" s="252">
        <v>44187</v>
      </c>
    </row>
    <row r="134" spans="1:31" x14ac:dyDescent="0.3">
      <c r="A134" s="248" t="s">
        <v>651</v>
      </c>
      <c r="B134" s="249" t="s">
        <v>672</v>
      </c>
      <c r="C134" s="249" t="s">
        <v>673</v>
      </c>
      <c r="D134" s="249" t="s">
        <v>444</v>
      </c>
      <c r="E134" s="259">
        <v>46802</v>
      </c>
      <c r="F134" s="249" t="s">
        <v>36</v>
      </c>
      <c r="G134" s="249" t="s">
        <v>251</v>
      </c>
      <c r="H134" s="249" t="s">
        <v>183</v>
      </c>
      <c r="I134" s="234">
        <v>1.9</v>
      </c>
      <c r="J134" s="235">
        <v>9.0909090909090912E-2</v>
      </c>
      <c r="K134" s="235">
        <v>1.5151515151515152E-2</v>
      </c>
      <c r="L134" s="235">
        <v>0.25757575757575757</v>
      </c>
      <c r="M134" s="235">
        <v>0.21212121212121213</v>
      </c>
      <c r="N134" s="235">
        <v>0.53030303030303028</v>
      </c>
      <c r="O134" s="235">
        <v>4.5454545454545456E-2</v>
      </c>
      <c r="P134" s="235">
        <v>0</v>
      </c>
      <c r="Q134" s="235">
        <v>0</v>
      </c>
      <c r="R134" s="235">
        <v>0</v>
      </c>
      <c r="S134" s="235">
        <v>0</v>
      </c>
      <c r="T134" s="235">
        <v>0</v>
      </c>
      <c r="U134" s="235">
        <v>0.57575757575757558</v>
      </c>
      <c r="V134" s="250">
        <v>0</v>
      </c>
      <c r="W134" s="250"/>
      <c r="X134" s="249" t="s">
        <v>208</v>
      </c>
      <c r="Y134" s="251"/>
      <c r="Z134" s="249"/>
      <c r="AA134" s="250"/>
      <c r="AB134" s="249" t="s">
        <v>208</v>
      </c>
      <c r="AC134" s="251"/>
      <c r="AD134" s="251"/>
      <c r="AE134" s="252"/>
    </row>
    <row r="135" spans="1:31" x14ac:dyDescent="0.3">
      <c r="A135" s="248" t="s">
        <v>532</v>
      </c>
      <c r="B135" s="249" t="s">
        <v>533</v>
      </c>
      <c r="C135" s="249" t="s">
        <v>534</v>
      </c>
      <c r="D135" s="249" t="s">
        <v>450</v>
      </c>
      <c r="E135" s="259">
        <v>28429</v>
      </c>
      <c r="F135" s="249" t="s">
        <v>192</v>
      </c>
      <c r="G135" s="249" t="s">
        <v>207</v>
      </c>
      <c r="H135" s="249" t="s">
        <v>183</v>
      </c>
      <c r="I135" s="234">
        <v>2.28571428571429</v>
      </c>
      <c r="J135" s="235">
        <v>0.15151515151515152</v>
      </c>
      <c r="K135" s="235">
        <v>9.0909090909090912E-2</v>
      </c>
      <c r="L135" s="235">
        <v>6.0606060606060608E-2</v>
      </c>
      <c r="M135" s="235">
        <v>0.18181818181818182</v>
      </c>
      <c r="N135" s="235">
        <v>0.48484848484848481</v>
      </c>
      <c r="O135" s="235">
        <v>0</v>
      </c>
      <c r="P135" s="235">
        <v>0</v>
      </c>
      <c r="Q135" s="235">
        <v>0</v>
      </c>
      <c r="R135" s="235">
        <v>0</v>
      </c>
      <c r="S135" s="235">
        <v>0</v>
      </c>
      <c r="T135" s="235">
        <v>0</v>
      </c>
      <c r="U135" s="235">
        <v>0.48484848484848481</v>
      </c>
      <c r="V135" s="250">
        <v>0</v>
      </c>
      <c r="W135" s="250"/>
      <c r="X135" s="249" t="s">
        <v>184</v>
      </c>
      <c r="Y135" s="251" t="s">
        <v>678</v>
      </c>
      <c r="Z135" s="249"/>
      <c r="AA135" s="250" t="s">
        <v>736</v>
      </c>
      <c r="AB135" s="249" t="s">
        <v>468</v>
      </c>
      <c r="AC135" s="251" t="s">
        <v>288</v>
      </c>
      <c r="AD135" s="251" t="s">
        <v>301</v>
      </c>
      <c r="AE135" s="252">
        <v>42993</v>
      </c>
    </row>
    <row r="136" spans="1:31" x14ac:dyDescent="0.3">
      <c r="A136" s="248" t="s">
        <v>652</v>
      </c>
      <c r="B136" s="249" t="s">
        <v>674</v>
      </c>
      <c r="C136" s="249" t="s">
        <v>675</v>
      </c>
      <c r="D136" s="249" t="s">
        <v>219</v>
      </c>
      <c r="E136" s="259">
        <v>39520</v>
      </c>
      <c r="F136" s="249" t="s">
        <v>206</v>
      </c>
      <c r="G136" s="249" t="s">
        <v>207</v>
      </c>
      <c r="H136" s="249" t="s">
        <v>183</v>
      </c>
      <c r="I136" s="234">
        <v>1.65</v>
      </c>
      <c r="J136" s="235">
        <v>0.16666666666666666</v>
      </c>
      <c r="K136" s="235">
        <v>0.21212121212121213</v>
      </c>
      <c r="L136" s="235">
        <v>4.5454545454545456E-2</v>
      </c>
      <c r="M136" s="235">
        <v>6.0606060606060608E-2</v>
      </c>
      <c r="N136" s="235">
        <v>0.12121212121212122</v>
      </c>
      <c r="O136" s="235">
        <v>0.36363636363636354</v>
      </c>
      <c r="P136" s="235">
        <v>0</v>
      </c>
      <c r="Q136" s="235">
        <v>0</v>
      </c>
      <c r="R136" s="235">
        <v>0</v>
      </c>
      <c r="S136" s="235">
        <v>0</v>
      </c>
      <c r="T136" s="235">
        <v>0</v>
      </c>
      <c r="U136" s="235">
        <v>0.48484848484848464</v>
      </c>
      <c r="V136" s="250">
        <v>0</v>
      </c>
      <c r="W136" s="250"/>
      <c r="X136" s="249" t="s">
        <v>208</v>
      </c>
      <c r="Y136" s="251"/>
      <c r="Z136" s="249"/>
      <c r="AA136" s="250"/>
      <c r="AB136" s="249" t="s">
        <v>208</v>
      </c>
      <c r="AC136" s="251"/>
      <c r="AD136" s="251"/>
      <c r="AE136" s="252"/>
    </row>
    <row r="137" spans="1:31" x14ac:dyDescent="0.3">
      <c r="A137" s="248" t="s">
        <v>820</v>
      </c>
      <c r="B137" s="249" t="s">
        <v>821</v>
      </c>
      <c r="C137" s="249" t="s">
        <v>827</v>
      </c>
      <c r="D137" s="249" t="s">
        <v>484</v>
      </c>
      <c r="E137" s="259">
        <v>939</v>
      </c>
      <c r="F137" s="249" t="s">
        <v>30</v>
      </c>
      <c r="G137" s="249" t="s">
        <v>455</v>
      </c>
      <c r="H137" s="249" t="s">
        <v>183</v>
      </c>
      <c r="I137" s="234">
        <v>7.3333333333333304</v>
      </c>
      <c r="J137" s="235">
        <v>0</v>
      </c>
      <c r="K137" s="235">
        <v>0</v>
      </c>
      <c r="L137" s="235">
        <v>0.21212121212121213</v>
      </c>
      <c r="M137" s="235">
        <v>9.0909090909090912E-2</v>
      </c>
      <c r="N137" s="235">
        <v>0.30303030303030304</v>
      </c>
      <c r="O137" s="235">
        <v>0</v>
      </c>
      <c r="P137" s="235">
        <v>0</v>
      </c>
      <c r="Q137" s="235">
        <v>0</v>
      </c>
      <c r="R137" s="235">
        <v>0</v>
      </c>
      <c r="S137" s="235">
        <v>0.10606060606060606</v>
      </c>
      <c r="T137" s="235">
        <v>0</v>
      </c>
      <c r="U137" s="235">
        <v>0.19696969696969696</v>
      </c>
      <c r="V137" s="250">
        <v>0</v>
      </c>
      <c r="W137" s="250"/>
      <c r="X137" s="249" t="s">
        <v>184</v>
      </c>
      <c r="Y137" s="251" t="s">
        <v>288</v>
      </c>
      <c r="Z137" s="249" t="s">
        <v>828</v>
      </c>
      <c r="AA137" s="250" t="s">
        <v>836</v>
      </c>
      <c r="AB137" s="249" t="s">
        <v>184</v>
      </c>
      <c r="AC137" s="251" t="s">
        <v>288</v>
      </c>
      <c r="AD137" s="251" t="s">
        <v>828</v>
      </c>
      <c r="AE137" s="252">
        <v>39241</v>
      </c>
    </row>
    <row r="138" spans="1:31" x14ac:dyDescent="0.3">
      <c r="A138" s="253" t="s">
        <v>46</v>
      </c>
      <c r="B138" s="254" t="s">
        <v>516</v>
      </c>
      <c r="C138" s="254" t="s">
        <v>517</v>
      </c>
      <c r="D138" s="254" t="s">
        <v>518</v>
      </c>
      <c r="E138" s="260">
        <v>37918</v>
      </c>
      <c r="F138" s="254" t="s">
        <v>206</v>
      </c>
      <c r="G138" s="254" t="s">
        <v>251</v>
      </c>
      <c r="H138" s="254" t="s">
        <v>183</v>
      </c>
      <c r="I138" s="234">
        <v>1.8571428571428601</v>
      </c>
      <c r="J138" s="235">
        <v>0.10606060606060606</v>
      </c>
      <c r="K138" s="235">
        <v>0</v>
      </c>
      <c r="L138" s="235">
        <v>1.5151515151515152E-2</v>
      </c>
      <c r="M138" s="235">
        <v>4.5454545454545456E-2</v>
      </c>
      <c r="N138" s="235">
        <v>6.0606060606060608E-2</v>
      </c>
      <c r="O138" s="235">
        <v>0.10606060606060606</v>
      </c>
      <c r="P138" s="235">
        <v>0</v>
      </c>
      <c r="Q138" s="235">
        <v>0</v>
      </c>
      <c r="R138" s="235">
        <v>0</v>
      </c>
      <c r="S138" s="235">
        <v>0</v>
      </c>
      <c r="T138" s="235">
        <v>0</v>
      </c>
      <c r="U138" s="235">
        <v>0.16666666666666666</v>
      </c>
      <c r="V138" s="255">
        <v>0</v>
      </c>
      <c r="W138" s="255"/>
      <c r="X138" s="254" t="s">
        <v>468</v>
      </c>
      <c r="Y138" s="256" t="s">
        <v>288</v>
      </c>
      <c r="Z138" s="254" t="s">
        <v>301</v>
      </c>
      <c r="AA138" s="255" t="s">
        <v>511</v>
      </c>
      <c r="AB138" s="254" t="s">
        <v>208</v>
      </c>
      <c r="AC138" s="256"/>
      <c r="AD138" s="256"/>
      <c r="AE138" s="257"/>
    </row>
  </sheetData>
  <mergeCells count="15">
    <mergeCell ref="A1:D1"/>
    <mergeCell ref="A2:D2"/>
    <mergeCell ref="A3:D3"/>
    <mergeCell ref="E3:H3"/>
    <mergeCell ref="I3:L3"/>
    <mergeCell ref="Y3:AB3"/>
    <mergeCell ref="AC3:AE3"/>
    <mergeCell ref="W5:AE5"/>
    <mergeCell ref="A4:V4"/>
    <mergeCell ref="J5:M5"/>
    <mergeCell ref="N5:Q5"/>
    <mergeCell ref="R5:U5"/>
    <mergeCell ref="M3:P3"/>
    <mergeCell ref="Q3:T3"/>
    <mergeCell ref="U3:X3"/>
  </mergeCells>
  <conditionalFormatting sqref="AE7">
    <cfRule type="cellIs" dxfId="65" priority="1" stopIfTrue="1" operator="equal">
      <formula>0</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BC1C2-914A-4927-AD2C-B839FA28242B}">
  <dimension ref="A1:F19"/>
  <sheetViews>
    <sheetView workbookViewId="0">
      <selection sqref="A1:F1"/>
    </sheetView>
  </sheetViews>
  <sheetFormatPr defaultRowHeight="14.4" x14ac:dyDescent="0.3"/>
  <cols>
    <col min="1" max="1" width="45.5546875" customWidth="1"/>
    <col min="2" max="2" width="19" customWidth="1"/>
  </cols>
  <sheetData>
    <row r="1" spans="1:6" ht="25.8" x14ac:dyDescent="0.3">
      <c r="A1" s="264" t="s">
        <v>48</v>
      </c>
      <c r="B1" s="264"/>
      <c r="C1" s="264"/>
      <c r="D1" s="264"/>
      <c r="E1" s="264"/>
      <c r="F1" s="264"/>
    </row>
    <row r="3" spans="1:6" x14ac:dyDescent="0.3">
      <c r="A3" s="274" t="s">
        <v>632</v>
      </c>
      <c r="B3" s="275"/>
      <c r="C3" s="275"/>
      <c r="D3" s="275"/>
      <c r="E3" s="275"/>
    </row>
    <row r="4" spans="1:6" x14ac:dyDescent="0.3">
      <c r="A4" s="124" t="s">
        <v>631</v>
      </c>
      <c r="B4" s="124" t="s">
        <v>537</v>
      </c>
    </row>
    <row r="5" spans="1:6" ht="15" thickBot="1" x14ac:dyDescent="0.35">
      <c r="A5" s="132" t="s">
        <v>630</v>
      </c>
      <c r="B5" s="131">
        <v>17</v>
      </c>
    </row>
    <row r="6" spans="1:6" ht="15" thickTop="1" x14ac:dyDescent="0.3">
      <c r="A6" s="128" t="s">
        <v>629</v>
      </c>
      <c r="B6" s="130">
        <v>6</v>
      </c>
    </row>
    <row r="7" spans="1:6" x14ac:dyDescent="0.3">
      <c r="A7" s="129" t="s">
        <v>628</v>
      </c>
      <c r="B7" s="125">
        <v>1</v>
      </c>
    </row>
    <row r="8" spans="1:6" x14ac:dyDescent="0.3">
      <c r="A8" s="129" t="s">
        <v>627</v>
      </c>
      <c r="B8" s="125">
        <v>5</v>
      </c>
    </row>
    <row r="9" spans="1:6" x14ac:dyDescent="0.3">
      <c r="A9" s="128" t="s">
        <v>626</v>
      </c>
      <c r="B9" s="128">
        <v>6</v>
      </c>
    </row>
    <row r="10" spans="1:6" x14ac:dyDescent="0.3">
      <c r="A10" s="127" t="s">
        <v>625</v>
      </c>
      <c r="B10" s="126">
        <v>1</v>
      </c>
    </row>
    <row r="11" spans="1:6" x14ac:dyDescent="0.3">
      <c r="A11" s="127" t="s">
        <v>624</v>
      </c>
      <c r="B11" s="126">
        <v>2</v>
      </c>
    </row>
    <row r="12" spans="1:6" x14ac:dyDescent="0.3">
      <c r="A12" s="127" t="s">
        <v>623</v>
      </c>
      <c r="B12" s="126">
        <v>1</v>
      </c>
    </row>
    <row r="13" spans="1:6" x14ac:dyDescent="0.3">
      <c r="A13" s="127" t="s">
        <v>622</v>
      </c>
      <c r="B13" s="126">
        <v>1</v>
      </c>
    </row>
    <row r="14" spans="1:6" x14ac:dyDescent="0.3">
      <c r="A14" s="127" t="s">
        <v>621</v>
      </c>
      <c r="B14" s="126">
        <v>1</v>
      </c>
    </row>
    <row r="16" spans="1:6" x14ac:dyDescent="0.3">
      <c r="A16" s="338" t="s">
        <v>620</v>
      </c>
      <c r="B16" s="338"/>
    </row>
    <row r="17" spans="1:2" x14ac:dyDescent="0.3">
      <c r="A17" s="338"/>
      <c r="B17" s="338"/>
    </row>
    <row r="18" spans="1:2" x14ac:dyDescent="0.3">
      <c r="A18" s="338"/>
      <c r="B18" s="338"/>
    </row>
    <row r="19" spans="1:2" x14ac:dyDescent="0.3">
      <c r="A19" s="338"/>
      <c r="B19" s="338"/>
    </row>
  </sheetData>
  <mergeCells count="3">
    <mergeCell ref="A1:F1"/>
    <mergeCell ref="A3:E3"/>
    <mergeCell ref="A16:B19"/>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12F63-9269-48C6-985F-A14894B25CE1}">
  <sheetPr>
    <pageSetUpPr fitToPage="1"/>
  </sheetPr>
  <dimension ref="A1:AE115"/>
  <sheetViews>
    <sheetView showGridLines="0" topLeftCell="A10" zoomScale="80" zoomScaleNormal="80" workbookViewId="0">
      <selection sqref="A1:D1"/>
    </sheetView>
  </sheetViews>
  <sheetFormatPr defaultRowHeight="14.4" x14ac:dyDescent="0.3"/>
  <cols>
    <col min="1" max="1" width="26.5546875" style="5" customWidth="1"/>
    <col min="2" max="2" width="151.44140625" style="5" customWidth="1"/>
    <col min="3" max="5" width="8.5546875" customWidth="1"/>
    <col min="6" max="6" width="8.5546875" bestFit="1" customWidth="1"/>
    <col min="7" max="7" width="10.44140625" customWidth="1"/>
    <col min="8" max="8" width="9" bestFit="1" customWidth="1"/>
    <col min="9" max="9" width="7.5546875" bestFit="1" customWidth="1"/>
    <col min="11" max="11" width="7.5546875" bestFit="1" customWidth="1"/>
    <col min="12" max="12" width="9" bestFit="1" customWidth="1"/>
    <col min="13" max="13" width="7.5546875" customWidth="1"/>
    <col min="26" max="26" width="10.5546875" bestFit="1" customWidth="1"/>
  </cols>
  <sheetData>
    <row r="1" spans="1:31" s="8" customFormat="1" ht="25.8" x14ac:dyDescent="0.3">
      <c r="A1" s="264" t="s">
        <v>48</v>
      </c>
      <c r="B1" s="264"/>
      <c r="C1" s="264"/>
      <c r="D1" s="264"/>
      <c r="E1" s="19"/>
      <c r="F1" s="19"/>
      <c r="G1" s="19"/>
      <c r="H1" s="19"/>
      <c r="I1" s="19"/>
      <c r="J1" s="19"/>
      <c r="K1" s="19"/>
      <c r="L1" s="19"/>
      <c r="M1" s="19"/>
      <c r="N1" s="19"/>
      <c r="O1" s="19"/>
      <c r="P1" s="19"/>
      <c r="Q1" s="19"/>
      <c r="R1" s="19"/>
      <c r="S1" s="19"/>
      <c r="T1" s="19"/>
      <c r="U1" s="19"/>
      <c r="V1" s="19"/>
      <c r="W1" s="19"/>
      <c r="X1" s="19"/>
      <c r="Y1" s="19"/>
      <c r="Z1" s="19"/>
      <c r="AA1" s="19"/>
      <c r="AB1" s="19"/>
      <c r="AC1" s="19"/>
      <c r="AD1" s="19"/>
      <c r="AE1" s="19"/>
    </row>
    <row r="2" spans="1:31" s="8" customFormat="1" ht="74.25" customHeight="1" x14ac:dyDescent="0.3">
      <c r="A2" s="265" t="s">
        <v>49</v>
      </c>
      <c r="B2" s="265"/>
      <c r="C2" s="265"/>
      <c r="D2" s="265"/>
      <c r="E2" s="19"/>
      <c r="F2" s="19"/>
      <c r="G2" s="19"/>
      <c r="H2" s="19"/>
      <c r="I2" s="19"/>
      <c r="J2" s="19"/>
      <c r="K2" s="19"/>
      <c r="L2" s="19"/>
      <c r="M2" s="19"/>
      <c r="N2" s="19"/>
      <c r="O2" s="19"/>
      <c r="P2" s="19"/>
      <c r="Q2" s="19"/>
      <c r="R2" s="19"/>
      <c r="S2" s="19"/>
      <c r="T2" s="19"/>
      <c r="U2" s="19"/>
      <c r="V2" s="19"/>
      <c r="W2" s="19"/>
      <c r="X2" s="19"/>
      <c r="Y2" s="19"/>
      <c r="Z2" s="19"/>
      <c r="AA2" s="19"/>
      <c r="AB2" s="19"/>
      <c r="AC2" s="19"/>
      <c r="AD2" s="19"/>
      <c r="AE2" s="19"/>
    </row>
    <row r="3" spans="1:31" s="8" customFormat="1" ht="48.6" customHeight="1" thickBot="1" x14ac:dyDescent="0.35">
      <c r="A3" s="43" t="s">
        <v>568</v>
      </c>
      <c r="B3" s="43"/>
      <c r="C3" s="46"/>
      <c r="D3" s="46"/>
      <c r="E3" s="339"/>
      <c r="F3" s="339"/>
      <c r="G3" s="339"/>
      <c r="H3" s="339"/>
      <c r="I3" s="339"/>
      <c r="J3" s="339"/>
      <c r="K3" s="339"/>
      <c r="L3" s="339"/>
      <c r="M3" s="339"/>
      <c r="N3" s="339"/>
      <c r="O3" s="339"/>
      <c r="P3" s="339"/>
      <c r="Q3" s="339"/>
      <c r="R3" s="339"/>
      <c r="S3" s="339"/>
      <c r="T3" s="339"/>
      <c r="U3" s="339"/>
      <c r="V3" s="339"/>
      <c r="W3" s="339"/>
      <c r="X3" s="339"/>
      <c r="Y3" s="339"/>
      <c r="Z3" s="339"/>
      <c r="AA3" s="339"/>
      <c r="AB3" s="339"/>
      <c r="AC3" s="339"/>
      <c r="AD3" s="339"/>
      <c r="AE3" s="339"/>
    </row>
    <row r="4" spans="1:31" ht="18" x14ac:dyDescent="0.3">
      <c r="A4" s="109" t="s">
        <v>118</v>
      </c>
      <c r="B4" s="110" t="s">
        <v>119</v>
      </c>
    </row>
    <row r="5" spans="1:31" ht="15.6" x14ac:dyDescent="0.3">
      <c r="A5" s="142" t="s">
        <v>50</v>
      </c>
      <c r="B5" s="111" t="s">
        <v>51</v>
      </c>
    </row>
    <row r="6" spans="1:31" ht="15.6" x14ac:dyDescent="0.3">
      <c r="A6" s="142" t="s">
        <v>52</v>
      </c>
      <c r="B6" s="111" t="s">
        <v>53</v>
      </c>
    </row>
    <row r="7" spans="1:31" ht="15.6" x14ac:dyDescent="0.3">
      <c r="A7" s="142" t="s">
        <v>54</v>
      </c>
      <c r="B7" s="111" t="s">
        <v>55</v>
      </c>
    </row>
    <row r="8" spans="1:31" ht="15.6" x14ac:dyDescent="0.3">
      <c r="A8" s="142" t="s">
        <v>56</v>
      </c>
      <c r="B8" s="111" t="s">
        <v>57</v>
      </c>
    </row>
    <row r="9" spans="1:31" ht="15.6" x14ac:dyDescent="0.3">
      <c r="A9" s="142" t="s">
        <v>4</v>
      </c>
      <c r="B9" s="111" t="s">
        <v>58</v>
      </c>
    </row>
    <row r="10" spans="1:31" ht="15.6" x14ac:dyDescent="0.3">
      <c r="A10" s="142" t="s">
        <v>59</v>
      </c>
      <c r="B10" s="111" t="s">
        <v>60</v>
      </c>
    </row>
    <row r="11" spans="1:31" ht="15.6" x14ac:dyDescent="0.3">
      <c r="A11" s="142" t="s">
        <v>61</v>
      </c>
      <c r="B11" s="111" t="s">
        <v>62</v>
      </c>
    </row>
    <row r="12" spans="1:31" ht="15.6" x14ac:dyDescent="0.3">
      <c r="A12" s="142" t="s">
        <v>63</v>
      </c>
      <c r="B12" s="111" t="s">
        <v>64</v>
      </c>
      <c r="Z12" s="45"/>
    </row>
    <row r="13" spans="1:31" ht="46.8" x14ac:dyDescent="0.3">
      <c r="A13" s="142" t="s">
        <v>65</v>
      </c>
      <c r="B13" s="111" t="s">
        <v>66</v>
      </c>
    </row>
    <row r="14" spans="1:31" ht="46.8" x14ac:dyDescent="0.3">
      <c r="A14" s="142" t="s">
        <v>68</v>
      </c>
      <c r="B14" s="111" t="s">
        <v>69</v>
      </c>
    </row>
    <row r="15" spans="1:31" ht="15.6" x14ac:dyDescent="0.3">
      <c r="A15" s="142" t="s">
        <v>70</v>
      </c>
      <c r="B15" s="111" t="s">
        <v>71</v>
      </c>
    </row>
    <row r="16" spans="1:31" ht="47.25" customHeight="1" x14ac:dyDescent="0.3">
      <c r="A16" s="342" t="s">
        <v>72</v>
      </c>
      <c r="B16" s="111" t="s">
        <v>73</v>
      </c>
    </row>
    <row r="17" spans="1:2" ht="46.8" x14ac:dyDescent="0.3">
      <c r="A17" s="342"/>
      <c r="B17" s="111" t="s">
        <v>74</v>
      </c>
    </row>
    <row r="18" spans="1:2" ht="47.1" customHeight="1" x14ac:dyDescent="0.3">
      <c r="A18" s="343" t="s">
        <v>575</v>
      </c>
      <c r="B18" s="111" t="s">
        <v>576</v>
      </c>
    </row>
    <row r="19" spans="1:2" ht="46.8" x14ac:dyDescent="0.3">
      <c r="A19" s="344"/>
      <c r="B19" s="111" t="s">
        <v>577</v>
      </c>
    </row>
    <row r="20" spans="1:2" ht="31.2" x14ac:dyDescent="0.3">
      <c r="A20" s="142" t="s">
        <v>75</v>
      </c>
      <c r="B20" s="111" t="s">
        <v>778</v>
      </c>
    </row>
    <row r="21" spans="1:2" ht="15.6" x14ac:dyDescent="0.3">
      <c r="A21" s="142" t="s">
        <v>76</v>
      </c>
      <c r="B21" s="111" t="s">
        <v>77</v>
      </c>
    </row>
    <row r="22" spans="1:2" ht="15.6" x14ac:dyDescent="0.3">
      <c r="A22" s="142" t="s">
        <v>78</v>
      </c>
      <c r="B22" s="111" t="s">
        <v>79</v>
      </c>
    </row>
    <row r="23" spans="1:2" ht="15.6" x14ac:dyDescent="0.3">
      <c r="A23" s="142" t="s">
        <v>80</v>
      </c>
      <c r="B23" s="111" t="s">
        <v>81</v>
      </c>
    </row>
    <row r="24" spans="1:2" ht="46.8" x14ac:dyDescent="0.3">
      <c r="A24" s="142" t="s">
        <v>82</v>
      </c>
      <c r="B24" s="111" t="s">
        <v>83</v>
      </c>
    </row>
    <row r="25" spans="1:2" ht="31.2" x14ac:dyDescent="0.3">
      <c r="A25" s="142" t="s">
        <v>84</v>
      </c>
      <c r="B25" s="111" t="s">
        <v>85</v>
      </c>
    </row>
    <row r="26" spans="1:2" ht="15.6" x14ac:dyDescent="0.3">
      <c r="A26" s="142" t="s">
        <v>86</v>
      </c>
      <c r="B26" s="111" t="s">
        <v>87</v>
      </c>
    </row>
    <row r="27" spans="1:2" ht="15.6" x14ac:dyDescent="0.3">
      <c r="A27" s="142" t="s">
        <v>88</v>
      </c>
      <c r="B27" s="111" t="s">
        <v>89</v>
      </c>
    </row>
    <row r="28" spans="1:2" ht="15.6" x14ac:dyDescent="0.3">
      <c r="A28" s="142" t="s">
        <v>90</v>
      </c>
      <c r="B28" s="111" t="s">
        <v>91</v>
      </c>
    </row>
    <row r="29" spans="1:2" ht="31.2" x14ac:dyDescent="0.3">
      <c r="A29" s="142" t="s">
        <v>92</v>
      </c>
      <c r="B29" s="111" t="s">
        <v>93</v>
      </c>
    </row>
    <row r="30" spans="1:2" ht="15.6" x14ac:dyDescent="0.3">
      <c r="A30" s="142" t="s">
        <v>94</v>
      </c>
      <c r="B30" s="111" t="s">
        <v>95</v>
      </c>
    </row>
    <row r="31" spans="1:2" ht="15.6" x14ac:dyDescent="0.3">
      <c r="A31" s="142" t="s">
        <v>2</v>
      </c>
      <c r="B31" s="111" t="s">
        <v>96</v>
      </c>
    </row>
    <row r="32" spans="1:2" ht="31.2" x14ac:dyDescent="0.3">
      <c r="A32" s="142" t="s">
        <v>607</v>
      </c>
      <c r="B32" s="111" t="s">
        <v>97</v>
      </c>
    </row>
    <row r="33" spans="1:2" ht="15.6" x14ac:dyDescent="0.3">
      <c r="A33" s="142" t="s">
        <v>3</v>
      </c>
      <c r="B33" s="111" t="s">
        <v>98</v>
      </c>
    </row>
    <row r="34" spans="1:2" ht="31.2" x14ac:dyDescent="0.3">
      <c r="A34" s="142" t="s">
        <v>100</v>
      </c>
      <c r="B34" s="111" t="s">
        <v>101</v>
      </c>
    </row>
    <row r="35" spans="1:2" ht="15.6" x14ac:dyDescent="0.3">
      <c r="A35" s="142" t="s">
        <v>102</v>
      </c>
      <c r="B35" s="111" t="s">
        <v>103</v>
      </c>
    </row>
    <row r="36" spans="1:2" ht="31.2" x14ac:dyDescent="0.3">
      <c r="A36" s="142" t="s">
        <v>104</v>
      </c>
      <c r="B36" s="111" t="s">
        <v>105</v>
      </c>
    </row>
    <row r="37" spans="1:2" ht="15.6" x14ac:dyDescent="0.3">
      <c r="A37" s="142" t="s">
        <v>106</v>
      </c>
      <c r="B37" s="111" t="s">
        <v>578</v>
      </c>
    </row>
    <row r="38" spans="1:2" ht="15.6" x14ac:dyDescent="0.3">
      <c r="A38" s="142" t="s">
        <v>23</v>
      </c>
      <c r="B38" s="111" t="s">
        <v>579</v>
      </c>
    </row>
    <row r="39" spans="1:2" ht="15.6" x14ac:dyDescent="0.3">
      <c r="A39" s="342" t="s">
        <v>107</v>
      </c>
      <c r="B39" s="111" t="s">
        <v>108</v>
      </c>
    </row>
    <row r="40" spans="1:2" ht="15.6" x14ac:dyDescent="0.3">
      <c r="A40" s="342"/>
      <c r="B40" s="111" t="s">
        <v>109</v>
      </c>
    </row>
    <row r="41" spans="1:2" ht="46.8" x14ac:dyDescent="0.3">
      <c r="A41" s="342"/>
      <c r="B41" s="111" t="s">
        <v>110</v>
      </c>
    </row>
    <row r="42" spans="1:2" ht="15.6" x14ac:dyDescent="0.3">
      <c r="A42" s="342"/>
      <c r="B42" s="111" t="s">
        <v>111</v>
      </c>
    </row>
    <row r="43" spans="1:2" ht="46.8" x14ac:dyDescent="0.3">
      <c r="A43" s="342"/>
      <c r="B43" s="111" t="s">
        <v>112</v>
      </c>
    </row>
    <row r="44" spans="1:2" ht="15.6" x14ac:dyDescent="0.3">
      <c r="A44" s="342"/>
      <c r="B44" s="111" t="s">
        <v>113</v>
      </c>
    </row>
    <row r="45" spans="1:2" ht="31.2" x14ac:dyDescent="0.3">
      <c r="A45" s="342"/>
      <c r="B45" s="111" t="s">
        <v>114</v>
      </c>
    </row>
    <row r="46" spans="1:2" ht="31.2" x14ac:dyDescent="0.3">
      <c r="A46" s="342"/>
      <c r="B46" s="111" t="s">
        <v>115</v>
      </c>
    </row>
    <row r="47" spans="1:2" ht="15.6" x14ac:dyDescent="0.3">
      <c r="A47" s="142" t="s">
        <v>116</v>
      </c>
      <c r="B47" s="111" t="s">
        <v>117</v>
      </c>
    </row>
    <row r="48" spans="1:2" ht="31.2" x14ac:dyDescent="0.3">
      <c r="A48" s="343" t="s">
        <v>598</v>
      </c>
      <c r="B48" s="111" t="s">
        <v>580</v>
      </c>
    </row>
    <row r="49" spans="1:2" ht="15.6" x14ac:dyDescent="0.3">
      <c r="A49" s="345"/>
      <c r="B49" s="111" t="s">
        <v>581</v>
      </c>
    </row>
    <row r="50" spans="1:2" ht="15.6" x14ac:dyDescent="0.3">
      <c r="A50" s="344"/>
      <c r="B50" s="111" t="s">
        <v>582</v>
      </c>
    </row>
    <row r="51" spans="1:2" ht="15.75" customHeight="1" x14ac:dyDescent="0.3">
      <c r="A51" s="346" t="s">
        <v>779</v>
      </c>
      <c r="B51" s="112" t="s">
        <v>780</v>
      </c>
    </row>
    <row r="52" spans="1:2" ht="15.6" x14ac:dyDescent="0.3">
      <c r="A52" s="347"/>
      <c r="B52" s="111" t="s">
        <v>583</v>
      </c>
    </row>
    <row r="53" spans="1:2" ht="35.549999999999997" customHeight="1" x14ac:dyDescent="0.3">
      <c r="A53" s="347"/>
      <c r="B53" s="111" t="s">
        <v>584</v>
      </c>
    </row>
    <row r="54" spans="1:2" ht="86.25" customHeight="1" x14ac:dyDescent="0.3">
      <c r="A54" s="347"/>
      <c r="B54" s="111" t="s">
        <v>781</v>
      </c>
    </row>
    <row r="55" spans="1:2" ht="87.6" customHeight="1" x14ac:dyDescent="0.3">
      <c r="A55" s="347"/>
      <c r="B55" s="111" t="s">
        <v>603</v>
      </c>
    </row>
    <row r="56" spans="1:2" ht="31.2" x14ac:dyDescent="0.3">
      <c r="A56" s="347"/>
      <c r="B56" s="111" t="s">
        <v>585</v>
      </c>
    </row>
    <row r="57" spans="1:2" ht="78" x14ac:dyDescent="0.3">
      <c r="A57" s="347"/>
      <c r="B57" s="111" t="s">
        <v>599</v>
      </c>
    </row>
    <row r="58" spans="1:2" ht="15.6" x14ac:dyDescent="0.3">
      <c r="A58" s="347"/>
      <c r="B58" s="111" t="s">
        <v>586</v>
      </c>
    </row>
    <row r="59" spans="1:2" ht="31.2" x14ac:dyDescent="0.3">
      <c r="A59" s="347"/>
      <c r="B59" s="111" t="s">
        <v>782</v>
      </c>
    </row>
    <row r="60" spans="1:2" ht="31.2" x14ac:dyDescent="0.3">
      <c r="A60" s="348"/>
      <c r="B60" s="111" t="s">
        <v>587</v>
      </c>
    </row>
    <row r="61" spans="1:2" ht="15.6" x14ac:dyDescent="0.3">
      <c r="A61" s="343" t="s">
        <v>783</v>
      </c>
      <c r="B61" s="112" t="s">
        <v>784</v>
      </c>
    </row>
    <row r="62" spans="1:2" ht="31.2" x14ac:dyDescent="0.3">
      <c r="A62" s="345"/>
      <c r="B62" s="111" t="s">
        <v>588</v>
      </c>
    </row>
    <row r="63" spans="1:2" ht="15.6" x14ac:dyDescent="0.3">
      <c r="A63" s="345"/>
      <c r="B63" s="111" t="s">
        <v>589</v>
      </c>
    </row>
    <row r="64" spans="1:2" ht="15.6" x14ac:dyDescent="0.3">
      <c r="A64" s="345"/>
      <c r="B64" s="111" t="s">
        <v>590</v>
      </c>
    </row>
    <row r="65" spans="1:2" ht="78" x14ac:dyDescent="0.3">
      <c r="A65" s="345"/>
      <c r="B65" s="111" t="s">
        <v>602</v>
      </c>
    </row>
    <row r="66" spans="1:2" ht="50.1" customHeight="1" x14ac:dyDescent="0.3">
      <c r="A66" s="344"/>
      <c r="B66" s="111" t="s">
        <v>587</v>
      </c>
    </row>
    <row r="67" spans="1:2" ht="15.6" x14ac:dyDescent="0.3">
      <c r="A67" s="343" t="s">
        <v>785</v>
      </c>
      <c r="B67" s="112" t="s">
        <v>786</v>
      </c>
    </row>
    <row r="68" spans="1:2" ht="15.6" x14ac:dyDescent="0.3">
      <c r="A68" s="345"/>
      <c r="B68" s="111" t="s">
        <v>591</v>
      </c>
    </row>
    <row r="69" spans="1:2" ht="50.55" customHeight="1" x14ac:dyDescent="0.3">
      <c r="A69" s="345"/>
      <c r="B69" s="111" t="s">
        <v>787</v>
      </c>
    </row>
    <row r="70" spans="1:2" ht="62.4" x14ac:dyDescent="0.3">
      <c r="A70" s="345"/>
      <c r="B70" s="111" t="s">
        <v>788</v>
      </c>
    </row>
    <row r="71" spans="1:2" ht="31.2" x14ac:dyDescent="0.3">
      <c r="A71" s="344"/>
      <c r="B71" s="111" t="s">
        <v>587</v>
      </c>
    </row>
    <row r="72" spans="1:2" ht="30" customHeight="1" x14ac:dyDescent="0.3">
      <c r="A72" s="141" t="s">
        <v>604</v>
      </c>
      <c r="B72" s="112" t="s">
        <v>789</v>
      </c>
    </row>
    <row r="73" spans="1:2" ht="15.6" x14ac:dyDescent="0.3">
      <c r="A73" s="141"/>
      <c r="B73" s="111" t="s">
        <v>592</v>
      </c>
    </row>
    <row r="74" spans="1:2" ht="83.55" customHeight="1" x14ac:dyDescent="0.3">
      <c r="A74" s="113"/>
      <c r="B74" s="111" t="s">
        <v>602</v>
      </c>
    </row>
    <row r="75" spans="1:2" ht="78" x14ac:dyDescent="0.3">
      <c r="A75" s="114"/>
      <c r="B75" s="112" t="s">
        <v>599</v>
      </c>
    </row>
    <row r="76" spans="1:2" ht="15.6" x14ac:dyDescent="0.3">
      <c r="A76" s="114"/>
      <c r="B76" s="111" t="s">
        <v>586</v>
      </c>
    </row>
    <row r="77" spans="1:2" ht="31.2" x14ac:dyDescent="0.3">
      <c r="A77" s="114"/>
      <c r="B77" s="111" t="s">
        <v>790</v>
      </c>
    </row>
    <row r="78" spans="1:2" ht="31.2" x14ac:dyDescent="0.3">
      <c r="A78" s="115"/>
      <c r="B78" s="111" t="s">
        <v>600</v>
      </c>
    </row>
    <row r="79" spans="1:2" ht="15.6" x14ac:dyDescent="0.3">
      <c r="A79" s="114" t="s">
        <v>791</v>
      </c>
      <c r="B79" s="112" t="s">
        <v>780</v>
      </c>
    </row>
    <row r="80" spans="1:2" ht="15.6" x14ac:dyDescent="0.3">
      <c r="A80" s="114"/>
      <c r="B80" s="111" t="s">
        <v>592</v>
      </c>
    </row>
    <row r="81" spans="1:2" ht="31.2" x14ac:dyDescent="0.3">
      <c r="A81" s="114"/>
      <c r="B81" s="111" t="s">
        <v>585</v>
      </c>
    </row>
    <row r="82" spans="1:2" ht="15.6" x14ac:dyDescent="0.3">
      <c r="A82" s="114"/>
      <c r="B82" s="111" t="s">
        <v>593</v>
      </c>
    </row>
    <row r="83" spans="1:2" ht="46.8" x14ac:dyDescent="0.3">
      <c r="A83" s="113"/>
      <c r="B83" s="111" t="s">
        <v>594</v>
      </c>
    </row>
    <row r="84" spans="1:2" ht="31.2" x14ac:dyDescent="0.3">
      <c r="A84" s="113"/>
      <c r="B84" s="111" t="s">
        <v>595</v>
      </c>
    </row>
    <row r="85" spans="1:2" ht="15.6" x14ac:dyDescent="0.3">
      <c r="A85" s="113"/>
      <c r="B85" s="111" t="s">
        <v>596</v>
      </c>
    </row>
    <row r="86" spans="1:2" ht="15.6" x14ac:dyDescent="0.3">
      <c r="A86" s="113"/>
      <c r="B86" s="111" t="s">
        <v>586</v>
      </c>
    </row>
    <row r="87" spans="1:2" ht="78" x14ac:dyDescent="0.3">
      <c r="A87" s="113"/>
      <c r="B87" s="111" t="s">
        <v>602</v>
      </c>
    </row>
    <row r="88" spans="1:2" ht="15.6" x14ac:dyDescent="0.3">
      <c r="A88" s="116"/>
      <c r="B88" s="111" t="s">
        <v>792</v>
      </c>
    </row>
    <row r="89" spans="1:2" ht="15.6" customHeight="1" x14ac:dyDescent="0.3">
      <c r="A89" s="340" t="s">
        <v>610</v>
      </c>
      <c r="B89" s="117" t="s">
        <v>793</v>
      </c>
    </row>
    <row r="90" spans="1:2" ht="15.6" x14ac:dyDescent="0.3">
      <c r="A90" s="340"/>
      <c r="B90" s="117" t="s">
        <v>794</v>
      </c>
    </row>
    <row r="91" spans="1:2" ht="15.6" x14ac:dyDescent="0.3">
      <c r="A91" s="340"/>
      <c r="B91" s="118" t="s">
        <v>592</v>
      </c>
    </row>
    <row r="92" spans="1:2" ht="15.6" x14ac:dyDescent="0.3">
      <c r="A92" s="340"/>
      <c r="B92" s="117" t="s">
        <v>795</v>
      </c>
    </row>
    <row r="93" spans="1:2" ht="78" x14ac:dyDescent="0.3">
      <c r="A93" s="340"/>
      <c r="B93" s="118" t="s">
        <v>796</v>
      </c>
    </row>
    <row r="94" spans="1:2" ht="31.2" x14ac:dyDescent="0.3">
      <c r="A94" s="340"/>
      <c r="B94" s="118" t="s">
        <v>605</v>
      </c>
    </row>
    <row r="95" spans="1:2" ht="46.8" x14ac:dyDescent="0.3">
      <c r="A95" s="340"/>
      <c r="B95" s="117" t="s">
        <v>797</v>
      </c>
    </row>
    <row r="96" spans="1:2" ht="31.2" x14ac:dyDescent="0.3">
      <c r="A96" s="340"/>
      <c r="B96" s="118" t="s">
        <v>798</v>
      </c>
    </row>
    <row r="97" spans="1:2" ht="140.4" x14ac:dyDescent="0.3">
      <c r="A97" s="340"/>
      <c r="B97" s="117" t="s">
        <v>799</v>
      </c>
    </row>
    <row r="98" spans="1:2" ht="62.4" x14ac:dyDescent="0.3">
      <c r="A98" s="340"/>
      <c r="B98" s="118" t="s">
        <v>606</v>
      </c>
    </row>
    <row r="99" spans="1:2" ht="31.2" x14ac:dyDescent="0.3">
      <c r="A99" s="340" t="s">
        <v>800</v>
      </c>
      <c r="B99" s="218" t="s">
        <v>801</v>
      </c>
    </row>
    <row r="100" spans="1:2" ht="140.4" x14ac:dyDescent="0.3">
      <c r="A100" s="340"/>
      <c r="B100" s="219" t="s">
        <v>802</v>
      </c>
    </row>
    <row r="101" spans="1:2" ht="15.6" x14ac:dyDescent="0.3">
      <c r="A101" s="340"/>
      <c r="B101" s="218" t="s">
        <v>803</v>
      </c>
    </row>
    <row r="102" spans="1:2" ht="15.6" x14ac:dyDescent="0.3">
      <c r="A102" s="340"/>
      <c r="B102" s="220" t="s">
        <v>804</v>
      </c>
    </row>
    <row r="103" spans="1:2" ht="31.2" x14ac:dyDescent="0.3">
      <c r="A103" s="340"/>
      <c r="B103" s="221" t="s">
        <v>805</v>
      </c>
    </row>
    <row r="104" spans="1:2" ht="16.2" thickBot="1" x14ac:dyDescent="0.35">
      <c r="A104" s="341"/>
      <c r="B104" s="222" t="s">
        <v>806</v>
      </c>
    </row>
    <row r="107" spans="1:2" ht="15.6" x14ac:dyDescent="0.3">
      <c r="B107" s="223"/>
    </row>
    <row r="108" spans="1:2" ht="15" x14ac:dyDescent="0.3">
      <c r="B108" s="224"/>
    </row>
    <row r="109" spans="1:2" ht="15.6" x14ac:dyDescent="0.3">
      <c r="B109" s="225"/>
    </row>
    <row r="110" spans="1:2" ht="15" x14ac:dyDescent="0.3">
      <c r="B110" s="224"/>
    </row>
    <row r="111" spans="1:2" ht="15.6" x14ac:dyDescent="0.3">
      <c r="B111" s="225"/>
    </row>
    <row r="112" spans="1:2" ht="15" x14ac:dyDescent="0.3">
      <c r="B112" s="224"/>
    </row>
    <row r="113" spans="2:2" ht="15.6" x14ac:dyDescent="0.3">
      <c r="B113" s="225"/>
    </row>
    <row r="114" spans="2:2" ht="15" x14ac:dyDescent="0.3">
      <c r="B114" s="224"/>
    </row>
    <row r="115" spans="2:2" ht="15.6" x14ac:dyDescent="0.3">
      <c r="B115" s="225"/>
    </row>
  </sheetData>
  <mergeCells count="18">
    <mergeCell ref="A99:A104"/>
    <mergeCell ref="U3:X3"/>
    <mergeCell ref="Y3:AB3"/>
    <mergeCell ref="AC3:AE3"/>
    <mergeCell ref="A16:A17"/>
    <mergeCell ref="A18:A19"/>
    <mergeCell ref="A39:A46"/>
    <mergeCell ref="Q3:T3"/>
    <mergeCell ref="A48:A50"/>
    <mergeCell ref="A51:A60"/>
    <mergeCell ref="A61:A66"/>
    <mergeCell ref="A67:A71"/>
    <mergeCell ref="A89:A98"/>
    <mergeCell ref="A1:D1"/>
    <mergeCell ref="A2:D2"/>
    <mergeCell ref="E3:H3"/>
    <mergeCell ref="I3:L3"/>
    <mergeCell ref="M3:P3"/>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Package Document" ma:contentTypeID="0x010100DC44E6E3EBA67847A4953316DE6DDB2F001C48BBFD449B8943A3905CD2663DE443" ma:contentTypeVersion="16" ma:contentTypeDescription="Create a new document." ma:contentTypeScope="" ma:versionID="2bff000dcc98a6058dd791ff5b297c93">
  <xsd:schema xmlns:xsd="http://www.w3.org/2001/XMLSchema" xmlns:xs="http://www.w3.org/2001/XMLSchema" xmlns:p="http://schemas.microsoft.com/office/2006/metadata/properties" xmlns:ns2="dc279a15-f8dd-4f17-bd43-06c7d75c5e4f" xmlns:ns3="9225b539-7b15-42b2-871d-c20cb6e17ae7" xmlns:ns4="2215e349-3441-430e-a4a0-d0effb7189a9" xmlns:ns5="b7d83571-66ee-4710-af81-61464f714a57" targetNamespace="http://schemas.microsoft.com/office/2006/metadata/properties" ma:root="true" ma:fieldsID="317ecd8de4623aee2d0eb21fef1879c5" ns2:_="" ns3:_="" ns4:_="" ns5:_="">
    <xsd:import namespace="dc279a15-f8dd-4f17-bd43-06c7d75c5e4f"/>
    <xsd:import namespace="9225b539-7b15-42b2-871d-c20cb6e17ae7"/>
    <xsd:import namespace="2215e349-3441-430e-a4a0-d0effb7189a9"/>
    <xsd:import namespace="b7d83571-66ee-4710-af81-61464f714a57"/>
    <xsd:element name="properties">
      <xsd:complexType>
        <xsd:sequence>
          <xsd:element name="documentManagement">
            <xsd:complexType>
              <xsd:all>
                <xsd:element ref="ns2:Document_x0020_Date" minOccurs="0"/>
                <xsd:element ref="ns2:Document_x0020_Subject" minOccurs="0"/>
                <xsd:element ref="ns3:TaxCatchAll" minOccurs="0"/>
                <xsd:element ref="ns3:TaxCatchAllLabel" minOccurs="0"/>
                <xsd:element ref="ns2:Document_x0020_Type" minOccurs="0"/>
                <xsd:element ref="ns2:EntityID" minOccurs="0"/>
                <xsd:element ref="ns2:CRMETC" minOccurs="0"/>
                <xsd:element ref="ns2:WorkPackageNumber" minOccurs="0"/>
                <xsd:element ref="ns4:MediaServiceMetadata" minOccurs="0"/>
                <xsd:element ref="ns4:MediaServiceFastMetadata" minOccurs="0"/>
                <xsd:element ref="ns4:MediaServiceOCR" minOccurs="0"/>
                <xsd:element ref="ns4:MediaServiceDateTaken" minOccurs="0"/>
                <xsd:element ref="ns4:MediaServiceLocation" minOccurs="0"/>
                <xsd:element ref="ns5:ICATT_x0020_Doc_x0020_Sequence_x0020_Number" minOccurs="0"/>
                <xsd:element ref="ns5:ICATTDocID" minOccurs="0"/>
                <xsd:element ref="ns5:SharedWithUsers" minOccurs="0"/>
                <xsd:element ref="ns5:SharedWithDetails"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279a15-f8dd-4f17-bd43-06c7d75c5e4f" elementFormDefault="qualified">
    <xsd:import namespace="http://schemas.microsoft.com/office/2006/documentManagement/types"/>
    <xsd:import namespace="http://schemas.microsoft.com/office/infopath/2007/PartnerControls"/>
    <xsd:element name="Document_x0020_Date" ma:index="8" nillable="true" ma:displayName="Document Date" ma:format="DateTime" ma:internalName="Document_x0020_Date">
      <xsd:simpleType>
        <xsd:restriction base="dms:DateTime"/>
      </xsd:simpleType>
    </xsd:element>
    <xsd:element name="Document_x0020_Subject" ma:index="9" nillable="true" ma:displayName="Document Subject" ma:internalName="Document_x0020_Subject">
      <xsd:simpleType>
        <xsd:restriction base="dms:Text">
          <xsd:maxLength value="255"/>
        </xsd:restriction>
      </xsd:simpleType>
    </xsd:element>
    <xsd:element name="Document_x0020_Type" ma:index="12" nillable="true" ma:displayName="Document Type" ma:default="Admin Closeout" ma:format="Dropdown" ma:internalName="Document_x0020_Type">
      <xsd:simpleType>
        <xsd:restriction base="dms:Choice">
          <xsd:enumeration value="Admin Closeout"/>
          <xsd:enumeration value="Background"/>
          <xsd:enumeration value="BTS Transmittal"/>
          <xsd:enumeration value="Closeout"/>
          <xsd:enumeration value="Draft Response"/>
          <xsd:enumeration value="Enclosure"/>
          <xsd:enumeration value="Final"/>
          <xsd:enumeration value="Form"/>
          <xsd:enumeration value="ICE Signed Memo"/>
          <xsd:enumeration value="Incoming"/>
          <xsd:enumeration value="Interim"/>
          <xsd:enumeration value="Issue Paper"/>
          <xsd:enumeration value="Other"/>
          <xsd:enumeration value="Prior Background"/>
          <xsd:enumeration value="Prior Draft"/>
          <xsd:enumeration value="Prior Final"/>
          <xsd:enumeration value="Signed Response"/>
          <xsd:enumeration value="Unsigned Response"/>
          <xsd:enumeration value="REGS"/>
          <xsd:enumeration value="Report"/>
          <xsd:enumeration value="Workflow Print Summary"/>
        </xsd:restriction>
      </xsd:simpleType>
    </xsd:element>
    <xsd:element name="EntityID" ma:index="13" nillable="true" ma:displayName="EntityID" ma:internalName="EntityID">
      <xsd:simpleType>
        <xsd:restriction base="dms:Text">
          <xsd:maxLength value="255"/>
        </xsd:restriction>
      </xsd:simpleType>
    </xsd:element>
    <xsd:element name="CRMETC" ma:index="14" nillable="true" ma:displayName="CRMETC" ma:internalName="CRMETC">
      <xsd:simpleType>
        <xsd:restriction base="dms:Text">
          <xsd:maxLength value="255"/>
        </xsd:restriction>
      </xsd:simpleType>
    </xsd:element>
    <xsd:element name="WorkPackageNumber" ma:index="15" nillable="true" ma:displayName="Work Package Number" ma:indexed="true" ma:internalName="WorkPackageNumbe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613a474f-d4cb-4257-88ce-b32d5df6d23a}" ma:internalName="TaxCatchAll" ma:showField="CatchAllData" ma:web="b7d83571-66ee-4710-af81-61464f714a57">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613a474f-d4cb-4257-88ce-b32d5df6d23a}" ma:internalName="TaxCatchAllLabel" ma:readOnly="true" ma:showField="CatchAllDataLabel" ma:web="b7d83571-66ee-4710-af81-61464f714a5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215e349-3441-430e-a4a0-d0effb7189a9" elementFormDefault="qualified">
    <xsd:import namespace="http://schemas.microsoft.com/office/2006/documentManagement/types"/>
    <xsd:import namespace="http://schemas.microsoft.com/office/infopath/2007/PartnerControls"/>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OCR" ma:index="18" nillable="true" ma:displayName="MediaServiceOCR"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MediaServiceLocation" ma:internalName="MediaServiceLocation" ma:readOnly="true">
      <xsd:simpleType>
        <xsd:restriction base="dms:Text"/>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83571-66ee-4710-af81-61464f714a57" elementFormDefault="qualified">
    <xsd:import namespace="http://schemas.microsoft.com/office/2006/documentManagement/types"/>
    <xsd:import namespace="http://schemas.microsoft.com/office/infopath/2007/PartnerControls"/>
    <xsd:element name="ICATT_x0020_Doc_x0020_Sequence_x0020_Number" ma:index="21" nillable="true" ma:displayName="ICATT Doc Sequence Number" ma:decimals="0" ma:description="an integer that is sequenced per upload in a document set" ma:internalName="ICATT_x0020_Doc_x0020_Sequence_x0020_Number">
      <xsd:simpleType>
        <xsd:restriction base="dms:Number"/>
      </xsd:simpleType>
    </xsd:element>
    <xsd:element name="ICATTDocID" ma:index="22" nillable="true" ma:displayName="ICATTDocID" ma:description="An identifier for documents in document sets which uses naming convention of Work Package-sequence number" ma:indexed="true" ma:internalName="ICATTDocID">
      <xsd:simpleType>
        <xsd:restriction base="dms:Text">
          <xsd:maxLength value="255"/>
        </xsd:restriction>
      </xsd:simple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EntityID xmlns="dc279a15-f8dd-4f17-bd43-06c7d75c5e4f">b473c1ae-535f-ec11-8f8e-001dd802330d</EntityID>
    <Document_x0020_Date xmlns="dc279a15-f8dd-4f17-bd43-06c7d75c5e4f" xsi:nil="true"/>
    <CRMETC xmlns="dc279a15-f8dd-4f17-bd43-06c7d75c5e4f">10020</CRMETC>
    <ICATTDocID xmlns="b7d83571-66ee-4710-af81-61464f714a57">21-12036-1</ICATTDocID>
    <WorkPackageNumber xmlns="dc279a15-f8dd-4f17-bd43-06c7d75c5e4f">21-12036</WorkPackageNumber>
    <ICATT_x0020_Doc_x0020_Sequence_x0020_Number xmlns="b7d83571-66ee-4710-af81-61464f714a57">1</ICATT_x0020_Doc_x0020_Sequence_x0020_Number>
    <Document_x0020_Subject xmlns="dc279a15-f8dd-4f17-bd43-06c7d75c5e4f" xsi:nil="true"/>
    <Document_x0020_Type xmlns="dc279a15-f8dd-4f17-bd43-06c7d75c5e4f">Admin Closeout</Document_x0020_Type>
    <TaxCatchAll xmlns="9225b539-7b15-42b2-871d-c20cb6e17ae7" xsi:nil="true"/>
  </documentManagement>
</p:properties>
</file>

<file path=customXml/itemProps1.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2.xml><?xml version="1.0" encoding="utf-8"?>
<ds:datastoreItem xmlns:ds="http://schemas.openxmlformats.org/officeDocument/2006/customXml" ds:itemID="{DFBE834D-5F0D-43AC-A810-BE67A03608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279a15-f8dd-4f17-bd43-06c7d75c5e4f"/>
    <ds:schemaRef ds:uri="9225b539-7b15-42b2-871d-c20cb6e17ae7"/>
    <ds:schemaRef ds:uri="2215e349-3441-430e-a4a0-d0effb7189a9"/>
    <ds:schemaRef ds:uri="b7d83571-66ee-4710-af81-61464f714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A08AC0-783C-4C1B-927A-AB27E36B29B1}">
  <ds:schemaRefs>
    <ds:schemaRef ds:uri="http://purl.org/dc/elements/1.1/"/>
    <ds:schemaRef ds:uri="4fb1db5d-19c2-4c8a-82e5-c8fdf1b06038"/>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dc279a15-f8dd-4f17-bd43-06c7d75c5e4f"/>
    <ds:schemaRef ds:uri="b7d83571-66ee-4710-af81-61464f714a57"/>
    <ds:schemaRef ds:uri="9225b539-7b15-42b2-871d-c20cb6e17a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Header</vt:lpstr>
      <vt:lpstr>ATD FY22 YTD</vt:lpstr>
      <vt:lpstr>Detention FY22</vt:lpstr>
      <vt:lpstr> ICLOS and Detainees</vt:lpstr>
      <vt:lpstr>Facilities FY22 YTD</vt:lpstr>
      <vt:lpstr>Trans. Detainee Pop. FY22 YTD </vt:lpstr>
      <vt:lpstr>Footnotes</vt:lpstr>
      <vt:lpstr>'Detention FY22'!Print_Area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Tyler M (CTR)</dc:creator>
  <cp:lastModifiedBy>WASHINGTON, REGINA  S</cp:lastModifiedBy>
  <cp:lastPrinted>2020-02-10T19:14:43Z</cp:lastPrinted>
  <dcterms:created xsi:type="dcterms:W3CDTF">2020-01-31T18:40:16Z</dcterms:created>
  <dcterms:modified xsi:type="dcterms:W3CDTF">2021-12-17T16:34:10Z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0x010100DC44E6E3EBA67847A4953316DE6DDB2F001C48BBFD449B8943A3905CD2663DE443</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ies>
</file>