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fileSharing readOnlyRecommended="1"/>
  <workbookPr defaultThemeVersion="166925"/>
  <mc:AlternateContent xmlns:mc="http://schemas.openxmlformats.org/markup-compatibility/2006">
    <mc:Choice Requires="x15">
      <x15ac:absPath xmlns:x15ac="http://schemas.microsoft.com/office/spreadsheetml/2010/11/ac" url="https://icegov-my.sharepoint.com/personal/0409776322_ice_dhs_gov/Documents/Documents/"/>
    </mc:Choice>
  </mc:AlternateContent>
  <xr:revisionPtr revIDLastSave="0" documentId="8_{0DAD6BF0-6E6D-4C63-BD7A-37FBAD68D179}" xr6:coauthVersionLast="45" xr6:coauthVersionMax="45" xr10:uidLastSave="{00000000-0000-0000-0000-000000000000}"/>
  <bookViews>
    <workbookView xWindow="3075" yWindow="3075" windowWidth="28800" windowHeight="11385" tabRatio="668" activeTab="4" xr2:uid="{00000000-000D-0000-FFFF-FFFF00000000}"/>
  </bookViews>
  <sheets>
    <sheet name="Header" sheetId="9" r:id="rId1"/>
    <sheet name="ATD FY21 YTD" sheetId="15" r:id="rId2"/>
    <sheet name="Detention FY21 YTD" sheetId="3" r:id="rId3"/>
    <sheet name="Facilities FY21 YTD" sheetId="16" r:id="rId4"/>
    <sheet name="Footnotes" sheetId="4" r:id="rId5"/>
  </sheets>
  <definedNames>
    <definedName name="_xlnm.Print_Area" localSheetId="2">'Detention FY21 YTD'!$A$1:$V$110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9" i="3" l="1"/>
  <c r="I42" i="3" l="1"/>
  <c r="H42" i="3"/>
  <c r="G42" i="3"/>
  <c r="F42" i="3"/>
  <c r="E42" i="3"/>
  <c r="D42" i="3"/>
  <c r="I41" i="3"/>
  <c r="H41" i="3"/>
  <c r="G41" i="3"/>
  <c r="F41" i="3"/>
  <c r="E41" i="3"/>
  <c r="D41" i="3"/>
  <c r="I40" i="3"/>
  <c r="H40" i="3"/>
  <c r="G40" i="3"/>
  <c r="F40" i="3"/>
  <c r="E40" i="3"/>
  <c r="D40" i="3"/>
  <c r="I39" i="3"/>
  <c r="G39" i="3"/>
  <c r="F39" i="3"/>
  <c r="E39" i="3"/>
  <c r="D39" i="3"/>
  <c r="H39" i="3"/>
  <c r="O38" i="3" l="1"/>
  <c r="O42" i="3" l="1"/>
  <c r="O41" i="3"/>
  <c r="O40" i="3"/>
  <c r="O39" i="3" s="1"/>
  <c r="C42" i="3"/>
  <c r="C41" i="3"/>
  <c r="C40" i="3"/>
  <c r="E23" i="3" l="1"/>
  <c r="E22" i="3"/>
  <c r="E21" i="3"/>
  <c r="E20" i="3"/>
  <c r="C23" i="3" l="1"/>
  <c r="C22" i="3"/>
  <c r="C21" i="3"/>
  <c r="C20" i="3"/>
</calcChain>
</file>

<file path=xl/sharedStrings.xml><?xml version="1.0" encoding="utf-8"?>
<sst xmlns="http://schemas.openxmlformats.org/spreadsheetml/2006/main" count="2396" uniqueCount="850">
  <si>
    <t>Other</t>
  </si>
  <si>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</si>
  <si>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</si>
  <si>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</si>
  <si>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</si>
  <si>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</si>
  <si>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</si>
  <si>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</si>
  <si>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</si>
  <si>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</si>
  <si>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</si>
  <si>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</si>
  <si>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</si>
  <si>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</si>
  <si>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</si>
  <si>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</si>
  <si>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 PALMA CORRECTIONAL CENTER</t>
  </si>
  <si>
    <t>LAREDO PROCESSING CENTER</t>
  </si>
  <si>
    <t>GLADES COUNTY DETENTION CENTER</t>
  </si>
  <si>
    <t>SOUTH TEXAS ICE PROCESSING CENTER</t>
  </si>
  <si>
    <t>SHERBURNE COUNTY JAIL</t>
  </si>
  <si>
    <t>MONROE COUNTY DETENTION-DORM</t>
  </si>
  <si>
    <t>ELIZABETH</t>
  </si>
  <si>
    <t>TR</t>
  </si>
  <si>
    <t>KARNES COUNTY RESIDENTIAL CENTER</t>
  </si>
  <si>
    <t>WEBB COUNTY DETENTION CENTER (CCA)</t>
  </si>
  <si>
    <t>ADAMS COUNTY DET CENTER</t>
  </si>
  <si>
    <t>HAMILTON</t>
  </si>
  <si>
    <t>ORANGE COUNTY JAIL</t>
  </si>
  <si>
    <t>MA</t>
  </si>
  <si>
    <t>MIA</t>
  </si>
  <si>
    <t>ALEXANDRIA</t>
  </si>
  <si>
    <t>NEVADA SOUTHERN DETENTION CENTER</t>
  </si>
  <si>
    <t>OKMULGEE COUNTY JAIL</t>
  </si>
  <si>
    <t>ELOY</t>
  </si>
  <si>
    <t>TAYLOR</t>
  </si>
  <si>
    <t>CHI</t>
  </si>
  <si>
    <t>EDEN</t>
  </si>
  <si>
    <t>MD</t>
  </si>
  <si>
    <t>PINE PRAIRIE ICE PROCESSING CENTER</t>
  </si>
  <si>
    <t>IRWIN COUNTY DETENTION CENTER</t>
  </si>
  <si>
    <t>ALVARADO</t>
  </si>
  <si>
    <t>AURORA</t>
  </si>
  <si>
    <t>GEAUGA COUNTY JAIL</t>
  </si>
  <si>
    <t>AL</t>
  </si>
  <si>
    <t>HENDERSON</t>
  </si>
  <si>
    <t>GUAYNABO MDC (SAN JUAN)</t>
  </si>
  <si>
    <t>BERGEN COUNTY JAIL</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</si>
  <si>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</si>
  <si>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</si>
  <si>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</si>
  <si>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</si>
  <si>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</si>
  <si>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</si>
  <si>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</si>
  <si>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</si>
  <si>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</si>
  <si>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</si>
  <si>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</si>
  <si>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</si>
  <si>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</si>
  <si>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</si>
  <si>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</si>
  <si>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</si>
  <si>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</si>
  <si>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</si>
  <si>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</si>
  <si>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</si>
  <si>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Convicted Criminal</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</si>
  <si>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</si>
  <si>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</si>
  <si>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</si>
  <si>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</si>
  <si>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</si>
  <si>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</si>
  <si>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</si>
  <si>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</si>
  <si>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</si>
  <si>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</si>
  <si>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</si>
  <si>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</si>
  <si>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</si>
  <si>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</si>
  <si>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</si>
  <si>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</si>
  <si>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</si>
  <si>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</si>
  <si>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</si>
  <si>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</si>
  <si>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</si>
  <si>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</si>
  <si>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</si>
  <si>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</si>
  <si>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</si>
  <si>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</si>
  <si>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</si>
  <si>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</si>
  <si>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</si>
  <si>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</si>
  <si>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</si>
  <si>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Pending Criminal Charges</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</si>
  <si>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</si>
  <si>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</si>
  <si>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</si>
  <si>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</si>
  <si>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</si>
  <si>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</si>
  <si>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</si>
  <si>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</si>
  <si>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</si>
  <si>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</si>
  <si>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</si>
  <si>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</si>
  <si>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</si>
  <si>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</si>
  <si>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</si>
  <si>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</si>
  <si>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</si>
  <si>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</si>
  <si>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</si>
  <si>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</si>
  <si>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Detention Facility Type</t>
  </si>
  <si>
    <t>Total Detained</t>
  </si>
  <si>
    <t>FRC</t>
  </si>
  <si>
    <t>Adult</t>
  </si>
  <si>
    <t>ICE Release Fiscal Year</t>
  </si>
  <si>
    <t>Criminality</t>
  </si>
  <si>
    <t>Percent ICE</t>
  </si>
  <si>
    <t>Percent CBP</t>
  </si>
  <si>
    <t>Other Immigration Violator</t>
  </si>
  <si>
    <t>Expedited Removal (I-860)</t>
  </si>
  <si>
    <t>Notice to Appear (I-862)</t>
  </si>
  <si>
    <t>Reinstatement of Deport Order (I-871)</t>
  </si>
  <si>
    <t>Agency</t>
  </si>
  <si>
    <t>Oct</t>
  </si>
  <si>
    <t>Nov</t>
  </si>
  <si>
    <t>Dec</t>
  </si>
  <si>
    <t>Jan</t>
  </si>
  <si>
    <t>Feb</t>
  </si>
  <si>
    <t>Mar</t>
  </si>
  <si>
    <t>Apr</t>
  </si>
  <si>
    <t>May</t>
  </si>
  <si>
    <t>Jun</t>
  </si>
  <si>
    <t>Removals</t>
  </si>
  <si>
    <t>Jul</t>
  </si>
  <si>
    <t>Aug</t>
  </si>
  <si>
    <t>Sep</t>
  </si>
  <si>
    <t>Release Reason</t>
  </si>
  <si>
    <t>Facility Type</t>
  </si>
  <si>
    <t>CBP Average</t>
  </si>
  <si>
    <t xml:space="preserve">ICE Average  </t>
  </si>
  <si>
    <t xml:space="preserve">Average </t>
  </si>
  <si>
    <t>FY Overall</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</si>
  <si>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</si>
  <si>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</si>
  <si>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</si>
  <si>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</si>
  <si>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</si>
  <si>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</si>
  <si>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</si>
  <si>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</si>
  <si>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</si>
  <si>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</si>
  <si>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</si>
  <si>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</si>
  <si>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</si>
  <si>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</si>
  <si>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</si>
  <si>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</si>
  <si>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</si>
  <si>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</si>
  <si>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</si>
  <si>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</si>
  <si>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</si>
  <si>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</si>
  <si>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</si>
  <si>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</si>
  <si>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</si>
  <si>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</si>
  <si>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Second to Last Inspection Rating</t>
  </si>
  <si>
    <t>10250 RANCHO ROAD</t>
  </si>
  <si>
    <t>ADELANTO</t>
  </si>
  <si>
    <t>CA</t>
  </si>
  <si>
    <t>LOS</t>
  </si>
  <si>
    <t>DIGSA</t>
  </si>
  <si>
    <t>Female/Male</t>
  </si>
  <si>
    <t>Regular</t>
  </si>
  <si>
    <t>PBNDS 2011</t>
  </si>
  <si>
    <t>Meets Standard</t>
  </si>
  <si>
    <t>Pending</t>
  </si>
  <si>
    <t>STEWART DETENTION CENTER</t>
  </si>
  <si>
    <t>146 CCA ROAD</t>
  </si>
  <si>
    <t>LUMPKIN</t>
  </si>
  <si>
    <t>GA</t>
  </si>
  <si>
    <t>ATL</t>
  </si>
  <si>
    <t>566 VETERANS DRIVE</t>
  </si>
  <si>
    <t>PEARSALL</t>
  </si>
  <si>
    <t>TX</t>
  </si>
  <si>
    <t>SNA</t>
  </si>
  <si>
    <t>CDF</t>
  </si>
  <si>
    <t>SOUTH TEXAS FAMILY RESIDENTIAL CENTER</t>
  </si>
  <si>
    <t>DILLEY</t>
  </si>
  <si>
    <t>FAMILY</t>
  </si>
  <si>
    <t>JFRMU Family</t>
  </si>
  <si>
    <t>WINN CORRECTIONAL CENTER</t>
  </si>
  <si>
    <t>560 GUM SPRING ROAD</t>
  </si>
  <si>
    <t>WINNFIELD</t>
  </si>
  <si>
    <t>LA</t>
  </si>
  <si>
    <t>NOL</t>
  </si>
  <si>
    <t>IGSA</t>
  </si>
  <si>
    <t>N/A</t>
  </si>
  <si>
    <t>5501 NORTH LA PALMA ROAD</t>
  </si>
  <si>
    <t>AZ</t>
  </si>
  <si>
    <t>PHO</t>
  </si>
  <si>
    <t>LASALLE ICE PROCESSING CENTER (JENA)</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</si>
  <si>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</si>
  <si>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</si>
  <si>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</si>
  <si>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</si>
  <si>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</si>
  <si>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</si>
  <si>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</si>
  <si>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</si>
  <si>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</si>
  <si>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</si>
  <si>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</si>
  <si>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</si>
  <si>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</si>
  <si>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</si>
  <si>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</si>
  <si>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</si>
  <si>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</si>
  <si>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</si>
  <si>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</si>
  <si>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</si>
  <si>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</si>
  <si>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</si>
  <si>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</si>
  <si>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</si>
  <si>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</si>
  <si>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</si>
  <si>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</si>
  <si>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</si>
  <si>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</si>
  <si>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</si>
  <si>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</si>
  <si>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</si>
  <si>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</si>
  <si>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11/7/2019</t>
  </si>
  <si>
    <t>1800 INDUSTRIAL DRIVE</t>
  </si>
  <si>
    <t>RAYMONDVILLE</t>
  </si>
  <si>
    <t>10/24/2019</t>
  </si>
  <si>
    <t>132 COTTON DRIVE</t>
  </si>
  <si>
    <t>OCILLA</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</si>
  <si>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</si>
  <si>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</si>
  <si>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</si>
  <si>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</si>
  <si>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</si>
  <si>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</si>
  <si>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</si>
  <si>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</si>
  <si>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</si>
  <si>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</si>
  <si>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</si>
  <si>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</si>
  <si>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</si>
  <si>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</si>
  <si>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</si>
  <si>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</si>
  <si>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</si>
  <si>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</si>
  <si>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</si>
  <si>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ESSEX COUNTY CORRECTIONAL FACILITY</t>
  </si>
  <si>
    <t>354 DOREMUS AVENUE</t>
  </si>
  <si>
    <t>NEWARK</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</si>
  <si>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</si>
  <si>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</si>
  <si>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</si>
  <si>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</si>
  <si>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</si>
  <si>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</si>
  <si>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</si>
  <si>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</si>
  <si>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</si>
  <si>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</si>
  <si>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</si>
  <si>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</si>
  <si>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</si>
  <si>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</si>
  <si>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</si>
  <si>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</si>
  <si>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</si>
  <si>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</si>
  <si>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</si>
  <si>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Superior</t>
  </si>
  <si>
    <t>YORK COUNTY PRISON</t>
  </si>
  <si>
    <t>3400 CONCORD ROAD</t>
  </si>
  <si>
    <t>YORK</t>
  </si>
  <si>
    <t>PA</t>
  </si>
  <si>
    <t>PHI</t>
  </si>
  <si>
    <t>1001 WELCH STREET</t>
  </si>
  <si>
    <t>LA PALMA CORRECTION CENTER - APSO</t>
  </si>
  <si>
    <t>New Facility</t>
  </si>
  <si>
    <t>BUFFALO (BATAVIA) SERVICE PROCESSING CENTER</t>
  </si>
  <si>
    <t>4250 FEDERAL DRIVE</t>
  </si>
  <si>
    <t>BATAVIA</t>
  </si>
  <si>
    <t>NY</t>
  </si>
  <si>
    <t>BUF</t>
  </si>
  <si>
    <t>1297 EAST SR 78</t>
  </si>
  <si>
    <t>MOORE HAVEN</t>
  </si>
  <si>
    <t>Acceptable</t>
  </si>
  <si>
    <t>1001 SAN RIO BOULEVARD</t>
  </si>
  <si>
    <t>LAREDO</t>
  </si>
  <si>
    <t>RIVER CORRECTIONAL CENTER</t>
  </si>
  <si>
    <t>26362 HIGHWAY 15</t>
  </si>
  <si>
    <t>FERRIDAY</t>
  </si>
  <si>
    <t>TAR Assigned</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</si>
  <si>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</si>
  <si>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</si>
  <si>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</si>
  <si>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</si>
  <si>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</si>
  <si>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</si>
  <si>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</si>
  <si>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</si>
  <si>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</si>
  <si>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</si>
  <si>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</si>
  <si>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LIMESTONE COUNTY DETENTION CENTER</t>
  </si>
  <si>
    <t>910 NORTH TYUS STREET</t>
  </si>
  <si>
    <t>GROESBECK</t>
  </si>
  <si>
    <t>Special Review - Pre-Occupancy</t>
  </si>
  <si>
    <t>PLYMOUTH COUNTY CORRECTIONAL FACILITY</t>
  </si>
  <si>
    <t>26 LONG POND ROAD</t>
  </si>
  <si>
    <t>PLYMOUTH</t>
  </si>
  <si>
    <t>BOS</t>
  </si>
  <si>
    <t>13880 BUSINESS CENTER DRIVE</t>
  </si>
  <si>
    <t>ELK RIVER</t>
  </si>
  <si>
    <t>MN</t>
  </si>
  <si>
    <t>SPM</t>
  </si>
  <si>
    <t>HUDSON COUNTY CORRECTIONAL CENTER</t>
  </si>
  <si>
    <t>30-35 HACKENSACK AVE.</t>
  </si>
  <si>
    <t>KEARNY</t>
  </si>
  <si>
    <t>NYC</t>
  </si>
  <si>
    <t>TORRANCE COUNTY DETENTION FACILITY</t>
  </si>
  <si>
    <t>209 COUNTY ROAD 49</t>
  </si>
  <si>
    <t>ESTANCIA</t>
  </si>
  <si>
    <t>96 GEORGE THOMPSON DRIVE</t>
  </si>
  <si>
    <t>STAGING</t>
  </si>
  <si>
    <t>CAROLINE DETENTION FACILITY</t>
  </si>
  <si>
    <t>11093 S.W. LEWIS MEMORIAL DRIVE</t>
  </si>
  <si>
    <t>BOWLING GREEN</t>
  </si>
  <si>
    <t>5/2/2019</t>
  </si>
  <si>
    <t>BAKER COUNTY SHERIFF'S OFFICE</t>
  </si>
  <si>
    <t>1 SHERIFF OFFICE DRIVE</t>
  </si>
  <si>
    <t>MACCLENNY</t>
  </si>
  <si>
    <t>MCHENRY COUNTY CORRECTIONAL FACILITY</t>
  </si>
  <si>
    <t>2200 NORTH SEMINARY AVENUE</t>
  </si>
  <si>
    <t>WOODSTOCK</t>
  </si>
  <si>
    <t>IL</t>
  </si>
  <si>
    <t>4702 EAST SAUNDERS STREET</t>
  </si>
  <si>
    <t>ETOWAH COUNTY JAIL (ALABAMA)</t>
  </si>
  <si>
    <t>827 FORREST AVENUE</t>
  </si>
  <si>
    <t>GADSDEN</t>
  </si>
  <si>
    <t>7/18/2019</t>
  </si>
  <si>
    <t>ELIZABETH CONTRACT DETENTION FACILITY</t>
  </si>
  <si>
    <t>625 EVANS STREET</t>
  </si>
  <si>
    <t>314 W. 7TH STREET</t>
  </si>
  <si>
    <t>OKMULGEE</t>
  </si>
  <si>
    <t>OK</t>
  </si>
  <si>
    <t>DENVER CONTRACT DETENTION FACILITY (CDF) II</t>
  </si>
  <si>
    <t>11901 E. 30th AVE</t>
  </si>
  <si>
    <t>160 SOUTH RIVER STREET</t>
  </si>
  <si>
    <t>HACKENSACK</t>
  </si>
  <si>
    <t>HENDERSON DETENTION CENTER</t>
  </si>
  <si>
    <t>18 E BASIC ROAD</t>
  </si>
  <si>
    <t>NV</t>
  </si>
  <si>
    <t>SLC</t>
  </si>
  <si>
    <t>PIKE COUNTY CORRECTIONAL FACILITY</t>
  </si>
  <si>
    <t>175 PIKE COUNTY BOULEVARD</t>
  </si>
  <si>
    <t>LORDS VALLEY</t>
  </si>
  <si>
    <t>2190 EAST MESQUITE AVENUE</t>
  </si>
  <si>
    <t>PAHRUMP</t>
  </si>
  <si>
    <t>KARNES CITY</t>
  </si>
  <si>
    <t>YUBA COUNTY JAIL</t>
  </si>
  <si>
    <t>215 5TH STREET</t>
  </si>
  <si>
    <t>MARYSVILLE</t>
  </si>
  <si>
    <t>JOHNSON COUNTY CORRECTIONS CENTER</t>
  </si>
  <si>
    <t>1800 RIDGEMAR DRIVE</t>
  </si>
  <si>
    <t>CLEBURNE</t>
  </si>
  <si>
    <t>BRISTOL COUNTY DETENTION CENTER</t>
  </si>
  <si>
    <t>400 FAUNCE CORNER ROAD</t>
  </si>
  <si>
    <t>NORTH DARTMOUTH</t>
  </si>
  <si>
    <t>OH</t>
  </si>
  <si>
    <t>DET</t>
  </si>
  <si>
    <t>PULASKI COUNTY JAIL</t>
  </si>
  <si>
    <t>1026 SHAWNEE COLLEGE ROAD</t>
  </si>
  <si>
    <t>ULLIN</t>
  </si>
  <si>
    <t>WI</t>
  </si>
  <si>
    <t>CALHOUN COUNTY CORRECTIONAL CENTER</t>
  </si>
  <si>
    <t>185 EAST MICHIGAN AVENUE</t>
  </si>
  <si>
    <t>BATTLE CREEK</t>
  </si>
  <si>
    <t>MI</t>
  </si>
  <si>
    <t>WORCESTER COUNTY JAIL</t>
  </si>
  <si>
    <t>5022 JOYNER ROAD</t>
  </si>
  <si>
    <t>SNOW HILL</t>
  </si>
  <si>
    <t>BAL</t>
  </si>
  <si>
    <t>BLUEBONNET DETENTION FACILITY</t>
  </si>
  <si>
    <t>400 2ND STREET</t>
  </si>
  <si>
    <t>ANSON</t>
  </si>
  <si>
    <t>KANKAKEE COUNTY JAIL (JEROME COMBS DET CTR)</t>
  </si>
  <si>
    <t>3050 JUSTICE WAY</t>
  </si>
  <si>
    <t>KANKAKEE</t>
  </si>
  <si>
    <t>BOONE COUNTY JAIL</t>
  </si>
  <si>
    <t>3020 CONRAD LANE</t>
  </si>
  <si>
    <t>BURLINGTON</t>
  </si>
  <si>
    <t>KY</t>
  </si>
  <si>
    <t>BUTLER COUNTY JAIL</t>
  </si>
  <si>
    <t>705 HANOVER STREET</t>
  </si>
  <si>
    <t>DODGE COUNTY JAIL</t>
  </si>
  <si>
    <t>215 WEST CENTRAL STREET</t>
  </si>
  <si>
    <t>JUNEAU</t>
  </si>
  <si>
    <t>110 WELLS FARM ROAD</t>
  </si>
  <si>
    <t>GOSHEN</t>
  </si>
  <si>
    <t>7340 HIGHWAY 26 WEST</t>
  </si>
  <si>
    <t>OBERLIN</t>
  </si>
  <si>
    <t>12/5/2019</t>
  </si>
  <si>
    <t>WYATT DETENTION CENTER</t>
  </si>
  <si>
    <t>950 HIGH STREET</t>
  </si>
  <si>
    <t>CENTRAL FALLS</t>
  </si>
  <si>
    <t>RI</t>
  </si>
  <si>
    <t>9998 SOUTH HIGHWAY 83</t>
  </si>
  <si>
    <t>KAY COUNTY JUSTICE FACILITY</t>
  </si>
  <si>
    <t>1101 WEST DRY ROAD</t>
  </si>
  <si>
    <t>NEWKIRK</t>
  </si>
  <si>
    <t>WAKULLA COUNTY JAIL</t>
  </si>
  <si>
    <t>15 OAK STREET</t>
  </si>
  <si>
    <t>CRAWFORDVILLE</t>
  </si>
  <si>
    <t>ROLLING PLAINS DETENTION CENTER</t>
  </si>
  <si>
    <t>118 COUNTY ROAD 206</t>
  </si>
  <si>
    <t>HASKELL</t>
  </si>
  <si>
    <t>STRAFFORD COUNTY CORRECTIONS</t>
  </si>
  <si>
    <t>266 COUNTY FARM ROAD</t>
  </si>
  <si>
    <t>DOVER</t>
  </si>
  <si>
    <t>NH</t>
  </si>
  <si>
    <t>8/1/2019</t>
  </si>
  <si>
    <t>NYE COUNTY DETENTION CENTER, SOUTHERN (PAHRUMP)</t>
  </si>
  <si>
    <t>1520 E. BASIN ROAD</t>
  </si>
  <si>
    <t>HALL COUNTY DEPARTMENT OF CORRECTIONS</t>
  </si>
  <si>
    <t>110 PUBLIC SAFETY DRIVE</t>
  </si>
  <si>
    <t>GRAND ISLAND</t>
  </si>
  <si>
    <t>NE</t>
  </si>
  <si>
    <t>7/11/2019</t>
  </si>
  <si>
    <t>7000 EAST DUNBAR ROAD</t>
  </si>
  <si>
    <t>MONROE</t>
  </si>
  <si>
    <t>CHASE COUNTY DETENTION FACILITY</t>
  </si>
  <si>
    <t>301 SOUTH WALNUT STREET</t>
  </si>
  <si>
    <t>COTTONWOOD FALLS</t>
  </si>
  <si>
    <t>KS</t>
  </si>
  <si>
    <t>CLINTON COUNTY CORRECTIONAL FACILITY</t>
  </si>
  <si>
    <t>419 SHOEMAKER ROAD</t>
  </si>
  <si>
    <t>LOCK HAVEN</t>
  </si>
  <si>
    <t>HOWARD COUNTY DETENTION CENTER</t>
  </si>
  <si>
    <t>7301 WATERLOO ROAD</t>
  </si>
  <si>
    <t>JESSUP</t>
  </si>
  <si>
    <t>Does Not Meet Standards</t>
  </si>
  <si>
    <t>HARDIN COUNTY JAIL</t>
  </si>
  <si>
    <t>1116 14TH AVENUE</t>
  </si>
  <si>
    <t>ELDORA</t>
  </si>
  <si>
    <t>IA</t>
  </si>
  <si>
    <t>SAINT CLAIR COUNTY JAIL</t>
  </si>
  <si>
    <t>1170 MICHIGAN ROAD</t>
  </si>
  <si>
    <t>PORT HURON</t>
  </si>
  <si>
    <t>3040 SOUTH STATE HIGHWAY 100</t>
  </si>
  <si>
    <t>TIFFIN</t>
  </si>
  <si>
    <t>Deficient</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</si>
  <si>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</si>
  <si>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</si>
  <si>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</si>
  <si>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</si>
  <si>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</si>
  <si>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</si>
  <si>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</si>
  <si>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</si>
  <si>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</si>
  <si>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</si>
  <si>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</si>
  <si>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</si>
  <si>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</si>
  <si>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</si>
  <si>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CAMBRIA COUNTY JAIL</t>
  </si>
  <si>
    <t>425 MANOR DRIVE</t>
  </si>
  <si>
    <t>EBENSBURG</t>
  </si>
  <si>
    <t>HONOLULU FEDERAL DETENTION CENTER</t>
  </si>
  <si>
    <t>351 ELLIOTT ST.</t>
  </si>
  <si>
    <t>HONOLULU</t>
  </si>
  <si>
    <t>HI</t>
  </si>
  <si>
    <t>BOP</t>
  </si>
  <si>
    <t>POLK COUNTY JAIL</t>
  </si>
  <si>
    <t>1985 NE 51ST PLACE</t>
  </si>
  <si>
    <t>DES MOINES</t>
  </si>
  <si>
    <t>CHIPPEWA COUNTY SSM</t>
  </si>
  <si>
    <t>325 COURT STREET</t>
  </si>
  <si>
    <t>SAULT SAINTE MARIE</t>
  </si>
  <si>
    <t>ROBERT A. DEYTON DETENTION FACILITY</t>
  </si>
  <si>
    <t>11866 HASTINGS BRIDGE RD</t>
  </si>
  <si>
    <t>LOVEJOY</t>
  </si>
  <si>
    <t>FRANKLIN COUNTY HOUSE OF CORRECTION</t>
  </si>
  <si>
    <t>160 ELM STREET</t>
  </si>
  <si>
    <t>GREENFIELD</t>
  </si>
  <si>
    <t>TELLER COUNTY JAIL</t>
  </si>
  <si>
    <t>288 WEAVERVILLE ROAD</t>
  </si>
  <si>
    <t>DIVIDE</t>
  </si>
  <si>
    <t>ORSA</t>
  </si>
  <si>
    <t>CACHE COUNTY JAIL</t>
  </si>
  <si>
    <t>50 WEST 200 NORTH</t>
  </si>
  <si>
    <t>LOGAN</t>
  </si>
  <si>
    <t>UT</t>
  </si>
  <si>
    <t>11/8/2018</t>
  </si>
  <si>
    <t>CARVER COUNTY JAIL</t>
  </si>
  <si>
    <t>600 EAST FOURTH ST.</t>
  </si>
  <si>
    <t>CHASKA</t>
  </si>
  <si>
    <t>WASHOE COUNTY JAIL</t>
  </si>
  <si>
    <t>911 PARR BOULEVARD</t>
  </si>
  <si>
    <t>RENO</t>
  </si>
  <si>
    <t>DOUGLAS COUNTY DEPARTMENT OF CORRECTIONS</t>
  </si>
  <si>
    <t>710 SOUTH 17TH ST</t>
  </si>
  <si>
    <t>OMAHA</t>
  </si>
  <si>
    <t>CBP CHULA VISTA BPS</t>
  </si>
  <si>
    <t>311 ATHEY AVE</t>
  </si>
  <si>
    <t>HWY 28 INTSECT OF ROAD 165</t>
  </si>
  <si>
    <t>SAN JUAN</t>
  </si>
  <si>
    <t>PR</t>
  </si>
  <si>
    <t>5/8/2008</t>
  </si>
  <si>
    <t>SAIPAN DEPARTMENT OF CORRECTIONS (SUSUPE)</t>
  </si>
  <si>
    <t>TEKKEN ST., SUSUPE VILLAGE</t>
  </si>
  <si>
    <t>SAIPAN</t>
  </si>
  <si>
    <t>MP</t>
  </si>
  <si>
    <t>TROY</t>
  </si>
  <si>
    <t xml:space="preserve">DEPARTMENT OF CORRECTIONS HAGATNA </t>
  </si>
  <si>
    <t>203 ASPINALL AVENUE</t>
  </si>
  <si>
    <t>HAGATNA</t>
  </si>
  <si>
    <t>GU</t>
  </si>
  <si>
    <t>PHELPS COUNTY JAIL</t>
  </si>
  <si>
    <t>715 5TH AVENUE</t>
  </si>
  <si>
    <t>HOLDREGE</t>
  </si>
  <si>
    <t>SOUTH CENTRAL REGIONAL JAIL</t>
  </si>
  <si>
    <t>1001 CENTRE WAY</t>
  </si>
  <si>
    <t>CHARLESTON</t>
  </si>
  <si>
    <t>WV</t>
  </si>
  <si>
    <t>8/23/2018</t>
  </si>
  <si>
    <t>BALDWIN COUNTY CORRECTIONAL CENTER</t>
  </si>
  <si>
    <t>200 HAND AVE.</t>
  </si>
  <si>
    <t>BAY MINETTE</t>
  </si>
  <si>
    <t>9/11/2018</t>
  </si>
  <si>
    <t>ID</t>
  </si>
  <si>
    <t>9/17/2018</t>
  </si>
  <si>
    <t>POTTAWATTAMIE COUNTY JAIL</t>
  </si>
  <si>
    <t>1400 BIG LAKE ROAD</t>
  </si>
  <si>
    <t>COUNCIL BLUFFS</t>
  </si>
  <si>
    <t>4/12/2018</t>
  </si>
  <si>
    <t>RENSSELAER COUNTY CORRECTIONAL FACILITY</t>
  </si>
  <si>
    <t>4000 MAIN STREET</t>
  </si>
  <si>
    <t>AR</t>
  </si>
  <si>
    <t>9/18/2018</t>
  </si>
  <si>
    <t>EAST HIDALGO DETENTION CENTER</t>
  </si>
  <si>
    <t>1330 HIGHWAY 107</t>
  </si>
  <si>
    <t>LA VILLA</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</si>
  <si>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</si>
  <si>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</si>
  <si>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</si>
  <si>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</si>
  <si>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</si>
  <si>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</si>
  <si>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</si>
  <si>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</si>
  <si>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</si>
  <si>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</si>
  <si>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</si>
  <si>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</si>
  <si>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Detroit</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</si>
  <si>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</si>
  <si>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</si>
  <si>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</si>
  <si>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</si>
  <si>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</si>
  <si>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</si>
  <si>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</si>
  <si>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</si>
  <si>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</si>
  <si>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</si>
  <si>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</si>
  <si>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</si>
  <si>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</si>
  <si>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</si>
  <si>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</si>
  <si>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</si>
  <si>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</si>
  <si>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</si>
  <si>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</si>
  <si>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</si>
  <si>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 xml:space="preserve">ICE  provides the following Detention and Alternatives to Detention (ATD) statistics, which may be downloaded by clicking below. The data tables are searchable and sortable, and worksheets are protected to ensure their accuracy and reliability. </t>
  </si>
  <si>
    <t>ICE FOOTNOTES</t>
  </si>
  <si>
    <t>Bonded Out</t>
  </si>
  <si>
    <t>Bond Set by ICE</t>
  </si>
  <si>
    <t>Bond Set by IJ</t>
  </si>
  <si>
    <t>Paroled</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</si>
  <si>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</si>
  <si>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</si>
  <si>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</si>
  <si>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</si>
  <si>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</si>
  <si>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</si>
  <si>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</si>
  <si>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</si>
  <si>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</si>
  <si>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</si>
  <si>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</si>
  <si>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</si>
  <si>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</si>
  <si>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</si>
  <si>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FRCs are Family Residential Centers and include the following ICE facilities:  Berks County Family Shelter, Karnes County Residential Center, and South Texas Family Residential Center.</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</si>
  <si>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</si>
  <si>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</si>
  <si>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An alien may have multiple releases; only the most recent release is included in this report.</t>
  </si>
  <si>
    <t>ICE Removal Data Include Returns.  Returns include Voluntary Returns, Voluntary Departures and Withdrawals Under Docket Control.</t>
  </si>
  <si>
    <t>ICE Removals include aliens processed for Expedited Removal (ER) or Voluntary Return (VR) that are turned over to ERO for detention.  Aliens processed for ER and not detained by ERO or VR after June 1st, 2013 and not detained by ERO are primarily processed by Border Patrol.  CBP should be contacted for those statistics.</t>
  </si>
  <si>
    <t>ICE Detention data excludes ORR transfers/facilities, as well as U.S. Marshals Service Prisoners.</t>
  </si>
  <si>
    <t>Processing dispositions of Other may include, but are not limited to, aliens processed under Administrative Removal, Visa Waiver Program Removal, Stowaway or Crewmember.</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</si>
  <si>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</si>
  <si>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</si>
  <si>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</si>
  <si>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</si>
  <si>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Processing Disposition</t>
  </si>
  <si>
    <t>Removals with an FRC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</si>
  <si>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</si>
  <si>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FRCs are Family Residential Centers and include the following ICE facilities: Berks County Family Shelter, Karnes County Residential Center, and South Texas Family Residential Center.</t>
  </si>
  <si>
    <t>Average Time from USCIS Fear Decision Service Date to ICE Release (In Days)</t>
  </si>
  <si>
    <t>ICE Currently Detained Population Breakdown</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</si>
  <si>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</si>
  <si>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</si>
  <si>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Aliens Currently in ICE Detention Facilities and the Average Time from USCIS Fear Decision Service Date to ICE Release include detentions not associated with a removal case.</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</si>
  <si>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</si>
  <si>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Order of Supervision-No SLRFF</t>
  </si>
  <si>
    <t>Washington DC</t>
  </si>
  <si>
    <t xml:space="preserve">ICE  </t>
  </si>
  <si>
    <t>USCIS Average Time from USCIS Fear Decision Service Date to ICE Release (In Days) &amp; Aliens with USCIS-Established Fear Decisions in an ICE Detention Facility</t>
  </si>
  <si>
    <t xml:space="preserve">ICE Currently Detained by Processing Disposition and Detention Facility Type: </t>
  </si>
  <si>
    <t>ICE Currently Detained by Criminality and Arresting Agency</t>
  </si>
  <si>
    <t>Aliens with USCIS-Established Fear Decisions in an ICE Detention Facility by Facility Type</t>
  </si>
  <si>
    <t>ICE DETENTION DATA, FY21 YTD</t>
  </si>
  <si>
    <t>ICE FACILITIES DATA, FY21 YTD</t>
  </si>
  <si>
    <t>FY21 ADP: Detainee Classification Level</t>
  </si>
  <si>
    <t>FY21 ADP: Criminality</t>
  </si>
  <si>
    <t>FY21 ADP: ICE Threat Level</t>
  </si>
  <si>
    <t>FY21 ADP: Mandatory</t>
  </si>
  <si>
    <t>FY21 ALOS</t>
  </si>
  <si>
    <t>FY2021</t>
  </si>
  <si>
    <t>ICE Initial Book-Ins by Arresting Agency and Month: FY2021 YTD</t>
  </si>
  <si>
    <t>ICE Initial Book-Ins by Facility Type and Criminality: FY2021 YTD</t>
  </si>
  <si>
    <t>ICE Final Releases by Facility Type: FY2021 YTD</t>
  </si>
  <si>
    <t>ICE Removals: FY2021 YTD</t>
  </si>
  <si>
    <t>ICE Average Daily Population by Arresting Agency, Month and Criminality: FY2021 YTD</t>
  </si>
  <si>
    <t>ICE Average Length of Stay by Arresting Agency, Month and Criminality: FY2021 YTD</t>
  </si>
  <si>
    <t>ICE Average Daily Population by Facility Type and Month: FY2021 YTD</t>
  </si>
  <si>
    <t>ICE Enforcement and Removal Operations Data, FY2021 YTD</t>
  </si>
  <si>
    <t>ADP by Arresting Agency, Month and Criminality : FY2021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</si>
  <si>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FY2021 ICE Final Releases</t>
  </si>
  <si>
    <t>FY2021 YTD ICE Average Daily Population and ICE Average Length of Stay</t>
  </si>
  <si>
    <t>FY2019 ICE Alternatives to Detention</t>
  </si>
  <si>
    <t>FY2021 YTD ICE Removals</t>
  </si>
  <si>
    <t>FY2021 YTD ICE Initial Book-Ins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</si>
  <si>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</si>
  <si>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</si>
  <si>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</si>
  <si>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</si>
  <si>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Average Length of Stay by Facility Type and Month: FY2021 YTD</t>
  </si>
  <si>
    <t>ATD Active Population by Status, Extended Case Management Service, Count and ALIP, FY21</t>
  </si>
  <si>
    <t>ICE ALTERNATIVES TO DETENTION DATA, FY21</t>
  </si>
  <si>
    <t>OREGON</t>
  </si>
  <si>
    <t>103 JEFFERSON STREET</t>
  </si>
  <si>
    <t>OGLE COUNTY JAIL</t>
  </si>
  <si>
    <t>10/9/2020</t>
  </si>
  <si>
    <t>10/11/2017</t>
  </si>
  <si>
    <t>GUAYNABO</t>
  </si>
  <si>
    <t>651 FEDERAL DRIVE, SUITE 104</t>
  </si>
  <si>
    <t>SAN JUAN STAGING</t>
  </si>
  <si>
    <t>CARROLLTON</t>
  </si>
  <si>
    <t>188 CEMETERY ST</t>
  </si>
  <si>
    <t>PICKENS COUNTY DET CTR</t>
  </si>
  <si>
    <t>10/25/2018</t>
  </si>
  <si>
    <t>PLATTSBURGH</t>
  </si>
  <si>
    <t>25 MCCARTHY DRIVE</t>
  </si>
  <si>
    <t>CLINTON COUNTY JAIL</t>
  </si>
  <si>
    <t>EULESS</t>
  </si>
  <si>
    <t>1102 W. EULESS BLVD.</t>
  </si>
  <si>
    <t>EULESS CITY JAIL</t>
  </si>
  <si>
    <t>10450 RANCHO ROAD</t>
  </si>
  <si>
    <t>DESERT VIEW</t>
  </si>
  <si>
    <t>10/15/2020</t>
  </si>
  <si>
    <t>9/17/2020</t>
  </si>
  <si>
    <t>10/1/2020</t>
  </si>
  <si>
    <t>500 HILBIG RD</t>
  </si>
  <si>
    <t>JOE CORLEY PROCESSING CTR</t>
  </si>
  <si>
    <t>10/21/2020</t>
  </si>
  <si>
    <t>10/14/2020</t>
  </si>
  <si>
    <t>10/8/2020</t>
  </si>
  <si>
    <t>10/7/2020</t>
  </si>
  <si>
    <t>MCFARLAND</t>
  </si>
  <si>
    <t>611 FRONTAGE RD</t>
  </si>
  <si>
    <t>GOLDEN STATE ANNEX</t>
  </si>
  <si>
    <t>409 FM 1144</t>
  </si>
  <si>
    <t>1100 BOWLING ROAD</t>
  </si>
  <si>
    <t>CCA, FLORENCE CORRECTIONAL CENTER</t>
  </si>
  <si>
    <t>10/23/2020</t>
  </si>
  <si>
    <t>3026 HWY 252 EAST</t>
  </si>
  <si>
    <t>FOLKSTON MAIN IPC</t>
  </si>
  <si>
    <t>PBNDS 2011 - 2016 Revisions</t>
  </si>
  <si>
    <t>300 EL RANCHO WAY</t>
  </si>
  <si>
    <t>9/25/2020</t>
  </si>
  <si>
    <t>9/24/2020</t>
  </si>
  <si>
    <t>These statistics are made available to the public pursuant to the Fiscal Year 2021 Department of Homeland Security Appropriations Bill.</t>
  </si>
  <si>
    <t>FRCs are Family Residential Centers and include the following ICE facilities: Karnes County Residential Center and South Texas Family Residential Center.</t>
  </si>
  <si>
    <t>Non-U.S. citizen child or children under the age of 18, accompanied by his/her/their parent(s) or legal guardian(s).
As of 02/26/2021, Berks County Family Shelter is no longer being used as a FRC, however, detentions on or before 02/26 are included in the FRC ALOS</t>
  </si>
  <si>
    <t>USCIS provided data containing APSO (Asylum Pre Screening Officer) cases clocked during FY2019 - FY2021 YTD.  Data were received on 03/30/2021.</t>
  </si>
  <si>
    <t>ICE Final Releases by Release Reason, Month and Criminality: FY2021 YTD</t>
  </si>
  <si>
    <t>FY2021 YTD ICE Detention data are updated through 04/24/2021 (IIDS v.1.34 run date 04/26/2021; EID as of 04/24/2021).</t>
  </si>
  <si>
    <t>FY2021 YTD ICE Final Releases data are updated through 04/24/2021 (IIDS v.1.34 run date 04/26/2021; EID as of 04/24/2021).</t>
  </si>
  <si>
    <t>FY2021 YTD ICE Removals data are updated through 04/24/2021 (IIDS v.1.34 run date 04/26/2021; EID as of 04/24/2021).</t>
  </si>
  <si>
    <t>ICE National Docket data are a snapshot as of 04/24/2021 (IIDS v.1.34 run date 04/26/2021; EID as of 04/24/2021).</t>
  </si>
  <si>
    <t>Aliens Currently in ICE Detention Facilities data are a snapshot as of 04/24/2021 (IIDS v.1.34 run date 04/26/2021; EID as of 04/24/2021).</t>
  </si>
  <si>
    <t>FY2021 YTD ICE Releases data are updated through 04/24/2021 (IIDS v.1.34 run date 04/26/2021; EID as of 04/24/2021).</t>
  </si>
  <si>
    <t>The data provided by USCIS contains multiple records for some Alien File Numbers. There are 177,047 unique fear determinations and 1,565 of those have multiple records in the data provided by USCIS. The Alien File Numbers with multiple USCIS records are treated as follows: 
• If an Alien File Number is associated with both positive and negative fear screening determinations, only positive fear screening determinations are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</si>
  <si>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Of the 177,047 records in the USCIS provided data the breakdown of the fear screening determinations is as follows; 97,928 positive fear screening determinations, 44,067 negative fear screening determinations and 35,052 without an identified determination. Of the 97,928 with positive fear screening determinations; 64,412 have Persecution Claim Established and 33,516 have Torture Claim Established.</t>
  </si>
  <si>
    <t>Active ATD Participants and Average Length in Program, FY21,  as of 4/24/2021, by AOR and Technology</t>
  </si>
  <si>
    <t>Data from OBP Report, 03.31.2021</t>
  </si>
  <si>
    <t>Data from BI Inc. Participants Report, 04.24.2021</t>
  </si>
  <si>
    <t>WY</t>
  </si>
  <si>
    <t>CASPER</t>
  </si>
  <si>
    <t>1100 BRUCE LANE</t>
  </si>
  <si>
    <t>NATRONA COUNTY JAIL</t>
  </si>
  <si>
    <t>10/16/2018</t>
  </si>
  <si>
    <t>DALTON</t>
  </si>
  <si>
    <t>805 PROFESSIONAL BLVD</t>
  </si>
  <si>
    <t>WHITFIELD COUNTY JAIL</t>
  </si>
  <si>
    <t>5/17/2018</t>
  </si>
  <si>
    <t>ND</t>
  </si>
  <si>
    <t>GRAND FORKS</t>
  </si>
  <si>
    <t>1701 NORTH WASHINGTON ST</t>
  </si>
  <si>
    <t>GRAND FORKS COUNTY CORRECTIONAL FACILITY</t>
  </si>
  <si>
    <t>1940 AIRWAY BLVD</t>
  </si>
  <si>
    <t>COMFORT INN &amp; SUITES - EL PASO</t>
  </si>
  <si>
    <t>27991 BUENA VISTA BLVD</t>
  </si>
  <si>
    <t>RIO GRANDE VALLEY STAGING</t>
  </si>
  <si>
    <t>3/24/2021</t>
  </si>
  <si>
    <t>NDS 2019</t>
  </si>
  <si>
    <t>CAMBRIDGE</t>
  </si>
  <si>
    <t>829 FIELDCREST ROAD</t>
  </si>
  <si>
    <t>DORCHESTER COUNTY DETENTION CENTER</t>
  </si>
  <si>
    <t>SD</t>
  </si>
  <si>
    <t>ELK POINT</t>
  </si>
  <si>
    <t>BOX 117</t>
  </si>
  <si>
    <t>UNION COUNTY JAIL</t>
  </si>
  <si>
    <t>FT. WAYNE</t>
  </si>
  <si>
    <t>417 S. CALHOUN</t>
  </si>
  <si>
    <t>ALLEN COUNTY JAIL</t>
  </si>
  <si>
    <t>2/5/2009</t>
  </si>
  <si>
    <t>WACO</t>
  </si>
  <si>
    <t>501 WASHINGTON AVENUE</t>
  </si>
  <si>
    <t>MCCLELLAN COUNTY JAIL</t>
  </si>
  <si>
    <t>HIDALGO</t>
  </si>
  <si>
    <t>2520 N 10TH ST</t>
  </si>
  <si>
    <t>SUPER 8 BY WYNDHAM</t>
  </si>
  <si>
    <t>FAYETTEVILLE</t>
  </si>
  <si>
    <t>1155 WEST CLYDESDALE DRIVE</t>
  </si>
  <si>
    <t>WASHINGTON COUNTY DETENTION CENTER</t>
  </si>
  <si>
    <t>9/19/2019</t>
  </si>
  <si>
    <t>DEL RIO</t>
  </si>
  <si>
    <t>253 FARM TO MARKET 2523</t>
  </si>
  <si>
    <t>VAL VERDE CORRECTIONAL FACILITY</t>
  </si>
  <si>
    <t>6/14/2014</t>
  </si>
  <si>
    <t>ROCK SPRINGS</t>
  </si>
  <si>
    <t>50140 UNITED STATES HIGHWAY 191 SOUTH</t>
  </si>
  <si>
    <t>SWEETWATER COUNTY JAIL</t>
  </si>
  <si>
    <t>8/14/2018</t>
  </si>
  <si>
    <t>LEXINGTON</t>
  </si>
  <si>
    <t>600 OLD FRANKFORD CR</t>
  </si>
  <si>
    <t>FAYETTE COUNTY DETENTION CENTER</t>
  </si>
  <si>
    <t>9/21/2018</t>
  </si>
  <si>
    <t>CLEARWATER</t>
  </si>
  <si>
    <t>14400 49TH STREET NORTH</t>
  </si>
  <si>
    <t>PINELLAS COUNTY JAIL</t>
  </si>
  <si>
    <t>BURLEY</t>
  </si>
  <si>
    <t>1415 ALBION AVENUE</t>
  </si>
  <si>
    <t>MINICASSIA DETENTION CENTER</t>
  </si>
  <si>
    <t>6655 GATEWAY BLVD W.</t>
  </si>
  <si>
    <t>BEST WESTERN PLUS EL PASO AIRPORT HOTEL &amp; CONFEREN</t>
  </si>
  <si>
    <t>PHOENIX</t>
  </si>
  <si>
    <t>15221 S  50TH ST</t>
  </si>
  <si>
    <t>HOLIDAY INN EXPR &amp; STES PHO/CHNDLR</t>
  </si>
  <si>
    <t>9/15/2018</t>
  </si>
  <si>
    <t>HURRICANE</t>
  </si>
  <si>
    <t>750 SOUTH 5300 WEST</t>
  </si>
  <si>
    <t>WASHINGTON COUNTY JAIL (PURGATORY CORRECTIONAL FAC</t>
  </si>
  <si>
    <t>3/31/2021</t>
  </si>
  <si>
    <t>12/30/2020</t>
  </si>
  <si>
    <t>PREA A</t>
  </si>
  <si>
    <t>12/9/2020</t>
  </si>
  <si>
    <t>12/17/2020</t>
  </si>
  <si>
    <t>11/18/2020</t>
  </si>
  <si>
    <t>2/3/2021</t>
  </si>
  <si>
    <t>12/10/2020</t>
  </si>
  <si>
    <t>1/13/2021</t>
  </si>
  <si>
    <t>12/18/2020</t>
  </si>
  <si>
    <t>4/8/2021</t>
  </si>
  <si>
    <t>4/7/2021</t>
  </si>
  <si>
    <t>11/11/2020</t>
  </si>
  <si>
    <t>1/29/2021</t>
  </si>
  <si>
    <t>10/28/2020</t>
  </si>
  <si>
    <t>Overcome by Events</t>
  </si>
  <si>
    <t>1/27/2021</t>
  </si>
  <si>
    <t>4/16/2021</t>
  </si>
  <si>
    <t>11/25/2020</t>
  </si>
  <si>
    <t>3/3/2021</t>
  </si>
  <si>
    <t>1/21/2021</t>
  </si>
  <si>
    <t>11/4/2020</t>
  </si>
  <si>
    <t>4/14/2021</t>
  </si>
  <si>
    <t>T. DON HUTTO DETENTION CENTER</t>
  </si>
  <si>
    <t>11/19/2020</t>
  </si>
  <si>
    <t>3/17/2021</t>
  </si>
  <si>
    <t>3/12/2021</t>
  </si>
  <si>
    <t>11/6/2020</t>
  </si>
  <si>
    <t>12/3/2020</t>
  </si>
  <si>
    <t>1/6/2021</t>
  </si>
  <si>
    <t>2/24/2021</t>
  </si>
  <si>
    <t>12/11/2020</t>
  </si>
  <si>
    <t>11/20/2020</t>
  </si>
  <si>
    <t>1/15/2021</t>
  </si>
  <si>
    <t>3/10/2021</t>
  </si>
  <si>
    <t>11/5/2020</t>
  </si>
  <si>
    <t>JONESBORO</t>
  </si>
  <si>
    <t>327 INDUSTRIAL DRIVE</t>
  </si>
  <si>
    <t>JACKSON PARISH CORRECTIONAL CENTER</t>
  </si>
  <si>
    <t>3/11/2021</t>
  </si>
  <si>
    <t>2/10/2021</t>
  </si>
  <si>
    <t>12/16/2020</t>
  </si>
  <si>
    <t>2/5/2021</t>
  </si>
  <si>
    <t>2/26/2021</t>
  </si>
  <si>
    <t>Source: ICE Integrated Decision Support (IIDS), 04/19/2021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</si>
</sst>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0"/>
    <numFmt numFmtId="166" formatCode="00000"/>
    <numFmt numFmtId="167" formatCode="_(* #,##0.0_);_(* \(#,##0.0\);_(* &quot;-&quot;_);_(@_)"/>
    <numFmt numFmtId="168" formatCode="#,##0.0"/>
  </numFmts>
  <fonts count="36" x14ac:knownFonts="1">
    <font>
      <sz val="11"/>
      <color theme="1"/>
      <name val="Calibri"/>
      <family val="2"/>
      <scheme val="minor"/>
    </font>
    <font>
      <sz val="11"/>
      <color theme="1"/>
      <name val="Calibri"/>
      <family val="2"/>
      <scheme val="minor"/>
    </font>
    <font>
      <sz val="9"/>
      <color theme="1"/>
      <name val="Calibri"/>
      <family val="2"/>
      <scheme val="minor"/>
    </font>
    <font>
      <b/>
      <sz val="9"/>
      <color theme="1"/>
      <name val="Times New Roman"/>
      <family val="1"/>
    </font>
    <font>
      <b/>
      <sz val="9"/>
      <color theme="0"/>
      <name val="Times New Roman"/>
      <family val="1"/>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sz val="10"/>
      <color indexed="72"/>
      <name val="Arial"/>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8"/>
      <color theme="3" tint="-0.499984740745262"/>
      <name val="Calibri"/>
      <family val="2"/>
      <scheme val="minor"/>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b/>
      <i/>
      <sz val="9"/>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s>
  <cellStyleXfs count="6">
    <xf numFmtId="0" fontId="0" fillId="0" borderId="0"/>
    <xf numFmtId="43" fontId="1" fillId="0" borderId="0" applyFont="0" applyFill="0" applyBorder="0" applyAlignment="0" applyProtection="0"/>
    <xf numFmtId="0" fontId="5" fillId="0" borderId="0"/>
    <xf numFmtId="0" fontId="6" fillId="0" borderId="0"/>
    <xf numFmtId="0" fontId="12" fillId="0" borderId="0"/>
    <xf numFmtId="9" fontId="1" fillId="0" borderId="0" applyFont="0" applyFill="0" applyBorder="0" applyAlignment="0" applyProtection="0"/>
  </cellStyleXfs>
  <cellXfs count="315">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wrapText="1"/>
    </xf>
    <xf numFmtId="0" fontId="3" fillId="2" borderId="0" xfId="0" applyFont="1" applyFill="1" applyBorder="1" applyAlignment="1">
      <alignment horizontal="center"/>
    </xf>
    <xf numFmtId="0" fontId="2" fillId="2" borderId="0" xfId="0" applyFont="1" applyFill="1" applyBorder="1"/>
    <xf numFmtId="0" fontId="2" fillId="0" borderId="0" xfId="0" applyFont="1" applyBorder="1"/>
    <xf numFmtId="0" fontId="0" fillId="0" borderId="0" xfId="0" applyAlignment="1">
      <alignment horizontal="left" vertical="top"/>
    </xf>
    <xf numFmtId="0" fontId="2" fillId="2" borderId="0" xfId="0" applyFont="1" applyFill="1"/>
    <xf numFmtId="0" fontId="2" fillId="2" borderId="0" xfId="0" applyFont="1" applyFill="1" applyAlignment="1">
      <alignment wrapText="1"/>
    </xf>
    <xf numFmtId="0" fontId="4" fillId="2" borderId="0" xfId="0" applyFont="1" applyFill="1" applyAlignment="1"/>
    <xf numFmtId="0" fontId="6" fillId="0" borderId="0" xfId="4" applyFont="1" applyAlignment="1">
      <alignment horizontal="left" vertical="center"/>
    </xf>
    <xf numFmtId="0" fontId="9" fillId="3" borderId="9" xfId="4" applyFont="1" applyFill="1" applyBorder="1" applyAlignment="1">
      <alignment vertical="top" wrapText="1"/>
    </xf>
    <xf numFmtId="0" fontId="14" fillId="4" borderId="18" xfId="0" applyFont="1" applyFill="1" applyBorder="1" applyAlignment="1">
      <alignment horizontal="left" wrapText="1"/>
    </xf>
    <xf numFmtId="0" fontId="14" fillId="4" borderId="19" xfId="0" applyFont="1" applyFill="1" applyBorder="1" applyAlignment="1">
      <alignment horizontal="left" wrapText="1"/>
    </xf>
    <xf numFmtId="166" fontId="14" fillId="4" borderId="19" xfId="0" applyNumberFormat="1" applyFont="1" applyFill="1" applyBorder="1" applyAlignment="1">
      <alignment horizontal="left" wrapText="1"/>
    </xf>
    <xf numFmtId="0" fontId="14" fillId="4" borderId="20" xfId="0" applyFont="1" applyFill="1" applyBorder="1" applyAlignment="1">
      <alignment horizontal="left" wrapText="1"/>
    </xf>
    <xf numFmtId="0" fontId="14" fillId="4" borderId="1" xfId="0" applyFont="1" applyFill="1" applyBorder="1" applyAlignment="1">
      <alignment horizontal="left" wrapText="1"/>
    </xf>
    <xf numFmtId="0" fontId="14" fillId="4" borderId="1" xfId="4" applyFont="1" applyFill="1" applyBorder="1" applyAlignment="1">
      <alignment horizontal="left" wrapText="1"/>
    </xf>
    <xf numFmtId="3" fontId="14" fillId="4" borderId="21" xfId="0" applyNumberFormat="1" applyFont="1" applyFill="1" applyBorder="1" applyAlignment="1">
      <alignment horizontal="left" wrapText="1"/>
    </xf>
    <xf numFmtId="3" fontId="14" fillId="4" borderId="19" xfId="0" applyNumberFormat="1" applyFont="1" applyFill="1" applyBorder="1" applyAlignment="1">
      <alignment horizontal="left" wrapText="1"/>
    </xf>
    <xf numFmtId="3" fontId="14" fillId="4" borderId="20" xfId="0" applyNumberFormat="1" applyFont="1" applyFill="1" applyBorder="1" applyAlignment="1">
      <alignment horizontal="left" wrapText="1"/>
    </xf>
    <xf numFmtId="3" fontId="14" fillId="4" borderId="1" xfId="0" applyNumberFormat="1" applyFont="1" applyFill="1" applyBorder="1" applyAlignment="1">
      <alignment horizontal="left" wrapText="1"/>
    </xf>
    <xf numFmtId="0" fontId="15" fillId="0" borderId="5" xfId="0" applyFont="1" applyBorder="1" applyAlignment="1">
      <alignment vertical="center"/>
    </xf>
    <xf numFmtId="0" fontId="15" fillId="0" borderId="1" xfId="0" applyFont="1" applyBorder="1" applyAlignment="1">
      <alignment vertical="center"/>
    </xf>
    <xf numFmtId="3" fontId="15" fillId="0" borderId="1" xfId="1" applyNumberFormat="1" applyFont="1" applyBorder="1" applyAlignment="1">
      <alignment vertical="center"/>
    </xf>
    <xf numFmtId="3" fontId="15"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0" fontId="8" fillId="0" borderId="1" xfId="0" applyFont="1" applyBorder="1" applyAlignment="1">
      <alignment horizontal="right" vertical="center"/>
    </xf>
    <xf numFmtId="166" fontId="15" fillId="0" borderId="1" xfId="0" applyNumberFormat="1" applyFont="1" applyBorder="1" applyAlignment="1">
      <alignment vertical="center"/>
    </xf>
    <xf numFmtId="0" fontId="8" fillId="0" borderId="1" xfId="0" applyFont="1" applyBorder="1" applyAlignment="1">
      <alignment horizontal="left" vertical="center"/>
    </xf>
    <xf numFmtId="0" fontId="7" fillId="6" borderId="0" xfId="3" applyFont="1" applyFill="1" applyAlignment="1">
      <alignment vertical="center" wrapText="1"/>
    </xf>
    <xf numFmtId="3" fontId="14" fillId="4" borderId="3" xfId="0" applyNumberFormat="1" applyFont="1" applyFill="1" applyBorder="1" applyAlignment="1">
      <alignment horizontal="left" wrapText="1"/>
    </xf>
    <xf numFmtId="3" fontId="9" fillId="3" borderId="0" xfId="1" applyNumberFormat="1" applyFont="1" applyFill="1" applyBorder="1" applyAlignment="1">
      <alignment vertical="top" wrapText="1"/>
    </xf>
    <xf numFmtId="0" fontId="7" fillId="6" borderId="0" xfId="3" applyFont="1" applyFill="1" applyBorder="1" applyAlignment="1">
      <alignment vertical="center" wrapText="1"/>
    </xf>
    <xf numFmtId="0" fontId="14" fillId="4" borderId="20" xfId="4" applyFont="1" applyFill="1" applyBorder="1" applyAlignment="1">
      <alignment horizontal="left" wrapText="1"/>
    </xf>
    <xf numFmtId="14" fontId="15" fillId="0" borderId="12" xfId="0" applyNumberFormat="1" applyFont="1" applyBorder="1" applyAlignment="1">
      <alignment vertical="center"/>
    </xf>
    <xf numFmtId="14" fontId="8" fillId="0" borderId="12" xfId="0" applyNumberFormat="1" applyFont="1" applyBorder="1" applyAlignment="1">
      <alignment horizontal="right" vertical="center"/>
    </xf>
    <xf numFmtId="0" fontId="7" fillId="6" borderId="0" xfId="3" applyFont="1" applyFill="1" applyAlignment="1">
      <alignment horizontal="left" vertical="center" wrapText="1"/>
    </xf>
    <xf numFmtId="0" fontId="19" fillId="3" borderId="10" xfId="0" applyFont="1" applyFill="1" applyBorder="1" applyAlignment="1">
      <alignment horizontal="center" vertical="center" wrapText="1"/>
    </xf>
    <xf numFmtId="0" fontId="2" fillId="5" borderId="4" xfId="0" applyFont="1" applyFill="1" applyBorder="1"/>
    <xf numFmtId="164" fontId="2" fillId="2" borderId="3" xfId="1" applyNumberFormat="1" applyFont="1" applyFill="1" applyBorder="1" applyAlignment="1">
      <alignment horizontal="left"/>
    </xf>
    <xf numFmtId="0" fontId="11" fillId="2"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Alignment="1">
      <alignment horizontal="center"/>
    </xf>
    <xf numFmtId="165" fontId="2" fillId="2" borderId="1" xfId="1" applyNumberFormat="1" applyFont="1" applyFill="1" applyBorder="1"/>
    <xf numFmtId="164" fontId="2" fillId="2" borderId="0" xfId="1" applyNumberFormat="1" applyFont="1" applyFill="1" applyBorder="1" applyAlignment="1">
      <alignment horizontal="left"/>
    </xf>
    <xf numFmtId="0" fontId="11" fillId="2" borderId="0" xfId="0" applyFont="1" applyFill="1" applyAlignment="1">
      <alignment horizontal="center" wrapText="1"/>
    </xf>
    <xf numFmtId="0" fontId="11" fillId="2" borderId="8" xfId="0" applyFont="1" applyFill="1" applyBorder="1" applyAlignment="1">
      <alignment horizontal="center"/>
    </xf>
    <xf numFmtId="0" fontId="11" fillId="0" borderId="0" xfId="0" applyFont="1" applyAlignment="1">
      <alignment horizontal="center"/>
    </xf>
    <xf numFmtId="0" fontId="11" fillId="2" borderId="0" xfId="0" applyFont="1" applyFill="1" applyBorder="1" applyAlignment="1">
      <alignment horizontal="center"/>
    </xf>
    <xf numFmtId="0" fontId="11" fillId="0" borderId="0" xfId="0" applyFont="1"/>
    <xf numFmtId="0" fontId="0" fillId="0" borderId="0" xfId="0" applyFont="1"/>
    <xf numFmtId="0" fontId="21" fillId="3" borderId="9" xfId="4" applyFont="1" applyFill="1" applyBorder="1" applyAlignment="1">
      <alignment vertical="top" wrapText="1"/>
    </xf>
    <xf numFmtId="0" fontId="22" fillId="3" borderId="7" xfId="4" applyFont="1" applyFill="1" applyBorder="1" applyAlignment="1">
      <alignment horizontal="left" vertical="top" wrapText="1"/>
    </xf>
    <xf numFmtId="0" fontId="24" fillId="6" borderId="0" xfId="3" applyFont="1" applyFill="1" applyAlignment="1">
      <alignment vertical="center" wrapText="1"/>
    </xf>
    <xf numFmtId="0" fontId="17" fillId="0" borderId="1" xfId="0" applyFont="1" applyBorder="1" applyAlignment="1">
      <alignment vertical="center"/>
    </xf>
    <xf numFmtId="0" fontId="16" fillId="7" borderId="1" xfId="0" applyFont="1" applyFill="1" applyBorder="1" applyAlignment="1">
      <alignment vertical="center"/>
    </xf>
    <xf numFmtId="3" fontId="17" fillId="0" borderId="1" xfId="0" applyNumberFormat="1" applyFont="1" applyBorder="1" applyAlignment="1">
      <alignment vertical="center"/>
    </xf>
    <xf numFmtId="3" fontId="16" fillId="7" borderId="1" xfId="0" applyNumberFormat="1" applyFont="1" applyFill="1" applyBorder="1" applyAlignment="1">
      <alignment vertical="center"/>
    </xf>
    <xf numFmtId="0" fontId="18" fillId="8" borderId="1" xfId="0" applyFont="1" applyFill="1" applyBorder="1" applyAlignment="1">
      <alignment vertical="center"/>
    </xf>
    <xf numFmtId="0" fontId="23" fillId="6" borderId="11" xfId="3" applyFont="1" applyFill="1" applyBorder="1" applyAlignment="1">
      <alignment vertical="center" wrapText="1"/>
    </xf>
    <xf numFmtId="0" fontId="29" fillId="6" borderId="6" xfId="3" applyFont="1" applyFill="1" applyBorder="1" applyAlignment="1">
      <alignment vertical="center" wrapText="1"/>
    </xf>
    <xf numFmtId="0" fontId="7" fillId="5" borderId="0" xfId="3" applyFont="1" applyFill="1" applyAlignment="1">
      <alignment vertical="center" wrapText="1"/>
    </xf>
    <xf numFmtId="0" fontId="28" fillId="5" borderId="0" xfId="2" applyFont="1" applyFill="1" applyAlignment="1">
      <alignment vertical="top"/>
    </xf>
    <xf numFmtId="0" fontId="23" fillId="6" borderId="0" xfId="3" applyFont="1" applyFill="1" applyAlignment="1">
      <alignment vertical="center" wrapText="1"/>
    </xf>
    <xf numFmtId="0" fontId="23" fillId="6" borderId="0" xfId="3" applyFont="1" applyFill="1" applyBorder="1" applyAlignment="1">
      <alignment vertical="center" wrapText="1"/>
    </xf>
    <xf numFmtId="0" fontId="7" fillId="5" borderId="0" xfId="3" applyFont="1" applyFill="1" applyBorder="1" applyAlignment="1">
      <alignment vertical="center" wrapText="1"/>
    </xf>
    <xf numFmtId="0" fontId="0" fillId="2" borderId="0" xfId="0" applyFill="1"/>
    <xf numFmtId="0" fontId="28" fillId="2" borderId="0" xfId="2" applyFont="1" applyFill="1" applyAlignment="1">
      <alignment vertical="top"/>
    </xf>
    <xf numFmtId="0" fontId="31" fillId="3" borderId="23" xfId="0" applyFont="1" applyFill="1" applyBorder="1" applyAlignment="1">
      <alignment horizontal="center" vertical="center" wrapText="1"/>
    </xf>
    <xf numFmtId="0" fontId="31" fillId="3" borderId="24" xfId="0" applyFont="1" applyFill="1" applyBorder="1" applyAlignment="1">
      <alignment horizontal="center" vertical="center" wrapText="1"/>
    </xf>
    <xf numFmtId="0" fontId="32" fillId="4" borderId="25" xfId="0" applyFont="1" applyFill="1" applyBorder="1"/>
    <xf numFmtId="41" fontId="33" fillId="4" borderId="4" xfId="0" applyNumberFormat="1" applyFont="1" applyFill="1" applyBorder="1" applyAlignment="1">
      <alignment horizontal="center"/>
    </xf>
    <xf numFmtId="167" fontId="33" fillId="4" borderId="4" xfId="0" applyNumberFormat="1" applyFont="1" applyFill="1" applyBorder="1" applyAlignment="1">
      <alignment horizontal="center"/>
    </xf>
    <xf numFmtId="0" fontId="32" fillId="9" borderId="1" xfId="0" applyFont="1" applyFill="1" applyBorder="1" applyAlignment="1">
      <alignment vertical="center"/>
    </xf>
    <xf numFmtId="3" fontId="32" fillId="9" borderId="1" xfId="0" applyNumberFormat="1" applyFont="1" applyFill="1" applyBorder="1" applyAlignment="1">
      <alignment vertical="center"/>
    </xf>
    <xf numFmtId="168" fontId="32" fillId="9" borderId="1" xfId="0" applyNumberFormat="1" applyFont="1" applyFill="1" applyBorder="1" applyAlignment="1">
      <alignment vertical="center"/>
    </xf>
    <xf numFmtId="0" fontId="8" fillId="0" borderId="1" xfId="0" applyFont="1" applyBorder="1" applyAlignment="1">
      <alignment horizontal="left" indent="1"/>
    </xf>
    <xf numFmtId="3" fontId="8" fillId="0" borderId="1" xfId="0" applyNumberFormat="1" applyFont="1" applyBorder="1"/>
    <xf numFmtId="168" fontId="8" fillId="0" borderId="1" xfId="0" applyNumberFormat="1" applyFont="1" applyBorder="1"/>
    <xf numFmtId="0" fontId="7" fillId="2" borderId="0" xfId="3" applyFont="1" applyFill="1" applyAlignment="1">
      <alignment vertical="center" wrapText="1"/>
    </xf>
    <xf numFmtId="164" fontId="2" fillId="2" borderId="1" xfId="1" applyNumberFormat="1" applyFont="1" applyFill="1" applyBorder="1" applyAlignment="1">
      <alignment horizontal="left"/>
    </xf>
    <xf numFmtId="0" fontId="11" fillId="2" borderId="0" xfId="0" applyFont="1" applyFill="1" applyBorder="1" applyAlignment="1">
      <alignment vertical="center" wrapText="1"/>
    </xf>
    <xf numFmtId="0" fontId="19" fillId="3" borderId="1" xfId="0" applyFont="1" applyFill="1" applyBorder="1" applyAlignment="1">
      <alignment horizontal="center" vertical="center" wrapText="1"/>
    </xf>
    <xf numFmtId="0" fontId="11" fillId="2" borderId="0" xfId="0" applyFont="1" applyFill="1" applyBorder="1" applyAlignment="1">
      <alignment horizontal="center" vertical="center" wrapText="1"/>
    </xf>
    <xf numFmtId="0" fontId="11" fillId="2" borderId="0" xfId="0" applyFont="1" applyFill="1" applyBorder="1" applyAlignment="1">
      <alignment horizontal="left" vertical="center" wrapText="1"/>
    </xf>
    <xf numFmtId="0" fontId="2" fillId="2" borderId="0" xfId="0" applyFont="1" applyFill="1" applyAlignment="1">
      <alignment horizontal="left"/>
    </xf>
    <xf numFmtId="0" fontId="11" fillId="2" borderId="0" xfId="0" applyFont="1" applyFill="1" applyAlignment="1">
      <alignment horizontal="left"/>
    </xf>
    <xf numFmtId="0" fontId="2" fillId="2" borderId="0" xfId="0" applyFont="1" applyFill="1" applyBorder="1" applyAlignment="1"/>
    <xf numFmtId="0" fontId="2" fillId="2" borderId="0" xfId="0" applyFont="1" applyFill="1" applyAlignment="1"/>
    <xf numFmtId="0" fontId="11" fillId="2" borderId="8" xfId="0" applyFont="1" applyFill="1" applyBorder="1" applyAlignment="1"/>
    <xf numFmtId="0" fontId="11" fillId="2" borderId="0" xfId="0" applyFont="1" applyFill="1" applyAlignment="1"/>
    <xf numFmtId="165" fontId="2" fillId="2" borderId="0" xfId="1" applyNumberFormat="1" applyFont="1" applyFill="1" applyBorder="1"/>
    <xf numFmtId="165" fontId="19" fillId="3" borderId="1" xfId="0" applyNumberFormat="1" applyFont="1" applyFill="1" applyBorder="1" applyAlignment="1">
      <alignment horizontal="center" vertical="center" wrapText="1"/>
    </xf>
    <xf numFmtId="164" fontId="2" fillId="2" borderId="1" xfId="1" applyNumberFormat="1" applyFont="1" applyFill="1" applyBorder="1" applyAlignment="1"/>
    <xf numFmtId="164" fontId="2" fillId="2" borderId="1" xfId="1" applyNumberFormat="1" applyFont="1" applyFill="1" applyBorder="1" applyAlignment="1">
      <alignment horizontal="center"/>
    </xf>
    <xf numFmtId="0" fontId="11" fillId="0" borderId="0" xfId="0" applyFont="1" applyBorder="1" applyAlignment="1">
      <alignment horizontal="center"/>
    </xf>
    <xf numFmtId="0" fontId="11" fillId="2" borderId="7" xfId="0" applyFont="1" applyFill="1" applyBorder="1" applyAlignment="1">
      <alignment horizontal="center" vertical="center"/>
    </xf>
    <xf numFmtId="0" fontId="2" fillId="2" borderId="0" xfId="0" applyFont="1" applyFill="1" applyBorder="1" applyAlignment="1">
      <alignment horizontal="left"/>
    </xf>
    <xf numFmtId="0" fontId="2" fillId="5" borderId="25" xfId="0" applyFont="1" applyFill="1" applyBorder="1"/>
    <xf numFmtId="164" fontId="2" fillId="2" borderId="2" xfId="1" applyNumberFormat="1" applyFont="1" applyFill="1" applyBorder="1" applyAlignment="1">
      <alignment horizontal="left"/>
    </xf>
    <xf numFmtId="164" fontId="2" fillId="2" borderId="5" xfId="1" applyNumberFormat="1" applyFont="1" applyFill="1" applyBorder="1" applyAlignment="1">
      <alignment horizontal="left"/>
    </xf>
    <xf numFmtId="164" fontId="2" fillId="2" borderId="7" xfId="1" applyNumberFormat="1" applyFont="1" applyFill="1" applyBorder="1" applyAlignment="1">
      <alignment horizontal="left"/>
    </xf>
    <xf numFmtId="0" fontId="2" fillId="2" borderId="0" xfId="0" applyFont="1" applyFill="1" applyBorder="1" applyAlignment="1">
      <alignment wrapText="1"/>
    </xf>
    <xf numFmtId="0" fontId="2" fillId="0" borderId="7" xfId="0" applyFont="1" applyBorder="1"/>
    <xf numFmtId="0" fontId="11" fillId="0" borderId="8" xfId="0" applyFont="1" applyBorder="1" applyAlignment="1">
      <alignment horizontal="center"/>
    </xf>
    <xf numFmtId="0" fontId="19" fillId="3" borderId="5" xfId="0" applyFont="1" applyFill="1" applyBorder="1" applyAlignment="1">
      <alignment horizontal="center" vertical="center" wrapText="1"/>
    </xf>
    <xf numFmtId="0" fontId="2" fillId="5" borderId="5" xfId="0" applyFont="1" applyFill="1" applyBorder="1"/>
    <xf numFmtId="164" fontId="2" fillId="2" borderId="2" xfId="1" applyNumberFormat="1" applyFont="1" applyFill="1" applyBorder="1" applyAlignment="1">
      <alignment horizontal="right"/>
    </xf>
    <xf numFmtId="164" fontId="2" fillId="2" borderId="5" xfId="1" applyNumberFormat="1" applyFont="1" applyFill="1" applyBorder="1" applyAlignment="1">
      <alignment horizontal="right"/>
    </xf>
    <xf numFmtId="0" fontId="19" fillId="3" borderId="1" xfId="0" applyFont="1" applyFill="1" applyBorder="1" applyAlignment="1">
      <alignment horizontal="center" vertical="center" wrapText="1"/>
    </xf>
    <xf numFmtId="164" fontId="2" fillId="5" borderId="4" xfId="1" applyNumberFormat="1"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9" fontId="2" fillId="2" borderId="3" xfId="5" applyFont="1" applyFill="1" applyBorder="1" applyAlignment="1">
      <alignment horizontal="right"/>
    </xf>
    <xf numFmtId="9" fontId="2" fillId="2" borderId="1" xfId="5" applyFont="1" applyFill="1" applyBorder="1" applyAlignment="1">
      <alignment horizontal="right"/>
    </xf>
    <xf numFmtId="9" fontId="2" fillId="5" borderId="4" xfId="5" applyFont="1" applyFill="1" applyBorder="1"/>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41" fontId="2" fillId="2" borderId="30" xfId="1" applyNumberFormat="1" applyFont="1" applyFill="1" applyBorder="1" applyAlignment="1">
      <alignment horizontal="left"/>
    </xf>
    <xf numFmtId="41" fontId="2" fillId="5" borderId="33" xfId="1" applyNumberFormat="1" applyFont="1" applyFill="1" applyBorder="1"/>
    <xf numFmtId="164" fontId="2" fillId="5" borderId="4" xfId="1" applyNumberFormat="1" applyFont="1" applyFill="1" applyBorder="1"/>
    <xf numFmtId="164" fontId="2" fillId="2" borderId="1" xfId="1" applyNumberFormat="1" applyFont="1" applyFill="1" applyBorder="1" applyAlignment="1">
      <alignment horizontal="left"/>
    </xf>
    <xf numFmtId="41" fontId="2" fillId="5" borderId="4" xfId="0" applyNumberFormat="1" applyFont="1" applyFill="1" applyBorder="1"/>
    <xf numFmtId="164" fontId="2" fillId="5" borderId="4" xfId="1" applyNumberFormat="1" applyFont="1" applyFill="1" applyBorder="1"/>
    <xf numFmtId="41" fontId="2" fillId="5" borderId="4" xfId="0" applyNumberFormat="1" applyFont="1" applyFill="1" applyBorder="1"/>
    <xf numFmtId="41" fontId="2" fillId="2" borderId="1" xfId="1" applyNumberFormat="1" applyFont="1" applyFill="1" applyBorder="1" applyAlignment="1">
      <alignment horizontal="left"/>
    </xf>
    <xf numFmtId="41" fontId="2" fillId="5" borderId="1" xfId="1" applyNumberFormat="1" applyFont="1" applyFill="1" applyBorder="1"/>
    <xf numFmtId="41" fontId="2" fillId="5" borderId="1" xfId="0" applyNumberFormat="1" applyFont="1" applyFill="1" applyBorder="1"/>
    <xf numFmtId="167" fontId="2" fillId="5" borderId="1" xfId="1" applyNumberFormat="1" applyFont="1" applyFill="1" applyBorder="1"/>
    <xf numFmtId="167" fontId="2" fillId="5" borderId="1" xfId="0" applyNumberFormat="1" applyFont="1" applyFill="1" applyBorder="1"/>
    <xf numFmtId="167" fontId="2" fillId="2" borderId="1" xfId="1" applyNumberFormat="1" applyFont="1" applyFill="1" applyBorder="1" applyAlignment="1">
      <alignment horizontal="left"/>
    </xf>
    <xf numFmtId="41" fontId="2" fillId="5" borderId="4" xfId="1" applyNumberFormat="1" applyFont="1" applyFill="1" applyBorder="1"/>
    <xf numFmtId="41" fontId="2" fillId="5" borderId="4" xfId="0" applyNumberFormat="1" applyFont="1" applyFill="1" applyBorder="1"/>
    <xf numFmtId="41" fontId="2" fillId="2" borderId="3" xfId="1" applyNumberFormat="1" applyFont="1" applyFill="1" applyBorder="1" applyAlignment="1">
      <alignment horizontal="left"/>
    </xf>
    <xf numFmtId="41" fontId="2" fillId="2" borderId="1" xfId="1" applyNumberFormat="1" applyFont="1" applyFill="1" applyBorder="1" applyAlignment="1">
      <alignment horizontal="left"/>
    </xf>
    <xf numFmtId="164" fontId="2" fillId="2" borderId="3" xfId="1" applyNumberFormat="1" applyFont="1" applyFill="1" applyBorder="1" applyAlignment="1">
      <alignment horizontal="left"/>
    </xf>
    <xf numFmtId="16" fontId="0" fillId="0" borderId="0" xfId="0" applyNumberFormat="1"/>
    <xf numFmtId="4" fontId="0" fillId="0" borderId="0" xfId="0" applyNumberFormat="1"/>
    <xf numFmtId="4" fontId="11" fillId="2" borderId="0" xfId="0" applyNumberFormat="1" applyFont="1" applyFill="1" applyBorder="1" applyAlignment="1">
      <alignment horizontal="center"/>
    </xf>
    <xf numFmtId="3" fontId="2" fillId="0" borderId="0" xfId="0" applyNumberFormat="1" applyFont="1" applyBorder="1"/>
    <xf numFmtId="3" fontId="2" fillId="2" borderId="0" xfId="0" applyNumberFormat="1" applyFont="1" applyFill="1"/>
    <xf numFmtId="3" fontId="0" fillId="0" borderId="0" xfId="0" applyNumberFormat="1"/>
    <xf numFmtId="16" fontId="2" fillId="2" borderId="0" xfId="0" applyNumberFormat="1" applyFont="1" applyFill="1" applyBorder="1"/>
    <xf numFmtId="16" fontId="2" fillId="0" borderId="0" xfId="0" applyNumberFormat="1" applyFont="1" applyBorder="1"/>
    <xf numFmtId="3" fontId="11" fillId="2" borderId="0" xfId="0" applyNumberFormat="1" applyFont="1" applyFill="1" applyBorder="1" applyAlignment="1">
      <alignment horizontal="center"/>
    </xf>
    <xf numFmtId="16" fontId="11" fillId="2" borderId="0" xfId="0" applyNumberFormat="1" applyFont="1" applyFill="1" applyBorder="1" applyAlignment="1">
      <alignment horizontal="center"/>
    </xf>
    <xf numFmtId="16" fontId="11" fillId="2" borderId="8" xfId="0" applyNumberFormat="1" applyFont="1" applyFill="1" applyBorder="1" applyAlignment="1">
      <alignment horizontal="center"/>
    </xf>
    <xf numFmtId="16" fontId="2" fillId="0" borderId="0" xfId="0" applyNumberFormat="1" applyFont="1"/>
    <xf numFmtId="4" fontId="11" fillId="2" borderId="8" xfId="0" applyNumberFormat="1" applyFont="1" applyFill="1" applyBorder="1" applyAlignment="1">
      <alignment horizontal="center"/>
    </xf>
    <xf numFmtId="4" fontId="2" fillId="0" borderId="0" xfId="0" applyNumberFormat="1" applyFont="1"/>
    <xf numFmtId="4" fontId="2" fillId="0" borderId="0" xfId="0" applyNumberFormat="1" applyFont="1" applyAlignment="1">
      <alignment horizontal="center" wrapText="1"/>
    </xf>
    <xf numFmtId="16" fontId="2" fillId="2" borderId="0" xfId="0" applyNumberFormat="1" applyFont="1" applyFill="1"/>
    <xf numFmtId="16" fontId="11" fillId="0" borderId="0" xfId="0" applyNumberFormat="1" applyFont="1" applyAlignment="1">
      <alignment horizontal="center"/>
    </xf>
    <xf numFmtId="4" fontId="11" fillId="0" borderId="0" xfId="0" applyNumberFormat="1" applyFont="1" applyAlignment="1">
      <alignment horizontal="center"/>
    </xf>
    <xf numFmtId="4" fontId="11" fillId="0" borderId="0" xfId="0" applyNumberFormat="1" applyFont="1"/>
    <xf numFmtId="3" fontId="2" fillId="0" borderId="0" xfId="0" applyNumberFormat="1" applyFont="1"/>
    <xf numFmtId="3" fontId="11" fillId="2" borderId="8" xfId="0" applyNumberFormat="1" applyFont="1" applyFill="1" applyBorder="1" applyAlignment="1">
      <alignment horizontal="center"/>
    </xf>
    <xf numFmtId="164" fontId="30" fillId="2" borderId="1" xfId="1" applyNumberFormat="1" applyFont="1" applyFill="1" applyBorder="1" applyAlignment="1"/>
    <xf numFmtId="164" fontId="30" fillId="2" borderId="1" xfId="1" applyNumberFormat="1" applyFont="1" applyFill="1" applyBorder="1" applyAlignment="1">
      <alignment horizontal="center"/>
    </xf>
    <xf numFmtId="0" fontId="10" fillId="3" borderId="23" xfId="0" applyFont="1" applyFill="1" applyBorder="1" applyAlignment="1">
      <alignment horizontal="left" vertical="top" wrapText="1"/>
    </xf>
    <xf numFmtId="0" fontId="10" fillId="3" borderId="27" xfId="0" applyFont="1" applyFill="1" applyBorder="1" applyAlignment="1">
      <alignment horizontal="left" vertical="top" wrapText="1"/>
    </xf>
    <xf numFmtId="0" fontId="8" fillId="0" borderId="5" xfId="0" applyFont="1" applyBorder="1" applyAlignment="1">
      <alignment horizontal="left" vertical="top" wrapText="1"/>
    </xf>
    <xf numFmtId="0" fontId="8" fillId="0" borderId="38" xfId="0" applyFont="1" applyBorder="1" applyAlignment="1">
      <alignment horizontal="left" vertical="top" wrapText="1"/>
    </xf>
    <xf numFmtId="0" fontId="8" fillId="0" borderId="5" xfId="0" applyFont="1" applyFill="1" applyBorder="1" applyAlignment="1">
      <alignment horizontal="left" vertical="top" wrapText="1"/>
    </xf>
    <xf numFmtId="0" fontId="8" fillId="0" borderId="38" xfId="0" applyFont="1" applyFill="1" applyBorder="1" applyAlignment="1">
      <alignment horizontal="left" vertical="top" wrapText="1"/>
    </xf>
    <xf numFmtId="0" fontId="8" fillId="2" borderId="38" xfId="0" applyFont="1" applyFill="1" applyBorder="1" applyAlignment="1">
      <alignment horizontal="left" vertical="top" wrapText="1"/>
    </xf>
    <xf numFmtId="0" fontId="8" fillId="0" borderId="7" xfId="0" applyFont="1" applyBorder="1" applyAlignment="1">
      <alignment horizontal="left" vertical="top" wrapText="1"/>
    </xf>
    <xf numFmtId="0" fontId="0" fillId="0" borderId="7" xfId="0" applyBorder="1" applyAlignment="1">
      <alignment horizontal="left" vertical="top"/>
    </xf>
    <xf numFmtId="0" fontId="8" fillId="0" borderId="10" xfId="0" applyFont="1" applyBorder="1" applyAlignment="1">
      <alignment horizontal="left" vertical="top"/>
    </xf>
    <xf numFmtId="0" fontId="8" fillId="0" borderId="2" xfId="0" applyFont="1" applyBorder="1" applyAlignment="1">
      <alignment horizontal="left" vertical="top"/>
    </xf>
    <xf numFmtId="0" fontId="0" fillId="0" borderId="2" xfId="0" applyBorder="1" applyAlignment="1">
      <alignment horizontal="left" vertical="top"/>
    </xf>
    <xf numFmtId="49" fontId="34" fillId="2" borderId="38" xfId="0" applyNumberFormat="1" applyFont="1" applyFill="1" applyBorder="1" applyAlignment="1">
      <alignment vertical="top" wrapText="1"/>
    </xf>
    <xf numFmtId="49" fontId="34" fillId="0" borderId="38" xfId="0" applyNumberFormat="1" applyFont="1" applyBorder="1" applyAlignment="1">
      <alignment vertical="top" wrapText="1"/>
    </xf>
    <xf numFmtId="49" fontId="34" fillId="0" borderId="43" xfId="0" applyNumberFormat="1" applyFont="1" applyBorder="1" applyAlignment="1">
      <alignment vertical="top" wrapText="1"/>
    </xf>
    <xf numFmtId="41" fontId="2" fillId="2" borderId="38" xfId="1" applyNumberFormat="1" applyFont="1" applyFill="1" applyBorder="1" applyAlignment="1">
      <alignment horizontal="left"/>
    </xf>
    <xf numFmtId="0" fontId="11" fillId="2" borderId="0" xfId="0" applyFont="1" applyFill="1" applyBorder="1" applyAlignment="1">
      <alignment vertical="center" wrapText="1"/>
    </xf>
    <xf numFmtId="3" fontId="11" fillId="2" borderId="0" xfId="0" applyNumberFormat="1" applyFont="1" applyFill="1" applyAlignment="1">
      <alignment horizontal="center"/>
    </xf>
    <xf numFmtId="3" fontId="11" fillId="0" borderId="0" xfId="0" applyNumberFormat="1" applyFont="1" applyAlignment="1">
      <alignment horizontal="center"/>
    </xf>
    <xf numFmtId="0" fontId="11" fillId="2" borderId="0" xfId="0" applyFont="1" applyFill="1" applyBorder="1" applyAlignment="1">
      <alignment horizontal="left" vertic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19" fillId="3" borderId="1" xfId="0" applyFont="1" applyFill="1" applyBorder="1" applyAlignment="1">
      <alignment horizontal="center" vertical="center" wrapText="1"/>
    </xf>
    <xf numFmtId="3" fontId="2" fillId="2" borderId="0" xfId="0" applyNumberFormat="1" applyFont="1" applyFill="1" applyAlignment="1">
      <alignment horizontal="left"/>
    </xf>
    <xf numFmtId="3" fontId="2" fillId="2" borderId="0" xfId="0" applyNumberFormat="1" applyFont="1" applyFill="1" applyAlignment="1"/>
    <xf numFmtId="167" fontId="2" fillId="5" borderId="4" xfId="1" applyNumberFormat="1" applyFont="1" applyFill="1" applyBorder="1"/>
    <xf numFmtId="167" fontId="2" fillId="5" borderId="4" xfId="0" applyNumberFormat="1" applyFont="1" applyFill="1" applyBorder="1"/>
    <xf numFmtId="167" fontId="2" fillId="2" borderId="3" xfId="1" applyNumberFormat="1" applyFont="1" applyFill="1" applyBorder="1" applyAlignment="1">
      <alignment horizontal="left"/>
    </xf>
    <xf numFmtId="2" fontId="16" fillId="7" borderId="1" xfId="0" applyNumberFormat="1" applyFont="1" applyFill="1" applyBorder="1" applyAlignment="1">
      <alignment vertical="center"/>
    </xf>
    <xf numFmtId="2" fontId="17" fillId="0" borderId="1" xfId="0" applyNumberFormat="1" applyFont="1" applyBorder="1" applyAlignment="1">
      <alignment vertical="center"/>
    </xf>
    <xf numFmtId="0" fontId="13" fillId="0" borderId="0" xfId="4" applyFont="1" applyAlignment="1">
      <alignment horizontal="left"/>
    </xf>
    <xf numFmtId="0" fontId="9" fillId="3" borderId="0" xfId="4" applyFont="1" applyFill="1" applyAlignment="1">
      <alignment vertical="top" wrapText="1"/>
    </xf>
    <xf numFmtId="0" fontId="4" fillId="2" borderId="0" xfId="0" applyFont="1" applyFill="1"/>
    <xf numFmtId="0" fontId="2" fillId="0" borderId="8" xfId="0" applyFont="1" applyBorder="1"/>
    <xf numFmtId="0" fontId="2" fillId="0" borderId="44" xfId="0" applyFont="1" applyBorder="1"/>
    <xf numFmtId="4" fontId="2" fillId="2" borderId="8" xfId="0" applyNumberFormat="1" applyFont="1" applyFill="1" applyBorder="1"/>
    <xf numFmtId="4" fontId="2" fillId="2" borderId="0" xfId="0" applyNumberFormat="1" applyFont="1" applyFill="1"/>
    <xf numFmtId="0" fontId="19"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164" fontId="2" fillId="2" borderId="3" xfId="1" applyNumberFormat="1" applyFont="1" applyFill="1" applyBorder="1" applyAlignment="1">
      <alignment horizontal="left"/>
    </xf>
    <xf numFmtId="0" fontId="2" fillId="2" borderId="0" xfId="0" applyFont="1" applyFill="1" applyBorder="1" applyAlignment="1"/>
    <xf numFmtId="0" fontId="2" fillId="2" borderId="0" xfId="0" applyFont="1" applyFill="1" applyBorder="1" applyAlignment="1"/>
    <xf numFmtId="0" fontId="2" fillId="2" borderId="8" xfId="0" applyFont="1" applyFill="1" applyBorder="1" applyAlignment="1"/>
    <xf numFmtId="3" fontId="2" fillId="2" borderId="0" xfId="0" applyNumberFormat="1" applyFont="1" applyFill="1" applyBorder="1" applyAlignment="1"/>
    <xf numFmtId="0" fontId="11" fillId="2" borderId="45" xfId="0" applyFont="1" applyFill="1" applyBorder="1" applyAlignment="1">
      <alignment horizontal="center"/>
    </xf>
    <xf numFmtId="3" fontId="2" fillId="2" borderId="8" xfId="0" applyNumberFormat="1" applyFont="1" applyFill="1" applyBorder="1" applyAlignment="1"/>
    <xf numFmtId="0" fontId="11" fillId="2" borderId="44" xfId="0" applyFont="1" applyFill="1" applyBorder="1" applyAlignment="1">
      <alignment horizontal="center"/>
    </xf>
    <xf numFmtId="3" fontId="11" fillId="0" borderId="0" xfId="0" applyNumberFormat="1" applyFont="1" applyBorder="1" applyAlignment="1">
      <alignment horizontal="center"/>
    </xf>
    <xf numFmtId="164" fontId="30" fillId="2" borderId="1" xfId="1" applyNumberFormat="1" applyFont="1" applyFill="1" applyBorder="1" applyAlignment="1">
      <alignment horizontal="right"/>
    </xf>
    <xf numFmtId="164" fontId="11" fillId="10" borderId="1" xfId="1" applyNumberFormat="1" applyFont="1" applyFill="1" applyBorder="1" applyAlignment="1">
      <alignment horizontal="left"/>
    </xf>
    <xf numFmtId="164" fontId="2" fillId="10" borderId="1" xfId="1" applyNumberFormat="1" applyFont="1" applyFill="1" applyBorder="1" applyAlignment="1">
      <alignment horizontal="left"/>
    </xf>
    <xf numFmtId="164" fontId="2" fillId="10" borderId="3" xfId="1" applyNumberFormat="1" applyFont="1" applyFill="1" applyBorder="1" applyAlignment="1">
      <alignment horizontal="left"/>
    </xf>
    <xf numFmtId="164" fontId="11" fillId="10" borderId="3" xfId="1" applyNumberFormat="1" applyFont="1" applyFill="1" applyBorder="1" applyAlignment="1">
      <alignment horizontal="left"/>
    </xf>
    <xf numFmtId="164" fontId="35" fillId="10" borderId="1" xfId="1" applyNumberFormat="1" applyFont="1" applyFill="1" applyBorder="1" applyAlignment="1">
      <alignment horizontal="right"/>
    </xf>
    <xf numFmtId="164" fontId="30" fillId="10" borderId="1" xfId="1" applyNumberFormat="1" applyFont="1" applyFill="1" applyBorder="1" applyAlignment="1"/>
    <xf numFmtId="164" fontId="30" fillId="10" borderId="1" xfId="1" applyNumberFormat="1" applyFont="1" applyFill="1" applyBorder="1" applyAlignment="1">
      <alignment horizontal="center"/>
    </xf>
    <xf numFmtId="164" fontId="2" fillId="10" borderId="1" xfId="1" applyNumberFormat="1" applyFont="1" applyFill="1" applyBorder="1" applyAlignment="1">
      <alignment horizontal="center"/>
    </xf>
    <xf numFmtId="0" fontId="11" fillId="5" borderId="25" xfId="0" applyFont="1" applyFill="1" applyBorder="1"/>
    <xf numFmtId="164" fontId="2" fillId="10" borderId="1" xfId="1" applyNumberFormat="1" applyFont="1" applyFill="1" applyBorder="1" applyAlignment="1"/>
    <xf numFmtId="0" fontId="2" fillId="2" borderId="0" xfId="0" applyFont="1" applyFill="1" applyBorder="1" applyAlignment="1"/>
    <xf numFmtId="164" fontId="2" fillId="2" borderId="3" xfId="1" applyNumberFormat="1" applyFont="1" applyFill="1" applyBorder="1" applyAlignment="1">
      <alignment horizontal="left"/>
    </xf>
    <xf numFmtId="43" fontId="2" fillId="2" borderId="1" xfId="1" applyNumberFormat="1" applyFont="1" applyFill="1" applyBorder="1" applyAlignment="1">
      <alignment horizontal="left"/>
    </xf>
    <xf numFmtId="43" fontId="2" fillId="2" borderId="3" xfId="1" applyNumberFormat="1" applyFont="1" applyFill="1" applyBorder="1" applyAlignment="1">
      <alignment horizontal="left"/>
    </xf>
    <xf numFmtId="3" fontId="11" fillId="0" borderId="8" xfId="0" applyNumberFormat="1" applyFont="1" applyBorder="1" applyAlignment="1">
      <alignment horizontal="center"/>
    </xf>
    <xf numFmtId="3" fontId="9" fillId="3" borderId="0" xfId="1" applyNumberFormat="1" applyFont="1" applyFill="1" applyBorder="1" applyAlignment="1">
      <alignment horizontal="left" vertical="top" wrapText="1"/>
    </xf>
    <xf numFmtId="0" fontId="9" fillId="3" borderId="0" xfId="4" applyFont="1" applyFill="1" applyAlignment="1">
      <alignment horizontal="left" vertical="top" wrapText="1"/>
    </xf>
    <xf numFmtId="0" fontId="8" fillId="0" borderId="1" xfId="0" applyFont="1" applyBorder="1"/>
    <xf numFmtId="1" fontId="8" fillId="0" borderId="1" xfId="0" applyNumberFormat="1" applyFont="1" applyBorder="1"/>
    <xf numFmtId="14" fontId="8" fillId="0" borderId="1" xfId="0" applyNumberFormat="1" applyFont="1" applyBorder="1" applyAlignment="1">
      <alignment horizontal="right" vertical="center"/>
    </xf>
    <xf numFmtId="0" fontId="26" fillId="2" borderId="0" xfId="0" applyFont="1" applyFill="1" applyAlignment="1">
      <alignment horizontal="left" vertical="center" wrapText="1"/>
    </xf>
    <xf numFmtId="0" fontId="28" fillId="5" borderId="0" xfId="2" applyFont="1" applyFill="1" applyAlignment="1">
      <alignment horizontal="left" vertical="top"/>
    </xf>
    <xf numFmtId="0" fontId="28" fillId="0" borderId="0" xfId="2" applyFont="1" applyAlignment="1">
      <alignment horizontal="left" vertical="top"/>
    </xf>
    <xf numFmtId="0" fontId="23" fillId="6" borderId="0" xfId="3" applyFont="1" applyFill="1" applyAlignment="1">
      <alignment horizontal="left" vertical="center" wrapText="1"/>
    </xf>
    <xf numFmtId="0" fontId="26" fillId="2" borderId="0" xfId="0" applyFont="1" applyFill="1" applyAlignment="1">
      <alignment horizontal="left" wrapText="1"/>
    </xf>
    <xf numFmtId="0" fontId="27" fillId="2" borderId="0" xfId="0" applyFont="1" applyFill="1" applyAlignment="1">
      <alignment horizontal="left" vertical="center" wrapText="1"/>
    </xf>
    <xf numFmtId="0" fontId="11" fillId="4" borderId="28"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29" xfId="0" applyFont="1" applyFill="1" applyBorder="1" applyAlignment="1">
      <alignment horizontal="center" vertical="center"/>
    </xf>
    <xf numFmtId="164" fontId="2" fillId="2" borderId="12" xfId="1" applyNumberFormat="1" applyFont="1" applyFill="1" applyBorder="1" applyAlignment="1">
      <alignment horizontal="right"/>
    </xf>
    <xf numFmtId="164" fontId="2" fillId="2" borderId="13" xfId="1" applyNumberFormat="1" applyFont="1" applyFill="1" applyBorder="1" applyAlignment="1">
      <alignment horizontal="right"/>
    </xf>
    <xf numFmtId="164" fontId="2" fillId="2" borderId="37" xfId="1" applyNumberFormat="1" applyFont="1" applyFill="1" applyBorder="1" applyAlignment="1">
      <alignment horizontal="right"/>
    </xf>
    <xf numFmtId="0" fontId="19" fillId="3" borderId="1" xfId="0" applyFont="1" applyFill="1" applyBorder="1" applyAlignment="1">
      <alignment horizontal="center" vertical="center" wrapText="1"/>
    </xf>
    <xf numFmtId="0" fontId="11" fillId="2" borderId="0" xfId="0" applyFont="1" applyFill="1" applyBorder="1" applyAlignment="1">
      <alignment horizontal="left" vertical="center" wrapText="1"/>
    </xf>
    <xf numFmtId="164" fontId="2" fillId="4" borderId="14" xfId="1" applyNumberFormat="1" applyFont="1" applyFill="1" applyBorder="1" applyAlignment="1">
      <alignment horizontal="center"/>
    </xf>
    <xf numFmtId="164" fontId="2" fillId="4" borderId="26" xfId="1" applyNumberFormat="1" applyFont="1" applyFill="1" applyBorder="1" applyAlignment="1">
      <alignment horizontal="center"/>
    </xf>
    <xf numFmtId="164" fontId="2" fillId="4" borderId="15" xfId="1" applyNumberFormat="1" applyFont="1" applyFill="1" applyBorder="1" applyAlignment="1">
      <alignment horizontal="center"/>
    </xf>
    <xf numFmtId="164" fontId="2" fillId="2" borderId="34" xfId="1" applyNumberFormat="1" applyFont="1" applyFill="1" applyBorder="1" applyAlignment="1">
      <alignment horizontal="right"/>
    </xf>
    <xf numFmtId="164" fontId="2" fillId="2" borderId="35" xfId="1" applyNumberFormat="1" applyFont="1" applyFill="1" applyBorder="1" applyAlignment="1">
      <alignment horizontal="right"/>
    </xf>
    <xf numFmtId="164" fontId="2" fillId="2" borderId="36" xfId="1" applyNumberFormat="1" applyFont="1" applyFill="1" applyBorder="1" applyAlignment="1">
      <alignment horizontal="right"/>
    </xf>
    <xf numFmtId="0" fontId="19" fillId="3" borderId="16"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2" fillId="5" borderId="14" xfId="0" applyFont="1" applyFill="1" applyBorder="1" applyAlignment="1">
      <alignment horizontal="center"/>
    </xf>
    <xf numFmtId="0" fontId="2" fillId="5" borderId="15" xfId="0" applyFont="1" applyFill="1" applyBorder="1" applyAlignment="1">
      <alignment horizontal="center"/>
    </xf>
    <xf numFmtId="0" fontId="11" fillId="2" borderId="0" xfId="0" applyFont="1" applyFill="1" applyBorder="1" applyAlignment="1">
      <alignment horizontal="left" vertical="center"/>
    </xf>
    <xf numFmtId="0" fontId="11" fillId="2" borderId="8" xfId="0" applyFont="1" applyFill="1" applyBorder="1" applyAlignment="1">
      <alignment horizontal="left" vertical="center"/>
    </xf>
    <xf numFmtId="164" fontId="2" fillId="2" borderId="1" xfId="1" applyNumberFormat="1" applyFont="1" applyFill="1" applyBorder="1" applyAlignment="1">
      <alignment horizontal="left"/>
    </xf>
    <xf numFmtId="164" fontId="2" fillId="2" borderId="16" xfId="1" applyNumberFormat="1" applyFont="1" applyFill="1" applyBorder="1" applyAlignment="1">
      <alignment horizontal="left" wrapText="1"/>
    </xf>
    <xf numFmtId="164" fontId="2" fillId="2" borderId="17" xfId="1" applyNumberFormat="1" applyFont="1" applyFill="1" applyBorder="1" applyAlignment="1">
      <alignment horizontal="left" wrapText="1"/>
    </xf>
    <xf numFmtId="164" fontId="2" fillId="5" borderId="14" xfId="1" applyNumberFormat="1" applyFont="1" applyFill="1" applyBorder="1" applyAlignment="1">
      <alignment horizontal="center"/>
    </xf>
    <xf numFmtId="164" fontId="2" fillId="5" borderId="26" xfId="1" applyNumberFormat="1" applyFont="1" applyFill="1" applyBorder="1" applyAlignment="1">
      <alignment horizontal="center"/>
    </xf>
    <xf numFmtId="164" fontId="2" fillId="5" borderId="15" xfId="1" applyNumberFormat="1" applyFont="1" applyFill="1" applyBorder="1" applyAlignment="1">
      <alignment horizontal="center"/>
    </xf>
    <xf numFmtId="0" fontId="11" fillId="0" borderId="7" xfId="0" applyFont="1" applyBorder="1" applyAlignment="1">
      <alignment horizontal="left" vertical="center"/>
    </xf>
    <xf numFmtId="0" fontId="11" fillId="0" borderId="0" xfId="0" applyFont="1" applyBorder="1" applyAlignment="1">
      <alignment horizontal="left" vertical="center"/>
    </xf>
    <xf numFmtId="0" fontId="11" fillId="2" borderId="7" xfId="0" applyFont="1" applyFill="1" applyBorder="1" applyAlignment="1">
      <alignment horizontal="left" vertical="center"/>
    </xf>
    <xf numFmtId="0" fontId="2" fillId="4" borderId="2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29"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37" xfId="0" applyFont="1" applyFill="1" applyBorder="1" applyAlignment="1">
      <alignment horizontal="center" vertical="center"/>
    </xf>
    <xf numFmtId="0" fontId="3" fillId="4" borderId="23" xfId="0" applyFont="1" applyFill="1" applyBorder="1" applyAlignment="1">
      <alignment horizontal="center" vertical="center"/>
    </xf>
    <xf numFmtId="0" fontId="3" fillId="4" borderId="24" xfId="0" applyFont="1" applyFill="1" applyBorder="1" applyAlignment="1">
      <alignment horizontal="center" vertical="center"/>
    </xf>
    <xf numFmtId="0" fontId="3" fillId="4" borderId="27" xfId="0" applyFont="1" applyFill="1" applyBorder="1" applyAlignment="1">
      <alignment horizontal="center" vertical="center"/>
    </xf>
    <xf numFmtId="0" fontId="11" fillId="2" borderId="7" xfId="0" applyFont="1" applyFill="1" applyBorder="1" applyAlignment="1">
      <alignment horizontal="left" vertical="center" wrapText="1"/>
    </xf>
    <xf numFmtId="0" fontId="2" fillId="2" borderId="1" xfId="0" applyFont="1" applyFill="1" applyBorder="1" applyAlignment="1"/>
    <xf numFmtId="0" fontId="11" fillId="2" borderId="7" xfId="0" applyFont="1" applyFill="1" applyBorder="1" applyAlignment="1">
      <alignment vertical="center" wrapText="1"/>
    </xf>
    <xf numFmtId="0" fontId="11" fillId="2" borderId="0" xfId="0" applyFont="1" applyFill="1" applyBorder="1" applyAlignment="1">
      <alignment vertical="center" wrapText="1"/>
    </xf>
    <xf numFmtId="164" fontId="2" fillId="2" borderId="34" xfId="1" applyNumberFormat="1" applyFont="1" applyFill="1" applyBorder="1" applyAlignment="1">
      <alignment horizontal="center"/>
    </xf>
    <xf numFmtId="164" fontId="2" fillId="2" borderId="35" xfId="1" applyNumberFormat="1" applyFont="1" applyFill="1" applyBorder="1" applyAlignment="1">
      <alignment horizontal="center"/>
    </xf>
    <xf numFmtId="164" fontId="2" fillId="2" borderId="36" xfId="1" applyNumberFormat="1" applyFont="1" applyFill="1" applyBorder="1" applyAlignment="1">
      <alignment horizontal="center"/>
    </xf>
    <xf numFmtId="164" fontId="2" fillId="2" borderId="12" xfId="1" applyNumberFormat="1" applyFont="1" applyFill="1" applyBorder="1" applyAlignment="1">
      <alignment horizontal="center"/>
    </xf>
    <xf numFmtId="164" fontId="2" fillId="2" borderId="13" xfId="1" applyNumberFormat="1" applyFont="1" applyFill="1" applyBorder="1" applyAlignment="1">
      <alignment horizontal="center"/>
    </xf>
    <xf numFmtId="164" fontId="2" fillId="2" borderId="37" xfId="1" applyNumberFormat="1" applyFont="1" applyFill="1" applyBorder="1" applyAlignment="1">
      <alignment horizontal="center"/>
    </xf>
    <xf numFmtId="0" fontId="2" fillId="5" borderId="4" xfId="0" applyFont="1" applyFill="1" applyBorder="1" applyAlignment="1">
      <alignment horizontal="left"/>
    </xf>
    <xf numFmtId="164" fontId="2" fillId="2" borderId="3" xfId="1" applyNumberFormat="1" applyFont="1" applyFill="1" applyBorder="1" applyAlignment="1">
      <alignment horizontal="left"/>
    </xf>
    <xf numFmtId="0" fontId="11" fillId="2" borderId="0" xfId="0" applyFont="1" applyFill="1" applyAlignment="1">
      <alignment horizontal="left" vertical="center"/>
    </xf>
    <xf numFmtId="0" fontId="25" fillId="2" borderId="0" xfId="0" applyFont="1" applyFill="1" applyBorder="1" applyAlignment="1">
      <alignment horizontal="left" vertical="center"/>
    </xf>
    <xf numFmtId="0" fontId="23" fillId="6" borderId="0" xfId="3" applyFont="1" applyFill="1" applyBorder="1" applyAlignment="1">
      <alignment horizontal="left" vertical="center" wrapText="1"/>
    </xf>
    <xf numFmtId="0" fontId="2" fillId="2" borderId="0" xfId="0" applyFont="1" applyFill="1" applyBorder="1" applyAlignment="1"/>
    <xf numFmtId="41" fontId="2" fillId="5" borderId="14" xfId="0" applyNumberFormat="1" applyFont="1" applyFill="1" applyBorder="1" applyAlignment="1">
      <alignment horizontal="right"/>
    </xf>
    <xf numFmtId="41" fontId="2" fillId="5" borderId="26" xfId="0" applyNumberFormat="1" applyFont="1" applyFill="1" applyBorder="1" applyAlignment="1">
      <alignment horizontal="right"/>
    </xf>
    <xf numFmtId="41" fontId="2" fillId="5" borderId="15" xfId="0" applyNumberFormat="1" applyFont="1" applyFill="1" applyBorder="1" applyAlignment="1">
      <alignment horizontal="right"/>
    </xf>
    <xf numFmtId="3" fontId="9" fillId="3" borderId="0" xfId="1" applyNumberFormat="1" applyFont="1" applyFill="1" applyBorder="1" applyAlignment="1">
      <alignment horizontal="left" vertical="top" wrapText="1"/>
    </xf>
    <xf numFmtId="0" fontId="20" fillId="2" borderId="1" xfId="0" applyFont="1" applyFill="1" applyBorder="1" applyAlignment="1">
      <alignment horizontal="center" vertical="center"/>
    </xf>
    <xf numFmtId="0" fontId="9" fillId="3" borderId="0" xfId="4" applyFont="1" applyFill="1" applyAlignment="1">
      <alignment horizontal="left" vertical="top" wrapText="1"/>
    </xf>
    <xf numFmtId="0" fontId="9" fillId="3" borderId="9" xfId="4" applyFont="1" applyFill="1" applyBorder="1" applyAlignment="1">
      <alignment horizontal="left" vertical="top" wrapText="1"/>
    </xf>
    <xf numFmtId="0" fontId="8" fillId="0" borderId="40" xfId="0" applyFont="1" applyBorder="1" applyAlignment="1">
      <alignment horizontal="left" vertical="top" wrapText="1"/>
    </xf>
    <xf numFmtId="0" fontId="8" fillId="0" borderId="7" xfId="0" applyFont="1" applyBorder="1" applyAlignment="1">
      <alignment horizontal="left" vertical="top" wrapText="1"/>
    </xf>
    <xf numFmtId="0" fontId="8" fillId="0" borderId="41" xfId="0" applyFont="1" applyBorder="1" applyAlignment="1">
      <alignment horizontal="left" vertical="top" wrapText="1"/>
    </xf>
    <xf numFmtId="0" fontId="8" fillId="0" borderId="39" xfId="0" applyFont="1" applyBorder="1" applyAlignment="1">
      <alignment horizontal="center" vertical="top" wrapText="1"/>
    </xf>
    <xf numFmtId="0" fontId="8" fillId="0" borderId="10" xfId="0" applyFont="1" applyBorder="1" applyAlignment="1">
      <alignment horizontal="center" vertical="top" wrapText="1"/>
    </xf>
    <xf numFmtId="0" fontId="8" fillId="0" borderId="2" xfId="0" applyFont="1" applyBorder="1" applyAlignment="1">
      <alignment horizontal="center" vertical="top" wrapText="1"/>
    </xf>
    <xf numFmtId="0" fontId="8" fillId="0" borderId="39" xfId="0" applyFont="1" applyBorder="1" applyAlignment="1">
      <alignment horizontal="left" vertical="top" wrapText="1"/>
    </xf>
    <xf numFmtId="0" fontId="8" fillId="0" borderId="10" xfId="0" applyFont="1" applyBorder="1" applyAlignment="1">
      <alignment horizontal="left" vertical="top" wrapText="1"/>
    </xf>
    <xf numFmtId="0" fontId="8" fillId="0" borderId="2" xfId="0" applyFont="1" applyBorder="1" applyAlignment="1">
      <alignment horizontal="left" vertical="top" wrapText="1"/>
    </xf>
    <xf numFmtId="0" fontId="8" fillId="2" borderId="39"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42" xfId="0" applyFont="1" applyFill="1" applyBorder="1" applyAlignment="1">
      <alignment horizontal="center" vertical="top" wrapText="1"/>
    </xf>
    <xf numFmtId="0" fontId="8" fillId="0" borderId="5" xfId="0" applyFont="1" applyBorder="1" applyAlignment="1">
      <alignment horizontal="left" vertical="top" wrapText="1"/>
    </xf>
    <xf numFmtId="0" fontId="28" fillId="2" borderId="0" xfId="2" applyFont="1" applyFill="1" applyAlignment="1">
      <alignment horizontal="left" vertical="top"/>
    </xf>
  </cellXfs>
  <cellStyles count="6">
    <cellStyle name="Comma" xfId="1" builtinId="3"/>
    <cellStyle name="Normal" xfId="0" builtinId="0"/>
    <cellStyle name="Normal 2" xfId="4" xr:uid="{00000000-0005-0000-0000-000002000000}"/>
    <cellStyle name="Normal 5" xfId="2" xr:uid="{00000000-0005-0000-0000-000003000000}"/>
    <cellStyle name="Normal_FLQuickRefGuide_4.27.09" xfId="3" xr:uid="{00000000-0005-0000-0000-000004000000}"/>
    <cellStyle name="Percent" xfId="5" builtinId="5"/>
  </cellStyles>
  <dxfs count="65">
    <dxf>
      <font>
        <condense val="0"/>
        <extend val="0"/>
        <color indexed="9"/>
      </font>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19" formatCode="m/d/yyyy"/>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indexed="8"/>
        <name val="Times New Roman"/>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Times New Roman"/>
        <scheme val="none"/>
      </font>
      <numFmt numFmtId="0" formatCode="General"/>
      <fill>
        <patternFill patternType="solid">
          <fgColor indexed="64"/>
          <bgColor theme="0" tint="-0.249977111117893"/>
        </patternFill>
      </fill>
      <alignment horizontal="left" vertical="bottom" textRotation="0" wrapText="1" indent="0" justifyLastLine="0" shrinkToFit="0" readingOrder="0"/>
      <border diagonalUp="0" diagonalDown="0" outline="0">
        <left style="hair">
          <color auto="1"/>
        </left>
        <right style="hair">
          <color auto="1"/>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8F7463-A3DE-4CF9-B291-BD63DE8B79C3}" name="Table_Facility_List_Staging_8_26_2013.accdb_1143" displayName="Table_Facility_List_Staging_8_26_2013.accdb_1143" ref="A7:AE150" headerRowDxfId="64" dataDxfId="62" headerRowBorderDxfId="63" tableBorderDxfId="61">
  <autoFilter ref="A7:AE150" xr:uid="{87CFD688-8CD0-40AC-8804-3E53A3B3A248}"/>
  <tableColumns count="31">
    <tableColumn id="2" xr3:uid="{00000000-0010-0000-0000-000002000000}" name="Name" dataDxfId="60" totalsRowDxfId="59"/>
    <tableColumn id="3" xr3:uid="{00000000-0010-0000-0000-000003000000}" name="Address" dataDxfId="58" totalsRowDxfId="57"/>
    <tableColumn id="4" xr3:uid="{00000000-0010-0000-0000-000004000000}" name="City" dataDxfId="56" totalsRowDxfId="55"/>
    <tableColumn id="6" xr3:uid="{00000000-0010-0000-0000-000006000000}" name="State" dataDxfId="54"/>
    <tableColumn id="7" xr3:uid="{00000000-0010-0000-0000-000007000000}" name="Zip" dataDxfId="53" totalsRowDxfId="52"/>
    <tableColumn id="9" xr3:uid="{00000000-0010-0000-0000-000009000000}" name="AOR" dataDxfId="51" totalsRowDxfId="50"/>
    <tableColumn id="12" xr3:uid="{00000000-0010-0000-0000-00000C000000}" name="Type Detailed" dataDxfId="49" totalsRowDxfId="48"/>
    <tableColumn id="81" xr3:uid="{00000000-0010-0000-0000-000051000000}" name="Male/Female" dataDxfId="47" totalsRowDxfId="46"/>
    <tableColumn id="43" xr3:uid="{00000000-0010-0000-0000-00002B000000}" name="FY21 ALOS" dataDxfId="45" totalsRowDxfId="44" dataCellStyle="Comma"/>
    <tableColumn id="67" xr3:uid="{00000000-0010-0000-0000-000043000000}" name="Level A" dataDxfId="43" totalsRowDxfId="42"/>
    <tableColumn id="68" xr3:uid="{00000000-0010-0000-0000-000044000000}" name="Level B" dataDxfId="41" totalsRowDxfId="40"/>
    <tableColumn id="69" xr3:uid="{00000000-0010-0000-0000-000045000000}" name="Level C" dataDxfId="39" totalsRowDxfId="38"/>
    <tableColumn id="70" xr3:uid="{00000000-0010-0000-0000-000046000000}" name="Level D" dataDxfId="37" totalsRowDxfId="36"/>
    <tableColumn id="71" xr3:uid="{00000000-0010-0000-0000-000047000000}" name="Male Crim" dataDxfId="35" totalsRowDxfId="34"/>
    <tableColumn id="72" xr3:uid="{00000000-0010-0000-0000-000048000000}" name="Male Non-Crim" dataDxfId="33" totalsRowDxfId="32"/>
    <tableColumn id="73" xr3:uid="{00000000-0010-0000-0000-000049000000}" name="Female Crim" dataDxfId="31" totalsRowDxfId="30"/>
    <tableColumn id="74" xr3:uid="{00000000-0010-0000-0000-00004A000000}" name="Female Non-Crim" dataDxfId="29" totalsRowDxfId="28"/>
    <tableColumn id="75" xr3:uid="{00000000-0010-0000-0000-00004B000000}" name="ICE Threat Level 1" dataDxfId="27" totalsRowDxfId="26"/>
    <tableColumn id="76" xr3:uid="{00000000-0010-0000-0000-00004C000000}" name="ICE Threat Level 2" dataDxfId="25" totalsRowDxfId="24"/>
    <tableColumn id="77" xr3:uid="{00000000-0010-0000-0000-00004D000000}" name="ICE Threat Level 3" dataDxfId="23" totalsRowDxfId="22"/>
    <tableColumn id="78" xr3:uid="{00000000-0010-0000-0000-00004E000000}" name="No ICE Threat Level" dataDxfId="21" totalsRowDxfId="20"/>
    <tableColumn id="79" xr3:uid="{00000000-0010-0000-0000-00004F000000}" name="Mandatory" dataDxfId="19" totalsRowDxfId="18"/>
    <tableColumn id="86" xr3:uid="{00000000-0010-0000-0000-000056000000}" name="Guaranteed Minimum" dataDxfId="17" totalsRowDxfId="16"/>
    <tableColumn id="124" xr3:uid="{00000000-0010-0000-0000-00007C000000}" name="Last Inspection Type" dataDxfId="15" totalsRowDxfId="14"/>
    <tableColumn id="129" xr3:uid="{00000000-0010-0000-0000-000081000000}" name="Last Inspection Standard" dataDxfId="13" totalsRowDxfId="12"/>
    <tableColumn id="93" xr3:uid="{00000000-0010-0000-0000-00005D000000}" name="Last Inspection Rating - Final" dataDxfId="11"/>
    <tableColumn id="95" xr3:uid="{00000000-0010-0000-0000-00005F000000}" name="Last Inspection Date" dataDxfId="10" totalsRowDxfId="9"/>
    <tableColumn id="125" xr3:uid="{00000000-0010-0000-0000-00007D000000}" name="Second to Last Inspection Type" dataDxfId="8" totalsRowDxfId="7"/>
    <tableColumn id="131" xr3:uid="{00000000-0010-0000-0000-000083000000}" name="Second to Last Inspection Standard" dataDxfId="6" totalsRowDxfId="5"/>
    <tableColumn id="5" xr3:uid="{00000000-0010-0000-0000-000005000000}" name="Second to Last Inspection Rating" dataDxfId="4" totalsRowDxfId="3"/>
    <tableColumn id="97" xr3:uid="{00000000-0010-0000-0000-000061000000}" name="Second to Last Inspection Date" dataDxfId="2" totalsRowDxfId="1"/>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election activeCell="A5" sqref="A5"/>
    </sheetView>
  </sheetViews>
  <sheetFormatPr defaultColWidth="0" defaultRowHeight="15" zeroHeight="1" x14ac:dyDescent="0.25"/>
  <cols>
    <col min="1" max="1" width="110.42578125" customWidth="1"/>
    <col min="2" max="16384" width="8.85546875" hidden="1"/>
  </cols>
  <sheetData>
    <row r="1" spans="1:1" ht="119.1" customHeight="1" x14ac:dyDescent="0.25">
      <c r="A1" s="62" t="s">
        <v>598</v>
      </c>
    </row>
    <row r="2" spans="1:1" ht="51.75" customHeight="1" x14ac:dyDescent="0.25">
      <c r="A2" s="61" t="s">
        <v>50</v>
      </c>
    </row>
    <row r="3" spans="1:1" ht="76.349999999999994" customHeight="1" x14ac:dyDescent="0.25">
      <c r="A3" s="61" t="s">
        <v>602</v>
      </c>
    </row>
    <row r="4" spans="1:1" ht="22.5" customHeight="1" x14ac:dyDescent="0.25">
      <c r="A4" s="61" t="s">
        <v>597</v>
      </c>
    </row>
    <row r="5" spans="1:1" ht="36.75" customHeight="1" x14ac:dyDescent="0.25">
      <c r="A5" s="61" t="s">
        <v>569</v>
      </c>
    </row>
    <row r="6" spans="1:1" x14ac:dyDescent="0.25"/>
  </sheetData>
  <sheetProtection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5E2E-B5E1-4D6D-8D6D-31EF148AAD76}">
  <sheetPr>
    <tabColor theme="0"/>
  </sheetPr>
  <dimension ref="A1:BD116"/>
  <sheetViews>
    <sheetView topLeftCell="A10" zoomScale="80" zoomScaleNormal="80" workbookViewId="0">
      <selection activeCell="D51" sqref="D51"/>
    </sheetView>
  </sheetViews>
  <sheetFormatPr defaultRowHeight="15.75" zeroHeight="1" x14ac:dyDescent="0.25"/>
  <cols>
    <col min="1" max="3" width="19.5703125" customWidth="1"/>
    <col min="4" max="4" width="19.42578125" customWidth="1"/>
    <col min="5" max="9" width="19.5703125" customWidth="1"/>
    <col min="10" max="10" width="15" customWidth="1"/>
    <col min="13" max="13" width="9.140625" style="31"/>
  </cols>
  <sheetData>
    <row r="1" spans="1:56" ht="55.35" customHeight="1" x14ac:dyDescent="0.25">
      <c r="A1" s="236" t="s">
        <v>49</v>
      </c>
      <c r="B1" s="236"/>
      <c r="C1" s="236"/>
      <c r="D1" s="236"/>
      <c r="E1" s="31"/>
      <c r="F1" s="31"/>
      <c r="G1" s="31"/>
      <c r="H1" s="31"/>
      <c r="I1" s="31"/>
      <c r="J1" s="31"/>
      <c r="K1" s="31"/>
      <c r="L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row>
    <row r="2" spans="1:56" ht="55.35" customHeight="1" x14ac:dyDescent="0.25">
      <c r="A2" s="237" t="s">
        <v>50</v>
      </c>
      <c r="B2" s="237"/>
      <c r="C2" s="237"/>
      <c r="D2" s="237"/>
      <c r="E2" s="31"/>
      <c r="F2" s="31"/>
      <c r="G2" s="31"/>
      <c r="H2" s="31"/>
      <c r="I2" s="31"/>
      <c r="J2" s="31"/>
      <c r="K2" s="31"/>
      <c r="L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row>
    <row r="3" spans="1:56" ht="13.35" customHeight="1" x14ac:dyDescent="0.25">
      <c r="A3" s="31"/>
      <c r="B3" s="31"/>
      <c r="C3" s="31"/>
      <c r="D3" s="31"/>
      <c r="E3" s="31"/>
      <c r="F3" s="31"/>
      <c r="G3" s="38"/>
      <c r="H3" s="31"/>
      <c r="I3" s="31"/>
      <c r="J3" s="31"/>
      <c r="K3" s="31"/>
      <c r="L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6" ht="55.35" customHeight="1" x14ac:dyDescent="0.25">
      <c r="A4" s="235" t="s">
        <v>679</v>
      </c>
      <c r="B4" s="235"/>
      <c r="C4" s="235"/>
      <c r="D4" s="235"/>
      <c r="E4" s="81"/>
      <c r="F4" s="81"/>
      <c r="G4" s="81"/>
      <c r="H4" s="81"/>
      <c r="I4" s="81"/>
      <c r="J4" s="31"/>
      <c r="K4" s="31"/>
      <c r="L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row>
    <row r="5" spans="1:56" ht="50.1" customHeight="1" x14ac:dyDescent="0.25">
      <c r="A5" s="238" t="s">
        <v>678</v>
      </c>
      <c r="B5" s="238"/>
      <c r="C5" s="238"/>
      <c r="D5" s="55"/>
      <c r="E5" s="31"/>
      <c r="F5" s="31"/>
      <c r="G5" s="31"/>
      <c r="H5" s="31"/>
      <c r="I5" s="31"/>
      <c r="J5" s="31"/>
      <c r="K5" s="31"/>
      <c r="L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row>
    <row r="6" spans="1:56" x14ac:dyDescent="0.25">
      <c r="A6" s="60" t="s">
        <v>570</v>
      </c>
      <c r="B6" s="60" t="s">
        <v>571</v>
      </c>
      <c r="C6" s="60" t="s">
        <v>53</v>
      </c>
      <c r="D6" s="31"/>
      <c r="E6" s="31"/>
      <c r="F6" s="31"/>
      <c r="G6" s="31"/>
      <c r="H6" s="31"/>
      <c r="I6" s="31"/>
      <c r="J6" s="31"/>
      <c r="K6" s="31"/>
      <c r="L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row>
    <row r="7" spans="1:56" x14ac:dyDescent="0.25">
      <c r="A7" s="56" t="s">
        <v>572</v>
      </c>
      <c r="B7" s="58">
        <v>47109</v>
      </c>
      <c r="C7" s="194">
        <v>863.37220064106646</v>
      </c>
      <c r="D7" s="31"/>
      <c r="E7" s="31"/>
      <c r="F7" s="31"/>
      <c r="G7" s="31"/>
      <c r="H7" s="31"/>
      <c r="I7" s="31"/>
      <c r="J7" s="31"/>
      <c r="K7" s="31"/>
      <c r="L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row>
    <row r="8" spans="1:56" x14ac:dyDescent="0.25">
      <c r="A8" s="56" t="s">
        <v>600</v>
      </c>
      <c r="B8" s="58">
        <v>1017</v>
      </c>
      <c r="C8" s="194">
        <v>820.25762045231068</v>
      </c>
      <c r="D8" s="31"/>
      <c r="E8" s="31"/>
      <c r="F8" s="31"/>
      <c r="G8" s="31"/>
      <c r="H8" s="31"/>
      <c r="I8" s="31"/>
      <c r="J8" s="31"/>
      <c r="K8" s="31"/>
      <c r="L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row>
    <row r="9" spans="1:56" x14ac:dyDescent="0.25">
      <c r="A9" s="56" t="s">
        <v>599</v>
      </c>
      <c r="B9" s="58">
        <v>46313</v>
      </c>
      <c r="C9" s="194">
        <v>834.24541705352704</v>
      </c>
      <c r="D9" s="31"/>
      <c r="E9" s="31"/>
      <c r="F9" s="31"/>
      <c r="G9" s="31"/>
      <c r="H9" s="31"/>
      <c r="I9" s="31"/>
      <c r="J9" s="31"/>
      <c r="K9" s="31"/>
      <c r="L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spans="1:56" x14ac:dyDescent="0.25">
      <c r="A10" s="56" t="s">
        <v>601</v>
      </c>
      <c r="B10" s="58">
        <v>721</v>
      </c>
      <c r="C10" s="194">
        <v>734.05409153952849</v>
      </c>
      <c r="D10" s="55"/>
      <c r="E10" s="31"/>
      <c r="F10" s="31"/>
      <c r="G10" s="31"/>
      <c r="H10" s="31"/>
      <c r="I10" s="31"/>
      <c r="J10" s="31"/>
      <c r="K10" s="31"/>
      <c r="L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row>
    <row r="11" spans="1:56" x14ac:dyDescent="0.25">
      <c r="A11" s="57" t="s">
        <v>1</v>
      </c>
      <c r="B11" s="59">
        <v>95160</v>
      </c>
      <c r="C11" s="193">
        <v>847.75603194619589</v>
      </c>
      <c r="D11" s="31"/>
      <c r="E11" s="31"/>
      <c r="F11" s="31"/>
      <c r="G11" s="31"/>
      <c r="H11" s="31"/>
      <c r="I11" s="31"/>
      <c r="J11" s="31"/>
      <c r="K11" s="31"/>
      <c r="L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row>
    <row r="12" spans="1:56" ht="15.75" customHeight="1" x14ac:dyDescent="0.25">
      <c r="A12" s="239" t="s">
        <v>737</v>
      </c>
      <c r="B12" s="239"/>
      <c r="C12" s="239"/>
      <c r="D12" s="31"/>
      <c r="E12" s="31"/>
      <c r="F12" s="31"/>
      <c r="G12" s="31"/>
      <c r="H12" s="31"/>
      <c r="I12" s="31"/>
      <c r="J12" s="31"/>
      <c r="K12" s="31"/>
      <c r="L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row>
    <row r="13" spans="1:56" ht="15.95" customHeight="1" x14ac:dyDescent="0.25">
      <c r="A13" s="239" t="s">
        <v>736</v>
      </c>
      <c r="B13" s="239"/>
      <c r="C13" s="239"/>
      <c r="D13" s="31"/>
      <c r="E13" s="31"/>
      <c r="F13" s="31"/>
      <c r="G13" s="31"/>
      <c r="H13" s="31"/>
      <c r="I13" s="31"/>
      <c r="J13" s="31"/>
      <c r="K13" s="31"/>
      <c r="L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6" ht="14.45" customHeight="1" x14ac:dyDescent="0.25">
      <c r="A14" s="234"/>
      <c r="B14" s="234"/>
      <c r="C14" s="234"/>
      <c r="D14" s="31"/>
      <c r="E14" s="31"/>
      <c r="F14" s="31"/>
      <c r="G14" s="31"/>
      <c r="H14" s="31"/>
      <c r="I14" s="31"/>
      <c r="J14" s="31"/>
      <c r="K14" s="31"/>
      <c r="L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row>
    <row r="15" spans="1:56" ht="15.95" customHeight="1" x14ac:dyDescent="0.25">
      <c r="A15" s="234"/>
      <c r="B15" s="234"/>
      <c r="C15" s="234"/>
      <c r="D15" s="31"/>
      <c r="E15" s="31"/>
      <c r="F15" s="31"/>
      <c r="G15" s="31"/>
      <c r="H15" s="31"/>
      <c r="I15" s="31"/>
      <c r="J15" s="31"/>
      <c r="K15" s="31"/>
      <c r="L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row>
    <row r="16" spans="1:56" ht="34.35" customHeight="1" thickBot="1" x14ac:dyDescent="0.3">
      <c r="A16" s="234" t="s">
        <v>735</v>
      </c>
      <c r="B16" s="234"/>
      <c r="C16" s="234"/>
      <c r="D16" s="31"/>
      <c r="E16" s="31"/>
      <c r="F16" s="31"/>
      <c r="G16" s="31"/>
      <c r="H16" s="31"/>
      <c r="I16" s="31"/>
      <c r="J16" s="31"/>
      <c r="K16" s="31"/>
      <c r="L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row>
    <row r="17" spans="1:56" ht="31.5" x14ac:dyDescent="0.25">
      <c r="A17" s="70" t="s">
        <v>608</v>
      </c>
      <c r="B17" s="71" t="s">
        <v>571</v>
      </c>
      <c r="C17" s="71" t="s">
        <v>609</v>
      </c>
      <c r="D17" s="31"/>
      <c r="E17" s="31"/>
      <c r="F17" s="31"/>
      <c r="G17" s="31"/>
      <c r="H17" s="31"/>
      <c r="I17" s="31"/>
      <c r="J17" s="31"/>
      <c r="K17" s="31"/>
      <c r="L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row>
    <row r="18" spans="1:56" ht="16.5" thickBot="1" x14ac:dyDescent="0.3">
      <c r="A18" s="72" t="s">
        <v>1</v>
      </c>
      <c r="B18" s="73">
        <v>95160</v>
      </c>
      <c r="C18" s="74">
        <v>847.75603194619589</v>
      </c>
      <c r="D18" s="31"/>
      <c r="E18" s="31"/>
      <c r="F18" s="31"/>
      <c r="G18" s="31"/>
      <c r="H18" s="31"/>
      <c r="I18" s="31"/>
      <c r="J18" s="31"/>
      <c r="K18" s="31"/>
      <c r="L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row>
    <row r="19" spans="1:56" ht="16.5" thickTop="1" x14ac:dyDescent="0.25">
      <c r="A19" s="75" t="s">
        <v>574</v>
      </c>
      <c r="B19" s="76">
        <v>3036</v>
      </c>
      <c r="C19" s="77">
        <v>922.37944664031625</v>
      </c>
      <c r="D19" s="31"/>
      <c r="E19" s="31"/>
      <c r="F19" s="31"/>
      <c r="G19" s="31"/>
      <c r="H19" s="31"/>
      <c r="I19" s="31"/>
      <c r="J19" s="31"/>
      <c r="K19" s="31"/>
      <c r="L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row>
    <row r="20" spans="1:56" x14ac:dyDescent="0.25">
      <c r="A20" s="78" t="s">
        <v>77</v>
      </c>
      <c r="B20" s="79">
        <v>943</v>
      </c>
      <c r="C20" s="80">
        <v>495.97454931071047</v>
      </c>
      <c r="D20" s="31"/>
      <c r="E20" s="31"/>
      <c r="F20" s="31"/>
      <c r="G20" s="31"/>
      <c r="H20" s="31"/>
      <c r="I20" s="31"/>
      <c r="J20" s="31"/>
      <c r="K20" s="31"/>
      <c r="L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row>
    <row r="21" spans="1:56" x14ac:dyDescent="0.25">
      <c r="A21" s="78" t="s">
        <v>573</v>
      </c>
      <c r="B21" s="79">
        <v>734</v>
      </c>
      <c r="C21" s="80">
        <v>687.1403269754768</v>
      </c>
      <c r="D21" s="31"/>
      <c r="E21" s="31"/>
      <c r="F21" s="31"/>
      <c r="G21" s="31"/>
      <c r="H21" s="31"/>
      <c r="I21" s="31"/>
      <c r="J21" s="31"/>
      <c r="K21" s="31"/>
      <c r="L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row>
    <row r="22" spans="1:56" x14ac:dyDescent="0.25">
      <c r="A22" s="78" t="s">
        <v>23</v>
      </c>
      <c r="B22" s="79">
        <v>1359</v>
      </c>
      <c r="C22" s="80">
        <v>1345.3119941133186</v>
      </c>
      <c r="D22" s="31"/>
      <c r="E22" s="31"/>
      <c r="F22" s="31"/>
      <c r="G22" s="31"/>
      <c r="H22" s="31"/>
      <c r="I22" s="31"/>
      <c r="J22" s="31"/>
      <c r="K22" s="31"/>
      <c r="L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row>
    <row r="23" spans="1:56" x14ac:dyDescent="0.25">
      <c r="A23" s="75" t="s">
        <v>575</v>
      </c>
      <c r="B23" s="76">
        <v>1795</v>
      </c>
      <c r="C23" s="77">
        <v>785.79888579387182</v>
      </c>
      <c r="D23" s="31"/>
      <c r="E23" s="31"/>
      <c r="F23" s="31"/>
      <c r="G23" s="31"/>
      <c r="H23" s="31"/>
      <c r="I23" s="31"/>
      <c r="J23" s="31"/>
      <c r="K23" s="31"/>
      <c r="L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row>
    <row r="24" spans="1:56" x14ac:dyDescent="0.25">
      <c r="A24" s="78" t="s">
        <v>77</v>
      </c>
      <c r="B24" s="79">
        <v>982</v>
      </c>
      <c r="C24" s="80">
        <v>611.68228105906314</v>
      </c>
      <c r="D24" s="31"/>
      <c r="E24" s="31"/>
      <c r="F24" s="31"/>
      <c r="G24" s="31"/>
      <c r="H24" s="31"/>
      <c r="I24" s="31"/>
      <c r="J24" s="31"/>
      <c r="K24" s="31"/>
      <c r="L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row>
    <row r="25" spans="1:56" x14ac:dyDescent="0.25">
      <c r="A25" s="78" t="s">
        <v>573</v>
      </c>
      <c r="B25" s="79">
        <v>175</v>
      </c>
      <c r="C25" s="80">
        <v>737.70285714285717</v>
      </c>
      <c r="D25" s="31"/>
      <c r="E25" s="31"/>
      <c r="F25" s="31"/>
      <c r="G25" s="31"/>
      <c r="H25" s="31"/>
      <c r="I25" s="31"/>
      <c r="J25" s="31"/>
      <c r="K25" s="31"/>
      <c r="L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row>
    <row r="26" spans="1:56" x14ac:dyDescent="0.25">
      <c r="A26" s="78" t="s">
        <v>23</v>
      </c>
      <c r="B26" s="79">
        <v>638</v>
      </c>
      <c r="C26" s="80">
        <v>1066.9890282131662</v>
      </c>
      <c r="D26" s="31"/>
      <c r="E26" s="31"/>
      <c r="F26" s="31"/>
      <c r="G26" s="31"/>
      <c r="H26" s="31"/>
      <c r="I26" s="31"/>
      <c r="J26" s="31"/>
      <c r="K26" s="31"/>
      <c r="L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row>
    <row r="27" spans="1:56" x14ac:dyDescent="0.25">
      <c r="A27" s="75" t="s">
        <v>576</v>
      </c>
      <c r="B27" s="76">
        <v>2062</v>
      </c>
      <c r="C27" s="77">
        <v>382.04461687681862</v>
      </c>
      <c r="D27" s="31"/>
      <c r="E27" s="31"/>
      <c r="F27" s="31"/>
      <c r="G27" s="31"/>
      <c r="H27" s="31"/>
      <c r="I27" s="31"/>
      <c r="J27" s="31"/>
      <c r="K27" s="31"/>
      <c r="L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row>
    <row r="28" spans="1:56" x14ac:dyDescent="0.25">
      <c r="A28" s="78" t="s">
        <v>77</v>
      </c>
      <c r="B28" s="79">
        <v>1127</v>
      </c>
      <c r="C28" s="80">
        <v>188.15616681455191</v>
      </c>
      <c r="D28" s="31"/>
      <c r="E28" s="31"/>
      <c r="F28" s="31"/>
      <c r="G28" s="31"/>
      <c r="H28" s="31"/>
      <c r="I28" s="31"/>
      <c r="J28" s="31"/>
      <c r="K28" s="31"/>
      <c r="L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row>
    <row r="29" spans="1:56" x14ac:dyDescent="0.25">
      <c r="A29" s="78" t="s">
        <v>573</v>
      </c>
      <c r="B29" s="79">
        <v>801</v>
      </c>
      <c r="C29" s="80">
        <v>577.40074906367045</v>
      </c>
      <c r="D29" s="31"/>
      <c r="E29" s="31"/>
      <c r="F29" s="31"/>
      <c r="G29" s="31"/>
      <c r="H29" s="31"/>
      <c r="I29" s="31"/>
      <c r="J29" s="31"/>
      <c r="K29" s="31"/>
      <c r="L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row>
    <row r="30" spans="1:56" x14ac:dyDescent="0.25">
      <c r="A30" s="78" t="s">
        <v>23</v>
      </c>
      <c r="B30" s="79">
        <v>134</v>
      </c>
      <c r="C30" s="80">
        <v>844.97014925373139</v>
      </c>
      <c r="D30" s="31"/>
      <c r="E30" s="31"/>
      <c r="F30" s="31"/>
      <c r="G30" s="31"/>
      <c r="H30" s="31"/>
      <c r="I30" s="31"/>
      <c r="J30" s="31"/>
      <c r="K30" s="31"/>
      <c r="L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row>
    <row r="31" spans="1:56" x14ac:dyDescent="0.25">
      <c r="A31" s="75" t="s">
        <v>577</v>
      </c>
      <c r="B31" s="76">
        <v>435</v>
      </c>
      <c r="C31" s="77">
        <v>1339.8965517241379</v>
      </c>
      <c r="D31" s="31"/>
      <c r="E31" s="31"/>
      <c r="F31" s="31"/>
      <c r="G31" s="31"/>
      <c r="H31" s="31"/>
      <c r="I31" s="31"/>
      <c r="J31" s="31"/>
      <c r="K31" s="31"/>
      <c r="L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row>
    <row r="32" spans="1:56" x14ac:dyDescent="0.25">
      <c r="A32" s="78" t="s">
        <v>77</v>
      </c>
      <c r="B32" s="79">
        <v>40</v>
      </c>
      <c r="C32" s="80">
        <v>275.3</v>
      </c>
      <c r="D32" s="31"/>
      <c r="E32" s="31"/>
      <c r="F32" s="31"/>
      <c r="G32" s="31"/>
      <c r="H32" s="31"/>
      <c r="I32" s="31"/>
      <c r="J32" s="31"/>
      <c r="K32" s="31"/>
      <c r="L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row>
    <row r="33" spans="1:56" x14ac:dyDescent="0.25">
      <c r="A33" s="78" t="s">
        <v>573</v>
      </c>
      <c r="B33" s="79">
        <v>19</v>
      </c>
      <c r="C33" s="80">
        <v>731.57894736842104</v>
      </c>
      <c r="D33" s="31"/>
      <c r="E33" s="31"/>
      <c r="F33" s="31"/>
      <c r="G33" s="31"/>
      <c r="H33" s="31"/>
      <c r="I33" s="31"/>
      <c r="J33" s="31"/>
      <c r="K33" s="31"/>
      <c r="L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row>
    <row r="34" spans="1:56" x14ac:dyDescent="0.25">
      <c r="A34" s="78" t="s">
        <v>23</v>
      </c>
      <c r="B34" s="79">
        <v>376</v>
      </c>
      <c r="C34" s="80">
        <v>1483.8909574468084</v>
      </c>
      <c r="D34" s="31"/>
      <c r="E34" s="31"/>
      <c r="F34" s="31"/>
      <c r="G34" s="31"/>
      <c r="H34" s="31"/>
      <c r="I34" s="31"/>
      <c r="J34" s="31"/>
      <c r="K34" s="31"/>
      <c r="L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row>
    <row r="35" spans="1:56" x14ac:dyDescent="0.25">
      <c r="A35" s="75" t="s">
        <v>578</v>
      </c>
      <c r="B35" s="76">
        <v>6659</v>
      </c>
      <c r="C35" s="77">
        <v>1066.8935275566903</v>
      </c>
      <c r="D35" s="31"/>
      <c r="E35" s="31"/>
      <c r="F35" s="31"/>
      <c r="G35" s="31"/>
      <c r="H35" s="31"/>
      <c r="I35" s="31"/>
      <c r="J35" s="31"/>
      <c r="K35" s="31"/>
      <c r="L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row>
    <row r="36" spans="1:56" x14ac:dyDescent="0.25">
      <c r="A36" s="78" t="s">
        <v>77</v>
      </c>
      <c r="B36" s="79">
        <v>1600</v>
      </c>
      <c r="C36" s="80">
        <v>656.95375000000001</v>
      </c>
      <c r="D36" s="31"/>
      <c r="E36" s="31"/>
      <c r="F36" s="31"/>
      <c r="G36" s="31"/>
      <c r="H36" s="31"/>
      <c r="I36" s="31"/>
      <c r="J36" s="31"/>
      <c r="K36" s="31"/>
      <c r="L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x14ac:dyDescent="0.25">
      <c r="A37" s="78" t="s">
        <v>573</v>
      </c>
      <c r="B37" s="79">
        <v>2633</v>
      </c>
      <c r="C37" s="80">
        <v>939.85567793391567</v>
      </c>
      <c r="D37" s="31"/>
      <c r="E37" s="31"/>
      <c r="F37" s="31"/>
      <c r="G37" s="31"/>
      <c r="H37" s="31"/>
      <c r="I37" s="31"/>
      <c r="J37" s="31"/>
      <c r="K37" s="31"/>
      <c r="L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row>
    <row r="38" spans="1:56" x14ac:dyDescent="0.25">
      <c r="A38" s="78" t="s">
        <v>23</v>
      </c>
      <c r="B38" s="79">
        <v>2426</v>
      </c>
      <c r="C38" s="80">
        <v>1475.1352019785656</v>
      </c>
      <c r="D38" s="31"/>
      <c r="E38" s="31"/>
      <c r="F38" s="31"/>
      <c r="G38" s="31"/>
      <c r="H38" s="31"/>
      <c r="I38" s="31"/>
      <c r="J38" s="31"/>
      <c r="K38" s="31"/>
      <c r="L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row>
    <row r="39" spans="1:56" x14ac:dyDescent="0.25">
      <c r="A39" s="75" t="s">
        <v>579</v>
      </c>
      <c r="B39" s="76">
        <v>1077</v>
      </c>
      <c r="C39" s="77">
        <v>676.96935933147631</v>
      </c>
      <c r="D39" s="31"/>
      <c r="E39" s="31"/>
      <c r="F39" s="31"/>
      <c r="G39" s="31"/>
      <c r="H39" s="31"/>
      <c r="I39" s="31"/>
      <c r="J39" s="31"/>
      <c r="K39" s="31"/>
      <c r="L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row>
    <row r="40" spans="1:56" x14ac:dyDescent="0.25">
      <c r="A40" s="78" t="s">
        <v>77</v>
      </c>
      <c r="B40" s="79">
        <v>630</v>
      </c>
      <c r="C40" s="80">
        <v>505.36507936507934</v>
      </c>
      <c r="D40" s="31"/>
      <c r="E40" s="31"/>
      <c r="F40" s="31"/>
      <c r="G40" s="31"/>
      <c r="H40" s="31"/>
      <c r="I40" s="31"/>
      <c r="J40" s="31"/>
      <c r="K40" s="31"/>
      <c r="L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row>
    <row r="41" spans="1:56" x14ac:dyDescent="0.25">
      <c r="A41" s="78" t="s">
        <v>573</v>
      </c>
      <c r="B41" s="79">
        <v>245</v>
      </c>
      <c r="C41" s="80">
        <v>820.42448979591836</v>
      </c>
      <c r="D41" s="31"/>
      <c r="E41" s="31"/>
      <c r="F41" s="31"/>
      <c r="G41" s="31"/>
      <c r="H41" s="31"/>
      <c r="I41" s="31"/>
      <c r="J41" s="31"/>
      <c r="K41" s="31"/>
      <c r="L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row>
    <row r="42" spans="1:56" x14ac:dyDescent="0.25">
      <c r="A42" s="78" t="s">
        <v>23</v>
      </c>
      <c r="B42" s="79">
        <v>202</v>
      </c>
      <c r="C42" s="80">
        <v>1038.1782178217823</v>
      </c>
      <c r="D42" s="31"/>
      <c r="E42" s="31"/>
      <c r="F42" s="31"/>
      <c r="G42" s="31"/>
      <c r="H42" s="31"/>
      <c r="I42" s="31"/>
      <c r="J42" s="31"/>
      <c r="K42" s="31"/>
      <c r="L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row>
    <row r="43" spans="1:56" x14ac:dyDescent="0.25">
      <c r="A43" s="75" t="s">
        <v>580</v>
      </c>
      <c r="B43" s="76">
        <v>1486</v>
      </c>
      <c r="C43" s="77">
        <v>1347.7658142664873</v>
      </c>
      <c r="D43" s="31"/>
      <c r="E43" s="31"/>
      <c r="F43" s="31"/>
      <c r="G43" s="31"/>
      <c r="H43" s="31"/>
      <c r="I43" s="31"/>
      <c r="J43" s="31"/>
      <c r="K43" s="31"/>
      <c r="L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row>
    <row r="44" spans="1:56" x14ac:dyDescent="0.25">
      <c r="A44" s="78" t="s">
        <v>77</v>
      </c>
      <c r="B44" s="79">
        <v>69</v>
      </c>
      <c r="C44" s="80">
        <v>554.56521739130437</v>
      </c>
      <c r="D44" s="31"/>
      <c r="E44" s="31"/>
      <c r="F44" s="31"/>
      <c r="G44" s="31"/>
      <c r="H44" s="31"/>
      <c r="I44" s="31"/>
      <c r="J44" s="31"/>
      <c r="K44" s="31"/>
      <c r="L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row>
    <row r="45" spans="1:56" x14ac:dyDescent="0.25">
      <c r="A45" s="78" t="s">
        <v>573</v>
      </c>
      <c r="B45" s="79">
        <v>659</v>
      </c>
      <c r="C45" s="80">
        <v>877.04704097116849</v>
      </c>
      <c r="D45" s="31"/>
      <c r="E45" s="31"/>
      <c r="F45" s="31"/>
      <c r="G45" s="31"/>
      <c r="H45" s="31"/>
      <c r="I45" s="31"/>
      <c r="J45" s="31"/>
      <c r="K45" s="31"/>
      <c r="L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row>
    <row r="46" spans="1:56" x14ac:dyDescent="0.25">
      <c r="A46" s="78" t="s">
        <v>23</v>
      </c>
      <c r="B46" s="79">
        <v>758</v>
      </c>
      <c r="C46" s="80">
        <v>1829.2097625329816</v>
      </c>
      <c r="D46" s="31"/>
      <c r="E46" s="31"/>
      <c r="F46" s="31"/>
      <c r="G46" s="31"/>
      <c r="H46" s="31"/>
      <c r="I46" s="31"/>
      <c r="J46" s="31"/>
      <c r="K46" s="31"/>
      <c r="L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row>
    <row r="47" spans="1:56" x14ac:dyDescent="0.25">
      <c r="A47" s="75" t="s">
        <v>581</v>
      </c>
      <c r="B47" s="76">
        <v>7938</v>
      </c>
      <c r="C47" s="77">
        <v>1009.9144620811287</v>
      </c>
      <c r="D47" s="31"/>
      <c r="E47" s="31"/>
      <c r="F47" s="31"/>
      <c r="G47" s="31"/>
      <c r="H47" s="31"/>
      <c r="I47" s="31"/>
      <c r="J47" s="31"/>
      <c r="K47" s="31"/>
      <c r="L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row>
    <row r="48" spans="1:56" x14ac:dyDescent="0.25">
      <c r="A48" s="78" t="s">
        <v>77</v>
      </c>
      <c r="B48" s="79">
        <v>389</v>
      </c>
      <c r="C48" s="80">
        <v>673.82005141388174</v>
      </c>
      <c r="D48" s="31"/>
      <c r="E48" s="31"/>
      <c r="F48" s="31"/>
      <c r="G48" s="31"/>
      <c r="H48" s="31"/>
      <c r="I48" s="31"/>
      <c r="J48" s="31"/>
      <c r="K48" s="31"/>
      <c r="L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row>
    <row r="49" spans="1:56" x14ac:dyDescent="0.25">
      <c r="A49" s="78" t="s">
        <v>573</v>
      </c>
      <c r="B49" s="79">
        <v>5161</v>
      </c>
      <c r="C49" s="80">
        <v>808.39062197248597</v>
      </c>
      <c r="D49" s="31"/>
      <c r="E49" s="31"/>
      <c r="F49" s="31"/>
      <c r="G49" s="31"/>
      <c r="H49" s="31"/>
      <c r="I49" s="31"/>
      <c r="J49" s="31"/>
      <c r="K49" s="31"/>
      <c r="L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row>
    <row r="50" spans="1:56" x14ac:dyDescent="0.25">
      <c r="A50" s="78" t="s">
        <v>23</v>
      </c>
      <c r="B50" s="79">
        <v>2388</v>
      </c>
      <c r="C50" s="80">
        <v>1500.2014237855947</v>
      </c>
      <c r="D50" s="31"/>
      <c r="E50" s="31"/>
      <c r="F50" s="31"/>
      <c r="G50" s="31"/>
      <c r="H50" s="31"/>
      <c r="I50" s="31"/>
      <c r="J50" s="31"/>
      <c r="K50" s="31"/>
      <c r="L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row>
    <row r="51" spans="1:56" x14ac:dyDescent="0.25">
      <c r="A51" s="75" t="s">
        <v>582</v>
      </c>
      <c r="B51" s="76">
        <v>2039</v>
      </c>
      <c r="C51" s="77">
        <v>483.37420304070622</v>
      </c>
      <c r="D51" s="31"/>
      <c r="E51" s="31"/>
      <c r="F51" s="31"/>
      <c r="G51" s="31"/>
      <c r="H51" s="31"/>
      <c r="I51" s="31"/>
      <c r="J51" s="31"/>
      <c r="K51" s="31"/>
      <c r="L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row>
    <row r="52" spans="1:56" x14ac:dyDescent="0.25">
      <c r="A52" s="78" t="s">
        <v>77</v>
      </c>
      <c r="B52" s="79">
        <v>906</v>
      </c>
      <c r="C52" s="80">
        <v>74.070640176600435</v>
      </c>
      <c r="D52" s="31"/>
      <c r="E52" s="31"/>
      <c r="F52" s="31"/>
      <c r="G52" s="31"/>
      <c r="H52" s="31"/>
      <c r="I52" s="31"/>
      <c r="J52" s="31"/>
      <c r="K52" s="31"/>
      <c r="L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row>
    <row r="53" spans="1:56" x14ac:dyDescent="0.25">
      <c r="A53" s="78" t="s">
        <v>573</v>
      </c>
      <c r="B53" s="79">
        <v>502</v>
      </c>
      <c r="C53" s="80">
        <v>223.61752988047809</v>
      </c>
      <c r="D53" s="31"/>
      <c r="E53" s="31"/>
      <c r="F53" s="31"/>
      <c r="G53" s="31"/>
      <c r="H53" s="31"/>
      <c r="I53" s="31"/>
      <c r="J53" s="31"/>
      <c r="K53" s="31"/>
      <c r="L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row>
    <row r="54" spans="1:56" x14ac:dyDescent="0.25">
      <c r="A54" s="78" t="s">
        <v>23</v>
      </c>
      <c r="B54" s="79">
        <v>631</v>
      </c>
      <c r="C54" s="80">
        <v>1277.7115689381933</v>
      </c>
      <c r="D54" s="31"/>
      <c r="E54" s="31"/>
      <c r="F54" s="31"/>
      <c r="G54" s="31"/>
      <c r="H54" s="31"/>
      <c r="I54" s="31"/>
      <c r="J54" s="31"/>
      <c r="K54" s="31"/>
      <c r="L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row>
    <row r="55" spans="1:56" x14ac:dyDescent="0.25">
      <c r="A55" s="75" t="s">
        <v>583</v>
      </c>
      <c r="B55" s="76">
        <v>3052</v>
      </c>
      <c r="C55" s="77">
        <v>609.55733944954125</v>
      </c>
      <c r="D55" s="31"/>
      <c r="E55" s="31"/>
      <c r="F55" s="31"/>
      <c r="G55" s="31"/>
      <c r="H55" s="31"/>
      <c r="I55" s="31"/>
      <c r="J55" s="31"/>
      <c r="K55" s="31"/>
      <c r="L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row>
    <row r="56" spans="1:56" x14ac:dyDescent="0.25">
      <c r="A56" s="78" t="s">
        <v>77</v>
      </c>
      <c r="B56" s="79">
        <v>2403</v>
      </c>
      <c r="C56" s="80">
        <v>469.02372034956306</v>
      </c>
      <c r="D56" s="31"/>
      <c r="E56" s="31"/>
      <c r="F56" s="31"/>
      <c r="G56" s="31"/>
      <c r="H56" s="31"/>
      <c r="I56" s="31"/>
      <c r="J56" s="31"/>
      <c r="K56" s="31"/>
      <c r="L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row>
    <row r="57" spans="1:56" x14ac:dyDescent="0.25">
      <c r="A57" s="78" t="s">
        <v>573</v>
      </c>
      <c r="B57" s="79">
        <v>623</v>
      </c>
      <c r="C57" s="80">
        <v>1109.215088282504</v>
      </c>
      <c r="D57" s="31"/>
      <c r="E57" s="31"/>
      <c r="F57" s="31"/>
      <c r="G57" s="31"/>
      <c r="H57" s="31"/>
      <c r="I57" s="31"/>
      <c r="J57" s="31"/>
      <c r="K57" s="31"/>
      <c r="L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spans="1:56" x14ac:dyDescent="0.25">
      <c r="A58" s="78" t="s">
        <v>23</v>
      </c>
      <c r="B58" s="79">
        <v>26</v>
      </c>
      <c r="C58" s="80">
        <v>1625.5384615384614</v>
      </c>
      <c r="D58" s="31"/>
      <c r="E58" s="31"/>
      <c r="F58" s="31"/>
      <c r="G58" s="31"/>
      <c r="H58" s="31"/>
      <c r="I58" s="31"/>
      <c r="J58" s="31"/>
      <c r="K58" s="31"/>
      <c r="L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row>
    <row r="59" spans="1:56" x14ac:dyDescent="0.25">
      <c r="A59" s="75" t="s">
        <v>584</v>
      </c>
      <c r="B59" s="76">
        <v>10627</v>
      </c>
      <c r="C59" s="77">
        <v>971.57683259621717</v>
      </c>
      <c r="D59" s="31"/>
      <c r="E59" s="31"/>
      <c r="F59" s="31"/>
      <c r="G59" s="31"/>
      <c r="H59" s="31"/>
      <c r="I59" s="31"/>
      <c r="J59" s="31"/>
      <c r="K59" s="31"/>
      <c r="L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row>
    <row r="60" spans="1:56" x14ac:dyDescent="0.25">
      <c r="A60" s="78" t="s">
        <v>77</v>
      </c>
      <c r="B60" s="79">
        <v>3809</v>
      </c>
      <c r="C60" s="80">
        <v>613.59963244946175</v>
      </c>
      <c r="D60" s="31"/>
      <c r="E60" s="31"/>
      <c r="F60" s="31"/>
      <c r="G60" s="31"/>
      <c r="H60" s="31"/>
      <c r="I60" s="31"/>
      <c r="J60" s="31"/>
      <c r="K60" s="31"/>
      <c r="L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row>
    <row r="61" spans="1:56" x14ac:dyDescent="0.25">
      <c r="A61" s="78" t="s">
        <v>573</v>
      </c>
      <c r="B61" s="79">
        <v>994</v>
      </c>
      <c r="C61" s="80">
        <v>959.15694164989941</v>
      </c>
      <c r="D61" s="31"/>
      <c r="E61" s="31"/>
      <c r="F61" s="31"/>
      <c r="G61" s="31"/>
      <c r="H61" s="31"/>
      <c r="I61" s="31"/>
      <c r="J61" s="31"/>
      <c r="K61" s="31"/>
      <c r="L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row>
    <row r="62" spans="1:56" x14ac:dyDescent="0.25">
      <c r="A62" s="78" t="s">
        <v>23</v>
      </c>
      <c r="B62" s="79">
        <v>5824</v>
      </c>
      <c r="C62" s="80">
        <v>1207.8200549450548</v>
      </c>
      <c r="D62" s="31"/>
      <c r="E62" s="31"/>
      <c r="F62" s="31"/>
      <c r="G62" s="31"/>
      <c r="H62" s="31"/>
      <c r="I62" s="31"/>
      <c r="J62" s="31"/>
      <c r="K62" s="31"/>
      <c r="L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row>
    <row r="63" spans="1:56" x14ac:dyDescent="0.25">
      <c r="A63" s="75" t="s">
        <v>585</v>
      </c>
      <c r="B63" s="76">
        <v>6589</v>
      </c>
      <c r="C63" s="77">
        <v>418.0391561693732</v>
      </c>
      <c r="D63" s="31"/>
      <c r="E63" s="31"/>
      <c r="F63" s="31"/>
      <c r="G63" s="31"/>
      <c r="H63" s="31"/>
      <c r="I63" s="31"/>
      <c r="J63" s="31"/>
      <c r="K63" s="31"/>
      <c r="L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row>
    <row r="64" spans="1:56" x14ac:dyDescent="0.25">
      <c r="A64" s="78" t="s">
        <v>77</v>
      </c>
      <c r="B64" s="79">
        <v>4171</v>
      </c>
      <c r="C64" s="80">
        <v>347.31263485974586</v>
      </c>
      <c r="D64" s="31"/>
      <c r="E64" s="31"/>
      <c r="F64" s="31"/>
      <c r="G64" s="31"/>
      <c r="H64" s="31"/>
      <c r="I64" s="31"/>
      <c r="J64" s="31"/>
      <c r="K64" s="31"/>
      <c r="L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row>
    <row r="65" spans="1:56" x14ac:dyDescent="0.25">
      <c r="A65" s="78" t="s">
        <v>573</v>
      </c>
      <c r="B65" s="79">
        <v>2267</v>
      </c>
      <c r="C65" s="80">
        <v>540.91177767975296</v>
      </c>
      <c r="D65" s="31"/>
      <c r="E65" s="31"/>
      <c r="F65" s="31"/>
      <c r="G65" s="31"/>
      <c r="H65" s="31"/>
      <c r="I65" s="31"/>
      <c r="J65" s="31"/>
      <c r="K65" s="31"/>
      <c r="L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row>
    <row r="66" spans="1:56" x14ac:dyDescent="0.25">
      <c r="A66" s="78" t="s">
        <v>23</v>
      </c>
      <c r="B66" s="79">
        <v>151</v>
      </c>
      <c r="C66" s="80">
        <v>526.96688741721857</v>
      </c>
      <c r="D66" s="31"/>
      <c r="E66" s="31"/>
      <c r="F66" s="31"/>
      <c r="G66" s="31"/>
      <c r="H66" s="31"/>
      <c r="I66" s="31"/>
      <c r="J66" s="31"/>
      <c r="K66" s="31"/>
      <c r="L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spans="1:56" x14ac:dyDescent="0.25">
      <c r="A67" s="75" t="s">
        <v>586</v>
      </c>
      <c r="B67" s="76">
        <v>2868</v>
      </c>
      <c r="C67" s="77">
        <v>741.00592747559278</v>
      </c>
      <c r="D67" s="31"/>
      <c r="E67" s="31"/>
      <c r="F67" s="31"/>
      <c r="G67" s="31"/>
      <c r="H67" s="31"/>
      <c r="I67" s="31"/>
      <c r="J67" s="31"/>
      <c r="K67" s="31"/>
      <c r="L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spans="1:56" x14ac:dyDescent="0.25">
      <c r="A68" s="78" t="s">
        <v>77</v>
      </c>
      <c r="B68" s="79">
        <v>1191</v>
      </c>
      <c r="C68" s="80">
        <v>541.28715365239293</v>
      </c>
      <c r="D68" s="31"/>
      <c r="E68" s="31"/>
      <c r="F68" s="31"/>
      <c r="G68" s="31"/>
      <c r="H68" s="31"/>
      <c r="I68" s="31"/>
      <c r="J68" s="31"/>
      <c r="K68" s="31"/>
      <c r="L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spans="1:56" x14ac:dyDescent="0.25">
      <c r="A69" s="78" t="s">
        <v>573</v>
      </c>
      <c r="B69" s="79">
        <v>1350</v>
      </c>
      <c r="C69" s="80">
        <v>821.33777777777777</v>
      </c>
      <c r="D69" s="31"/>
      <c r="E69" s="31"/>
      <c r="F69" s="31"/>
      <c r="G69" s="31"/>
      <c r="H69" s="31"/>
      <c r="I69" s="31"/>
      <c r="J69" s="31"/>
      <c r="K69" s="31"/>
      <c r="L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row>
    <row r="70" spans="1:56" x14ac:dyDescent="0.25">
      <c r="A70" s="78" t="s">
        <v>23</v>
      </c>
      <c r="B70" s="79">
        <v>327</v>
      </c>
      <c r="C70" s="80">
        <v>1136.776758409786</v>
      </c>
      <c r="D70" s="31"/>
      <c r="E70" s="31"/>
      <c r="F70" s="31"/>
      <c r="G70" s="31"/>
      <c r="H70" s="31"/>
      <c r="I70" s="31"/>
      <c r="J70" s="31"/>
      <c r="K70" s="31"/>
      <c r="L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row>
    <row r="71" spans="1:56" x14ac:dyDescent="0.25">
      <c r="A71" s="75" t="s">
        <v>587</v>
      </c>
      <c r="B71" s="76">
        <v>3972</v>
      </c>
      <c r="C71" s="77">
        <v>723.78096676737164</v>
      </c>
      <c r="D71" s="31"/>
      <c r="E71" s="31"/>
      <c r="F71" s="31"/>
      <c r="G71" s="31"/>
      <c r="H71" s="31"/>
      <c r="I71" s="31"/>
      <c r="J71" s="31"/>
      <c r="K71" s="31"/>
      <c r="L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row>
    <row r="72" spans="1:56" x14ac:dyDescent="0.25">
      <c r="A72" s="78" t="s">
        <v>77</v>
      </c>
      <c r="B72" s="79">
        <v>1713</v>
      </c>
      <c r="C72" s="80">
        <v>408.76240513718625</v>
      </c>
      <c r="D72" s="31"/>
      <c r="E72" s="31"/>
      <c r="F72" s="31"/>
      <c r="G72" s="31"/>
      <c r="H72" s="31"/>
      <c r="I72" s="31"/>
      <c r="J72" s="31"/>
      <c r="K72" s="31"/>
      <c r="L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row>
    <row r="73" spans="1:56" x14ac:dyDescent="0.25">
      <c r="A73" s="78" t="s">
        <v>573</v>
      </c>
      <c r="B73" s="79">
        <v>673</v>
      </c>
      <c r="C73" s="80">
        <v>669.14413075780089</v>
      </c>
      <c r="D73" s="31"/>
      <c r="E73" s="31"/>
      <c r="F73" s="31"/>
      <c r="G73" s="31"/>
      <c r="H73" s="31"/>
      <c r="I73" s="31"/>
      <c r="J73" s="31"/>
      <c r="K73" s="31"/>
      <c r="L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row>
    <row r="74" spans="1:56" x14ac:dyDescent="0.25">
      <c r="A74" s="78" t="s">
        <v>23</v>
      </c>
      <c r="B74" s="79">
        <v>1586</v>
      </c>
      <c r="C74" s="80">
        <v>1087.2093316519547</v>
      </c>
      <c r="D74" s="31"/>
      <c r="E74" s="31"/>
      <c r="F74" s="31"/>
      <c r="G74" s="31"/>
      <c r="H74" s="31"/>
      <c r="I74" s="31"/>
      <c r="J74" s="31"/>
      <c r="K74" s="31"/>
      <c r="L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row>
    <row r="75" spans="1:56" x14ac:dyDescent="0.25">
      <c r="A75" s="75" t="s">
        <v>588</v>
      </c>
      <c r="B75" s="76">
        <v>7165</v>
      </c>
      <c r="C75" s="77">
        <v>1050.6446615491975</v>
      </c>
      <c r="D75" s="31"/>
      <c r="E75" s="31"/>
      <c r="F75" s="31"/>
      <c r="G75" s="31"/>
      <c r="H75" s="31"/>
      <c r="I75" s="31"/>
      <c r="J75" s="31"/>
      <c r="K75" s="31"/>
      <c r="L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row>
    <row r="76" spans="1:56" x14ac:dyDescent="0.25">
      <c r="A76" s="78" t="s">
        <v>77</v>
      </c>
      <c r="B76" s="79">
        <v>979</v>
      </c>
      <c r="C76" s="80">
        <v>420.07660878447393</v>
      </c>
      <c r="D76" s="31"/>
      <c r="E76" s="31"/>
      <c r="F76" s="31"/>
      <c r="G76" s="31"/>
      <c r="H76" s="31"/>
      <c r="I76" s="31"/>
      <c r="J76" s="31"/>
      <c r="K76" s="31"/>
      <c r="L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row>
    <row r="77" spans="1:56" x14ac:dyDescent="0.25">
      <c r="A77" s="78" t="s">
        <v>573</v>
      </c>
      <c r="B77" s="79">
        <v>4080</v>
      </c>
      <c r="C77" s="80">
        <v>933.84852941176473</v>
      </c>
      <c r="D77" s="31"/>
      <c r="E77" s="31"/>
      <c r="F77" s="31"/>
      <c r="G77" s="31"/>
      <c r="H77" s="31"/>
      <c r="I77" s="31"/>
      <c r="J77" s="31"/>
      <c r="K77" s="31"/>
      <c r="L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row>
    <row r="78" spans="1:56" x14ac:dyDescent="0.25">
      <c r="A78" s="78" t="s">
        <v>23</v>
      </c>
      <c r="B78" s="79">
        <v>2106</v>
      </c>
      <c r="C78" s="80">
        <v>1570.0436847103513</v>
      </c>
      <c r="D78" s="31"/>
      <c r="E78" s="31"/>
      <c r="F78" s="31"/>
      <c r="G78" s="31"/>
      <c r="H78" s="31"/>
      <c r="I78" s="31"/>
      <c r="J78" s="31"/>
      <c r="K78" s="31"/>
      <c r="L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row>
    <row r="79" spans="1:56" x14ac:dyDescent="0.25">
      <c r="A79" s="75" t="s">
        <v>589</v>
      </c>
      <c r="B79" s="76">
        <v>2219</v>
      </c>
      <c r="C79" s="77">
        <v>687.59576385759351</v>
      </c>
      <c r="D79" s="31"/>
      <c r="E79" s="31"/>
      <c r="F79" s="31"/>
      <c r="G79" s="31"/>
      <c r="H79" s="31"/>
      <c r="I79" s="31"/>
      <c r="J79" s="31"/>
      <c r="K79" s="31"/>
      <c r="L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spans="1:56" x14ac:dyDescent="0.25">
      <c r="A80" s="78" t="s">
        <v>77</v>
      </c>
      <c r="B80" s="79">
        <v>342</v>
      </c>
      <c r="C80" s="80">
        <v>464.11988304093569</v>
      </c>
      <c r="D80" s="31"/>
      <c r="E80" s="31"/>
      <c r="F80" s="31"/>
      <c r="G80" s="31"/>
      <c r="H80" s="31"/>
      <c r="I80" s="31"/>
      <c r="J80" s="31"/>
      <c r="K80" s="31"/>
      <c r="L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row>
    <row r="81" spans="1:56" x14ac:dyDescent="0.25">
      <c r="A81" s="78" t="s">
        <v>573</v>
      </c>
      <c r="B81" s="79">
        <v>1481</v>
      </c>
      <c r="C81" s="80">
        <v>683.45239702903439</v>
      </c>
      <c r="D81" s="31"/>
      <c r="E81" s="31"/>
      <c r="F81" s="31"/>
      <c r="G81" s="31"/>
      <c r="H81" s="31"/>
      <c r="I81" s="31"/>
      <c r="J81" s="31"/>
      <c r="K81" s="31"/>
      <c r="L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row>
    <row r="82" spans="1:56" x14ac:dyDescent="0.25">
      <c r="A82" s="78" t="s">
        <v>23</v>
      </c>
      <c r="B82" s="79">
        <v>396</v>
      </c>
      <c r="C82" s="80">
        <v>896.0934343434343</v>
      </c>
      <c r="D82" s="31"/>
      <c r="E82" s="31"/>
      <c r="F82" s="31"/>
      <c r="G82" s="31"/>
      <c r="H82" s="31"/>
      <c r="I82" s="31"/>
      <c r="J82" s="31"/>
      <c r="K82" s="31"/>
      <c r="L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spans="1:56" x14ac:dyDescent="0.25">
      <c r="A83" s="75" t="s">
        <v>590</v>
      </c>
      <c r="B83" s="76">
        <v>1547</v>
      </c>
      <c r="C83" s="77">
        <v>216.62702003878474</v>
      </c>
      <c r="D83" s="31"/>
      <c r="E83" s="31"/>
      <c r="F83" s="31"/>
      <c r="G83" s="31"/>
      <c r="H83" s="31"/>
      <c r="I83" s="31"/>
      <c r="J83" s="31"/>
      <c r="K83" s="31"/>
      <c r="L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row>
    <row r="84" spans="1:56" x14ac:dyDescent="0.25">
      <c r="A84" s="78" t="s">
        <v>77</v>
      </c>
      <c r="B84" s="79">
        <v>1137</v>
      </c>
      <c r="C84" s="80">
        <v>147.45206684256817</v>
      </c>
      <c r="D84" s="31"/>
      <c r="E84" s="31"/>
      <c r="F84" s="31"/>
      <c r="G84" s="31"/>
      <c r="H84" s="31"/>
      <c r="I84" s="31"/>
      <c r="J84" s="31"/>
      <c r="K84" s="31"/>
      <c r="L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row>
    <row r="85" spans="1:56" x14ac:dyDescent="0.25">
      <c r="A85" s="78" t="s">
        <v>573</v>
      </c>
      <c r="B85" s="79">
        <v>386</v>
      </c>
      <c r="C85" s="80">
        <v>389.83419689119171</v>
      </c>
      <c r="D85" s="31"/>
      <c r="E85" s="31"/>
      <c r="F85" s="31"/>
      <c r="G85" s="31"/>
      <c r="H85" s="31"/>
      <c r="I85" s="31"/>
      <c r="J85" s="31"/>
      <c r="K85" s="31"/>
      <c r="L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row>
    <row r="86" spans="1:56" x14ac:dyDescent="0.25">
      <c r="A86" s="78" t="s">
        <v>23</v>
      </c>
      <c r="B86" s="79">
        <v>24</v>
      </c>
      <c r="C86" s="80">
        <v>708.04166666666663</v>
      </c>
      <c r="D86" s="31"/>
      <c r="E86" s="31"/>
      <c r="F86" s="31"/>
      <c r="G86" s="31"/>
      <c r="H86" s="31"/>
      <c r="I86" s="31"/>
      <c r="J86" s="31"/>
      <c r="K86" s="31"/>
      <c r="L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row>
    <row r="87" spans="1:56" x14ac:dyDescent="0.25">
      <c r="A87" s="75" t="s">
        <v>591</v>
      </c>
      <c r="B87" s="76">
        <v>3043</v>
      </c>
      <c r="C87" s="77">
        <v>1007.7190272757148</v>
      </c>
      <c r="D87" s="31"/>
      <c r="E87" s="31"/>
      <c r="F87" s="31"/>
      <c r="G87" s="31"/>
      <c r="H87" s="31"/>
      <c r="I87" s="31"/>
      <c r="J87" s="31"/>
      <c r="K87" s="31"/>
      <c r="L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row>
    <row r="88" spans="1:56" x14ac:dyDescent="0.25">
      <c r="A88" s="78" t="s">
        <v>77</v>
      </c>
      <c r="B88" s="79">
        <v>311</v>
      </c>
      <c r="C88" s="80">
        <v>661.28295819935693</v>
      </c>
      <c r="D88" s="31"/>
      <c r="E88" s="31"/>
      <c r="F88" s="31"/>
      <c r="G88" s="31"/>
      <c r="H88" s="31"/>
      <c r="I88" s="31"/>
      <c r="J88" s="31"/>
      <c r="K88" s="31"/>
      <c r="L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row>
    <row r="89" spans="1:56" x14ac:dyDescent="0.25">
      <c r="A89" s="78" t="s">
        <v>573</v>
      </c>
      <c r="B89" s="79">
        <v>2212</v>
      </c>
      <c r="C89" s="80">
        <v>993.82775768535259</v>
      </c>
      <c r="D89" s="31"/>
      <c r="E89" s="31"/>
      <c r="F89" s="31"/>
      <c r="G89" s="31"/>
      <c r="H89" s="31"/>
      <c r="I89" s="31"/>
      <c r="J89" s="31"/>
      <c r="K89" s="31"/>
      <c r="L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row>
    <row r="90" spans="1:56" x14ac:dyDescent="0.25">
      <c r="A90" s="78" t="s">
        <v>23</v>
      </c>
      <c r="B90" s="79">
        <v>520</v>
      </c>
      <c r="C90" s="80">
        <v>1274.0057692307691</v>
      </c>
      <c r="D90" s="31"/>
      <c r="E90" s="31"/>
      <c r="F90" s="31"/>
      <c r="G90" s="31"/>
      <c r="H90" s="31"/>
      <c r="I90" s="31"/>
      <c r="J90" s="31"/>
      <c r="K90" s="31"/>
      <c r="L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row>
    <row r="91" spans="1:56" x14ac:dyDescent="0.25">
      <c r="A91" s="75" t="s">
        <v>592</v>
      </c>
      <c r="B91" s="76">
        <v>4447</v>
      </c>
      <c r="C91" s="77">
        <v>217.35821902406116</v>
      </c>
      <c r="D91" s="31"/>
      <c r="E91" s="31"/>
      <c r="F91" s="31"/>
      <c r="G91" s="31"/>
      <c r="H91" s="31"/>
      <c r="I91" s="31"/>
      <c r="J91" s="31"/>
      <c r="K91" s="31"/>
      <c r="L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row>
    <row r="92" spans="1:56" x14ac:dyDescent="0.25">
      <c r="A92" s="78" t="s">
        <v>77</v>
      </c>
      <c r="B92" s="79">
        <v>3393</v>
      </c>
      <c r="C92" s="80">
        <v>62.967875036840553</v>
      </c>
      <c r="D92" s="31"/>
      <c r="E92" s="31"/>
      <c r="F92" s="31"/>
      <c r="G92" s="31"/>
      <c r="H92" s="31"/>
      <c r="I92" s="31"/>
      <c r="J92" s="31"/>
      <c r="K92" s="31"/>
      <c r="L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spans="1:56" x14ac:dyDescent="0.25">
      <c r="A93" s="78" t="s">
        <v>573</v>
      </c>
      <c r="B93" s="79">
        <v>513</v>
      </c>
      <c r="C93" s="80">
        <v>755.33918128654966</v>
      </c>
      <c r="D93" s="31"/>
      <c r="E93" s="31"/>
      <c r="F93" s="31"/>
      <c r="G93" s="31"/>
      <c r="H93" s="31"/>
      <c r="I93" s="31"/>
      <c r="J93" s="31"/>
      <c r="K93" s="31"/>
      <c r="L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row>
    <row r="94" spans="1:56" x14ac:dyDescent="0.25">
      <c r="A94" s="78" t="s">
        <v>23</v>
      </c>
      <c r="B94" s="79">
        <v>541</v>
      </c>
      <c r="C94" s="80">
        <v>675.51386321626615</v>
      </c>
      <c r="D94" s="31"/>
      <c r="E94" s="31"/>
      <c r="F94" s="31"/>
      <c r="G94" s="31"/>
      <c r="H94" s="31"/>
      <c r="I94" s="31"/>
      <c r="J94" s="31"/>
      <c r="K94" s="31"/>
      <c r="L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spans="1:56" x14ac:dyDescent="0.25">
      <c r="A95" s="75" t="s">
        <v>593</v>
      </c>
      <c r="B95" s="76">
        <v>3545</v>
      </c>
      <c r="C95" s="77">
        <v>756.71339915373767</v>
      </c>
      <c r="D95" s="31"/>
      <c r="E95" s="31"/>
      <c r="F95" s="31"/>
      <c r="G95" s="31"/>
      <c r="H95" s="31"/>
      <c r="I95" s="31"/>
      <c r="J95" s="31"/>
      <c r="K95" s="31"/>
      <c r="L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row>
    <row r="96" spans="1:56" x14ac:dyDescent="0.25">
      <c r="A96" s="78" t="s">
        <v>77</v>
      </c>
      <c r="B96" s="79">
        <v>1450</v>
      </c>
      <c r="C96" s="80">
        <v>291.17724137931032</v>
      </c>
      <c r="D96" s="31"/>
      <c r="E96" s="31"/>
      <c r="F96" s="31"/>
      <c r="G96" s="31"/>
      <c r="H96" s="31"/>
      <c r="I96" s="31"/>
      <c r="J96" s="31"/>
      <c r="K96" s="31"/>
      <c r="L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row>
    <row r="97" spans="1:56" x14ac:dyDescent="0.25">
      <c r="A97" s="78" t="s">
        <v>573</v>
      </c>
      <c r="B97" s="79">
        <v>1293</v>
      </c>
      <c r="C97" s="80">
        <v>897.55220417633416</v>
      </c>
      <c r="D97" s="31"/>
      <c r="E97" s="31"/>
      <c r="F97" s="31"/>
      <c r="G97" s="31"/>
      <c r="H97" s="31"/>
      <c r="I97" s="31"/>
      <c r="J97" s="31"/>
      <c r="K97" s="31"/>
      <c r="L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row>
    <row r="98" spans="1:56" x14ac:dyDescent="0.25">
      <c r="A98" s="78" t="s">
        <v>23</v>
      </c>
      <c r="B98" s="79">
        <v>802</v>
      </c>
      <c r="C98" s="80">
        <v>1371.3304239401496</v>
      </c>
      <c r="D98" s="31"/>
      <c r="E98" s="31"/>
      <c r="F98" s="31"/>
      <c r="G98" s="31"/>
      <c r="H98" s="31"/>
      <c r="I98" s="31"/>
      <c r="J98" s="31"/>
      <c r="K98" s="31"/>
      <c r="L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spans="1:56" x14ac:dyDescent="0.25">
      <c r="A99" s="75" t="s">
        <v>594</v>
      </c>
      <c r="B99" s="76">
        <v>10629</v>
      </c>
      <c r="C99" s="77">
        <v>1119.1226832251389</v>
      </c>
      <c r="D99" s="31"/>
      <c r="E99" s="31"/>
      <c r="F99" s="31"/>
      <c r="G99" s="31"/>
      <c r="H99" s="31"/>
      <c r="I99" s="31"/>
      <c r="J99" s="31"/>
      <c r="K99" s="31"/>
      <c r="L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row>
    <row r="100" spans="1:56" x14ac:dyDescent="0.25">
      <c r="A100" s="78" t="s">
        <v>77</v>
      </c>
      <c r="B100" s="79">
        <v>3355</v>
      </c>
      <c r="C100" s="80">
        <v>745.95052160953799</v>
      </c>
      <c r="D100" s="31"/>
      <c r="E100" s="31"/>
      <c r="F100" s="31"/>
      <c r="G100" s="31"/>
      <c r="H100" s="31"/>
      <c r="I100" s="31"/>
      <c r="J100" s="31"/>
      <c r="K100" s="31"/>
      <c r="L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row>
    <row r="101" spans="1:56" x14ac:dyDescent="0.25">
      <c r="A101" s="78" t="s">
        <v>573</v>
      </c>
      <c r="B101" s="79">
        <v>1659</v>
      </c>
      <c r="C101" s="80">
        <v>821.042194092827</v>
      </c>
      <c r="D101" s="31"/>
      <c r="E101" s="31"/>
      <c r="F101" s="31"/>
      <c r="G101" s="31"/>
      <c r="H101" s="31"/>
      <c r="I101" s="31"/>
      <c r="J101" s="31"/>
      <c r="K101" s="31"/>
      <c r="L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row>
    <row r="102" spans="1:56" x14ac:dyDescent="0.25">
      <c r="A102" s="78" t="s">
        <v>23</v>
      </c>
      <c r="B102" s="79">
        <v>5615</v>
      </c>
      <c r="C102" s="80">
        <v>1430.1659839715048</v>
      </c>
      <c r="D102" s="31"/>
      <c r="E102" s="31"/>
      <c r="F102" s="31"/>
      <c r="G102" s="31"/>
      <c r="H102" s="31"/>
      <c r="I102" s="31"/>
      <c r="J102" s="31"/>
      <c r="K102" s="31"/>
      <c r="L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row>
    <row r="103" spans="1:56" x14ac:dyDescent="0.25">
      <c r="A103" s="75" t="s">
        <v>595</v>
      </c>
      <c r="B103" s="76">
        <v>3829</v>
      </c>
      <c r="C103" s="77">
        <v>1003.343954034996</v>
      </c>
      <c r="D103" s="31"/>
      <c r="E103" s="31"/>
      <c r="F103" s="31"/>
      <c r="G103" s="31"/>
      <c r="H103" s="31"/>
      <c r="I103" s="31"/>
      <c r="J103" s="31"/>
      <c r="K103" s="31"/>
      <c r="L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row>
    <row r="104" spans="1:56" x14ac:dyDescent="0.25">
      <c r="A104" s="78" t="s">
        <v>77</v>
      </c>
      <c r="B104" s="79">
        <v>577</v>
      </c>
      <c r="C104" s="80">
        <v>588.72616984402077</v>
      </c>
      <c r="D104" s="31"/>
      <c r="E104" s="31"/>
      <c r="F104" s="31"/>
      <c r="G104" s="31"/>
      <c r="H104" s="31"/>
      <c r="I104" s="31"/>
      <c r="J104" s="31"/>
      <c r="K104" s="31"/>
      <c r="L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row>
    <row r="105" spans="1:56" x14ac:dyDescent="0.25">
      <c r="A105" s="78" t="s">
        <v>573</v>
      </c>
      <c r="B105" s="79">
        <v>1737</v>
      </c>
      <c r="C105" s="80">
        <v>824.6660909614277</v>
      </c>
      <c r="D105" s="31"/>
      <c r="E105" s="31"/>
      <c r="F105" s="31"/>
      <c r="G105" s="31"/>
      <c r="H105" s="31"/>
      <c r="I105" s="31"/>
      <c r="J105" s="31"/>
      <c r="K105" s="31"/>
      <c r="L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row>
    <row r="106" spans="1:56" x14ac:dyDescent="0.25">
      <c r="A106" s="78" t="s">
        <v>23</v>
      </c>
      <c r="B106" s="79">
        <v>1515</v>
      </c>
      <c r="C106" s="80">
        <v>1366.1148514851486</v>
      </c>
      <c r="D106" s="31"/>
      <c r="E106" s="31"/>
      <c r="F106" s="31"/>
      <c r="G106" s="31"/>
      <c r="H106" s="31"/>
      <c r="I106" s="31"/>
      <c r="J106" s="31"/>
      <c r="K106" s="31"/>
      <c r="L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row>
    <row r="107" spans="1:56" x14ac:dyDescent="0.25">
      <c r="A107" s="75" t="s">
        <v>596</v>
      </c>
      <c r="B107" s="76">
        <v>2345</v>
      </c>
      <c r="C107" s="77">
        <v>1171.0486140724947</v>
      </c>
      <c r="D107" s="31"/>
      <c r="E107" s="31"/>
      <c r="F107" s="31"/>
      <c r="G107" s="31"/>
      <c r="H107" s="31"/>
      <c r="I107" s="31"/>
      <c r="J107" s="31"/>
      <c r="K107" s="31"/>
      <c r="L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row>
    <row r="108" spans="1:56" x14ac:dyDescent="0.25">
      <c r="A108" s="78" t="s">
        <v>77</v>
      </c>
      <c r="B108" s="79">
        <v>426</v>
      </c>
      <c r="C108" s="80">
        <v>500.30751173708921</v>
      </c>
      <c r="D108" s="31"/>
      <c r="E108" s="31"/>
      <c r="F108" s="31"/>
      <c r="G108" s="31"/>
      <c r="H108" s="31"/>
      <c r="I108" s="31"/>
      <c r="J108" s="31"/>
      <c r="K108" s="31"/>
      <c r="L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row>
    <row r="109" spans="1:56" x14ac:dyDescent="0.25">
      <c r="A109" s="78" t="s">
        <v>573</v>
      </c>
      <c r="B109" s="79">
        <v>935</v>
      </c>
      <c r="C109" s="80">
        <v>1003.779679144385</v>
      </c>
      <c r="D109" s="31"/>
      <c r="E109" s="31"/>
      <c r="F109" s="31"/>
      <c r="G109" s="31"/>
      <c r="H109" s="31"/>
      <c r="I109" s="31"/>
      <c r="J109" s="31"/>
      <c r="K109" s="31"/>
      <c r="L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row>
    <row r="110" spans="1:56" x14ac:dyDescent="0.25">
      <c r="A110" s="78" t="s">
        <v>23</v>
      </c>
      <c r="B110" s="79">
        <v>984</v>
      </c>
      <c r="C110" s="80">
        <v>1620.3699186991869</v>
      </c>
      <c r="D110" s="31"/>
      <c r="E110" s="31"/>
      <c r="F110" s="31"/>
      <c r="G110" s="31"/>
      <c r="H110" s="31"/>
      <c r="I110" s="31"/>
      <c r="J110" s="31"/>
      <c r="K110" s="31"/>
      <c r="L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row>
    <row r="111" spans="1:56" x14ac:dyDescent="0.25">
      <c r="A111" s="75" t="s">
        <v>645</v>
      </c>
      <c r="B111" s="76">
        <v>2756</v>
      </c>
      <c r="C111" s="77">
        <v>625.92743105950649</v>
      </c>
      <c r="D111" s="31"/>
      <c r="E111" s="31"/>
      <c r="F111" s="31"/>
      <c r="G111" s="31"/>
      <c r="H111" s="31"/>
      <c r="I111" s="31"/>
      <c r="J111" s="31"/>
      <c r="K111" s="31"/>
      <c r="L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row>
    <row r="112" spans="1:56" x14ac:dyDescent="0.25">
      <c r="A112" s="78" t="s">
        <v>77</v>
      </c>
      <c r="B112" s="79">
        <v>895</v>
      </c>
      <c r="C112" s="80">
        <v>491.96201117318435</v>
      </c>
      <c r="D112" s="31"/>
      <c r="E112" s="31"/>
      <c r="F112" s="31"/>
      <c r="G112" s="31"/>
      <c r="H112" s="31"/>
      <c r="I112" s="31"/>
      <c r="J112" s="31"/>
      <c r="K112" s="31"/>
      <c r="L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row>
    <row r="113" spans="1:56" x14ac:dyDescent="0.25">
      <c r="A113" s="78" t="s">
        <v>573</v>
      </c>
      <c r="B113" s="79">
        <v>1662</v>
      </c>
      <c r="C113" s="80">
        <v>669.75992779783394</v>
      </c>
      <c r="D113" s="31"/>
      <c r="E113" s="31"/>
      <c r="F113" s="31"/>
      <c r="G113" s="31"/>
      <c r="H113" s="31"/>
      <c r="I113" s="31"/>
      <c r="J113" s="31"/>
      <c r="K113" s="31"/>
      <c r="L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row>
    <row r="114" spans="1:56" x14ac:dyDescent="0.25">
      <c r="A114" s="78" t="s">
        <v>23</v>
      </c>
      <c r="B114" s="79">
        <v>199</v>
      </c>
      <c r="C114" s="80">
        <v>862.356783919598</v>
      </c>
      <c r="M114"/>
    </row>
    <row r="115" spans="1:56" hidden="1" x14ac:dyDescent="0.25"/>
    <row r="116" spans="1:56" x14ac:dyDescent="0.25"/>
  </sheetData>
  <sheetProtection sheet="1" objects="1" scenarios="1"/>
  <mergeCells count="9">
    <mergeCell ref="A16:C16"/>
    <mergeCell ref="A15:C15"/>
    <mergeCell ref="A4:D4"/>
    <mergeCell ref="A1:D1"/>
    <mergeCell ref="A2:D2"/>
    <mergeCell ref="A5:C5"/>
    <mergeCell ref="A12:C12"/>
    <mergeCell ref="A13:C13"/>
    <mergeCell ref="A14: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20"/>
  <sheetViews>
    <sheetView showGridLines="0" topLeftCell="A22" zoomScale="70" zoomScaleNormal="70" zoomScaleSheetLayoutView="70" zoomScalePageLayoutView="90" workbookViewId="0">
      <selection sqref="A1:D1"/>
    </sheetView>
  </sheetViews>
  <sheetFormatPr defaultRowHeight="15" x14ac:dyDescent="0.25"/>
  <cols>
    <col min="1" max="1" width="36.42578125" customWidth="1"/>
    <col min="2" max="2" width="20.71093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7.570312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8" customFormat="1" ht="27.75" customHeight="1" x14ac:dyDescent="0.2">
      <c r="A1" s="236" t="s">
        <v>49</v>
      </c>
      <c r="B1" s="236"/>
      <c r="C1" s="236"/>
      <c r="D1" s="236"/>
      <c r="U1" s="5"/>
    </row>
    <row r="2" spans="1:50" s="1" customFormat="1" ht="45.75" customHeight="1" x14ac:dyDescent="0.2">
      <c r="A2" s="237" t="s">
        <v>50</v>
      </c>
      <c r="B2" s="237"/>
      <c r="C2" s="237"/>
      <c r="D2" s="237"/>
      <c r="E2" s="237"/>
      <c r="F2" s="237"/>
      <c r="G2" s="237"/>
      <c r="H2" s="237"/>
      <c r="I2" s="292"/>
      <c r="J2" s="292"/>
      <c r="K2" s="292"/>
      <c r="L2" s="292"/>
      <c r="M2" s="292"/>
      <c r="N2" s="292"/>
      <c r="O2" s="292"/>
      <c r="P2" s="292"/>
      <c r="Q2" s="66"/>
      <c r="R2" s="66"/>
      <c r="S2" s="66"/>
      <c r="T2" s="66"/>
      <c r="U2" s="66"/>
      <c r="V2" s="65"/>
    </row>
    <row r="3" spans="1:50" ht="31.5" customHeight="1" x14ac:dyDescent="0.25">
      <c r="A3" s="235" t="s">
        <v>651</v>
      </c>
      <c r="B3" s="235"/>
      <c r="C3" s="235"/>
      <c r="D3" s="235"/>
      <c r="E3" s="63"/>
      <c r="F3" s="63"/>
      <c r="G3" s="63"/>
      <c r="H3" s="63"/>
      <c r="I3" s="67"/>
      <c r="J3" s="67"/>
      <c r="K3" s="67"/>
      <c r="L3" s="67"/>
      <c r="M3" s="67"/>
      <c r="N3" s="67"/>
      <c r="O3" s="67"/>
      <c r="P3" s="67"/>
      <c r="Q3" s="67"/>
      <c r="R3" s="67"/>
      <c r="S3" s="67"/>
      <c r="T3" s="67"/>
      <c r="U3" s="67"/>
      <c r="V3" s="63"/>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row>
    <row r="4" spans="1:50" s="8" customFormat="1" ht="30.75" customHeight="1" x14ac:dyDescent="0.2">
      <c r="A4" s="291"/>
      <c r="B4" s="291"/>
      <c r="C4" s="291"/>
      <c r="D4" s="291"/>
      <c r="E4" s="291"/>
      <c r="F4" s="291"/>
      <c r="G4" s="291"/>
      <c r="H4" s="291"/>
      <c r="I4" s="291"/>
      <c r="J4" s="291"/>
      <c r="K4" s="291"/>
      <c r="L4" s="291"/>
      <c r="M4" s="291"/>
      <c r="N4" s="291"/>
      <c r="O4" s="291"/>
      <c r="P4" s="291"/>
      <c r="Q4" s="291"/>
      <c r="R4" s="291"/>
      <c r="S4" s="291"/>
      <c r="T4" s="291"/>
      <c r="U4" s="291"/>
      <c r="V4" s="291"/>
      <c r="W4" s="10"/>
      <c r="X4" s="10"/>
      <c r="Y4" s="10"/>
      <c r="Z4" s="10"/>
    </row>
    <row r="5" spans="1:50" s="1" customFormat="1" ht="7.5" customHeight="1" thickBot="1" x14ac:dyDescent="0.25">
      <c r="A5" s="4"/>
      <c r="B5" s="4"/>
      <c r="C5" s="4"/>
      <c r="D5" s="4"/>
      <c r="E5" s="4"/>
      <c r="F5" s="4"/>
      <c r="G5" s="4"/>
      <c r="H5" s="4"/>
      <c r="I5" s="4"/>
      <c r="J5" s="4"/>
      <c r="K5" s="4"/>
      <c r="L5" s="4"/>
      <c r="M5" s="4"/>
      <c r="N5" s="4"/>
      <c r="O5" s="4"/>
      <c r="P5" s="4"/>
      <c r="Q5" s="4"/>
      <c r="R5" s="4"/>
      <c r="S5" s="4"/>
      <c r="T5" s="4"/>
      <c r="U5" s="4"/>
      <c r="V5" s="4"/>
      <c r="W5" s="2"/>
      <c r="X5" s="2"/>
      <c r="Y5" s="2"/>
      <c r="Z5" s="2"/>
    </row>
    <row r="6" spans="1:50" s="1" customFormat="1" ht="16.5" customHeight="1" x14ac:dyDescent="0.2">
      <c r="A6" s="275"/>
      <c r="B6" s="276"/>
      <c r="C6" s="276"/>
      <c r="D6" s="276"/>
      <c r="E6" s="276"/>
      <c r="F6" s="276"/>
      <c r="G6" s="276"/>
      <c r="H6" s="276"/>
      <c r="I6" s="276"/>
      <c r="J6" s="276"/>
      <c r="K6" s="276"/>
      <c r="L6" s="276"/>
      <c r="M6" s="276"/>
      <c r="N6" s="276"/>
      <c r="O6" s="276"/>
      <c r="P6" s="276"/>
      <c r="Q6" s="276"/>
      <c r="R6" s="276"/>
      <c r="S6" s="276"/>
      <c r="T6" s="276"/>
      <c r="U6" s="276"/>
      <c r="V6" s="277"/>
      <c r="W6" s="2"/>
      <c r="X6" s="2"/>
      <c r="Y6" s="2"/>
      <c r="Z6" s="2"/>
    </row>
    <row r="7" spans="1:50" s="8" customFormat="1" ht="16.5" customHeight="1" x14ac:dyDescent="0.2">
      <c r="A7" s="98"/>
      <c r="B7" s="42"/>
      <c r="C7" s="42"/>
      <c r="D7" s="42"/>
      <c r="E7" s="42"/>
      <c r="F7" s="42"/>
      <c r="G7" s="42"/>
      <c r="H7" s="42"/>
      <c r="I7" s="5"/>
      <c r="J7" s="85"/>
      <c r="K7" s="85"/>
      <c r="L7" s="85"/>
      <c r="M7" s="5"/>
      <c r="N7" s="42"/>
      <c r="O7" s="42"/>
      <c r="P7" s="42"/>
      <c r="Q7" s="42"/>
      <c r="R7" s="42"/>
      <c r="S7" s="42"/>
      <c r="T7" s="42"/>
      <c r="U7" s="42"/>
      <c r="V7" s="43"/>
      <c r="W7" s="44"/>
      <c r="X7" s="44"/>
      <c r="Y7" s="44"/>
      <c r="Z7" s="44"/>
    </row>
    <row r="8" spans="1:50" s="87" customFormat="1" ht="30.6" customHeight="1" x14ac:dyDescent="0.2">
      <c r="A8" s="278" t="s">
        <v>648</v>
      </c>
      <c r="B8" s="247"/>
      <c r="C8" s="247"/>
      <c r="D8" s="247"/>
      <c r="E8" s="86"/>
      <c r="F8" s="86"/>
      <c r="G8" s="247" t="s">
        <v>638</v>
      </c>
      <c r="H8" s="247"/>
      <c r="I8" s="247"/>
      <c r="J8" s="247"/>
      <c r="K8" s="247"/>
      <c r="L8" s="99"/>
      <c r="M8" s="247" t="s">
        <v>650</v>
      </c>
      <c r="N8" s="247"/>
      <c r="O8" s="247"/>
      <c r="P8" s="247"/>
      <c r="Q8" s="247"/>
      <c r="R8" s="99"/>
      <c r="S8" s="99"/>
      <c r="T8" s="182"/>
      <c r="U8" s="183"/>
      <c r="V8" s="184"/>
      <c r="W8" s="88"/>
      <c r="X8" s="88"/>
      <c r="Y8" s="88"/>
      <c r="Z8" s="88"/>
      <c r="AB8" s="188"/>
      <c r="AC8" s="188"/>
    </row>
    <row r="9" spans="1:50" s="8" customFormat="1" ht="28.35" customHeight="1" x14ac:dyDescent="0.2">
      <c r="A9" s="39" t="s">
        <v>634</v>
      </c>
      <c r="B9" s="111" t="s">
        <v>123</v>
      </c>
      <c r="C9" s="111" t="s">
        <v>124</v>
      </c>
      <c r="D9" s="111" t="s">
        <v>1</v>
      </c>
      <c r="E9" s="42"/>
      <c r="F9" s="42"/>
      <c r="G9" s="246" t="s">
        <v>125</v>
      </c>
      <c r="H9" s="246"/>
      <c r="I9" s="94" t="s">
        <v>123</v>
      </c>
      <c r="J9" s="94" t="s">
        <v>124</v>
      </c>
      <c r="K9" s="94" t="s">
        <v>1</v>
      </c>
      <c r="L9" s="5"/>
      <c r="M9" s="246" t="s">
        <v>121</v>
      </c>
      <c r="N9" s="246"/>
      <c r="O9" s="246" t="s">
        <v>122</v>
      </c>
      <c r="P9" s="246"/>
      <c r="Q9" s="246"/>
      <c r="R9" s="42"/>
      <c r="S9" s="42"/>
      <c r="T9" s="42"/>
      <c r="U9" s="50"/>
      <c r="V9" s="48"/>
      <c r="W9" s="44"/>
      <c r="X9" s="44"/>
      <c r="AB9" s="144"/>
      <c r="AC9" s="144"/>
    </row>
    <row r="10" spans="1:50" s="8" customFormat="1" ht="16.5" customHeight="1" thickBot="1" x14ac:dyDescent="0.25">
      <c r="A10" s="100" t="s">
        <v>1</v>
      </c>
      <c r="B10" s="112">
        <v>157</v>
      </c>
      <c r="C10" s="112">
        <v>15540</v>
      </c>
      <c r="D10" s="112">
        <v>15697</v>
      </c>
      <c r="E10" s="42"/>
      <c r="F10" s="42"/>
      <c r="G10" s="279" t="s">
        <v>658</v>
      </c>
      <c r="H10" s="279"/>
      <c r="I10" s="45">
        <v>87.174419999999998</v>
      </c>
      <c r="J10" s="45">
        <v>173.54069000000001</v>
      </c>
      <c r="K10" s="45">
        <v>171.00613999999999</v>
      </c>
      <c r="L10" s="5"/>
      <c r="M10" s="288" t="s">
        <v>1</v>
      </c>
      <c r="N10" s="288"/>
      <c r="O10" s="294">
        <v>1908</v>
      </c>
      <c r="P10" s="295"/>
      <c r="Q10" s="296"/>
      <c r="R10" s="42"/>
      <c r="S10" s="42"/>
      <c r="T10" s="42"/>
      <c r="U10" s="148"/>
      <c r="V10" s="160"/>
      <c r="W10" s="44"/>
      <c r="X10" s="180"/>
      <c r="Y10" s="144"/>
      <c r="Z10" s="144"/>
      <c r="AA10" s="144"/>
      <c r="AB10" s="144"/>
      <c r="AC10" s="144"/>
    </row>
    <row r="11" spans="1:50" s="8" customFormat="1" ht="13.35" customHeight="1" thickTop="1" x14ac:dyDescent="0.2">
      <c r="A11" s="101" t="s">
        <v>130</v>
      </c>
      <c r="B11" s="227">
        <v>0</v>
      </c>
      <c r="C11" s="113">
        <v>9704</v>
      </c>
      <c r="D11" s="113">
        <v>9704</v>
      </c>
      <c r="E11" s="42"/>
      <c r="F11" s="42"/>
      <c r="G11" s="293"/>
      <c r="H11" s="293"/>
      <c r="I11" s="93"/>
      <c r="J11" s="93"/>
      <c r="K11" s="93"/>
      <c r="L11" s="5"/>
      <c r="M11" s="289" t="s">
        <v>123</v>
      </c>
      <c r="N11" s="289"/>
      <c r="O11" s="251">
        <v>0</v>
      </c>
      <c r="P11" s="252"/>
      <c r="Q11" s="253"/>
      <c r="R11" s="42"/>
      <c r="S11" s="42"/>
      <c r="T11" s="42"/>
      <c r="U11" s="148"/>
      <c r="V11" s="160"/>
      <c r="W11" s="180"/>
      <c r="X11" s="180"/>
      <c r="Y11" s="144"/>
      <c r="Z11" s="144"/>
      <c r="AA11" s="144"/>
      <c r="AB11" s="144"/>
      <c r="AC11" s="144"/>
    </row>
    <row r="12" spans="1:50" s="8" customFormat="1" ht="13.35" customHeight="1" x14ac:dyDescent="0.2">
      <c r="A12" s="102" t="s">
        <v>131</v>
      </c>
      <c r="B12" s="114">
        <v>151</v>
      </c>
      <c r="C12" s="114">
        <v>4322</v>
      </c>
      <c r="D12" s="114">
        <v>4473</v>
      </c>
      <c r="E12" s="42"/>
      <c r="F12" s="42"/>
      <c r="G12" s="5"/>
      <c r="H12" s="5"/>
      <c r="I12" s="5"/>
      <c r="J12" s="5"/>
      <c r="K12" s="5"/>
      <c r="L12" s="5"/>
      <c r="M12" s="261" t="s">
        <v>124</v>
      </c>
      <c r="N12" s="261"/>
      <c r="O12" s="243">
        <v>1908</v>
      </c>
      <c r="P12" s="244"/>
      <c r="Q12" s="245"/>
      <c r="R12" s="42"/>
      <c r="S12" s="42"/>
      <c r="T12" s="42"/>
      <c r="U12" s="148"/>
      <c r="V12" s="160"/>
      <c r="W12" s="180"/>
      <c r="X12" s="180"/>
      <c r="Y12" s="144"/>
      <c r="Z12" s="144"/>
      <c r="AA12" s="144"/>
      <c r="AB12" s="144"/>
      <c r="AC12" s="144"/>
    </row>
    <row r="13" spans="1:50" s="8" customFormat="1" ht="13.35" customHeight="1" x14ac:dyDescent="0.2">
      <c r="A13" s="102" t="s">
        <v>132</v>
      </c>
      <c r="B13" s="114">
        <v>6</v>
      </c>
      <c r="C13" s="114">
        <v>972</v>
      </c>
      <c r="D13" s="114">
        <v>978</v>
      </c>
      <c r="E13" s="42"/>
      <c r="F13" s="42"/>
      <c r="G13" s="42"/>
      <c r="H13" s="42"/>
      <c r="I13" s="42"/>
      <c r="J13" s="42"/>
      <c r="K13" s="42"/>
      <c r="L13" s="5"/>
      <c r="M13" s="5"/>
      <c r="N13" s="5"/>
      <c r="O13" s="5"/>
      <c r="P13" s="5"/>
      <c r="Q13" s="5"/>
      <c r="R13" s="42"/>
      <c r="S13" s="42"/>
      <c r="T13" s="42"/>
      <c r="U13" s="148"/>
      <c r="V13" s="160"/>
      <c r="W13" s="180"/>
      <c r="X13" s="180"/>
      <c r="Y13" s="144"/>
      <c r="Z13" s="144"/>
      <c r="AA13" s="144"/>
      <c r="AB13" s="144"/>
      <c r="AC13" s="144"/>
    </row>
    <row r="14" spans="1:50" s="8" customFormat="1" ht="13.35" customHeight="1" x14ac:dyDescent="0.2">
      <c r="A14" s="102" t="s">
        <v>0</v>
      </c>
      <c r="B14" s="226">
        <v>0</v>
      </c>
      <c r="C14" s="114">
        <v>542</v>
      </c>
      <c r="D14" s="114">
        <v>542</v>
      </c>
      <c r="E14" s="42"/>
      <c r="F14" s="42"/>
      <c r="G14" s="42"/>
      <c r="H14" s="42"/>
      <c r="I14" s="42"/>
      <c r="J14" s="42"/>
      <c r="K14" s="42"/>
      <c r="L14" s="42"/>
      <c r="M14" s="42"/>
      <c r="N14" s="42"/>
      <c r="O14" s="42"/>
      <c r="P14" s="42"/>
      <c r="Q14" s="42"/>
      <c r="R14" s="42"/>
      <c r="S14" s="42"/>
      <c r="T14" s="42"/>
      <c r="U14" s="148"/>
      <c r="V14" s="160"/>
      <c r="W14" s="180"/>
      <c r="X14" s="180"/>
      <c r="Z14" s="144"/>
      <c r="AA14" s="144"/>
      <c r="AB14" s="144"/>
      <c r="AC14" s="144"/>
    </row>
    <row r="15" spans="1:50" s="8" customFormat="1" ht="16.5" customHeight="1" x14ac:dyDescent="0.2">
      <c r="A15" s="103"/>
      <c r="B15" s="46"/>
      <c r="C15" s="46"/>
      <c r="D15" s="46"/>
      <c r="E15" s="46"/>
      <c r="F15" s="46"/>
      <c r="G15" s="42"/>
      <c r="H15" s="42"/>
      <c r="I15" s="42"/>
      <c r="J15" s="42"/>
      <c r="K15" s="42"/>
      <c r="L15" s="42"/>
      <c r="M15" s="42"/>
      <c r="N15" s="42"/>
      <c r="O15" s="42"/>
      <c r="P15" s="42"/>
      <c r="Q15" s="42"/>
      <c r="R15" s="42"/>
      <c r="S15" s="42"/>
      <c r="T15" s="42"/>
      <c r="U15" s="42"/>
      <c r="V15" s="43"/>
      <c r="W15" s="44"/>
      <c r="X15" s="144"/>
      <c r="Y15" s="44"/>
      <c r="Z15" s="44"/>
      <c r="AB15" s="144"/>
      <c r="AC15" s="144"/>
      <c r="AK15" s="144"/>
      <c r="AL15" s="144"/>
    </row>
    <row r="16" spans="1:50" s="8" customFormat="1" ht="16.5" customHeight="1" x14ac:dyDescent="0.2">
      <c r="A16" s="240"/>
      <c r="B16" s="241"/>
      <c r="C16" s="241"/>
      <c r="D16" s="241"/>
      <c r="E16" s="241"/>
      <c r="F16" s="241"/>
      <c r="G16" s="241"/>
      <c r="H16" s="241"/>
      <c r="I16" s="241"/>
      <c r="J16" s="241"/>
      <c r="K16" s="241"/>
      <c r="L16" s="241"/>
      <c r="M16" s="241"/>
      <c r="N16" s="241"/>
      <c r="O16" s="241"/>
      <c r="P16" s="241"/>
      <c r="Q16" s="241"/>
      <c r="R16" s="241"/>
      <c r="S16" s="241"/>
      <c r="T16" s="241"/>
      <c r="U16" s="241"/>
      <c r="V16" s="242"/>
      <c r="W16" s="44"/>
      <c r="X16" s="144"/>
      <c r="Y16" s="44"/>
      <c r="Z16" s="44"/>
      <c r="AK16" s="144"/>
    </row>
    <row r="17" spans="1:38" s="8" customFormat="1" ht="16.5" customHeight="1" x14ac:dyDescent="0.2">
      <c r="A17" s="98"/>
      <c r="B17" s="42"/>
      <c r="C17" s="42"/>
      <c r="D17" s="42"/>
      <c r="E17" s="42"/>
      <c r="F17" s="42"/>
      <c r="G17" s="42"/>
      <c r="H17" s="42"/>
      <c r="I17" s="42"/>
      <c r="J17" s="42"/>
      <c r="K17" s="42"/>
      <c r="L17" s="42"/>
      <c r="M17" s="42"/>
      <c r="N17" s="42"/>
      <c r="O17" s="42"/>
      <c r="P17" s="42"/>
      <c r="Q17" s="42"/>
      <c r="R17" s="42"/>
      <c r="S17" s="42"/>
      <c r="T17" s="42"/>
      <c r="U17" s="42"/>
      <c r="V17" s="43"/>
      <c r="W17" s="44"/>
      <c r="X17" s="44"/>
      <c r="Y17" s="44"/>
      <c r="Z17" s="44"/>
      <c r="AF17" s="144"/>
      <c r="AK17" s="144"/>
    </row>
    <row r="18" spans="1:38" s="9" customFormat="1" ht="27.6" customHeight="1" x14ac:dyDescent="0.2">
      <c r="A18" s="278" t="s">
        <v>649</v>
      </c>
      <c r="B18" s="247"/>
      <c r="C18" s="247"/>
      <c r="D18" s="247"/>
      <c r="E18" s="247"/>
      <c r="F18" s="247"/>
      <c r="G18" s="104"/>
      <c r="H18" s="104"/>
      <c r="I18" s="259" t="s">
        <v>659</v>
      </c>
      <c r="J18" s="259"/>
      <c r="K18" s="259"/>
      <c r="L18" s="259"/>
      <c r="M18" s="259"/>
      <c r="N18" s="259"/>
      <c r="O18" s="259"/>
      <c r="P18" s="259"/>
      <c r="Q18" s="259"/>
      <c r="R18" s="259"/>
      <c r="S18" s="259"/>
      <c r="T18" s="259"/>
      <c r="U18" s="259"/>
      <c r="V18" s="260"/>
      <c r="W18" s="47"/>
      <c r="X18" s="47"/>
      <c r="Y18" s="47"/>
      <c r="Z18" s="47"/>
      <c r="AE18" s="8"/>
      <c r="AF18" s="144"/>
      <c r="AG18" s="8"/>
      <c r="AH18" s="8"/>
      <c r="AI18" s="8"/>
      <c r="AJ18" s="8"/>
      <c r="AK18" s="8"/>
      <c r="AL18" s="144"/>
    </row>
    <row r="19" spans="1:38" s="1" customFormat="1" ht="28.7" customHeight="1" x14ac:dyDescent="0.2">
      <c r="A19" s="111" t="s">
        <v>126</v>
      </c>
      <c r="B19" s="111" t="s">
        <v>81</v>
      </c>
      <c r="C19" s="111" t="s">
        <v>127</v>
      </c>
      <c r="D19" s="111" t="s">
        <v>64</v>
      </c>
      <c r="E19" s="111" t="s">
        <v>128</v>
      </c>
      <c r="F19" s="111" t="s">
        <v>1</v>
      </c>
      <c r="G19" s="6"/>
      <c r="H19" s="6"/>
      <c r="I19" s="111" t="s">
        <v>133</v>
      </c>
      <c r="J19" s="111" t="s">
        <v>134</v>
      </c>
      <c r="K19" s="111" t="s">
        <v>135</v>
      </c>
      <c r="L19" s="111" t="s">
        <v>136</v>
      </c>
      <c r="M19" s="111" t="s">
        <v>137</v>
      </c>
      <c r="N19" s="111" t="s">
        <v>138</v>
      </c>
      <c r="O19" s="111" t="s">
        <v>139</v>
      </c>
      <c r="P19" s="111" t="s">
        <v>140</v>
      </c>
      <c r="Q19" s="111" t="s">
        <v>141</v>
      </c>
      <c r="R19" s="111" t="s">
        <v>142</v>
      </c>
      <c r="S19" s="111" t="s">
        <v>144</v>
      </c>
      <c r="T19" s="111" t="s">
        <v>145</v>
      </c>
      <c r="U19" s="111" t="s">
        <v>146</v>
      </c>
      <c r="V19" s="111" t="s">
        <v>1</v>
      </c>
      <c r="W19" s="49"/>
      <c r="X19" s="156"/>
      <c r="Y19" s="156"/>
      <c r="Z19" s="156"/>
      <c r="AA19" s="151"/>
      <c r="AB19" s="151"/>
      <c r="AC19" s="151"/>
      <c r="AD19" s="151"/>
      <c r="AE19" s="159"/>
      <c r="AF19" s="151"/>
    </row>
    <row r="20" spans="1:38" s="1" customFormat="1" ht="18" customHeight="1" thickBot="1" x14ac:dyDescent="0.25">
      <c r="A20" s="100" t="s">
        <v>1</v>
      </c>
      <c r="B20" s="112">
        <v>4883</v>
      </c>
      <c r="C20" s="117">
        <f>B20/F20</f>
        <v>0.31107855004140916</v>
      </c>
      <c r="D20" s="112">
        <v>10814</v>
      </c>
      <c r="E20" s="117">
        <f>D20/F20</f>
        <v>0.68892144995859084</v>
      </c>
      <c r="F20" s="112">
        <v>15697</v>
      </c>
      <c r="G20" s="6"/>
      <c r="H20" s="6"/>
      <c r="I20" s="40" t="s">
        <v>1</v>
      </c>
      <c r="J20" s="118">
        <v>9195</v>
      </c>
      <c r="K20" s="119">
        <v>8062</v>
      </c>
      <c r="L20" s="118">
        <v>8624</v>
      </c>
      <c r="M20" s="119">
        <v>8140</v>
      </c>
      <c r="N20" s="118">
        <v>6911</v>
      </c>
      <c r="O20" s="119">
        <v>12421</v>
      </c>
      <c r="P20" s="118">
        <v>13768</v>
      </c>
      <c r="Q20" s="119">
        <v>0</v>
      </c>
      <c r="R20" s="118">
        <v>0</v>
      </c>
      <c r="S20" s="118">
        <v>0</v>
      </c>
      <c r="T20" s="119">
        <v>0</v>
      </c>
      <c r="U20" s="118">
        <v>0</v>
      </c>
      <c r="V20" s="123">
        <v>67121</v>
      </c>
      <c r="W20" s="49"/>
      <c r="X20" s="49"/>
      <c r="Y20" s="156"/>
      <c r="Z20" s="156"/>
      <c r="AA20" s="151"/>
      <c r="AB20" s="151"/>
      <c r="AC20" s="151"/>
      <c r="AD20" s="151"/>
      <c r="AE20" s="159"/>
      <c r="AF20" s="151"/>
      <c r="AG20" s="151"/>
    </row>
    <row r="21" spans="1:38" s="1" customFormat="1" ht="15" customHeight="1" thickTop="1" x14ac:dyDescent="0.2">
      <c r="A21" s="101" t="s">
        <v>68</v>
      </c>
      <c r="B21" s="113">
        <v>4143</v>
      </c>
      <c r="C21" s="115">
        <f t="shared" ref="C21:C23" si="0">B21/F21</f>
        <v>0.91578249336870021</v>
      </c>
      <c r="D21" s="113">
        <v>381</v>
      </c>
      <c r="E21" s="115">
        <f t="shared" ref="E21:E23" si="1">D21/F21</f>
        <v>8.4217506631299732E-2</v>
      </c>
      <c r="F21" s="113">
        <v>4524</v>
      </c>
      <c r="G21" s="6"/>
      <c r="H21" s="6"/>
      <c r="I21" s="41" t="s">
        <v>64</v>
      </c>
      <c r="J21" s="120">
        <v>2391</v>
      </c>
      <c r="K21" s="120">
        <v>2084</v>
      </c>
      <c r="L21" s="120">
        <v>2553</v>
      </c>
      <c r="M21" s="120">
        <v>3022</v>
      </c>
      <c r="N21" s="120">
        <v>4926</v>
      </c>
      <c r="O21" s="120">
        <v>10078</v>
      </c>
      <c r="P21" s="120">
        <v>11612</v>
      </c>
      <c r="Q21" s="120">
        <v>0</v>
      </c>
      <c r="R21" s="120">
        <v>0</v>
      </c>
      <c r="S21" s="120">
        <v>0</v>
      </c>
      <c r="T21" s="120">
        <v>0</v>
      </c>
      <c r="U21" s="120">
        <v>0</v>
      </c>
      <c r="V21" s="122">
        <v>36666</v>
      </c>
      <c r="W21" s="49"/>
      <c r="X21" s="181"/>
      <c r="Y21" s="181"/>
      <c r="Z21" s="181"/>
      <c r="AA21" s="159"/>
      <c r="AB21" s="159"/>
      <c r="AC21" s="159"/>
      <c r="AD21" s="159"/>
      <c r="AE21" s="159"/>
      <c r="AF21" s="159"/>
      <c r="AG21" s="159"/>
      <c r="AJ21" s="159"/>
      <c r="AK21" s="159"/>
      <c r="AL21" s="159"/>
    </row>
    <row r="22" spans="1:38" s="1" customFormat="1" ht="15" customHeight="1" x14ac:dyDescent="0.2">
      <c r="A22" s="102" t="s">
        <v>100</v>
      </c>
      <c r="B22" s="114">
        <v>485</v>
      </c>
      <c r="C22" s="116">
        <f t="shared" si="0"/>
        <v>0.69683908045977017</v>
      </c>
      <c r="D22" s="114">
        <v>211</v>
      </c>
      <c r="E22" s="116">
        <f t="shared" si="1"/>
        <v>0.30316091954022989</v>
      </c>
      <c r="F22" s="114">
        <v>696</v>
      </c>
      <c r="G22" s="6"/>
      <c r="H22" s="6"/>
      <c r="I22" s="82" t="s">
        <v>646</v>
      </c>
      <c r="J22" s="121">
        <v>6804</v>
      </c>
      <c r="K22" s="121">
        <v>5978</v>
      </c>
      <c r="L22" s="121">
        <v>6071</v>
      </c>
      <c r="M22" s="121">
        <v>5118</v>
      </c>
      <c r="N22" s="121">
        <v>1985</v>
      </c>
      <c r="O22" s="121">
        <v>2343</v>
      </c>
      <c r="P22" s="121">
        <v>2156</v>
      </c>
      <c r="Q22" s="121">
        <v>0</v>
      </c>
      <c r="R22" s="121">
        <v>0</v>
      </c>
      <c r="S22" s="121">
        <v>0</v>
      </c>
      <c r="T22" s="121">
        <v>0</v>
      </c>
      <c r="U22" s="121">
        <v>0</v>
      </c>
      <c r="V22" s="178">
        <v>30455</v>
      </c>
      <c r="W22" s="49"/>
      <c r="X22" s="181"/>
      <c r="Y22" s="181"/>
      <c r="Z22" s="181"/>
      <c r="AA22" s="159"/>
      <c r="AB22" s="159"/>
      <c r="AC22" s="159"/>
      <c r="AD22" s="159"/>
      <c r="AE22" s="159"/>
      <c r="AF22" s="159"/>
      <c r="AG22" s="159"/>
      <c r="AH22" s="159"/>
      <c r="AJ22" s="159"/>
      <c r="AL22" s="159"/>
    </row>
    <row r="23" spans="1:38" s="1" customFormat="1" ht="15" customHeight="1" x14ac:dyDescent="0.2">
      <c r="A23" s="102" t="s">
        <v>129</v>
      </c>
      <c r="B23" s="114">
        <v>255</v>
      </c>
      <c r="C23" s="116">
        <f t="shared" si="0"/>
        <v>2.4339028347809488E-2</v>
      </c>
      <c r="D23" s="114">
        <v>10222</v>
      </c>
      <c r="E23" s="116">
        <f t="shared" si="1"/>
        <v>0.97566097165219057</v>
      </c>
      <c r="F23" s="114">
        <v>10477</v>
      </c>
      <c r="G23" s="6"/>
      <c r="H23" s="6"/>
      <c r="I23" s="6"/>
      <c r="J23" s="6"/>
      <c r="K23" s="6"/>
      <c r="L23" s="6"/>
      <c r="M23" s="6"/>
      <c r="N23" s="6"/>
      <c r="O23" s="6"/>
      <c r="P23" s="6"/>
      <c r="Q23" s="6"/>
      <c r="R23" s="6"/>
      <c r="S23" s="6"/>
      <c r="T23" s="50"/>
      <c r="U23" s="50"/>
      <c r="V23" s="48"/>
      <c r="W23" s="49"/>
      <c r="X23" s="181"/>
      <c r="Y23" s="181"/>
      <c r="Z23" s="181"/>
      <c r="AA23" s="159"/>
      <c r="AB23" s="159"/>
      <c r="AC23" s="159"/>
      <c r="AD23" s="159"/>
      <c r="AE23" s="159"/>
      <c r="AF23" s="159"/>
      <c r="AG23" s="159"/>
      <c r="AH23" s="159"/>
      <c r="AJ23" s="159"/>
      <c r="AL23" s="159"/>
    </row>
    <row r="24" spans="1:38" s="1" customFormat="1" ht="12" x14ac:dyDescent="0.2">
      <c r="A24" s="105"/>
      <c r="B24" s="6"/>
      <c r="C24" s="6"/>
      <c r="D24" s="6"/>
      <c r="E24" s="6"/>
      <c r="F24" s="6"/>
      <c r="G24" s="6"/>
      <c r="H24" s="6"/>
      <c r="I24" s="6"/>
      <c r="J24" s="6"/>
      <c r="K24" s="6"/>
      <c r="L24" s="6"/>
      <c r="M24" s="6"/>
      <c r="N24" s="6"/>
      <c r="O24" s="6"/>
      <c r="P24" s="6"/>
      <c r="Q24" s="6"/>
      <c r="R24" s="6"/>
      <c r="S24" s="6"/>
      <c r="T24" s="50"/>
      <c r="U24" s="50"/>
      <c r="V24" s="48"/>
      <c r="W24" s="49"/>
      <c r="X24" s="49"/>
      <c r="Y24" s="181"/>
      <c r="Z24" s="181"/>
      <c r="AA24" s="159"/>
      <c r="AB24" s="159"/>
      <c r="AC24" s="159"/>
      <c r="AD24" s="159"/>
      <c r="AE24" s="159"/>
      <c r="AF24" s="159"/>
      <c r="AG24" s="159"/>
      <c r="AH24" s="159"/>
      <c r="AK24" s="159"/>
      <c r="AL24" s="159"/>
    </row>
    <row r="25" spans="1:38" s="8" customFormat="1" ht="16.5" customHeight="1" x14ac:dyDescent="0.2">
      <c r="A25" s="240"/>
      <c r="B25" s="241"/>
      <c r="C25" s="241"/>
      <c r="D25" s="241"/>
      <c r="E25" s="241"/>
      <c r="F25" s="241"/>
      <c r="G25" s="241"/>
      <c r="H25" s="241"/>
      <c r="I25" s="241"/>
      <c r="J25" s="241"/>
      <c r="K25" s="241"/>
      <c r="L25" s="241"/>
      <c r="M25" s="241"/>
      <c r="N25" s="241"/>
      <c r="O25" s="241"/>
      <c r="P25" s="241"/>
      <c r="Q25" s="241"/>
      <c r="R25" s="241"/>
      <c r="S25" s="241"/>
      <c r="T25" s="241"/>
      <c r="U25" s="241"/>
      <c r="V25" s="242"/>
      <c r="W25" s="44"/>
      <c r="X25" s="44"/>
      <c r="Y25" s="44"/>
      <c r="Z25" s="180"/>
      <c r="AA25" s="144"/>
      <c r="AB25" s="144"/>
      <c r="AC25" s="144"/>
      <c r="AD25" s="144"/>
      <c r="AE25" s="144"/>
      <c r="AF25" s="144"/>
      <c r="AG25" s="144"/>
    </row>
    <row r="26" spans="1:38" s="1" customFormat="1" ht="12" x14ac:dyDescent="0.2">
      <c r="A26" s="105"/>
      <c r="B26" s="6"/>
      <c r="C26" s="6"/>
      <c r="D26" s="6"/>
      <c r="E26" s="6"/>
      <c r="F26" s="6"/>
      <c r="G26" s="6"/>
      <c r="H26" s="6"/>
      <c r="I26" s="6"/>
      <c r="J26" s="6"/>
      <c r="K26" s="6"/>
      <c r="L26" s="6"/>
      <c r="M26" s="6"/>
      <c r="N26" s="6"/>
      <c r="O26" s="6"/>
      <c r="P26" s="6"/>
      <c r="Q26" s="6"/>
      <c r="R26" s="6"/>
      <c r="S26" s="6"/>
      <c r="T26" s="50"/>
      <c r="U26" s="50"/>
      <c r="V26" s="48"/>
      <c r="W26" s="49"/>
      <c r="X26" s="49"/>
      <c r="Y26" s="49"/>
      <c r="Z26" s="181"/>
      <c r="AA26" s="159"/>
      <c r="AB26" s="159"/>
      <c r="AC26" s="159"/>
      <c r="AG26" s="159"/>
    </row>
    <row r="27" spans="1:38" s="90" customFormat="1" ht="21.6" customHeight="1" x14ac:dyDescent="0.2">
      <c r="A27" s="280" t="s">
        <v>660</v>
      </c>
      <c r="B27" s="281"/>
      <c r="C27" s="281"/>
      <c r="D27" s="281"/>
      <c r="E27" s="281"/>
      <c r="F27" s="83"/>
      <c r="G27" s="89"/>
      <c r="H27" s="281" t="s">
        <v>661</v>
      </c>
      <c r="I27" s="281"/>
      <c r="J27" s="281"/>
      <c r="K27" s="281"/>
      <c r="L27" s="281"/>
      <c r="M27" s="83"/>
      <c r="N27" s="281" t="s">
        <v>662</v>
      </c>
      <c r="O27" s="281"/>
      <c r="P27" s="281"/>
      <c r="Q27" s="281"/>
      <c r="R27" s="281"/>
      <c r="S27" s="83"/>
      <c r="T27" s="89"/>
      <c r="U27" s="89"/>
      <c r="V27" s="91"/>
      <c r="W27" s="92"/>
      <c r="X27" s="92"/>
      <c r="Y27" s="92"/>
      <c r="Z27" s="92"/>
      <c r="AE27" s="189"/>
      <c r="AF27" s="189"/>
      <c r="AG27" s="189"/>
    </row>
    <row r="28" spans="1:38" s="1" customFormat="1" ht="37.5" customHeight="1" x14ac:dyDescent="0.2">
      <c r="A28" s="39" t="s">
        <v>148</v>
      </c>
      <c r="B28" s="111" t="s">
        <v>68</v>
      </c>
      <c r="C28" s="111" t="s">
        <v>100</v>
      </c>
      <c r="D28" s="111" t="s">
        <v>129</v>
      </c>
      <c r="E28" s="111" t="s">
        <v>1</v>
      </c>
      <c r="F28" s="6"/>
      <c r="G28" s="6"/>
      <c r="H28" s="246" t="s">
        <v>148</v>
      </c>
      <c r="I28" s="246"/>
      <c r="J28" s="246" t="s">
        <v>1</v>
      </c>
      <c r="K28" s="246"/>
      <c r="L28" s="246"/>
      <c r="M28" s="50"/>
      <c r="N28" s="254"/>
      <c r="O28" s="256"/>
      <c r="P28" s="254" t="s">
        <v>143</v>
      </c>
      <c r="Q28" s="255"/>
      <c r="R28" s="256"/>
      <c r="S28" s="6"/>
      <c r="T28" s="6"/>
      <c r="U28" s="50"/>
      <c r="V28" s="106"/>
      <c r="W28" s="49"/>
      <c r="X28" s="49"/>
      <c r="Y28" s="49"/>
      <c r="Z28" s="159"/>
      <c r="AD28" s="159"/>
      <c r="AE28" s="159"/>
      <c r="AF28" s="159"/>
      <c r="AG28" s="159"/>
    </row>
    <row r="29" spans="1:38" s="1" customFormat="1" ht="15" customHeight="1" thickBot="1" x14ac:dyDescent="0.25">
      <c r="A29" s="100" t="s">
        <v>1</v>
      </c>
      <c r="B29" s="124">
        <v>25004</v>
      </c>
      <c r="C29" s="127">
        <v>7610</v>
      </c>
      <c r="D29" s="124">
        <v>34507</v>
      </c>
      <c r="E29" s="126">
        <v>67121</v>
      </c>
      <c r="F29" s="6"/>
      <c r="G29" s="6"/>
      <c r="H29" s="288" t="s">
        <v>1</v>
      </c>
      <c r="I29" s="288"/>
      <c r="J29" s="248">
        <v>40043</v>
      </c>
      <c r="K29" s="249"/>
      <c r="L29" s="250"/>
      <c r="M29" s="50"/>
      <c r="N29" s="257" t="s">
        <v>1</v>
      </c>
      <c r="O29" s="258"/>
      <c r="P29" s="264">
        <v>37025</v>
      </c>
      <c r="Q29" s="265"/>
      <c r="R29" s="266"/>
      <c r="S29" s="6"/>
      <c r="T29" s="6"/>
      <c r="U29" s="148"/>
      <c r="V29" s="228"/>
      <c r="W29" s="49"/>
      <c r="X29" s="49"/>
      <c r="Y29" s="49"/>
      <c r="Z29" s="159"/>
      <c r="AA29" s="159"/>
      <c r="AB29" s="159"/>
      <c r="AC29" s="159"/>
      <c r="AD29" s="159"/>
      <c r="AE29" s="159"/>
      <c r="AF29" s="159"/>
      <c r="AG29" s="159"/>
    </row>
    <row r="30" spans="1:38" s="1" customFormat="1" ht="15" customHeight="1" thickTop="1" x14ac:dyDescent="0.2">
      <c r="A30" s="101" t="s">
        <v>123</v>
      </c>
      <c r="B30" s="139">
        <v>5</v>
      </c>
      <c r="C30" s="139">
        <v>68</v>
      </c>
      <c r="D30" s="139">
        <v>2247</v>
      </c>
      <c r="E30" s="139">
        <v>2320</v>
      </c>
      <c r="F30" s="5"/>
      <c r="G30" s="5"/>
      <c r="H30" s="289" t="s">
        <v>123</v>
      </c>
      <c r="I30" s="289"/>
      <c r="J30" s="282">
        <v>9200</v>
      </c>
      <c r="K30" s="283"/>
      <c r="L30" s="284"/>
      <c r="M30" s="50"/>
      <c r="N30" s="262" t="s">
        <v>635</v>
      </c>
      <c r="O30" s="263"/>
      <c r="P30" s="282">
        <v>215</v>
      </c>
      <c r="Q30" s="283"/>
      <c r="R30" s="284"/>
      <c r="S30" s="6"/>
      <c r="T30" s="6"/>
      <c r="U30" s="148"/>
      <c r="V30" s="228"/>
      <c r="W30" s="49"/>
      <c r="X30" s="49"/>
      <c r="Y30" s="181"/>
      <c r="Z30" s="159"/>
      <c r="AA30" s="159"/>
      <c r="AB30" s="159"/>
      <c r="AC30" s="159"/>
      <c r="AD30" s="159"/>
      <c r="AE30" s="159"/>
      <c r="AF30" s="159"/>
      <c r="AG30" s="159"/>
    </row>
    <row r="31" spans="1:38" s="1" customFormat="1" ht="14.45" customHeight="1" x14ac:dyDescent="0.2">
      <c r="A31" s="102" t="s">
        <v>124</v>
      </c>
      <c r="B31" s="125">
        <v>24999</v>
      </c>
      <c r="C31" s="125">
        <v>7542</v>
      </c>
      <c r="D31" s="125">
        <v>32260</v>
      </c>
      <c r="E31" s="125">
        <v>64801</v>
      </c>
      <c r="F31" s="5"/>
      <c r="G31" s="5"/>
      <c r="H31" s="261" t="s">
        <v>124</v>
      </c>
      <c r="I31" s="261"/>
      <c r="J31" s="285">
        <v>30843</v>
      </c>
      <c r="K31" s="286"/>
      <c r="L31" s="287"/>
      <c r="M31" s="50"/>
      <c r="N31" s="50"/>
      <c r="O31" s="50"/>
      <c r="P31" s="50"/>
      <c r="Q31" s="50"/>
      <c r="R31" s="50"/>
      <c r="S31" s="6"/>
      <c r="T31" s="6"/>
      <c r="U31" s="148"/>
      <c r="V31" s="228"/>
      <c r="W31" s="49"/>
      <c r="X31" s="49"/>
      <c r="Y31" s="49"/>
      <c r="AA31" s="159"/>
      <c r="AB31" s="159"/>
      <c r="AC31" s="159"/>
      <c r="AD31" s="159"/>
      <c r="AE31" s="159"/>
      <c r="AF31" s="159"/>
      <c r="AG31" s="159"/>
    </row>
    <row r="32" spans="1:38" s="1" customFormat="1" ht="12" x14ac:dyDescent="0.2">
      <c r="A32" s="105"/>
      <c r="F32" s="5"/>
      <c r="G32" s="5"/>
      <c r="H32" s="5"/>
      <c r="I32" s="6"/>
      <c r="J32" s="6"/>
      <c r="K32" s="5"/>
      <c r="L32" s="50"/>
      <c r="M32" s="50"/>
      <c r="N32" s="50"/>
      <c r="O32" s="50"/>
      <c r="P32" s="50"/>
      <c r="Q32" s="50"/>
      <c r="R32" s="50"/>
      <c r="S32" s="50"/>
      <c r="T32" s="50"/>
      <c r="U32" s="50"/>
      <c r="V32" s="48"/>
      <c r="W32" s="49"/>
      <c r="X32" s="49"/>
      <c r="Y32" s="181"/>
      <c r="Z32" s="181"/>
      <c r="AA32" s="159"/>
      <c r="AB32" s="159"/>
      <c r="AC32" s="159"/>
      <c r="AD32" s="159"/>
      <c r="AE32" s="159"/>
      <c r="AF32" s="159"/>
      <c r="AG32" s="159"/>
    </row>
    <row r="33" spans="1:45" s="8" customFormat="1" ht="16.5" customHeight="1" x14ac:dyDescent="0.2">
      <c r="A33" s="240"/>
      <c r="B33" s="241"/>
      <c r="C33" s="241"/>
      <c r="D33" s="241"/>
      <c r="E33" s="241"/>
      <c r="F33" s="241"/>
      <c r="G33" s="241"/>
      <c r="H33" s="241"/>
      <c r="I33" s="241"/>
      <c r="J33" s="241"/>
      <c r="K33" s="241"/>
      <c r="L33" s="241"/>
      <c r="M33" s="241"/>
      <c r="N33" s="241"/>
      <c r="O33" s="241"/>
      <c r="P33" s="241"/>
      <c r="Q33" s="241"/>
      <c r="R33" s="241"/>
      <c r="S33" s="241"/>
      <c r="T33" s="241"/>
      <c r="U33" s="241"/>
      <c r="V33" s="242"/>
      <c r="W33" s="44"/>
      <c r="X33" s="44"/>
      <c r="Y33" s="44"/>
      <c r="Z33" s="180"/>
      <c r="AA33" s="144"/>
      <c r="AB33" s="144"/>
      <c r="AC33" s="144"/>
      <c r="AD33" s="144"/>
      <c r="AE33" s="144"/>
      <c r="AF33" s="144"/>
      <c r="AG33" s="144"/>
    </row>
    <row r="34" spans="1:45" s="1" customFormat="1" ht="12" x14ac:dyDescent="0.2">
      <c r="A34" s="105"/>
      <c r="B34" s="6"/>
      <c r="C34" s="6"/>
      <c r="D34" s="6"/>
      <c r="E34" s="6"/>
      <c r="F34" s="5"/>
      <c r="G34" s="5"/>
      <c r="H34" s="5"/>
      <c r="I34" s="143"/>
      <c r="J34" s="6"/>
      <c r="K34" s="5"/>
      <c r="L34" s="50"/>
      <c r="M34" s="50"/>
      <c r="N34" s="50"/>
      <c r="O34" s="50"/>
      <c r="P34" s="50"/>
      <c r="Q34" s="50"/>
      <c r="R34" s="50"/>
      <c r="S34" s="50"/>
      <c r="T34" s="50"/>
      <c r="U34" s="50"/>
      <c r="V34" s="209"/>
      <c r="W34" s="49"/>
      <c r="X34" s="49"/>
      <c r="Y34" s="49"/>
      <c r="Z34" s="181"/>
      <c r="AA34" s="159"/>
      <c r="AB34" s="159"/>
      <c r="AC34" s="159"/>
      <c r="AD34" s="159"/>
      <c r="AE34" s="159"/>
    </row>
    <row r="35" spans="1:45" s="1" customFormat="1" ht="12" x14ac:dyDescent="0.2">
      <c r="A35" s="105"/>
      <c r="B35" s="6"/>
      <c r="C35" s="6"/>
      <c r="D35" s="6"/>
      <c r="E35" s="6"/>
      <c r="F35" s="5"/>
      <c r="G35" s="5"/>
      <c r="H35" s="5"/>
      <c r="I35" s="147"/>
      <c r="J35" s="147"/>
      <c r="K35" s="146"/>
      <c r="L35" s="149"/>
      <c r="M35" s="149"/>
      <c r="N35" s="149"/>
      <c r="O35" s="149"/>
      <c r="P35" s="149"/>
      <c r="Q35" s="149"/>
      <c r="R35" s="149"/>
      <c r="S35" s="149"/>
      <c r="T35" s="50"/>
      <c r="U35" s="50"/>
      <c r="V35" s="48"/>
      <c r="W35" s="49"/>
      <c r="X35" s="49"/>
      <c r="Y35" s="49"/>
      <c r="Z35" s="181"/>
      <c r="AB35" s="159"/>
      <c r="AC35" s="159"/>
      <c r="AE35" s="159"/>
    </row>
    <row r="36" spans="1:45" s="1" customFormat="1" ht="22.5" customHeight="1" x14ac:dyDescent="0.2">
      <c r="A36" s="278" t="s">
        <v>726</v>
      </c>
      <c r="B36" s="247"/>
      <c r="C36" s="247"/>
      <c r="D36" s="247"/>
      <c r="E36" s="247"/>
      <c r="F36" s="179"/>
      <c r="G36" s="205"/>
      <c r="H36" s="205"/>
      <c r="I36" s="205"/>
      <c r="J36" s="205"/>
      <c r="K36" s="205"/>
      <c r="L36" s="205"/>
      <c r="M36" s="205"/>
      <c r="N36" s="205"/>
      <c r="O36" s="205"/>
      <c r="P36" s="205"/>
      <c r="Q36" s="205"/>
      <c r="R36" s="205"/>
      <c r="S36" s="205"/>
      <c r="T36" s="205"/>
      <c r="U36" s="205"/>
      <c r="V36" s="207"/>
      <c r="W36" s="49"/>
      <c r="X36" s="49"/>
      <c r="Y36" s="49"/>
      <c r="Z36" s="181"/>
      <c r="AB36" s="159"/>
      <c r="AC36" s="159"/>
      <c r="AE36" s="159"/>
    </row>
    <row r="37" spans="1:45" s="1" customFormat="1" ht="38.450000000000003" customHeight="1" x14ac:dyDescent="0.2">
      <c r="A37" s="107" t="s">
        <v>147</v>
      </c>
      <c r="B37" s="84" t="s">
        <v>126</v>
      </c>
      <c r="C37" s="84" t="s">
        <v>134</v>
      </c>
      <c r="D37" s="84" t="s">
        <v>135</v>
      </c>
      <c r="E37" s="84" t="s">
        <v>136</v>
      </c>
      <c r="F37" s="202" t="s">
        <v>137</v>
      </c>
      <c r="G37" s="202" t="s">
        <v>138</v>
      </c>
      <c r="H37" s="202" t="s">
        <v>139</v>
      </c>
      <c r="I37" s="202" t="s">
        <v>140</v>
      </c>
      <c r="J37" s="202" t="s">
        <v>141</v>
      </c>
      <c r="K37" s="202" t="s">
        <v>142</v>
      </c>
      <c r="L37" s="202" t="s">
        <v>144</v>
      </c>
      <c r="M37" s="202" t="s">
        <v>145</v>
      </c>
      <c r="N37" s="202" t="s">
        <v>146</v>
      </c>
      <c r="O37" s="202" t="s">
        <v>1</v>
      </c>
      <c r="P37" s="205"/>
      <c r="Q37" s="205"/>
      <c r="R37" s="205"/>
      <c r="S37" s="205"/>
      <c r="T37" s="205"/>
      <c r="U37" s="205"/>
      <c r="V37" s="207"/>
      <c r="W37" s="205"/>
      <c r="X37" s="206"/>
      <c r="Y37" s="206"/>
      <c r="Z37" s="206"/>
      <c r="AA37" s="206"/>
      <c r="AB37" s="206"/>
      <c r="AC37" s="206"/>
      <c r="AD37" s="97"/>
      <c r="AE37" s="49"/>
      <c r="AI37" s="159"/>
      <c r="AJ37" s="159"/>
      <c r="AL37" s="159"/>
    </row>
    <row r="38" spans="1:45" s="1" customFormat="1" ht="15.75" customHeight="1" thickBot="1" x14ac:dyDescent="0.25">
      <c r="A38" s="222" t="s">
        <v>1</v>
      </c>
      <c r="B38" s="127"/>
      <c r="C38" s="128">
        <v>2534</v>
      </c>
      <c r="D38" s="127">
        <v>2919</v>
      </c>
      <c r="E38" s="127">
        <v>3556</v>
      </c>
      <c r="F38" s="127">
        <v>3691</v>
      </c>
      <c r="G38" s="127">
        <v>4781</v>
      </c>
      <c r="H38" s="127">
        <v>11889</v>
      </c>
      <c r="I38" s="127">
        <v>10673</v>
      </c>
      <c r="J38" s="127"/>
      <c r="K38" s="127"/>
      <c r="L38" s="127"/>
      <c r="M38" s="127"/>
      <c r="N38" s="127"/>
      <c r="O38" s="127">
        <f>SUM(C38:N38)</f>
        <v>40043</v>
      </c>
      <c r="P38" s="205"/>
      <c r="Q38" s="205"/>
      <c r="R38" s="205"/>
      <c r="S38" s="205"/>
      <c r="T38" s="205"/>
      <c r="U38" s="208"/>
      <c r="V38" s="210"/>
      <c r="W38" s="208"/>
      <c r="X38" s="208"/>
      <c r="Y38" s="208"/>
      <c r="Z38" s="208"/>
      <c r="AA38" s="208"/>
      <c r="AB38" s="208"/>
      <c r="AC38" s="208"/>
      <c r="AD38" s="212"/>
      <c r="AE38" s="181"/>
      <c r="AF38" s="159"/>
      <c r="AG38" s="159"/>
      <c r="AH38" s="159"/>
      <c r="AI38" s="159"/>
      <c r="AJ38" s="159"/>
      <c r="AL38" s="159"/>
      <c r="AP38" s="159"/>
      <c r="AQ38" s="159"/>
      <c r="AR38" s="159"/>
      <c r="AS38" s="159"/>
    </row>
    <row r="39" spans="1:45" s="1" customFormat="1" ht="15" customHeight="1" thickTop="1" x14ac:dyDescent="0.2">
      <c r="A39" s="217" t="s">
        <v>604</v>
      </c>
      <c r="B39" s="217" t="s">
        <v>1</v>
      </c>
      <c r="C39" s="216">
        <f>C43+C47</f>
        <v>1131</v>
      </c>
      <c r="D39" s="216">
        <f t="shared" ref="D39:G39" si="2">D43+D47</f>
        <v>923</v>
      </c>
      <c r="E39" s="216">
        <f t="shared" si="2"/>
        <v>943</v>
      </c>
      <c r="F39" s="216">
        <f t="shared" si="2"/>
        <v>877</v>
      </c>
      <c r="G39" s="216">
        <f t="shared" si="2"/>
        <v>844</v>
      </c>
      <c r="H39" s="216">
        <f>H43+H47</f>
        <v>751</v>
      </c>
      <c r="I39" s="216">
        <f t="shared" ref="I39:I40" si="3">I43+I47</f>
        <v>529</v>
      </c>
      <c r="J39" s="216"/>
      <c r="K39" s="216"/>
      <c r="L39" s="216"/>
      <c r="M39" s="216"/>
      <c r="N39" s="216"/>
      <c r="O39" s="216">
        <f>SUM(O40:O42)</f>
        <v>5998</v>
      </c>
      <c r="P39" s="205"/>
      <c r="Q39" s="205"/>
      <c r="R39" s="205"/>
      <c r="S39" s="205"/>
      <c r="T39" s="205"/>
      <c r="U39" s="208"/>
      <c r="V39" s="207"/>
      <c r="W39" s="205"/>
      <c r="X39" s="224"/>
      <c r="Y39" s="224"/>
      <c r="Z39" s="224"/>
      <c r="AA39" s="208"/>
      <c r="AB39" s="208"/>
      <c r="AC39" s="208"/>
      <c r="AD39" s="212"/>
      <c r="AE39" s="181"/>
      <c r="AF39" s="159"/>
      <c r="AG39" s="159"/>
      <c r="AH39" s="159"/>
      <c r="AI39" s="159"/>
      <c r="AS39" s="159"/>
    </row>
    <row r="40" spans="1:45" s="1" customFormat="1" ht="15" customHeight="1" x14ac:dyDescent="0.2">
      <c r="A40" s="203"/>
      <c r="B40" s="203" t="s">
        <v>68</v>
      </c>
      <c r="C40" s="204">
        <f>C44+C48</f>
        <v>316</v>
      </c>
      <c r="D40" s="225">
        <f t="shared" ref="D40:H40" si="4">D44+D48</f>
        <v>273</v>
      </c>
      <c r="E40" s="225">
        <f t="shared" si="4"/>
        <v>265</v>
      </c>
      <c r="F40" s="225">
        <f t="shared" si="4"/>
        <v>193</v>
      </c>
      <c r="G40" s="225">
        <f t="shared" si="4"/>
        <v>189</v>
      </c>
      <c r="H40" s="225">
        <f t="shared" si="4"/>
        <v>118</v>
      </c>
      <c r="I40" s="225">
        <f t="shared" si="3"/>
        <v>49</v>
      </c>
      <c r="J40" s="204"/>
      <c r="K40" s="204"/>
      <c r="L40" s="204"/>
      <c r="M40" s="204"/>
      <c r="N40" s="204"/>
      <c r="O40" s="204">
        <f t="shared" ref="O40" si="5">O44+O48</f>
        <v>1403</v>
      </c>
      <c r="P40" s="205"/>
      <c r="Q40" s="205"/>
      <c r="R40" s="205"/>
      <c r="S40" s="205"/>
      <c r="T40" s="205"/>
      <c r="U40" s="208"/>
      <c r="V40" s="207"/>
      <c r="W40" s="205"/>
      <c r="X40" s="224"/>
      <c r="Y40" s="224"/>
      <c r="Z40" s="224"/>
      <c r="AA40" s="208"/>
      <c r="AB40" s="208"/>
      <c r="AC40" s="208"/>
      <c r="AD40" s="212"/>
      <c r="AE40" s="181"/>
      <c r="AF40" s="159"/>
      <c r="AG40" s="159"/>
      <c r="AH40" s="159"/>
      <c r="AI40" s="159"/>
      <c r="AS40" s="159"/>
    </row>
    <row r="41" spans="1:45" s="1" customFormat="1" ht="15" customHeight="1" x14ac:dyDescent="0.2">
      <c r="A41" s="203"/>
      <c r="B41" s="203" t="s">
        <v>100</v>
      </c>
      <c r="C41" s="204">
        <f t="shared" ref="C41:C42" si="6">C45+C49</f>
        <v>409</v>
      </c>
      <c r="D41" s="225">
        <f t="shared" ref="D41:I41" si="7">D45+D49</f>
        <v>342</v>
      </c>
      <c r="E41" s="225">
        <f t="shared" si="7"/>
        <v>349</v>
      </c>
      <c r="F41" s="225">
        <f t="shared" si="7"/>
        <v>310</v>
      </c>
      <c r="G41" s="225">
        <f t="shared" si="7"/>
        <v>253</v>
      </c>
      <c r="H41" s="225">
        <f t="shared" si="7"/>
        <v>125</v>
      </c>
      <c r="I41" s="225">
        <f t="shared" si="7"/>
        <v>52</v>
      </c>
      <c r="J41" s="204"/>
      <c r="K41" s="204"/>
      <c r="L41" s="204"/>
      <c r="M41" s="204"/>
      <c r="N41" s="204"/>
      <c r="O41" s="204">
        <f t="shared" ref="O41" si="8">O45+O49</f>
        <v>1840</v>
      </c>
      <c r="P41" s="205"/>
      <c r="Q41" s="205"/>
      <c r="R41" s="205"/>
      <c r="S41" s="205"/>
      <c r="T41" s="205"/>
      <c r="U41" s="208"/>
      <c r="V41" s="207"/>
      <c r="W41" s="205"/>
      <c r="X41" s="224"/>
      <c r="Y41" s="224"/>
      <c r="Z41" s="224"/>
      <c r="AA41" s="224"/>
      <c r="AB41" s="208"/>
      <c r="AC41" s="224"/>
      <c r="AD41" s="97"/>
      <c r="AE41" s="49"/>
      <c r="AH41" s="159"/>
      <c r="AS41" s="159"/>
    </row>
    <row r="42" spans="1:45" s="1" customFormat="1" ht="15" customHeight="1" x14ac:dyDescent="0.2">
      <c r="A42" s="203"/>
      <c r="B42" s="203" t="s">
        <v>129</v>
      </c>
      <c r="C42" s="204">
        <f t="shared" si="6"/>
        <v>406</v>
      </c>
      <c r="D42" s="225">
        <f t="shared" ref="D42:I42" si="9">D46+D50</f>
        <v>308</v>
      </c>
      <c r="E42" s="225">
        <f t="shared" si="9"/>
        <v>329</v>
      </c>
      <c r="F42" s="225">
        <f t="shared" si="9"/>
        <v>374</v>
      </c>
      <c r="G42" s="225">
        <f t="shared" si="9"/>
        <v>402</v>
      </c>
      <c r="H42" s="225">
        <f t="shared" si="9"/>
        <v>508</v>
      </c>
      <c r="I42" s="225">
        <f t="shared" si="9"/>
        <v>428</v>
      </c>
      <c r="J42" s="204"/>
      <c r="K42" s="204"/>
      <c r="L42" s="204"/>
      <c r="M42" s="204"/>
      <c r="N42" s="204"/>
      <c r="O42" s="204">
        <f t="shared" ref="O42" si="10">O46+O50</f>
        <v>2755</v>
      </c>
      <c r="P42" s="205"/>
      <c r="Q42" s="205"/>
      <c r="R42" s="205"/>
      <c r="S42" s="205"/>
      <c r="T42" s="205"/>
      <c r="U42" s="208"/>
      <c r="V42" s="207"/>
      <c r="W42" s="205"/>
      <c r="X42" s="224"/>
      <c r="Y42" s="224"/>
      <c r="Z42" s="224"/>
      <c r="AA42" s="224"/>
      <c r="AB42" s="208"/>
      <c r="AC42" s="224"/>
      <c r="AD42" s="97"/>
      <c r="AE42" s="49"/>
      <c r="AS42" s="159"/>
    </row>
    <row r="43" spans="1:45" s="1" customFormat="1" ht="14.45" customHeight="1" x14ac:dyDescent="0.2">
      <c r="A43" s="218" t="s">
        <v>605</v>
      </c>
      <c r="B43" s="214" t="s">
        <v>1</v>
      </c>
      <c r="C43" s="215">
        <v>218</v>
      </c>
      <c r="D43" s="215">
        <v>180</v>
      </c>
      <c r="E43" s="223">
        <v>221</v>
      </c>
      <c r="F43" s="223">
        <v>225</v>
      </c>
      <c r="G43" s="223">
        <v>285</v>
      </c>
      <c r="H43" s="223">
        <v>238</v>
      </c>
      <c r="I43" s="223">
        <v>141</v>
      </c>
      <c r="J43" s="219"/>
      <c r="K43" s="219"/>
      <c r="L43" s="219"/>
      <c r="M43" s="219"/>
      <c r="N43" s="219"/>
      <c r="O43" s="223">
        <v>1508</v>
      </c>
      <c r="P43" s="205"/>
      <c r="Q43" s="205"/>
      <c r="R43" s="205"/>
      <c r="S43" s="205"/>
      <c r="T43" s="205"/>
      <c r="U43" s="205"/>
      <c r="V43" s="207"/>
      <c r="W43" s="205"/>
      <c r="X43" s="224"/>
      <c r="Y43" s="224"/>
      <c r="Z43" s="224"/>
      <c r="AA43" s="224"/>
      <c r="AB43" s="208"/>
      <c r="AC43" s="224"/>
      <c r="AD43" s="97"/>
      <c r="AE43" s="49"/>
      <c r="AQ43" s="159"/>
      <c r="AR43" s="159"/>
      <c r="AS43" s="159"/>
    </row>
    <row r="44" spans="1:45" s="1" customFormat="1" ht="14.45" customHeight="1" x14ac:dyDescent="0.2">
      <c r="A44" s="213"/>
      <c r="B44" s="203" t="s">
        <v>68</v>
      </c>
      <c r="C44" s="203">
        <v>60</v>
      </c>
      <c r="D44" s="203">
        <v>43</v>
      </c>
      <c r="E44" s="95">
        <v>42</v>
      </c>
      <c r="F44" s="95">
        <v>40</v>
      </c>
      <c r="G44" s="95">
        <v>51</v>
      </c>
      <c r="H44" s="95">
        <v>22</v>
      </c>
      <c r="I44" s="95">
        <v>8</v>
      </c>
      <c r="J44" s="161"/>
      <c r="K44" s="161"/>
      <c r="L44" s="161"/>
      <c r="M44" s="161"/>
      <c r="N44" s="161"/>
      <c r="O44" s="95">
        <v>266</v>
      </c>
      <c r="P44" s="205"/>
      <c r="Q44" s="205"/>
      <c r="R44" s="205"/>
      <c r="S44" s="205"/>
      <c r="T44" s="205"/>
      <c r="U44" s="205"/>
      <c r="V44" s="207"/>
      <c r="W44" s="205"/>
      <c r="X44" s="224"/>
      <c r="Y44" s="224"/>
      <c r="Z44" s="224"/>
      <c r="AA44" s="224"/>
      <c r="AB44" s="208"/>
      <c r="AC44" s="224"/>
      <c r="AD44" s="97"/>
      <c r="AE44" s="49"/>
      <c r="AH44" s="159"/>
      <c r="AI44" s="159"/>
      <c r="AQ44" s="159"/>
      <c r="AR44" s="159"/>
      <c r="AS44" s="159"/>
    </row>
    <row r="45" spans="1:45" s="1" customFormat="1" ht="14.45" customHeight="1" x14ac:dyDescent="0.2">
      <c r="A45" s="213"/>
      <c r="B45" s="203" t="s">
        <v>100</v>
      </c>
      <c r="C45" s="203">
        <v>96</v>
      </c>
      <c r="D45" s="203">
        <v>69</v>
      </c>
      <c r="E45" s="95">
        <v>85</v>
      </c>
      <c r="F45" s="95">
        <v>79</v>
      </c>
      <c r="G45" s="95">
        <v>75</v>
      </c>
      <c r="H45" s="95">
        <v>35</v>
      </c>
      <c r="I45" s="95">
        <v>8</v>
      </c>
      <c r="J45" s="161"/>
      <c r="K45" s="161"/>
      <c r="L45" s="161"/>
      <c r="M45" s="161"/>
      <c r="N45" s="161"/>
      <c r="O45" s="95">
        <v>447</v>
      </c>
      <c r="P45" s="205"/>
      <c r="Q45" s="205"/>
      <c r="R45" s="205"/>
      <c r="S45" s="205"/>
      <c r="T45" s="205"/>
      <c r="U45" s="205"/>
      <c r="V45" s="207"/>
      <c r="W45" s="205"/>
      <c r="X45" s="224"/>
      <c r="Y45" s="224"/>
      <c r="Z45" s="224"/>
      <c r="AA45" s="224"/>
      <c r="AB45" s="208"/>
      <c r="AC45" s="224"/>
      <c r="AD45" s="97"/>
      <c r="AE45" s="49"/>
      <c r="AH45" s="159"/>
      <c r="AI45" s="159"/>
      <c r="AQ45" s="159"/>
      <c r="AR45" s="159"/>
      <c r="AS45" s="159"/>
    </row>
    <row r="46" spans="1:45" s="1" customFormat="1" ht="14.45" customHeight="1" x14ac:dyDescent="0.2">
      <c r="A46" s="213"/>
      <c r="B46" s="203" t="s">
        <v>129</v>
      </c>
      <c r="C46" s="203">
        <v>62</v>
      </c>
      <c r="D46" s="203">
        <v>68</v>
      </c>
      <c r="E46" s="95">
        <v>94</v>
      </c>
      <c r="F46" s="95">
        <v>106</v>
      </c>
      <c r="G46" s="95">
        <v>159</v>
      </c>
      <c r="H46" s="95">
        <v>181</v>
      </c>
      <c r="I46" s="95">
        <v>125</v>
      </c>
      <c r="J46" s="161"/>
      <c r="K46" s="161"/>
      <c r="L46" s="161"/>
      <c r="M46" s="161"/>
      <c r="N46" s="161"/>
      <c r="O46" s="95">
        <v>795</v>
      </c>
      <c r="P46" s="205"/>
      <c r="Q46" s="205"/>
      <c r="R46" s="205"/>
      <c r="S46" s="205"/>
      <c r="T46" s="205"/>
      <c r="U46" s="205"/>
      <c r="V46" s="207"/>
      <c r="W46" s="205"/>
      <c r="X46" s="224"/>
      <c r="Y46" s="224"/>
      <c r="Z46" s="224"/>
      <c r="AA46" s="224"/>
      <c r="AB46" s="208"/>
      <c r="AC46" s="224"/>
      <c r="AD46" s="97"/>
      <c r="AE46" s="49"/>
      <c r="AH46" s="159"/>
      <c r="AI46" s="159"/>
      <c r="AQ46" s="159"/>
      <c r="AR46" s="159"/>
      <c r="AS46" s="159"/>
    </row>
    <row r="47" spans="1:45" s="1" customFormat="1" ht="14.45" customHeight="1" x14ac:dyDescent="0.2">
      <c r="A47" s="218" t="s">
        <v>606</v>
      </c>
      <c r="B47" s="214" t="s">
        <v>1</v>
      </c>
      <c r="C47" s="215">
        <v>913</v>
      </c>
      <c r="D47" s="215">
        <v>743</v>
      </c>
      <c r="E47" s="221">
        <v>722</v>
      </c>
      <c r="F47" s="221">
        <v>652</v>
      </c>
      <c r="G47" s="221">
        <v>559</v>
      </c>
      <c r="H47" s="221">
        <v>513</v>
      </c>
      <c r="I47" s="221">
        <v>388</v>
      </c>
      <c r="J47" s="220"/>
      <c r="K47" s="220"/>
      <c r="L47" s="220"/>
      <c r="M47" s="220"/>
      <c r="N47" s="220"/>
      <c r="O47" s="221">
        <v>4490</v>
      </c>
      <c r="P47" s="205"/>
      <c r="Q47" s="205"/>
      <c r="R47" s="205"/>
      <c r="S47" s="205"/>
      <c r="T47" s="205"/>
      <c r="U47" s="205"/>
      <c r="V47" s="207"/>
      <c r="W47" s="205"/>
      <c r="X47" s="224"/>
      <c r="Y47" s="224"/>
      <c r="Z47" s="224"/>
      <c r="AA47" s="224"/>
      <c r="AB47" s="224"/>
      <c r="AC47" s="224"/>
      <c r="AD47" s="97"/>
      <c r="AE47" s="49"/>
      <c r="AH47" s="159"/>
      <c r="AI47" s="159"/>
      <c r="AP47" s="159"/>
      <c r="AQ47" s="159"/>
      <c r="AR47" s="159"/>
      <c r="AS47" s="159"/>
    </row>
    <row r="48" spans="1:45" s="1" customFormat="1" ht="14.45" customHeight="1" x14ac:dyDescent="0.2">
      <c r="A48" s="213"/>
      <c r="B48" s="203" t="s">
        <v>68</v>
      </c>
      <c r="C48" s="203">
        <v>256</v>
      </c>
      <c r="D48" s="203">
        <v>230</v>
      </c>
      <c r="E48" s="96">
        <v>223</v>
      </c>
      <c r="F48" s="96">
        <v>153</v>
      </c>
      <c r="G48" s="96">
        <v>138</v>
      </c>
      <c r="H48" s="96">
        <v>96</v>
      </c>
      <c r="I48" s="96">
        <v>41</v>
      </c>
      <c r="J48" s="162"/>
      <c r="K48" s="162"/>
      <c r="L48" s="162"/>
      <c r="M48" s="162"/>
      <c r="N48" s="162"/>
      <c r="O48" s="96">
        <v>1137</v>
      </c>
      <c r="P48" s="205"/>
      <c r="Q48" s="205"/>
      <c r="R48" s="205"/>
      <c r="S48" s="205"/>
      <c r="T48" s="205"/>
      <c r="U48" s="205"/>
      <c r="V48" s="207"/>
      <c r="W48" s="205"/>
      <c r="X48" s="224"/>
      <c r="Y48" s="224"/>
      <c r="Z48" s="224"/>
      <c r="AA48" s="224"/>
      <c r="AB48" s="208"/>
      <c r="AC48" s="208"/>
      <c r="AD48" s="212"/>
      <c r="AE48" s="181"/>
      <c r="AF48" s="159"/>
      <c r="AG48" s="159"/>
      <c r="AH48" s="159"/>
      <c r="AI48" s="159"/>
      <c r="AP48" s="159"/>
      <c r="AQ48" s="159"/>
      <c r="AR48" s="159"/>
      <c r="AS48" s="159"/>
    </row>
    <row r="49" spans="1:45" s="1" customFormat="1" ht="14.45" customHeight="1" x14ac:dyDescent="0.2">
      <c r="A49" s="213"/>
      <c r="B49" s="203" t="s">
        <v>100</v>
      </c>
      <c r="C49" s="203">
        <v>313</v>
      </c>
      <c r="D49" s="203">
        <v>273</v>
      </c>
      <c r="E49" s="96">
        <v>264</v>
      </c>
      <c r="F49" s="96">
        <v>231</v>
      </c>
      <c r="G49" s="96">
        <v>178</v>
      </c>
      <c r="H49" s="96">
        <v>90</v>
      </c>
      <c r="I49" s="96">
        <v>44</v>
      </c>
      <c r="J49" s="162"/>
      <c r="K49" s="162"/>
      <c r="L49" s="162"/>
      <c r="M49" s="162"/>
      <c r="N49" s="162"/>
      <c r="O49" s="96">
        <v>1393</v>
      </c>
      <c r="P49" s="205"/>
      <c r="Q49" s="205"/>
      <c r="R49" s="205"/>
      <c r="S49" s="205"/>
      <c r="T49" s="205"/>
      <c r="U49" s="205"/>
      <c r="V49" s="207"/>
      <c r="W49" s="205"/>
      <c r="X49" s="224"/>
      <c r="Y49" s="224"/>
      <c r="Z49" s="224"/>
      <c r="AA49" s="224"/>
      <c r="AB49" s="208"/>
      <c r="AC49" s="208"/>
      <c r="AD49" s="212"/>
      <c r="AE49" s="181"/>
      <c r="AF49" s="159"/>
      <c r="AG49" s="159"/>
      <c r="AH49" s="159"/>
      <c r="AI49" s="159"/>
      <c r="AP49" s="159"/>
      <c r="AQ49" s="159"/>
      <c r="AR49" s="159"/>
      <c r="AS49" s="159"/>
    </row>
    <row r="50" spans="1:45" s="1" customFormat="1" ht="14.45" customHeight="1" x14ac:dyDescent="0.2">
      <c r="A50" s="213"/>
      <c r="B50" s="203" t="s">
        <v>129</v>
      </c>
      <c r="C50" s="203">
        <v>344</v>
      </c>
      <c r="D50" s="203">
        <v>240</v>
      </c>
      <c r="E50" s="96">
        <v>235</v>
      </c>
      <c r="F50" s="96">
        <v>268</v>
      </c>
      <c r="G50" s="96">
        <v>243</v>
      </c>
      <c r="H50" s="96">
        <v>327</v>
      </c>
      <c r="I50" s="96">
        <v>303</v>
      </c>
      <c r="J50" s="162"/>
      <c r="K50" s="162"/>
      <c r="L50" s="162"/>
      <c r="M50" s="162"/>
      <c r="N50" s="162"/>
      <c r="O50" s="96">
        <v>1960</v>
      </c>
      <c r="P50" s="205"/>
      <c r="Q50" s="205"/>
      <c r="R50" s="205"/>
      <c r="S50" s="205"/>
      <c r="T50" s="205"/>
      <c r="U50" s="205"/>
      <c r="V50" s="207"/>
      <c r="W50" s="205"/>
      <c r="X50" s="224"/>
      <c r="Y50" s="224"/>
      <c r="Z50" s="224"/>
      <c r="AA50" s="224"/>
      <c r="AB50" s="224"/>
      <c r="AC50" s="224"/>
      <c r="AD50" s="97"/>
      <c r="AE50" s="49"/>
      <c r="AH50" s="159"/>
      <c r="AI50" s="159"/>
      <c r="AP50" s="159"/>
      <c r="AQ50" s="159"/>
      <c r="AR50" s="159"/>
      <c r="AS50" s="159"/>
    </row>
    <row r="51" spans="1:45" s="1" customFormat="1" ht="14.45" customHeight="1" x14ac:dyDescent="0.2">
      <c r="A51" s="214" t="s">
        <v>2</v>
      </c>
      <c r="B51" s="214" t="s">
        <v>1</v>
      </c>
      <c r="C51" s="215">
        <v>607</v>
      </c>
      <c r="D51" s="215">
        <v>1064</v>
      </c>
      <c r="E51" s="221">
        <v>1397</v>
      </c>
      <c r="F51" s="221">
        <v>1494</v>
      </c>
      <c r="G51" s="221">
        <v>2185</v>
      </c>
      <c r="H51" s="221">
        <v>7169</v>
      </c>
      <c r="I51" s="221">
        <v>7792</v>
      </c>
      <c r="J51" s="221"/>
      <c r="K51" s="221"/>
      <c r="L51" s="221"/>
      <c r="M51" s="221"/>
      <c r="N51" s="221"/>
      <c r="O51" s="221">
        <v>21708</v>
      </c>
      <c r="P51" s="205"/>
      <c r="Q51" s="205"/>
      <c r="R51" s="205"/>
      <c r="S51" s="205"/>
      <c r="T51" s="205"/>
      <c r="U51" s="205"/>
      <c r="V51" s="207"/>
      <c r="W51" s="205"/>
      <c r="X51" s="224"/>
      <c r="Y51" s="224"/>
      <c r="Z51" s="224"/>
      <c r="AA51" s="224"/>
      <c r="AB51" s="224"/>
      <c r="AC51" s="224"/>
      <c r="AD51" s="97"/>
      <c r="AE51" s="181"/>
      <c r="AF51" s="159"/>
      <c r="AG51" s="159"/>
      <c r="AH51" s="159"/>
      <c r="AI51" s="159"/>
      <c r="AP51" s="159"/>
      <c r="AQ51" s="159"/>
      <c r="AR51" s="159"/>
      <c r="AS51" s="159"/>
    </row>
    <row r="52" spans="1:45" s="1" customFormat="1" ht="14.45" customHeight="1" x14ac:dyDescent="0.2">
      <c r="A52" s="203"/>
      <c r="B52" s="203" t="s">
        <v>68</v>
      </c>
      <c r="C52" s="203">
        <v>213</v>
      </c>
      <c r="D52" s="203">
        <v>421</v>
      </c>
      <c r="E52" s="96">
        <v>507</v>
      </c>
      <c r="F52" s="96">
        <v>501</v>
      </c>
      <c r="G52" s="96">
        <v>329</v>
      </c>
      <c r="H52" s="96">
        <v>384</v>
      </c>
      <c r="I52" s="96">
        <v>213</v>
      </c>
      <c r="J52" s="96"/>
      <c r="K52" s="96"/>
      <c r="L52" s="96"/>
      <c r="M52" s="96"/>
      <c r="N52" s="96"/>
      <c r="O52" s="96">
        <v>2568</v>
      </c>
      <c r="P52" s="205"/>
      <c r="Q52" s="205"/>
      <c r="R52" s="205"/>
      <c r="S52" s="205"/>
      <c r="T52" s="205"/>
      <c r="U52" s="205"/>
      <c r="V52" s="207"/>
      <c r="W52" s="205"/>
      <c r="X52" s="224"/>
      <c r="Y52" s="224"/>
      <c r="Z52" s="224"/>
      <c r="AA52" s="224"/>
      <c r="AB52" s="224"/>
      <c r="AC52" s="224"/>
      <c r="AD52" s="97"/>
      <c r="AE52" s="181"/>
      <c r="AF52" s="159"/>
      <c r="AG52" s="159"/>
      <c r="AH52" s="159"/>
      <c r="AI52" s="159"/>
      <c r="AP52" s="159"/>
      <c r="AQ52" s="159"/>
      <c r="AR52" s="159"/>
      <c r="AS52" s="159"/>
    </row>
    <row r="53" spans="1:45" s="1" customFormat="1" ht="14.45" customHeight="1" x14ac:dyDescent="0.2">
      <c r="A53" s="203"/>
      <c r="B53" s="203" t="s">
        <v>100</v>
      </c>
      <c r="C53" s="203">
        <v>154</v>
      </c>
      <c r="D53" s="203">
        <v>318</v>
      </c>
      <c r="E53" s="96">
        <v>405</v>
      </c>
      <c r="F53" s="96">
        <v>444</v>
      </c>
      <c r="G53" s="96">
        <v>212</v>
      </c>
      <c r="H53" s="96">
        <v>276</v>
      </c>
      <c r="I53" s="96">
        <v>183</v>
      </c>
      <c r="J53" s="96"/>
      <c r="K53" s="96"/>
      <c r="L53" s="96"/>
      <c r="M53" s="96"/>
      <c r="N53" s="96"/>
      <c r="O53" s="96">
        <v>1992</v>
      </c>
      <c r="P53" s="205"/>
      <c r="Q53" s="205"/>
      <c r="R53" s="205"/>
      <c r="S53" s="205"/>
      <c r="T53" s="205"/>
      <c r="U53" s="205"/>
      <c r="V53" s="207"/>
      <c r="W53" s="205"/>
      <c r="X53" s="224"/>
      <c r="Y53" s="224"/>
      <c r="Z53" s="224"/>
      <c r="AA53" s="224"/>
      <c r="AB53" s="208"/>
      <c r="AC53" s="224"/>
      <c r="AD53" s="97"/>
      <c r="AE53" s="49"/>
      <c r="AF53" s="159"/>
      <c r="AG53" s="159"/>
      <c r="AH53" s="159"/>
      <c r="AI53" s="159"/>
      <c r="AP53" s="159"/>
      <c r="AQ53" s="159"/>
      <c r="AR53" s="159"/>
      <c r="AS53" s="159"/>
    </row>
    <row r="54" spans="1:45" s="1" customFormat="1" ht="14.45" customHeight="1" x14ac:dyDescent="0.2">
      <c r="A54" s="203"/>
      <c r="B54" s="203" t="s">
        <v>129</v>
      </c>
      <c r="C54" s="203">
        <v>240</v>
      </c>
      <c r="D54" s="203">
        <v>325</v>
      </c>
      <c r="E54" s="96">
        <v>485</v>
      </c>
      <c r="F54" s="96">
        <v>549</v>
      </c>
      <c r="G54" s="96">
        <v>1644</v>
      </c>
      <c r="H54" s="96">
        <v>6509</v>
      </c>
      <c r="I54" s="96">
        <v>7396</v>
      </c>
      <c r="J54" s="96"/>
      <c r="K54" s="96"/>
      <c r="L54" s="96"/>
      <c r="M54" s="96"/>
      <c r="N54" s="96"/>
      <c r="O54" s="96">
        <v>17148</v>
      </c>
      <c r="P54" s="205"/>
      <c r="Q54" s="205"/>
      <c r="R54" s="205"/>
      <c r="S54" s="205"/>
      <c r="T54" s="205"/>
      <c r="U54" s="205"/>
      <c r="V54" s="207"/>
      <c r="W54" s="205"/>
      <c r="X54" s="224"/>
      <c r="Y54" s="224"/>
      <c r="Z54" s="224"/>
      <c r="AA54" s="224"/>
      <c r="AB54" s="208"/>
      <c r="AC54" s="224"/>
      <c r="AD54" s="97"/>
      <c r="AE54" s="49"/>
      <c r="AG54" s="159"/>
      <c r="AH54" s="159"/>
      <c r="AI54" s="159"/>
      <c r="AP54" s="159"/>
      <c r="AQ54" s="159"/>
      <c r="AR54" s="159"/>
      <c r="AS54" s="159"/>
    </row>
    <row r="55" spans="1:45" s="1" customFormat="1" ht="14.45" customHeight="1" x14ac:dyDescent="0.2">
      <c r="A55" s="214" t="s">
        <v>3</v>
      </c>
      <c r="B55" s="214" t="s">
        <v>1</v>
      </c>
      <c r="C55" s="215">
        <v>406</v>
      </c>
      <c r="D55" s="215">
        <v>688</v>
      </c>
      <c r="E55" s="221">
        <v>794</v>
      </c>
      <c r="F55" s="221">
        <v>871</v>
      </c>
      <c r="G55" s="221">
        <v>984</v>
      </c>
      <c r="H55" s="221">
        <v>1900</v>
      </c>
      <c r="I55" s="221">
        <v>850</v>
      </c>
      <c r="J55" s="221"/>
      <c r="K55" s="221"/>
      <c r="L55" s="221"/>
      <c r="M55" s="221"/>
      <c r="N55" s="221"/>
      <c r="O55" s="221">
        <v>6493</v>
      </c>
      <c r="P55" s="205"/>
      <c r="Q55" s="205"/>
      <c r="R55" s="205"/>
      <c r="S55" s="205"/>
      <c r="T55" s="205"/>
      <c r="U55" s="205"/>
      <c r="V55" s="207"/>
      <c r="W55" s="205"/>
      <c r="X55" s="224"/>
      <c r="Y55" s="224"/>
      <c r="Z55" s="224"/>
      <c r="AA55" s="224"/>
      <c r="AB55" s="208"/>
      <c r="AC55" s="224"/>
      <c r="AD55" s="97"/>
      <c r="AE55" s="49"/>
      <c r="AH55" s="159"/>
      <c r="AI55" s="159"/>
      <c r="AP55" s="159"/>
      <c r="AQ55" s="159"/>
      <c r="AR55" s="159"/>
      <c r="AS55" s="159"/>
    </row>
    <row r="56" spans="1:45" s="1" customFormat="1" ht="14.45" customHeight="1" x14ac:dyDescent="0.2">
      <c r="A56" s="203"/>
      <c r="B56" s="203" t="s">
        <v>68</v>
      </c>
      <c r="C56" s="203">
        <v>227</v>
      </c>
      <c r="D56" s="203">
        <v>332</v>
      </c>
      <c r="E56" s="96">
        <v>432</v>
      </c>
      <c r="F56" s="96">
        <v>428</v>
      </c>
      <c r="G56" s="96">
        <v>455</v>
      </c>
      <c r="H56" s="96">
        <v>722</v>
      </c>
      <c r="I56" s="96">
        <v>345</v>
      </c>
      <c r="J56" s="96"/>
      <c r="K56" s="96"/>
      <c r="L56" s="96"/>
      <c r="M56" s="96"/>
      <c r="N56" s="96"/>
      <c r="O56" s="96">
        <v>2941</v>
      </c>
      <c r="P56" s="205"/>
      <c r="Q56" s="205"/>
      <c r="R56" s="205"/>
      <c r="S56" s="205"/>
      <c r="T56" s="205"/>
      <c r="U56" s="205"/>
      <c r="V56" s="207"/>
      <c r="W56" s="205"/>
      <c r="X56" s="224"/>
      <c r="Y56" s="224"/>
      <c r="Z56" s="224"/>
      <c r="AA56" s="224"/>
      <c r="AB56" s="208"/>
      <c r="AC56" s="224"/>
      <c r="AD56" s="97"/>
      <c r="AE56" s="49"/>
      <c r="AF56" s="159"/>
      <c r="AH56" s="159"/>
      <c r="AP56" s="159"/>
      <c r="AQ56" s="159"/>
      <c r="AR56" s="159"/>
      <c r="AS56" s="159"/>
    </row>
    <row r="57" spans="1:45" s="1" customFormat="1" ht="14.45" customHeight="1" x14ac:dyDescent="0.2">
      <c r="A57" s="203"/>
      <c r="B57" s="203" t="s">
        <v>100</v>
      </c>
      <c r="C57" s="203">
        <v>41</v>
      </c>
      <c r="D57" s="203">
        <v>80</v>
      </c>
      <c r="E57" s="96">
        <v>99</v>
      </c>
      <c r="F57" s="96">
        <v>108</v>
      </c>
      <c r="G57" s="96">
        <v>137</v>
      </c>
      <c r="H57" s="96">
        <v>270</v>
      </c>
      <c r="I57" s="96">
        <v>84</v>
      </c>
      <c r="J57" s="96"/>
      <c r="K57" s="96"/>
      <c r="L57" s="96"/>
      <c r="M57" s="96"/>
      <c r="N57" s="96"/>
      <c r="O57" s="96">
        <v>819</v>
      </c>
      <c r="P57" s="205"/>
      <c r="Q57" s="205"/>
      <c r="R57" s="205"/>
      <c r="S57" s="205"/>
      <c r="T57" s="205"/>
      <c r="U57" s="205"/>
      <c r="V57" s="210"/>
      <c r="W57" s="208"/>
      <c r="X57" s="208"/>
      <c r="Y57" s="208"/>
      <c r="Z57" s="208"/>
      <c r="AA57" s="208"/>
      <c r="AB57" s="208"/>
      <c r="AC57" s="224"/>
      <c r="AD57" s="97"/>
      <c r="AE57" s="49"/>
      <c r="AF57" s="159"/>
      <c r="AG57" s="159"/>
      <c r="AH57" s="159"/>
      <c r="AI57" s="159"/>
      <c r="AP57" s="159"/>
      <c r="AQ57" s="159"/>
      <c r="AR57" s="159"/>
      <c r="AS57" s="159"/>
    </row>
    <row r="58" spans="1:45" s="1" customFormat="1" ht="14.45" customHeight="1" x14ac:dyDescent="0.2">
      <c r="A58" s="203"/>
      <c r="B58" s="203" t="s">
        <v>129</v>
      </c>
      <c r="C58" s="203">
        <v>138</v>
      </c>
      <c r="D58" s="203">
        <v>276</v>
      </c>
      <c r="E58" s="96">
        <v>263</v>
      </c>
      <c r="F58" s="96">
        <v>335</v>
      </c>
      <c r="G58" s="96">
        <v>392</v>
      </c>
      <c r="H58" s="96">
        <v>908</v>
      </c>
      <c r="I58" s="96">
        <v>421</v>
      </c>
      <c r="J58" s="96"/>
      <c r="K58" s="96"/>
      <c r="L58" s="96"/>
      <c r="M58" s="96"/>
      <c r="N58" s="96"/>
      <c r="O58" s="96">
        <v>2733</v>
      </c>
      <c r="P58" s="205"/>
      <c r="Q58" s="205"/>
      <c r="R58" s="205"/>
      <c r="S58" s="205"/>
      <c r="T58" s="205"/>
      <c r="U58" s="205"/>
      <c r="V58" s="210"/>
      <c r="W58" s="208"/>
      <c r="X58" s="208"/>
      <c r="Y58" s="208"/>
      <c r="Z58" s="208"/>
      <c r="AA58" s="208"/>
      <c r="AB58" s="208"/>
      <c r="AC58" s="224"/>
      <c r="AD58" s="97"/>
      <c r="AE58" s="49"/>
      <c r="AG58" s="159"/>
      <c r="AI58" s="159"/>
      <c r="AP58" s="159"/>
      <c r="AQ58" s="159"/>
      <c r="AR58" s="159"/>
      <c r="AS58" s="159"/>
    </row>
    <row r="59" spans="1:45" s="1" customFormat="1" ht="14.45" customHeight="1" x14ac:dyDescent="0.2">
      <c r="A59" s="214" t="s">
        <v>607</v>
      </c>
      <c r="B59" s="214" t="s">
        <v>1</v>
      </c>
      <c r="C59" s="215">
        <v>390</v>
      </c>
      <c r="D59" s="215">
        <v>244</v>
      </c>
      <c r="E59" s="221">
        <v>422</v>
      </c>
      <c r="F59" s="221">
        <v>449</v>
      </c>
      <c r="G59" s="221">
        <v>768</v>
      </c>
      <c r="H59" s="221">
        <v>2069</v>
      </c>
      <c r="I59" s="221">
        <v>1502</v>
      </c>
      <c r="J59" s="221"/>
      <c r="K59" s="221"/>
      <c r="L59" s="221"/>
      <c r="M59" s="221"/>
      <c r="N59" s="221"/>
      <c r="O59" s="221">
        <v>5844</v>
      </c>
      <c r="P59" s="205"/>
      <c r="Q59" s="205"/>
      <c r="R59" s="205"/>
      <c r="S59" s="205"/>
      <c r="T59" s="205"/>
      <c r="U59" s="205"/>
      <c r="V59" s="207"/>
      <c r="W59" s="205"/>
      <c r="X59" s="224"/>
      <c r="Y59" s="224"/>
      <c r="Z59" s="224"/>
      <c r="AA59" s="224"/>
      <c r="AB59" s="208"/>
      <c r="AC59" s="224"/>
      <c r="AD59" s="97"/>
      <c r="AE59" s="49"/>
      <c r="AF59" s="159"/>
      <c r="AG59" s="159"/>
      <c r="AH59" s="159"/>
      <c r="AI59" s="159"/>
      <c r="AP59" s="159"/>
      <c r="AQ59" s="159"/>
      <c r="AR59" s="159"/>
      <c r="AS59" s="159"/>
    </row>
    <row r="60" spans="1:45" s="1" customFormat="1" ht="14.45" customHeight="1" x14ac:dyDescent="0.2">
      <c r="A60" s="203"/>
      <c r="B60" s="203" t="s">
        <v>68</v>
      </c>
      <c r="C60" s="203">
        <v>10</v>
      </c>
      <c r="D60" s="203">
        <v>14</v>
      </c>
      <c r="E60" s="96">
        <v>10</v>
      </c>
      <c r="F60" s="96">
        <v>14</v>
      </c>
      <c r="G60" s="96">
        <v>10</v>
      </c>
      <c r="H60" s="96">
        <v>46</v>
      </c>
      <c r="I60" s="96">
        <v>13</v>
      </c>
      <c r="J60" s="96"/>
      <c r="K60" s="96"/>
      <c r="L60" s="96"/>
      <c r="M60" s="96"/>
      <c r="N60" s="96"/>
      <c r="O60" s="96">
        <v>117</v>
      </c>
      <c r="P60" s="205"/>
      <c r="Q60" s="205"/>
      <c r="R60" s="205"/>
      <c r="S60" s="205"/>
      <c r="T60" s="205"/>
      <c r="U60" s="205"/>
      <c r="V60" s="207"/>
      <c r="W60" s="205"/>
      <c r="X60" s="224"/>
      <c r="Y60" s="224"/>
      <c r="Z60" s="224"/>
      <c r="AA60" s="224"/>
      <c r="AB60" s="208"/>
      <c r="AC60" s="224"/>
      <c r="AD60" s="97"/>
      <c r="AE60" s="49"/>
      <c r="AF60" s="159"/>
      <c r="AG60" s="159"/>
      <c r="AH60" s="159"/>
      <c r="AP60" s="159"/>
      <c r="AQ60" s="159"/>
      <c r="AR60" s="159"/>
      <c r="AS60" s="159"/>
    </row>
    <row r="61" spans="1:45" s="1" customFormat="1" ht="14.45" customHeight="1" x14ac:dyDescent="0.2">
      <c r="A61" s="203"/>
      <c r="B61" s="203" t="s">
        <v>100</v>
      </c>
      <c r="C61" s="203">
        <v>13</v>
      </c>
      <c r="D61" s="203">
        <v>8</v>
      </c>
      <c r="E61" s="96">
        <v>19</v>
      </c>
      <c r="F61" s="96">
        <v>6</v>
      </c>
      <c r="G61" s="96">
        <v>18</v>
      </c>
      <c r="H61" s="96">
        <v>37</v>
      </c>
      <c r="I61" s="96">
        <v>62</v>
      </c>
      <c r="J61" s="96"/>
      <c r="K61" s="96"/>
      <c r="L61" s="96"/>
      <c r="M61" s="96"/>
      <c r="N61" s="96"/>
      <c r="O61" s="96">
        <v>163</v>
      </c>
      <c r="P61" s="205"/>
      <c r="Q61" s="205"/>
      <c r="R61" s="205"/>
      <c r="S61" s="205"/>
      <c r="T61" s="205"/>
      <c r="U61" s="205"/>
      <c r="V61" s="207"/>
      <c r="W61" s="205"/>
      <c r="X61" s="224"/>
      <c r="Y61" s="208"/>
      <c r="Z61" s="208"/>
      <c r="AA61" s="208"/>
      <c r="AB61" s="208"/>
      <c r="AC61" s="208"/>
      <c r="AD61" s="212"/>
      <c r="AE61" s="181"/>
      <c r="AF61" s="159"/>
      <c r="AG61" s="159"/>
      <c r="AH61" s="159"/>
      <c r="AP61" s="159"/>
      <c r="AQ61" s="159"/>
      <c r="AR61" s="159"/>
      <c r="AS61" s="159"/>
    </row>
    <row r="62" spans="1:45" s="1" customFormat="1" ht="14.45" customHeight="1" x14ac:dyDescent="0.2">
      <c r="A62" s="203"/>
      <c r="B62" s="203" t="s">
        <v>129</v>
      </c>
      <c r="C62" s="203">
        <v>367</v>
      </c>
      <c r="D62" s="203">
        <v>222</v>
      </c>
      <c r="E62" s="96">
        <v>393</v>
      </c>
      <c r="F62" s="96">
        <v>429</v>
      </c>
      <c r="G62" s="96">
        <v>740</v>
      </c>
      <c r="H62" s="96">
        <v>1986</v>
      </c>
      <c r="I62" s="96">
        <v>1427</v>
      </c>
      <c r="J62" s="96"/>
      <c r="K62" s="96"/>
      <c r="L62" s="96"/>
      <c r="M62" s="96"/>
      <c r="N62" s="96"/>
      <c r="O62" s="96">
        <v>5564</v>
      </c>
      <c r="P62" s="205"/>
      <c r="Q62" s="205"/>
      <c r="R62" s="205"/>
      <c r="S62" s="205"/>
      <c r="T62" s="205"/>
      <c r="U62" s="205"/>
      <c r="V62" s="207"/>
      <c r="W62" s="205"/>
      <c r="X62" s="205"/>
      <c r="Y62" s="205"/>
      <c r="Z62" s="208"/>
      <c r="AA62" s="205"/>
      <c r="AB62" s="208"/>
      <c r="AC62" s="205"/>
      <c r="AD62" s="97"/>
      <c r="AE62" s="49"/>
      <c r="AG62" s="159"/>
      <c r="AI62" s="159"/>
      <c r="AP62" s="159"/>
      <c r="AQ62" s="159"/>
      <c r="AR62" s="159"/>
      <c r="AS62" s="159"/>
    </row>
    <row r="63" spans="1:45" s="1" customFormat="1" ht="12" x14ac:dyDescent="0.2">
      <c r="A63" s="105"/>
      <c r="B63" s="6"/>
      <c r="C63" s="6"/>
      <c r="D63" s="6"/>
      <c r="E63" s="5"/>
      <c r="F63" s="5"/>
      <c r="G63" s="5"/>
      <c r="H63" s="6"/>
      <c r="I63" s="6"/>
      <c r="J63" s="6"/>
      <c r="K63" s="6"/>
      <c r="L63" s="6"/>
      <c r="M63" s="6"/>
      <c r="N63" s="6"/>
      <c r="O63" s="6"/>
      <c r="P63" s="6"/>
      <c r="Q63" s="5"/>
      <c r="R63" s="50"/>
      <c r="S63" s="50"/>
      <c r="T63" s="148"/>
      <c r="U63" s="148"/>
      <c r="V63" s="211"/>
      <c r="W63" s="50"/>
      <c r="X63" s="148"/>
      <c r="Y63" s="148"/>
      <c r="Z63" s="50"/>
      <c r="AA63" s="50"/>
      <c r="AB63" s="50"/>
      <c r="AC63" s="97"/>
      <c r="AD63" s="97"/>
      <c r="AE63" s="49"/>
      <c r="AF63" s="49"/>
      <c r="AQ63" s="159"/>
      <c r="AS63" s="159"/>
    </row>
    <row r="64" spans="1:45" s="8" customFormat="1" ht="18" customHeight="1" x14ac:dyDescent="0.2">
      <c r="A64" s="273"/>
      <c r="B64" s="271"/>
      <c r="C64" s="271"/>
      <c r="D64" s="271"/>
      <c r="E64" s="271"/>
      <c r="F64" s="271"/>
      <c r="G64" s="271"/>
      <c r="H64" s="271"/>
      <c r="I64" s="271"/>
      <c r="J64" s="271"/>
      <c r="K64" s="271"/>
      <c r="L64" s="271"/>
      <c r="M64" s="271"/>
      <c r="N64" s="271"/>
      <c r="O64" s="271"/>
      <c r="P64" s="271"/>
      <c r="Q64" s="271"/>
      <c r="R64" s="271"/>
      <c r="S64" s="271"/>
      <c r="T64" s="271"/>
      <c r="U64" s="271"/>
      <c r="V64" s="274"/>
      <c r="W64" s="44"/>
      <c r="X64" s="44"/>
      <c r="Y64" s="44"/>
      <c r="Z64" s="44"/>
      <c r="AC64" s="5"/>
      <c r="AD64" s="5"/>
    </row>
    <row r="65" spans="1:33" s="1" customFormat="1" ht="12" x14ac:dyDescent="0.2">
      <c r="A65" s="105"/>
      <c r="B65" s="6"/>
      <c r="C65" s="6"/>
      <c r="D65" s="6"/>
      <c r="E65" s="6"/>
      <c r="F65" s="5"/>
      <c r="G65" s="5"/>
      <c r="H65" s="5"/>
      <c r="I65" s="6"/>
      <c r="J65" s="6"/>
      <c r="K65" s="5"/>
      <c r="L65" s="50"/>
      <c r="M65" s="50"/>
      <c r="N65" s="50"/>
      <c r="O65" s="50"/>
      <c r="P65" s="50"/>
      <c r="Q65" s="50"/>
      <c r="R65" s="50"/>
      <c r="S65" s="50"/>
      <c r="T65" s="50"/>
      <c r="U65" s="50"/>
      <c r="V65" s="48"/>
      <c r="W65" s="49"/>
      <c r="X65" s="49"/>
      <c r="Y65" s="49"/>
      <c r="Z65" s="49"/>
      <c r="AC65" s="6"/>
      <c r="AD65" s="6"/>
    </row>
    <row r="66" spans="1:33" s="1" customFormat="1" ht="23.25" customHeight="1" x14ac:dyDescent="0.2">
      <c r="A66" s="267" t="s">
        <v>663</v>
      </c>
      <c r="B66" s="268"/>
      <c r="C66" s="268"/>
      <c r="D66" s="268"/>
      <c r="E66" s="268"/>
      <c r="F66" s="268"/>
      <c r="G66" s="268"/>
      <c r="H66" s="268"/>
      <c r="I66" s="268"/>
      <c r="J66" s="268"/>
      <c r="K66" s="268"/>
      <c r="L66" s="268"/>
      <c r="M66" s="268"/>
      <c r="N66" s="268"/>
      <c r="O66" s="50"/>
      <c r="P66" s="50"/>
      <c r="Q66" s="149"/>
      <c r="R66" s="149"/>
      <c r="S66" s="149"/>
      <c r="T66" s="149"/>
      <c r="U66" s="149"/>
      <c r="V66" s="150"/>
      <c r="W66" s="156"/>
      <c r="X66" s="156"/>
      <c r="Y66" s="156"/>
      <c r="Z66" s="156"/>
      <c r="AA66" s="151"/>
    </row>
    <row r="67" spans="1:33" s="1" customFormat="1" ht="22.5" customHeight="1" x14ac:dyDescent="0.2">
      <c r="A67" s="39" t="s">
        <v>133</v>
      </c>
      <c r="B67" s="111" t="s">
        <v>134</v>
      </c>
      <c r="C67" s="111" t="s">
        <v>135</v>
      </c>
      <c r="D67" s="111" t="s">
        <v>136</v>
      </c>
      <c r="E67" s="111" t="s">
        <v>137</v>
      </c>
      <c r="F67" s="111" t="s">
        <v>138</v>
      </c>
      <c r="G67" s="111" t="s">
        <v>139</v>
      </c>
      <c r="H67" s="111" t="s">
        <v>140</v>
      </c>
      <c r="I67" s="111" t="s">
        <v>141</v>
      </c>
      <c r="J67" s="111" t="s">
        <v>142</v>
      </c>
      <c r="K67" s="111" t="s">
        <v>144</v>
      </c>
      <c r="L67" s="111" t="s">
        <v>145</v>
      </c>
      <c r="M67" s="111" t="s">
        <v>146</v>
      </c>
      <c r="N67" s="111" t="s">
        <v>152</v>
      </c>
      <c r="O67" s="50"/>
      <c r="P67" s="149"/>
      <c r="Q67" s="149"/>
      <c r="R67" s="149"/>
      <c r="S67" s="149"/>
      <c r="T67" s="149"/>
      <c r="U67" s="149"/>
      <c r="V67" s="150"/>
      <c r="W67" s="156"/>
      <c r="X67" s="156"/>
      <c r="Y67" s="156"/>
      <c r="Z67" s="156"/>
      <c r="AA67" s="151"/>
      <c r="AB67" s="151"/>
      <c r="AC67" s="151"/>
      <c r="AD67" s="151"/>
      <c r="AE67" s="151"/>
      <c r="AF67" s="151"/>
    </row>
    <row r="68" spans="1:33" s="1" customFormat="1" ht="12" x14ac:dyDescent="0.2">
      <c r="A68" s="108" t="s">
        <v>149</v>
      </c>
      <c r="B68" s="130">
        <v>6251.8709699999999</v>
      </c>
      <c r="C68" s="131">
        <v>5379.3666700000003</v>
      </c>
      <c r="D68" s="130">
        <v>5111.9032299999999</v>
      </c>
      <c r="E68" s="131">
        <v>4926.64516</v>
      </c>
      <c r="F68" s="130">
        <v>5599.5</v>
      </c>
      <c r="G68" s="131">
        <v>7506.0645199999999</v>
      </c>
      <c r="H68" s="131">
        <v>9973.6666700000005</v>
      </c>
      <c r="I68" s="130">
        <v>0</v>
      </c>
      <c r="J68" s="131">
        <v>0</v>
      </c>
      <c r="K68" s="130">
        <v>0</v>
      </c>
      <c r="L68" s="130">
        <v>0</v>
      </c>
      <c r="M68" s="131">
        <v>0</v>
      </c>
      <c r="N68" s="130">
        <v>6287.5048500000003</v>
      </c>
      <c r="O68" s="50"/>
      <c r="P68" s="142"/>
      <c r="Q68" s="142"/>
      <c r="R68" s="142"/>
      <c r="S68" s="142"/>
      <c r="T68" s="142"/>
      <c r="U68" s="142"/>
      <c r="V68" s="152"/>
      <c r="W68" s="157"/>
      <c r="X68" s="157"/>
      <c r="Y68" s="157"/>
      <c r="Z68" s="157"/>
      <c r="AA68" s="153"/>
    </row>
    <row r="69" spans="1:33" s="1" customFormat="1" ht="12" x14ac:dyDescent="0.2">
      <c r="A69" s="109" t="s">
        <v>68</v>
      </c>
      <c r="B69" s="129">
        <v>960.19354999999996</v>
      </c>
      <c r="C69" s="129">
        <v>778.6</v>
      </c>
      <c r="D69" s="129">
        <v>745.41935000000001</v>
      </c>
      <c r="E69" s="129">
        <v>657.09676999999999</v>
      </c>
      <c r="F69" s="129">
        <v>584.21429000000001</v>
      </c>
      <c r="G69" s="129">
        <v>461.67741999999998</v>
      </c>
      <c r="H69" s="129">
        <v>390.83332999999999</v>
      </c>
      <c r="I69" s="129">
        <v>0</v>
      </c>
      <c r="J69" s="129">
        <v>0</v>
      </c>
      <c r="K69" s="129">
        <v>0</v>
      </c>
      <c r="L69" s="129">
        <v>0</v>
      </c>
      <c r="M69" s="129">
        <v>0</v>
      </c>
      <c r="N69" s="129">
        <v>663.35922000000005</v>
      </c>
      <c r="O69" s="50"/>
      <c r="P69" s="142"/>
      <c r="Q69" s="142"/>
      <c r="R69" s="142"/>
      <c r="S69" s="142"/>
      <c r="T69" s="142"/>
      <c r="U69" s="148"/>
      <c r="V69" s="152"/>
      <c r="W69" s="157"/>
      <c r="X69" s="157"/>
      <c r="Y69" s="157"/>
      <c r="Z69" s="157"/>
      <c r="AA69" s="153"/>
      <c r="AB69" s="153"/>
      <c r="AC69" s="153"/>
      <c r="AD69" s="153"/>
      <c r="AE69" s="153"/>
      <c r="AF69" s="153"/>
      <c r="AG69" s="153"/>
    </row>
    <row r="70" spans="1:33" s="1" customFormat="1" ht="12" x14ac:dyDescent="0.2">
      <c r="A70" s="110" t="s">
        <v>100</v>
      </c>
      <c r="B70" s="129">
        <v>243.09676999999999</v>
      </c>
      <c r="C70" s="129">
        <v>234.33332999999999</v>
      </c>
      <c r="D70" s="129">
        <v>237.87097</v>
      </c>
      <c r="E70" s="129">
        <v>241</v>
      </c>
      <c r="F70" s="129">
        <v>251.39286000000001</v>
      </c>
      <c r="G70" s="129">
        <v>220.29032000000001</v>
      </c>
      <c r="H70" s="129">
        <v>238.95832999999999</v>
      </c>
      <c r="I70" s="129">
        <v>0</v>
      </c>
      <c r="J70" s="129">
        <v>0</v>
      </c>
      <c r="K70" s="129">
        <v>0</v>
      </c>
      <c r="L70" s="129">
        <v>0</v>
      </c>
      <c r="M70" s="129">
        <v>0</v>
      </c>
      <c r="N70" s="129">
        <v>237.93204</v>
      </c>
      <c r="O70" s="50"/>
      <c r="P70" s="149"/>
      <c r="Q70" s="149"/>
      <c r="R70" s="149"/>
      <c r="S70" s="149"/>
      <c r="T70" s="149"/>
      <c r="U70" s="149"/>
      <c r="V70" s="150"/>
      <c r="W70" s="156"/>
      <c r="X70" s="156"/>
      <c r="Y70" s="156"/>
      <c r="Z70" s="156"/>
      <c r="AA70" s="153"/>
      <c r="AB70" s="153"/>
      <c r="AC70" s="153"/>
      <c r="AG70" s="153"/>
    </row>
    <row r="71" spans="1:33" s="51" customFormat="1" ht="12" x14ac:dyDescent="0.2">
      <c r="A71" s="110" t="s">
        <v>129</v>
      </c>
      <c r="B71" s="129">
        <v>5048.5806499999999</v>
      </c>
      <c r="C71" s="129">
        <v>4366.4333299999998</v>
      </c>
      <c r="D71" s="129">
        <v>4128.6129000000001</v>
      </c>
      <c r="E71" s="129">
        <v>4028.5483899999999</v>
      </c>
      <c r="F71" s="129">
        <v>4763.8928599999999</v>
      </c>
      <c r="G71" s="129">
        <v>6824.0967700000001</v>
      </c>
      <c r="H71" s="129">
        <v>9343.875</v>
      </c>
      <c r="I71" s="129">
        <v>0</v>
      </c>
      <c r="J71" s="129">
        <v>0</v>
      </c>
      <c r="K71" s="129">
        <v>0</v>
      </c>
      <c r="L71" s="129">
        <v>0</v>
      </c>
      <c r="M71" s="129">
        <v>0</v>
      </c>
      <c r="N71" s="129">
        <v>5386.2135900000003</v>
      </c>
      <c r="O71" s="142"/>
      <c r="P71" s="142"/>
      <c r="Q71" s="142"/>
      <c r="R71" s="142"/>
      <c r="S71" s="142"/>
      <c r="T71" s="142"/>
      <c r="U71" s="142"/>
      <c r="V71" s="152"/>
      <c r="W71" s="158"/>
      <c r="X71" s="158"/>
      <c r="Y71" s="158"/>
      <c r="Z71" s="158"/>
      <c r="AA71" s="158"/>
      <c r="AB71" s="158"/>
      <c r="AC71" s="158"/>
      <c r="AD71" s="158"/>
      <c r="AE71" s="158"/>
      <c r="AF71" s="158"/>
      <c r="AG71" s="158"/>
    </row>
    <row r="72" spans="1:33" s="1" customFormat="1" ht="12" x14ac:dyDescent="0.2">
      <c r="A72" s="108" t="s">
        <v>150</v>
      </c>
      <c r="B72" s="130">
        <v>12493.90323</v>
      </c>
      <c r="C72" s="131">
        <v>11491.9</v>
      </c>
      <c r="D72" s="130">
        <v>11017.22581</v>
      </c>
      <c r="E72" s="131">
        <v>10175.70968</v>
      </c>
      <c r="F72" s="130">
        <v>8487.5357100000001</v>
      </c>
      <c r="G72" s="131">
        <v>6643.96774</v>
      </c>
      <c r="H72" s="131">
        <v>5315.5833300000004</v>
      </c>
      <c r="I72" s="130">
        <v>0</v>
      </c>
      <c r="J72" s="131">
        <v>0</v>
      </c>
      <c r="K72" s="130">
        <v>0</v>
      </c>
      <c r="L72" s="130">
        <v>0</v>
      </c>
      <c r="M72" s="131">
        <v>0</v>
      </c>
      <c r="N72" s="130">
        <v>9515.7135899999994</v>
      </c>
      <c r="O72" s="50"/>
      <c r="P72" s="142"/>
      <c r="Q72" s="142"/>
      <c r="R72" s="142"/>
      <c r="S72" s="142"/>
      <c r="T72" s="142"/>
      <c r="U72" s="142"/>
      <c r="V72" s="152"/>
      <c r="W72" s="153"/>
      <c r="X72" s="153"/>
      <c r="Y72" s="153"/>
      <c r="Z72" s="153"/>
      <c r="AA72" s="153"/>
      <c r="AB72" s="153"/>
      <c r="AC72" s="153"/>
      <c r="AD72" s="153"/>
      <c r="AE72" s="153"/>
      <c r="AF72" s="153"/>
      <c r="AG72" s="153"/>
    </row>
    <row r="73" spans="1:33" s="1" customFormat="1" ht="12" x14ac:dyDescent="0.2">
      <c r="A73" s="109" t="s">
        <v>68</v>
      </c>
      <c r="B73" s="129">
        <v>9077.7419399999999</v>
      </c>
      <c r="C73" s="129">
        <v>8290.1</v>
      </c>
      <c r="D73" s="129">
        <v>7863.7419399999999</v>
      </c>
      <c r="E73" s="129">
        <v>7317.5483899999999</v>
      </c>
      <c r="F73" s="129">
        <v>6410.9642899999999</v>
      </c>
      <c r="G73" s="129">
        <v>5355.96774</v>
      </c>
      <c r="H73" s="129">
        <v>4457.9166699999996</v>
      </c>
      <c r="I73" s="129">
        <v>0</v>
      </c>
      <c r="J73" s="129">
        <v>0</v>
      </c>
      <c r="K73" s="129">
        <v>0</v>
      </c>
      <c r="L73" s="129">
        <v>0</v>
      </c>
      <c r="M73" s="129">
        <v>0</v>
      </c>
      <c r="N73" s="129">
        <v>7054.6844700000001</v>
      </c>
      <c r="O73" s="50"/>
      <c r="P73" s="142"/>
      <c r="Q73" s="142"/>
      <c r="R73" s="142"/>
      <c r="S73" s="142"/>
      <c r="T73" s="142"/>
      <c r="U73" s="142"/>
      <c r="V73" s="152"/>
      <c r="W73" s="153"/>
      <c r="X73" s="153"/>
      <c r="Y73" s="153"/>
      <c r="Z73" s="153"/>
      <c r="AA73" s="153"/>
      <c r="AB73" s="153"/>
      <c r="AC73" s="159"/>
      <c r="AD73" s="153"/>
      <c r="AE73" s="153"/>
      <c r="AF73" s="153"/>
      <c r="AG73" s="153"/>
    </row>
    <row r="74" spans="1:33" s="1" customFormat="1" ht="12" x14ac:dyDescent="0.2">
      <c r="A74" s="110" t="s">
        <v>100</v>
      </c>
      <c r="B74" s="129">
        <v>2674.5483899999999</v>
      </c>
      <c r="C74" s="129">
        <v>2553.9666699999998</v>
      </c>
      <c r="D74" s="129">
        <v>2485.1290300000001</v>
      </c>
      <c r="E74" s="129">
        <v>2245.35484</v>
      </c>
      <c r="F74" s="129">
        <v>1557.6428599999999</v>
      </c>
      <c r="G74" s="129">
        <v>909.67741999999998</v>
      </c>
      <c r="H74" s="129">
        <v>571.5</v>
      </c>
      <c r="I74" s="129">
        <v>0</v>
      </c>
      <c r="J74" s="129">
        <v>0</v>
      </c>
      <c r="K74" s="129">
        <v>0</v>
      </c>
      <c r="L74" s="129">
        <v>0</v>
      </c>
      <c r="M74" s="129">
        <v>0</v>
      </c>
      <c r="N74" s="129">
        <v>1901.4805799999999</v>
      </c>
      <c r="O74" s="50"/>
      <c r="P74" s="142"/>
      <c r="Q74" s="142"/>
      <c r="R74" s="142"/>
      <c r="S74" s="142"/>
      <c r="T74" s="148"/>
      <c r="U74" s="142"/>
      <c r="V74" s="152"/>
      <c r="W74" s="153"/>
      <c r="X74" s="153"/>
      <c r="Y74" s="153"/>
      <c r="Z74" s="153"/>
      <c r="AA74" s="153"/>
      <c r="AB74" s="153"/>
      <c r="AC74" s="153"/>
      <c r="AD74" s="153"/>
      <c r="AE74" s="153"/>
      <c r="AF74" s="153"/>
      <c r="AG74" s="153"/>
    </row>
    <row r="75" spans="1:33" s="1" customFormat="1" ht="12" x14ac:dyDescent="0.2">
      <c r="A75" s="110" t="s">
        <v>129</v>
      </c>
      <c r="B75" s="129">
        <v>741.61289999999997</v>
      </c>
      <c r="C75" s="129">
        <v>647.83333000000005</v>
      </c>
      <c r="D75" s="129">
        <v>668.35483999999997</v>
      </c>
      <c r="E75" s="129">
        <v>612.80645000000004</v>
      </c>
      <c r="F75" s="129">
        <v>518.92857000000004</v>
      </c>
      <c r="G75" s="129">
        <v>378.32258000000002</v>
      </c>
      <c r="H75" s="129">
        <v>286.16667000000001</v>
      </c>
      <c r="I75" s="129">
        <v>0</v>
      </c>
      <c r="J75" s="129">
        <v>0</v>
      </c>
      <c r="K75" s="129">
        <v>0</v>
      </c>
      <c r="L75" s="129">
        <v>0</v>
      </c>
      <c r="M75" s="129">
        <v>0</v>
      </c>
      <c r="N75" s="129">
        <v>559.54854</v>
      </c>
      <c r="O75" s="50"/>
      <c r="P75" s="142"/>
      <c r="Q75" s="142"/>
      <c r="R75" s="142"/>
      <c r="S75" s="142"/>
      <c r="T75" s="142"/>
      <c r="U75" s="142"/>
      <c r="V75" s="152"/>
      <c r="W75" s="153"/>
      <c r="X75" s="153"/>
      <c r="Y75" s="153"/>
      <c r="Z75" s="159"/>
      <c r="AA75" s="153"/>
      <c r="AB75" s="153"/>
      <c r="AC75" s="153"/>
      <c r="AD75" s="153"/>
      <c r="AG75" s="153"/>
    </row>
    <row r="76" spans="1:33" s="1" customFormat="1" ht="12" x14ac:dyDescent="0.2">
      <c r="A76" s="108" t="s">
        <v>151</v>
      </c>
      <c r="B76" s="130">
        <v>18745.77419</v>
      </c>
      <c r="C76" s="131">
        <v>16871.266670000001</v>
      </c>
      <c r="D76" s="130">
        <v>16129.12903</v>
      </c>
      <c r="E76" s="131">
        <v>15102.35484</v>
      </c>
      <c r="F76" s="130">
        <v>14087.03571</v>
      </c>
      <c r="G76" s="131">
        <v>14150.03226</v>
      </c>
      <c r="H76" s="131">
        <v>15289.25</v>
      </c>
      <c r="I76" s="130">
        <v>0</v>
      </c>
      <c r="J76" s="131">
        <v>0</v>
      </c>
      <c r="K76" s="130">
        <v>0</v>
      </c>
      <c r="L76" s="130">
        <v>0</v>
      </c>
      <c r="M76" s="131">
        <v>0</v>
      </c>
      <c r="N76" s="130">
        <v>15803.21845</v>
      </c>
      <c r="O76" s="50"/>
      <c r="P76" s="142"/>
      <c r="Q76" s="142"/>
      <c r="R76" s="142"/>
      <c r="S76" s="142"/>
      <c r="T76" s="142"/>
      <c r="U76" s="142"/>
      <c r="V76" s="152"/>
      <c r="W76" s="153"/>
      <c r="X76" s="153"/>
      <c r="Y76" s="153"/>
      <c r="Z76" s="153"/>
      <c r="AA76" s="153"/>
      <c r="AB76" s="153"/>
      <c r="AC76" s="153"/>
      <c r="AD76" s="153"/>
      <c r="AG76" s="153"/>
    </row>
    <row r="77" spans="1:33" s="1" customFormat="1" ht="12" x14ac:dyDescent="0.2">
      <c r="A77" s="109" t="s">
        <v>68</v>
      </c>
      <c r="B77" s="129">
        <v>10037.93548</v>
      </c>
      <c r="C77" s="129">
        <v>9068.7000000000007</v>
      </c>
      <c r="D77" s="129">
        <v>8609.16129</v>
      </c>
      <c r="E77" s="129">
        <v>7974.64516</v>
      </c>
      <c r="F77" s="129">
        <v>6995.17857</v>
      </c>
      <c r="G77" s="129">
        <v>5817.64516</v>
      </c>
      <c r="H77" s="129">
        <v>4848.75</v>
      </c>
      <c r="I77" s="129">
        <v>0</v>
      </c>
      <c r="J77" s="129">
        <v>0</v>
      </c>
      <c r="K77" s="129">
        <v>0</v>
      </c>
      <c r="L77" s="129">
        <v>0</v>
      </c>
      <c r="M77" s="129">
        <v>0</v>
      </c>
      <c r="N77" s="129">
        <v>7718.0436900000004</v>
      </c>
      <c r="O77" s="50"/>
      <c r="P77" s="142"/>
      <c r="Q77" s="142"/>
      <c r="S77" s="142"/>
      <c r="T77" s="142"/>
      <c r="U77" s="142"/>
      <c r="V77" s="152"/>
      <c r="W77" s="153"/>
      <c r="X77" s="153"/>
      <c r="Y77" s="153"/>
      <c r="Z77" s="153"/>
    </row>
    <row r="78" spans="1:33" s="1" customFormat="1" ht="12" x14ac:dyDescent="0.2">
      <c r="A78" s="110" t="s">
        <v>100</v>
      </c>
      <c r="B78" s="129">
        <v>2917.64516</v>
      </c>
      <c r="C78" s="129">
        <v>2788.3</v>
      </c>
      <c r="D78" s="129">
        <v>2723</v>
      </c>
      <c r="E78" s="129">
        <v>2486.35484</v>
      </c>
      <c r="F78" s="129">
        <v>1809.0357100000001</v>
      </c>
      <c r="G78" s="129">
        <v>1129.96774</v>
      </c>
      <c r="H78" s="129">
        <v>810.45833000000005</v>
      </c>
      <c r="I78" s="129">
        <v>0</v>
      </c>
      <c r="J78" s="129">
        <v>0</v>
      </c>
      <c r="K78" s="129">
        <v>0</v>
      </c>
      <c r="L78" s="129">
        <v>0</v>
      </c>
      <c r="M78" s="129">
        <v>0</v>
      </c>
      <c r="N78" s="129">
        <v>2139.4126200000001</v>
      </c>
      <c r="O78" s="50"/>
      <c r="P78" s="142"/>
      <c r="Q78" s="142"/>
      <c r="R78" s="148"/>
      <c r="S78" s="142"/>
      <c r="T78" s="142"/>
      <c r="U78" s="142"/>
      <c r="V78" s="152"/>
      <c r="W78" s="153"/>
      <c r="X78" s="153"/>
      <c r="Z78" s="153"/>
    </row>
    <row r="79" spans="1:33" s="1" customFormat="1" ht="12" x14ac:dyDescent="0.2">
      <c r="A79" s="110" t="s">
        <v>129</v>
      </c>
      <c r="B79" s="129">
        <v>5790.19355</v>
      </c>
      <c r="C79" s="129">
        <v>5014.26667</v>
      </c>
      <c r="D79" s="129">
        <v>4796.96774</v>
      </c>
      <c r="E79" s="129">
        <v>4641.35484</v>
      </c>
      <c r="F79" s="129">
        <v>5282.82143</v>
      </c>
      <c r="G79" s="129">
        <v>7202.4193500000001</v>
      </c>
      <c r="H79" s="129">
        <v>9630.0416700000005</v>
      </c>
      <c r="I79" s="129">
        <v>0</v>
      </c>
      <c r="J79" s="129">
        <v>0</v>
      </c>
      <c r="K79" s="129">
        <v>0</v>
      </c>
      <c r="L79" s="129">
        <v>0</v>
      </c>
      <c r="M79" s="129">
        <v>0</v>
      </c>
      <c r="N79" s="129">
        <v>5945.7621399999998</v>
      </c>
      <c r="O79" s="50"/>
      <c r="P79" s="142"/>
      <c r="Q79" s="142"/>
      <c r="R79" s="148"/>
      <c r="S79" s="148"/>
      <c r="T79" s="142"/>
      <c r="U79" s="142"/>
      <c r="V79" s="152"/>
      <c r="W79" s="153"/>
      <c r="X79" s="153"/>
      <c r="Y79" s="153"/>
      <c r="Z79" s="153"/>
    </row>
    <row r="80" spans="1:33" s="1" customFormat="1" ht="12" x14ac:dyDescent="0.2">
      <c r="A80" s="105"/>
      <c r="B80" s="6"/>
      <c r="C80" s="6"/>
      <c r="D80" s="6"/>
      <c r="E80" s="6"/>
      <c r="F80" s="5"/>
      <c r="G80" s="5"/>
      <c r="H80" s="5"/>
      <c r="I80" s="5"/>
      <c r="J80" s="5"/>
      <c r="K80" s="5"/>
      <c r="L80" s="50"/>
      <c r="M80" s="50"/>
      <c r="N80" s="50"/>
      <c r="O80" s="50"/>
      <c r="P80" s="142"/>
      <c r="Q80" s="142"/>
      <c r="R80" s="142"/>
      <c r="S80" s="148"/>
      <c r="T80" s="50"/>
      <c r="U80" s="142"/>
      <c r="V80" s="48"/>
    </row>
    <row r="81" spans="1:34" s="1" customFormat="1" ht="12" customHeight="1" x14ac:dyDescent="0.2">
      <c r="A81" s="270"/>
      <c r="B81" s="271"/>
      <c r="C81" s="271"/>
      <c r="D81" s="271"/>
      <c r="E81" s="271"/>
      <c r="F81" s="271"/>
      <c r="G81" s="271"/>
      <c r="H81" s="271"/>
      <c r="I81" s="271"/>
      <c r="J81" s="271"/>
      <c r="K81" s="271"/>
      <c r="L81" s="271"/>
      <c r="M81" s="271"/>
      <c r="N81" s="271"/>
      <c r="O81" s="271"/>
      <c r="P81" s="271"/>
      <c r="Q81" s="271"/>
      <c r="R81" s="271"/>
      <c r="S81" s="271"/>
      <c r="T81" s="271"/>
      <c r="U81" s="271"/>
      <c r="V81" s="272"/>
    </row>
    <row r="82" spans="1:34" s="1" customFormat="1" ht="12" x14ac:dyDescent="0.2">
      <c r="A82" s="105"/>
      <c r="B82" s="6"/>
      <c r="C82" s="6"/>
      <c r="D82" s="6"/>
      <c r="E82" s="6"/>
      <c r="F82" s="5"/>
      <c r="G82" s="5"/>
      <c r="H82" s="5"/>
      <c r="I82" s="5"/>
      <c r="J82" s="5"/>
      <c r="K82" s="5"/>
      <c r="L82" s="50"/>
      <c r="M82" s="50"/>
      <c r="N82" s="50"/>
      <c r="O82" s="50"/>
      <c r="P82" s="50"/>
      <c r="Q82" s="50"/>
      <c r="R82" s="50"/>
      <c r="S82" s="50"/>
      <c r="T82" s="50"/>
      <c r="U82" s="50"/>
      <c r="V82" s="48"/>
      <c r="AA82" s="151"/>
      <c r="AB82" s="151"/>
      <c r="AC82" s="151"/>
      <c r="AD82" s="151"/>
      <c r="AE82" s="151"/>
      <c r="AF82" s="151"/>
      <c r="AG82" s="151"/>
    </row>
    <row r="83" spans="1:34" s="1" customFormat="1" ht="24.75" customHeight="1" x14ac:dyDescent="0.2">
      <c r="A83" s="267" t="s">
        <v>664</v>
      </c>
      <c r="B83" s="268"/>
      <c r="C83" s="268"/>
      <c r="D83" s="268"/>
      <c r="E83" s="268"/>
      <c r="F83" s="268"/>
      <c r="G83" s="268"/>
      <c r="H83" s="268"/>
      <c r="I83" s="268"/>
      <c r="J83" s="268"/>
      <c r="K83" s="268"/>
      <c r="L83" s="268"/>
      <c r="M83" s="268"/>
      <c r="N83" s="268"/>
      <c r="O83" s="50"/>
      <c r="P83" s="50"/>
      <c r="Q83" s="149"/>
      <c r="R83" s="149"/>
      <c r="S83" s="149"/>
      <c r="T83" s="149"/>
      <c r="U83" s="149"/>
      <c r="V83" s="150"/>
      <c r="W83" s="151"/>
      <c r="X83" s="151"/>
      <c r="Y83" s="151"/>
      <c r="Z83" s="151"/>
      <c r="AA83" s="151"/>
    </row>
    <row r="84" spans="1:34" s="1" customFormat="1" ht="12" x14ac:dyDescent="0.2">
      <c r="A84" s="39" t="s">
        <v>133</v>
      </c>
      <c r="B84" s="111" t="s">
        <v>134</v>
      </c>
      <c r="C84" s="111" t="s">
        <v>135</v>
      </c>
      <c r="D84" s="111" t="s">
        <v>136</v>
      </c>
      <c r="E84" s="111" t="s">
        <v>137</v>
      </c>
      <c r="F84" s="111" t="s">
        <v>138</v>
      </c>
      <c r="G84" s="111" t="s">
        <v>139</v>
      </c>
      <c r="H84" s="111" t="s">
        <v>140</v>
      </c>
      <c r="I84" s="111" t="s">
        <v>141</v>
      </c>
      <c r="J84" s="111" t="s">
        <v>142</v>
      </c>
      <c r="K84" s="111" t="s">
        <v>144</v>
      </c>
      <c r="L84" s="111" t="s">
        <v>145</v>
      </c>
      <c r="M84" s="111" t="s">
        <v>146</v>
      </c>
      <c r="N84" s="111" t="s">
        <v>152</v>
      </c>
      <c r="O84" s="50"/>
      <c r="P84" s="149"/>
      <c r="Q84" s="149"/>
      <c r="R84" s="149"/>
      <c r="S84" s="149"/>
      <c r="T84" s="149"/>
      <c r="U84" s="149"/>
      <c r="V84" s="150"/>
      <c r="W84" s="151"/>
      <c r="X84" s="151"/>
      <c r="Y84" s="151"/>
      <c r="Z84" s="151"/>
      <c r="AA84" s="151"/>
      <c r="AB84" s="151"/>
      <c r="AC84" s="153"/>
      <c r="AD84" s="153"/>
      <c r="AE84" s="153"/>
      <c r="AF84" s="153"/>
      <c r="AG84" s="153"/>
      <c r="AH84" s="153"/>
    </row>
    <row r="85" spans="1:34" s="1" customFormat="1" ht="12.75" customHeight="1" x14ac:dyDescent="0.2">
      <c r="A85" s="108" t="s">
        <v>149</v>
      </c>
      <c r="B85" s="132">
        <v>112.83962</v>
      </c>
      <c r="C85" s="133">
        <v>121.29964</v>
      </c>
      <c r="D85" s="132">
        <v>110.78131</v>
      </c>
      <c r="E85" s="133">
        <v>83.271770000000004</v>
      </c>
      <c r="F85" s="132">
        <v>65.217820000000003</v>
      </c>
      <c r="G85" s="133">
        <v>70.859620000000007</v>
      </c>
      <c r="H85" s="133">
        <v>31.586760000000002</v>
      </c>
      <c r="I85" s="132">
        <v>0</v>
      </c>
      <c r="J85" s="133">
        <v>0</v>
      </c>
      <c r="K85" s="132">
        <v>0</v>
      </c>
      <c r="L85" s="132">
        <v>0</v>
      </c>
      <c r="M85" s="133">
        <v>0</v>
      </c>
      <c r="N85" s="132">
        <v>72.597409999999996</v>
      </c>
      <c r="O85" s="50"/>
      <c r="P85" s="50"/>
      <c r="Q85" s="149"/>
      <c r="R85" s="149"/>
      <c r="S85" s="149"/>
      <c r="T85" s="149"/>
      <c r="U85" s="149"/>
      <c r="V85" s="150"/>
      <c r="W85" s="151"/>
      <c r="X85" s="151"/>
      <c r="Y85" s="151"/>
      <c r="Z85" s="151"/>
      <c r="AA85" s="151"/>
      <c r="AB85" s="151"/>
      <c r="AC85" s="153"/>
      <c r="AD85" s="153"/>
      <c r="AE85" s="153"/>
      <c r="AF85" s="153"/>
      <c r="AG85" s="153"/>
      <c r="AH85" s="153"/>
    </row>
    <row r="86" spans="1:34" s="1" customFormat="1" ht="12" x14ac:dyDescent="0.2">
      <c r="A86" s="109" t="s">
        <v>68</v>
      </c>
      <c r="B86" s="134">
        <v>90.182040000000001</v>
      </c>
      <c r="C86" s="134">
        <v>93.280370000000005</v>
      </c>
      <c r="D86" s="134">
        <v>71.123519999999999</v>
      </c>
      <c r="E86" s="134">
        <v>51.051549999999999</v>
      </c>
      <c r="F86" s="134">
        <v>59.682929999999999</v>
      </c>
      <c r="G86" s="134">
        <v>103.24497</v>
      </c>
      <c r="H86" s="134">
        <v>64.106170000000006</v>
      </c>
      <c r="I86" s="134">
        <v>0</v>
      </c>
      <c r="J86" s="134">
        <v>0</v>
      </c>
      <c r="K86" s="134">
        <v>0</v>
      </c>
      <c r="L86" s="134">
        <v>0</v>
      </c>
      <c r="M86" s="134">
        <v>0</v>
      </c>
      <c r="N86" s="134">
        <v>77.128789999999995</v>
      </c>
      <c r="O86" s="50"/>
      <c r="P86" s="50"/>
      <c r="Q86" s="50"/>
      <c r="R86" s="149"/>
      <c r="S86" s="149"/>
      <c r="T86" s="149"/>
      <c r="U86" s="149"/>
      <c r="V86" s="48"/>
      <c r="Z86" s="151"/>
      <c r="AA86" s="153"/>
      <c r="AB86" s="153"/>
      <c r="AC86" s="159"/>
      <c r="AD86" s="153"/>
      <c r="AE86" s="153"/>
      <c r="AF86" s="153"/>
      <c r="AH86" s="153"/>
    </row>
    <row r="87" spans="1:34" s="1" customFormat="1" ht="12" x14ac:dyDescent="0.2">
      <c r="A87" s="110" t="s">
        <v>100</v>
      </c>
      <c r="B87" s="134">
        <v>139.55072000000001</v>
      </c>
      <c r="C87" s="134">
        <v>72.544550000000001</v>
      </c>
      <c r="D87" s="134">
        <v>81.417320000000004</v>
      </c>
      <c r="E87" s="134">
        <v>61.102040000000002</v>
      </c>
      <c r="F87" s="134">
        <v>72.861540000000005</v>
      </c>
      <c r="G87" s="134">
        <v>87.454999999999998</v>
      </c>
      <c r="H87" s="134">
        <v>26.535710000000002</v>
      </c>
      <c r="I87" s="134">
        <v>0</v>
      </c>
      <c r="J87" s="134">
        <v>0</v>
      </c>
      <c r="K87" s="134">
        <v>0</v>
      </c>
      <c r="L87" s="134">
        <v>0</v>
      </c>
      <c r="M87" s="134">
        <v>0</v>
      </c>
      <c r="N87" s="134">
        <v>73.865039999999993</v>
      </c>
      <c r="O87" s="50"/>
      <c r="P87" s="50"/>
      <c r="Q87" s="149"/>
      <c r="R87" s="149"/>
      <c r="S87" s="149"/>
      <c r="T87" s="149"/>
      <c r="U87" s="149"/>
      <c r="V87" s="150"/>
      <c r="W87" s="151"/>
      <c r="X87" s="151"/>
      <c r="AA87" s="153"/>
      <c r="AB87" s="153"/>
      <c r="AC87" s="153"/>
      <c r="AD87" s="153"/>
      <c r="AE87" s="153"/>
      <c r="AF87" s="153"/>
      <c r="AG87" s="153"/>
      <c r="AH87" s="153"/>
    </row>
    <row r="88" spans="1:34" s="1" customFormat="1" ht="12" x14ac:dyDescent="0.2">
      <c r="A88" s="110" t="s">
        <v>129</v>
      </c>
      <c r="B88" s="134">
        <v>119.13529</v>
      </c>
      <c r="C88" s="134">
        <v>132.02368999999999</v>
      </c>
      <c r="D88" s="134">
        <v>123.61408</v>
      </c>
      <c r="E88" s="134">
        <v>94.55386</v>
      </c>
      <c r="F88" s="134">
        <v>65.607330000000005</v>
      </c>
      <c r="G88" s="134">
        <v>68.050610000000006</v>
      </c>
      <c r="H88" s="134">
        <v>30.083770000000001</v>
      </c>
      <c r="I88" s="134">
        <v>0</v>
      </c>
      <c r="J88" s="134">
        <v>0</v>
      </c>
      <c r="K88" s="134">
        <v>0</v>
      </c>
      <c r="L88" s="134">
        <v>0</v>
      </c>
      <c r="M88" s="134">
        <v>0</v>
      </c>
      <c r="N88" s="134">
        <v>71.886859999999999</v>
      </c>
      <c r="O88" s="50"/>
      <c r="P88" s="149"/>
      <c r="Q88" s="149"/>
      <c r="R88" s="149"/>
      <c r="S88" s="149"/>
      <c r="T88" s="149"/>
      <c r="U88" s="149"/>
      <c r="V88" s="150"/>
      <c r="W88" s="151"/>
      <c r="X88" s="151"/>
      <c r="Y88" s="151"/>
      <c r="Z88" s="151"/>
    </row>
    <row r="89" spans="1:34" s="1" customFormat="1" ht="12" x14ac:dyDescent="0.2">
      <c r="A89" s="108" t="s">
        <v>150</v>
      </c>
      <c r="B89" s="132">
        <v>75.861069999999998</v>
      </c>
      <c r="C89" s="133">
        <v>70.193079999999995</v>
      </c>
      <c r="D89" s="132">
        <v>67.424530000000004</v>
      </c>
      <c r="E89" s="133">
        <v>67.939239999999998</v>
      </c>
      <c r="F89" s="132">
        <v>77.22551</v>
      </c>
      <c r="G89" s="133">
        <v>111.75404</v>
      </c>
      <c r="H89" s="133">
        <v>91.184470000000005</v>
      </c>
      <c r="I89" s="132">
        <v>0</v>
      </c>
      <c r="J89" s="133">
        <v>0</v>
      </c>
      <c r="K89" s="132">
        <v>0</v>
      </c>
      <c r="L89" s="132">
        <v>0</v>
      </c>
      <c r="M89" s="133">
        <v>0</v>
      </c>
      <c r="N89" s="132">
        <v>77.615639999999999</v>
      </c>
      <c r="O89" s="50"/>
      <c r="P89" s="149"/>
      <c r="Q89" s="149"/>
      <c r="R89" s="142"/>
      <c r="S89" s="142"/>
      <c r="T89" s="142"/>
      <c r="U89" s="142"/>
      <c r="V89" s="48"/>
      <c r="Z89" s="151"/>
      <c r="AA89" s="151"/>
      <c r="AB89" s="151"/>
      <c r="AC89" s="151"/>
      <c r="AD89" s="151"/>
      <c r="AE89" s="151"/>
      <c r="AF89" s="151"/>
    </row>
    <row r="90" spans="1:34" s="1" customFormat="1" ht="12" x14ac:dyDescent="0.2">
      <c r="A90" s="109" t="s">
        <v>68</v>
      </c>
      <c r="B90" s="134">
        <v>78.709130000000002</v>
      </c>
      <c r="C90" s="134">
        <v>75.322640000000007</v>
      </c>
      <c r="D90" s="134">
        <v>73.413250000000005</v>
      </c>
      <c r="E90" s="134">
        <v>75.03837</v>
      </c>
      <c r="F90" s="134">
        <v>76.2</v>
      </c>
      <c r="G90" s="134">
        <v>107.90947</v>
      </c>
      <c r="H90" s="134">
        <v>92.279240000000001</v>
      </c>
      <c r="I90" s="134">
        <v>0</v>
      </c>
      <c r="J90" s="134">
        <v>0</v>
      </c>
      <c r="K90" s="134">
        <v>0</v>
      </c>
      <c r="L90" s="134">
        <v>0</v>
      </c>
      <c r="M90" s="134">
        <v>0</v>
      </c>
      <c r="N90" s="134">
        <v>81.168639999999996</v>
      </c>
      <c r="O90" s="50"/>
      <c r="P90" s="149"/>
      <c r="Q90" s="149"/>
      <c r="R90" s="149"/>
      <c r="S90" s="149"/>
      <c r="T90" s="149"/>
      <c r="U90" s="142"/>
      <c r="V90" s="150"/>
      <c r="W90" s="151"/>
      <c r="X90" s="151"/>
      <c r="Y90" s="151"/>
    </row>
    <row r="91" spans="1:34" s="1" customFormat="1" ht="12" customHeight="1" x14ac:dyDescent="0.2">
      <c r="A91" s="110" t="s">
        <v>100</v>
      </c>
      <c r="B91" s="134">
        <v>65.879840000000002</v>
      </c>
      <c r="C91" s="134">
        <v>53.966079999999998</v>
      </c>
      <c r="D91" s="134">
        <v>51.804099999999998</v>
      </c>
      <c r="E91" s="134">
        <v>52.657209999999999</v>
      </c>
      <c r="F91" s="134">
        <v>75.264340000000004</v>
      </c>
      <c r="G91" s="134">
        <v>121.57984999999999</v>
      </c>
      <c r="H91" s="134">
        <v>117.00964999999999</v>
      </c>
      <c r="I91" s="134">
        <v>0</v>
      </c>
      <c r="J91" s="134">
        <v>0</v>
      </c>
      <c r="K91" s="134">
        <v>0</v>
      </c>
      <c r="L91" s="134">
        <v>0</v>
      </c>
      <c r="M91" s="134">
        <v>0</v>
      </c>
      <c r="N91" s="134">
        <v>66.595370000000003</v>
      </c>
      <c r="O91" s="50"/>
      <c r="P91" s="149"/>
      <c r="Q91" s="50"/>
      <c r="R91" s="142"/>
      <c r="S91" s="142"/>
      <c r="T91" s="142"/>
      <c r="U91" s="142"/>
      <c r="V91" s="150"/>
      <c r="W91" s="151"/>
      <c r="X91" s="151"/>
    </row>
    <row r="92" spans="1:34" s="1" customFormat="1" ht="12" x14ac:dyDescent="0.2">
      <c r="A92" s="110" t="s">
        <v>129</v>
      </c>
      <c r="B92" s="134">
        <v>81.388140000000007</v>
      </c>
      <c r="C92" s="134">
        <v>72.846729999999994</v>
      </c>
      <c r="D92" s="134">
        <v>63.901020000000003</v>
      </c>
      <c r="E92" s="134">
        <v>60.312629999999999</v>
      </c>
      <c r="F92" s="134">
        <v>94.528959999999998</v>
      </c>
      <c r="G92" s="134">
        <v>127.32581</v>
      </c>
      <c r="H92" s="134">
        <v>58.796300000000002</v>
      </c>
      <c r="I92" s="134">
        <v>0</v>
      </c>
      <c r="J92" s="134">
        <v>0</v>
      </c>
      <c r="K92" s="134">
        <v>0</v>
      </c>
      <c r="L92" s="134">
        <v>0</v>
      </c>
      <c r="M92" s="134">
        <v>0</v>
      </c>
      <c r="N92" s="134">
        <v>77.811449999999994</v>
      </c>
      <c r="O92" s="50"/>
      <c r="P92" s="149"/>
      <c r="Q92" s="149"/>
      <c r="R92" s="149"/>
      <c r="S92" s="149"/>
      <c r="T92" s="149"/>
      <c r="U92" s="50"/>
      <c r="V92" s="48"/>
    </row>
    <row r="93" spans="1:34" s="1" customFormat="1" ht="12" x14ac:dyDescent="0.2">
      <c r="A93" s="108" t="s">
        <v>151</v>
      </c>
      <c r="B93" s="132">
        <v>86.483580000000003</v>
      </c>
      <c r="C93" s="133">
        <v>84.635230000000007</v>
      </c>
      <c r="D93" s="132">
        <v>80.435689999999994</v>
      </c>
      <c r="E93" s="133">
        <v>72.943569999999994</v>
      </c>
      <c r="F93" s="132">
        <v>71.224029999999999</v>
      </c>
      <c r="G93" s="133">
        <v>85.226619999999997</v>
      </c>
      <c r="H93" s="133">
        <v>46.502989999999997</v>
      </c>
      <c r="I93" s="132">
        <v>0</v>
      </c>
      <c r="J93" s="133">
        <v>0</v>
      </c>
      <c r="K93" s="132">
        <v>0</v>
      </c>
      <c r="L93" s="132">
        <v>0</v>
      </c>
      <c r="M93" s="133">
        <v>0</v>
      </c>
      <c r="N93" s="132">
        <v>75.328289999999996</v>
      </c>
      <c r="O93" s="50"/>
      <c r="P93" s="50"/>
      <c r="Q93" s="50"/>
      <c r="R93" s="50"/>
      <c r="S93" s="50"/>
      <c r="T93" s="50"/>
      <c r="U93" s="50"/>
      <c r="V93" s="48"/>
    </row>
    <row r="94" spans="1:34" s="1" customFormat="1" ht="12" x14ac:dyDescent="0.2">
      <c r="A94" s="109" t="s">
        <v>68</v>
      </c>
      <c r="B94" s="134">
        <v>80.149799999999999</v>
      </c>
      <c r="C94" s="134">
        <v>77.247200000000007</v>
      </c>
      <c r="D94" s="134">
        <v>73.150490000000005</v>
      </c>
      <c r="E94" s="134">
        <v>71.661410000000004</v>
      </c>
      <c r="F94" s="134">
        <v>74.001300000000001</v>
      </c>
      <c r="G94" s="134">
        <v>107.25238</v>
      </c>
      <c r="H94" s="134">
        <v>87.980029999999999</v>
      </c>
      <c r="I94" s="134">
        <v>0</v>
      </c>
      <c r="J94" s="134">
        <v>0</v>
      </c>
      <c r="K94" s="134">
        <v>0</v>
      </c>
      <c r="L94" s="134">
        <v>0</v>
      </c>
      <c r="M94" s="134">
        <v>0</v>
      </c>
      <c r="N94" s="134">
        <v>80.650940000000006</v>
      </c>
      <c r="O94" s="50"/>
      <c r="P94" s="50"/>
      <c r="Q94" s="50"/>
      <c r="R94" s="50"/>
      <c r="S94" s="50"/>
      <c r="T94" s="50"/>
      <c r="U94" s="50"/>
      <c r="V94" s="48"/>
    </row>
    <row r="95" spans="1:34" s="1" customFormat="1" ht="12" x14ac:dyDescent="0.2">
      <c r="A95" s="110" t="s">
        <v>100</v>
      </c>
      <c r="B95" s="134">
        <v>70.716459999999998</v>
      </c>
      <c r="C95" s="134">
        <v>55.15746</v>
      </c>
      <c r="D95" s="134">
        <v>53.909849999999999</v>
      </c>
      <c r="E95" s="134">
        <v>53.332250000000002</v>
      </c>
      <c r="F95" s="134">
        <v>74.957800000000006</v>
      </c>
      <c r="G95" s="134">
        <v>114.84911</v>
      </c>
      <c r="H95" s="134">
        <v>79.128969999999995</v>
      </c>
      <c r="I95" s="134">
        <v>0</v>
      </c>
      <c r="J95" s="134">
        <v>0</v>
      </c>
      <c r="K95" s="134">
        <v>0</v>
      </c>
      <c r="L95" s="134">
        <v>0</v>
      </c>
      <c r="M95" s="134">
        <v>0</v>
      </c>
      <c r="N95" s="134">
        <v>67.381259999999997</v>
      </c>
      <c r="O95" s="50"/>
      <c r="P95" s="50"/>
      <c r="Q95" s="50"/>
      <c r="R95" s="50"/>
      <c r="S95" s="50"/>
      <c r="T95" s="50"/>
      <c r="U95" s="50"/>
      <c r="V95" s="48"/>
    </row>
    <row r="96" spans="1:34" s="1" customFormat="1" ht="12" x14ac:dyDescent="0.2">
      <c r="A96" s="110" t="s">
        <v>129</v>
      </c>
      <c r="B96" s="134">
        <v>111.6367</v>
      </c>
      <c r="C96" s="134">
        <v>121.57916</v>
      </c>
      <c r="D96" s="134">
        <v>114.24451999999999</v>
      </c>
      <c r="E96" s="134">
        <v>88.620410000000007</v>
      </c>
      <c r="F96" s="134">
        <v>67.726939999999999</v>
      </c>
      <c r="G96" s="134">
        <v>70.407030000000006</v>
      </c>
      <c r="H96" s="134">
        <v>31.200019999999999</v>
      </c>
      <c r="I96" s="134">
        <v>0</v>
      </c>
      <c r="J96" s="134">
        <v>0</v>
      </c>
      <c r="K96" s="134">
        <v>0</v>
      </c>
      <c r="L96" s="134">
        <v>0</v>
      </c>
      <c r="M96" s="134">
        <v>0</v>
      </c>
      <c r="N96" s="134">
        <v>72.42662</v>
      </c>
      <c r="O96" s="50"/>
      <c r="P96" s="50"/>
      <c r="Q96" s="50"/>
      <c r="R96" s="50"/>
      <c r="S96" s="50"/>
      <c r="T96" s="50"/>
      <c r="U96" s="50"/>
      <c r="V96" s="48"/>
    </row>
    <row r="97" spans="1:33" s="1" customFormat="1" ht="12" x14ac:dyDescent="0.2">
      <c r="A97" s="105"/>
      <c r="B97" s="6"/>
      <c r="C97" s="6"/>
      <c r="D97" s="6"/>
      <c r="E97" s="6"/>
      <c r="F97" s="5"/>
      <c r="G97" s="5"/>
      <c r="H97" s="5"/>
      <c r="I97" s="5"/>
      <c r="J97" s="5"/>
      <c r="K97" s="5"/>
      <c r="L97" s="50"/>
      <c r="M97" s="50"/>
      <c r="N97" s="50"/>
      <c r="O97" s="50"/>
      <c r="P97" s="50"/>
      <c r="Q97" s="50"/>
      <c r="R97" s="50"/>
      <c r="S97" s="50"/>
      <c r="T97" s="50"/>
      <c r="U97" s="50"/>
      <c r="V97" s="48"/>
    </row>
    <row r="98" spans="1:33" s="1" customFormat="1" ht="12" x14ac:dyDescent="0.2">
      <c r="A98" s="270"/>
      <c r="B98" s="271"/>
      <c r="C98" s="271"/>
      <c r="D98" s="271"/>
      <c r="E98" s="271"/>
      <c r="F98" s="271"/>
      <c r="G98" s="271"/>
      <c r="H98" s="271"/>
      <c r="I98" s="271"/>
      <c r="J98" s="271"/>
      <c r="K98" s="271"/>
      <c r="L98" s="271"/>
      <c r="M98" s="271"/>
      <c r="N98" s="271"/>
      <c r="O98" s="271"/>
      <c r="P98" s="271"/>
      <c r="Q98" s="271"/>
      <c r="R98" s="271"/>
      <c r="S98" s="271"/>
      <c r="T98" s="271"/>
      <c r="U98" s="271"/>
      <c r="V98" s="272"/>
    </row>
    <row r="99" spans="1:33" s="1" customFormat="1" ht="12" x14ac:dyDescent="0.2">
      <c r="A99" s="105"/>
      <c r="B99" s="6"/>
      <c r="C99" s="6"/>
      <c r="D99" s="6"/>
      <c r="E99" s="6"/>
      <c r="F99" s="5"/>
      <c r="G99" s="5"/>
      <c r="H99" s="5"/>
      <c r="I99" s="5"/>
      <c r="J99" s="5"/>
      <c r="K99" s="5"/>
      <c r="L99" s="50"/>
      <c r="M99" s="50"/>
      <c r="N99" s="50"/>
      <c r="O99" s="50"/>
      <c r="P99" s="50"/>
      <c r="Q99" s="50"/>
      <c r="R99" s="50"/>
      <c r="S99" s="149"/>
      <c r="T99" s="149"/>
      <c r="U99" s="149"/>
      <c r="V99" s="150"/>
    </row>
    <row r="100" spans="1:33" s="8" customFormat="1" ht="24.75" customHeight="1" x14ac:dyDescent="0.2">
      <c r="A100" s="269" t="s">
        <v>665</v>
      </c>
      <c r="B100" s="259"/>
      <c r="C100" s="259"/>
      <c r="D100" s="259"/>
      <c r="E100" s="259"/>
      <c r="F100" s="259"/>
      <c r="G100" s="259"/>
      <c r="H100" s="259"/>
      <c r="I100" s="259"/>
      <c r="J100" s="259"/>
      <c r="K100" s="259"/>
      <c r="L100" s="259"/>
      <c r="M100" s="259"/>
      <c r="N100" s="259"/>
      <c r="O100" s="50"/>
      <c r="P100" s="149"/>
      <c r="Q100" s="149"/>
      <c r="R100" s="149"/>
      <c r="S100" s="149"/>
      <c r="T100" s="149"/>
      <c r="U100" s="149"/>
      <c r="V100" s="150"/>
      <c r="W100" s="155"/>
      <c r="X100" s="155"/>
      <c r="Y100" s="155"/>
      <c r="Z100" s="155"/>
    </row>
    <row r="101" spans="1:33" s="1" customFormat="1" ht="12" x14ac:dyDescent="0.2">
      <c r="A101" s="39" t="s">
        <v>148</v>
      </c>
      <c r="B101" s="111" t="s">
        <v>134</v>
      </c>
      <c r="C101" s="111" t="s">
        <v>135</v>
      </c>
      <c r="D101" s="111" t="s">
        <v>136</v>
      </c>
      <c r="E101" s="111" t="s">
        <v>137</v>
      </c>
      <c r="F101" s="111" t="s">
        <v>138</v>
      </c>
      <c r="G101" s="111" t="s">
        <v>139</v>
      </c>
      <c r="H101" s="111" t="s">
        <v>140</v>
      </c>
      <c r="I101" s="111" t="s">
        <v>141</v>
      </c>
      <c r="J101" s="111" t="s">
        <v>142</v>
      </c>
      <c r="K101" s="111" t="s">
        <v>144</v>
      </c>
      <c r="L101" s="111" t="s">
        <v>145</v>
      </c>
      <c r="M101" s="111" t="s">
        <v>146</v>
      </c>
      <c r="N101" s="111" t="s">
        <v>152</v>
      </c>
      <c r="O101" s="50"/>
      <c r="P101" s="142"/>
      <c r="Q101" s="149"/>
      <c r="R101" s="149"/>
      <c r="S101" s="149"/>
      <c r="T101" s="149"/>
      <c r="U101" s="149"/>
      <c r="V101" s="150"/>
      <c r="W101" s="151"/>
      <c r="X101" s="151"/>
      <c r="Y101" s="151"/>
      <c r="Z101" s="151"/>
      <c r="AA101" s="151"/>
      <c r="AB101" s="151"/>
      <c r="AC101" s="151"/>
      <c r="AD101" s="151"/>
      <c r="AE101" s="151"/>
      <c r="AF101" s="151"/>
    </row>
    <row r="102" spans="1:33" s="1" customFormat="1" ht="12.75" customHeight="1" thickBot="1" x14ac:dyDescent="0.25">
      <c r="A102" s="100" t="s">
        <v>1</v>
      </c>
      <c r="B102" s="135">
        <v>18745.77419</v>
      </c>
      <c r="C102" s="136">
        <v>16871.266670000001</v>
      </c>
      <c r="D102" s="135">
        <v>16129.12903</v>
      </c>
      <c r="E102" s="136">
        <v>15102.35484</v>
      </c>
      <c r="F102" s="135">
        <v>14087.03571</v>
      </c>
      <c r="G102" s="136">
        <v>14150.03226</v>
      </c>
      <c r="H102" s="136">
        <v>15289.25</v>
      </c>
      <c r="I102" s="135">
        <v>0</v>
      </c>
      <c r="J102" s="136">
        <v>0</v>
      </c>
      <c r="K102" s="135">
        <v>0</v>
      </c>
      <c r="L102" s="135">
        <v>0</v>
      </c>
      <c r="M102" s="136">
        <v>0</v>
      </c>
      <c r="N102" s="135">
        <v>15803.21845</v>
      </c>
      <c r="O102" s="50"/>
      <c r="P102" s="142"/>
      <c r="Q102" s="142"/>
      <c r="R102" s="142"/>
      <c r="S102" s="142"/>
      <c r="T102" s="148"/>
      <c r="U102" s="142"/>
      <c r="V102" s="152"/>
      <c r="W102" s="153"/>
      <c r="X102" s="153"/>
      <c r="Y102" s="153"/>
      <c r="Z102" s="153"/>
    </row>
    <row r="103" spans="1:33" s="1" customFormat="1" ht="12.75" thickTop="1" x14ac:dyDescent="0.2">
      <c r="A103" s="101" t="s">
        <v>123</v>
      </c>
      <c r="B103" s="137">
        <v>321.25806</v>
      </c>
      <c r="C103" s="137">
        <v>256.39999999999998</v>
      </c>
      <c r="D103" s="137">
        <v>276</v>
      </c>
      <c r="E103" s="137">
        <v>333.19355000000002</v>
      </c>
      <c r="F103" s="137">
        <v>491.10714000000002</v>
      </c>
      <c r="G103" s="137">
        <v>782.41935000000001</v>
      </c>
      <c r="H103" s="137">
        <v>1061.5416700000001</v>
      </c>
      <c r="I103" s="137">
        <v>0</v>
      </c>
      <c r="J103" s="137">
        <v>0</v>
      </c>
      <c r="K103" s="137">
        <v>0</v>
      </c>
      <c r="L103" s="137">
        <v>0</v>
      </c>
      <c r="M103" s="137">
        <v>0</v>
      </c>
      <c r="N103" s="137">
        <v>485.52913000000001</v>
      </c>
      <c r="O103" s="50"/>
      <c r="P103" s="142"/>
      <c r="Q103" s="142"/>
      <c r="R103" s="142"/>
      <c r="S103" s="142"/>
      <c r="T103" s="142"/>
      <c r="U103" s="142"/>
      <c r="V103" s="152"/>
      <c r="W103" s="153"/>
      <c r="X103" s="153"/>
      <c r="Y103" s="153"/>
      <c r="Z103" s="153"/>
      <c r="AA103" s="153"/>
      <c r="AB103" s="153"/>
      <c r="AC103" s="153"/>
      <c r="AD103" s="153"/>
      <c r="AE103" s="153"/>
      <c r="AF103" s="153"/>
      <c r="AG103" s="153"/>
    </row>
    <row r="104" spans="1:33" s="1" customFormat="1" ht="12" x14ac:dyDescent="0.2">
      <c r="A104" s="102" t="s">
        <v>124</v>
      </c>
      <c r="B104" s="138">
        <v>18424.51613</v>
      </c>
      <c r="C104" s="138">
        <v>16614.866669999999</v>
      </c>
      <c r="D104" s="138">
        <v>15853.12903</v>
      </c>
      <c r="E104" s="138">
        <v>14769.16129</v>
      </c>
      <c r="F104" s="138">
        <v>13595.92857</v>
      </c>
      <c r="G104" s="138">
        <v>13367.6129</v>
      </c>
      <c r="H104" s="138">
        <v>14227.708329999999</v>
      </c>
      <c r="I104" s="138">
        <v>0</v>
      </c>
      <c r="J104" s="138">
        <v>0</v>
      </c>
      <c r="K104" s="138">
        <v>0</v>
      </c>
      <c r="L104" s="138">
        <v>0</v>
      </c>
      <c r="M104" s="138">
        <v>0</v>
      </c>
      <c r="N104" s="138">
        <v>15317.689319999999</v>
      </c>
      <c r="O104" s="50"/>
      <c r="P104" s="142"/>
      <c r="Q104" s="142"/>
      <c r="R104" s="142"/>
      <c r="S104" s="142"/>
      <c r="T104" s="142"/>
      <c r="U104" s="142"/>
      <c r="V104" s="152"/>
      <c r="W104" s="153"/>
      <c r="X104" s="153"/>
      <c r="Y104" s="153"/>
      <c r="Z104" s="153"/>
      <c r="AA104" s="151"/>
      <c r="AF104" s="153"/>
      <c r="AG104" s="153"/>
    </row>
    <row r="105" spans="1:33" s="3" customFormat="1" ht="23.25" customHeight="1" x14ac:dyDescent="0.2">
      <c r="A105" s="105"/>
      <c r="B105" s="6"/>
      <c r="C105" s="6"/>
      <c r="D105" s="6"/>
      <c r="E105" s="6"/>
      <c r="F105" s="5"/>
      <c r="G105" s="5"/>
      <c r="H105" s="5"/>
      <c r="I105" s="5"/>
      <c r="J105" s="5"/>
      <c r="K105" s="5"/>
      <c r="L105" s="50"/>
      <c r="M105" s="50"/>
      <c r="N105" s="50"/>
      <c r="O105" s="50"/>
      <c r="P105" s="142"/>
      <c r="Q105" s="142"/>
      <c r="R105" s="142"/>
      <c r="S105" s="142"/>
      <c r="T105" s="142"/>
      <c r="U105" s="142"/>
      <c r="V105" s="152"/>
      <c r="W105" s="154"/>
      <c r="X105" s="154"/>
      <c r="Y105" s="154"/>
      <c r="Z105" s="154"/>
      <c r="AA105" s="154"/>
      <c r="AB105" s="154"/>
      <c r="AC105" s="154"/>
      <c r="AD105" s="154"/>
      <c r="AE105" s="154"/>
      <c r="AF105" s="154"/>
      <c r="AG105" s="154"/>
    </row>
    <row r="106" spans="1:33" s="1" customFormat="1" ht="12.75" customHeight="1" x14ac:dyDescent="0.2">
      <c r="A106" s="269" t="s">
        <v>677</v>
      </c>
      <c r="B106" s="290"/>
      <c r="C106" s="290"/>
      <c r="D106" s="290"/>
      <c r="E106" s="290"/>
      <c r="F106" s="290"/>
      <c r="G106" s="290"/>
      <c r="H106" s="290"/>
      <c r="I106" s="290"/>
      <c r="J106" s="290"/>
      <c r="K106" s="290"/>
      <c r="L106" s="290"/>
      <c r="M106" s="290"/>
      <c r="N106" s="290"/>
      <c r="O106" s="50"/>
      <c r="P106" s="50"/>
      <c r="Q106" s="142"/>
      <c r="R106" s="50"/>
      <c r="S106" s="149"/>
      <c r="T106" s="149"/>
      <c r="U106" s="149"/>
      <c r="V106" s="152"/>
      <c r="W106" s="153"/>
      <c r="X106" s="153"/>
      <c r="Y106" s="153"/>
      <c r="Z106" s="153"/>
      <c r="AA106" s="153"/>
    </row>
    <row r="107" spans="1:33" s="1" customFormat="1" ht="12.75" customHeight="1" x14ac:dyDescent="0.2">
      <c r="A107" s="39" t="s">
        <v>148</v>
      </c>
      <c r="B107" s="187" t="s">
        <v>134</v>
      </c>
      <c r="C107" s="187" t="s">
        <v>135</v>
      </c>
      <c r="D107" s="187" t="s">
        <v>136</v>
      </c>
      <c r="E107" s="187" t="s">
        <v>137</v>
      </c>
      <c r="F107" s="187" t="s">
        <v>138</v>
      </c>
      <c r="G107" s="187" t="s">
        <v>139</v>
      </c>
      <c r="H107" s="187" t="s">
        <v>140</v>
      </c>
      <c r="I107" s="187" t="s">
        <v>141</v>
      </c>
      <c r="J107" s="187" t="s">
        <v>142</v>
      </c>
      <c r="K107" s="187" t="s">
        <v>144</v>
      </c>
      <c r="L107" s="187" t="s">
        <v>145</v>
      </c>
      <c r="M107" s="187" t="s">
        <v>146</v>
      </c>
      <c r="N107" s="187" t="s">
        <v>152</v>
      </c>
      <c r="O107" s="50"/>
      <c r="P107" s="149"/>
      <c r="Q107" s="149"/>
      <c r="R107" s="149"/>
      <c r="S107" s="149"/>
      <c r="T107" s="149"/>
      <c r="U107" s="149"/>
      <c r="V107" s="150"/>
      <c r="Z107" s="151"/>
      <c r="AA107" s="151"/>
      <c r="AB107" s="151"/>
      <c r="AC107" s="151"/>
      <c r="AD107" s="151"/>
      <c r="AE107" s="151"/>
      <c r="AF107" s="151"/>
    </row>
    <row r="108" spans="1:33" s="8" customFormat="1" ht="14.25" customHeight="1" thickBot="1" x14ac:dyDescent="0.25">
      <c r="A108" s="100" t="s">
        <v>1</v>
      </c>
      <c r="B108" s="190">
        <v>86.483580000000003</v>
      </c>
      <c r="C108" s="191">
        <v>84.635230000000007</v>
      </c>
      <c r="D108" s="190">
        <v>80.435689999999994</v>
      </c>
      <c r="E108" s="191">
        <v>72.943569999999994</v>
      </c>
      <c r="F108" s="190">
        <v>71.224029999999999</v>
      </c>
      <c r="G108" s="191">
        <v>85.226619999999997</v>
      </c>
      <c r="H108" s="191">
        <v>46.502989999999997</v>
      </c>
      <c r="I108" s="190"/>
      <c r="J108" s="191"/>
      <c r="K108" s="190"/>
      <c r="L108" s="190"/>
      <c r="M108" s="191"/>
      <c r="N108" s="190">
        <v>75.328289999999996</v>
      </c>
      <c r="V108" s="200"/>
      <c r="W108" s="155"/>
      <c r="X108" s="155"/>
      <c r="Y108" s="155"/>
      <c r="Z108" s="155"/>
      <c r="AA108" s="201"/>
    </row>
    <row r="109" spans="1:33" s="1" customFormat="1" ht="12.75" thickTop="1" x14ac:dyDescent="0.2">
      <c r="A109" s="101" t="s">
        <v>123</v>
      </c>
      <c r="B109" s="192">
        <v>129.11493999999999</v>
      </c>
      <c r="C109" s="192">
        <v>81.1875</v>
      </c>
      <c r="D109" s="192">
        <v>229.34693999999999</v>
      </c>
      <c r="E109" s="192">
        <v>80.733329999999995</v>
      </c>
      <c r="F109" s="192">
        <v>59.472439999999999</v>
      </c>
      <c r="G109" s="192">
        <v>7.50936</v>
      </c>
      <c r="H109" s="192">
        <v>8.7107100000000006</v>
      </c>
      <c r="I109" s="192"/>
      <c r="J109" s="192"/>
      <c r="K109" s="192"/>
      <c r="L109" s="192"/>
      <c r="M109" s="192"/>
      <c r="N109" s="192">
        <v>21.103290000000001</v>
      </c>
      <c r="O109" s="50"/>
      <c r="P109" s="50"/>
      <c r="Q109" s="50"/>
      <c r="R109" s="50"/>
      <c r="S109" s="50"/>
      <c r="T109" s="50"/>
      <c r="U109" s="50"/>
      <c r="V109" s="198"/>
    </row>
    <row r="110" spans="1:33" s="1" customFormat="1" ht="12.75" customHeight="1" x14ac:dyDescent="0.2">
      <c r="A110" s="102" t="s">
        <v>124</v>
      </c>
      <c r="B110" s="134">
        <v>86.162379999999999</v>
      </c>
      <c r="C110" s="134">
        <v>84.641490000000005</v>
      </c>
      <c r="D110" s="134">
        <v>79.659289999999999</v>
      </c>
      <c r="E110" s="134">
        <v>72.931060000000002</v>
      </c>
      <c r="F110" s="134">
        <v>71.42286</v>
      </c>
      <c r="G110" s="134">
        <v>88.287210000000002</v>
      </c>
      <c r="H110" s="134">
        <v>52.583419999999997</v>
      </c>
      <c r="I110" s="134"/>
      <c r="J110" s="134"/>
      <c r="K110" s="134"/>
      <c r="L110" s="134"/>
      <c r="M110" s="134"/>
      <c r="N110" s="134">
        <v>77.199449999999999</v>
      </c>
      <c r="O110" s="50"/>
      <c r="P110" s="50"/>
      <c r="Q110" s="50"/>
      <c r="R110" s="50"/>
      <c r="S110" s="50"/>
      <c r="T110" s="50"/>
      <c r="U110" s="50"/>
      <c r="V110" s="198"/>
    </row>
    <row r="111" spans="1:33" s="1" customFormat="1" x14ac:dyDescent="0.25">
      <c r="A111"/>
      <c r="B111" s="140"/>
      <c r="C111" s="140"/>
      <c r="D111" s="140"/>
      <c r="E111" s="140"/>
      <c r="F111" s="140"/>
      <c r="G111" s="140"/>
      <c r="H111" s="140"/>
      <c r="I111" s="140"/>
      <c r="J111" s="140"/>
      <c r="K111" s="140"/>
      <c r="L111" s="140"/>
      <c r="M111" s="140"/>
      <c r="N111"/>
      <c r="O111" s="50"/>
      <c r="P111" s="50"/>
      <c r="Q111" s="50"/>
      <c r="R111" s="50"/>
      <c r="S111" s="50"/>
      <c r="T111" s="50"/>
      <c r="U111" s="50"/>
      <c r="V111" s="199"/>
    </row>
    <row r="112" spans="1:33" s="1" customFormat="1" ht="12.75" thickBot="1" x14ac:dyDescent="0.25">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6"/>
    </row>
    <row r="113" spans="1:22" s="52" customFormat="1" x14ac:dyDescent="0.25">
      <c r="A113"/>
      <c r="B113" s="141"/>
      <c r="C113" s="141"/>
      <c r="D113" s="141"/>
      <c r="E113" s="141"/>
      <c r="F113" s="141"/>
      <c r="G113" s="141"/>
      <c r="H113" s="141"/>
      <c r="I113" s="141"/>
      <c r="J113" s="141"/>
      <c r="K113" s="141"/>
      <c r="L113" s="141"/>
      <c r="M113" s="141"/>
      <c r="N113"/>
    </row>
    <row r="114" spans="1:22" s="52" customFormat="1" x14ac:dyDescent="0.25">
      <c r="A114"/>
      <c r="B114" s="141"/>
      <c r="C114" s="141"/>
      <c r="D114" s="141"/>
      <c r="E114" s="141"/>
      <c r="F114" s="141"/>
      <c r="G114" s="141"/>
      <c r="H114" s="141"/>
      <c r="I114" s="141"/>
      <c r="J114" s="141"/>
      <c r="K114" s="141"/>
      <c r="L114" s="145"/>
      <c r="M114" s="141"/>
      <c r="N114"/>
    </row>
    <row r="115" spans="1:22" s="52" customFormat="1" x14ac:dyDescent="0.25">
      <c r="A115"/>
      <c r="B115" s="141"/>
      <c r="C115" s="141"/>
      <c r="D115" s="141"/>
      <c r="E115" s="141"/>
      <c r="F115" s="141"/>
      <c r="G115" s="141"/>
      <c r="H115" s="141"/>
      <c r="I115" s="141"/>
      <c r="J115" s="141"/>
      <c r="K115" s="141"/>
      <c r="L115" s="141"/>
      <c r="M115"/>
      <c r="N115"/>
      <c r="O115" s="140"/>
      <c r="P115"/>
      <c r="Q115"/>
      <c r="R115"/>
      <c r="S115"/>
      <c r="T115"/>
      <c r="U115"/>
      <c r="V115"/>
    </row>
    <row r="116" spans="1:22" x14ac:dyDescent="0.25">
      <c r="B116" s="141"/>
      <c r="C116" s="141"/>
      <c r="D116" s="141"/>
      <c r="E116" s="141"/>
      <c r="F116" s="141"/>
      <c r="G116" s="141"/>
      <c r="H116" s="140"/>
      <c r="I116" s="140"/>
    </row>
    <row r="117" spans="1:22" x14ac:dyDescent="0.25">
      <c r="B117" s="141"/>
      <c r="C117" s="141"/>
      <c r="D117" s="140"/>
      <c r="E117" s="141"/>
      <c r="F117" s="140"/>
    </row>
    <row r="118" spans="1:22" x14ac:dyDescent="0.25">
      <c r="B118" s="141"/>
      <c r="C118" s="141"/>
      <c r="P118" s="141"/>
    </row>
    <row r="120" spans="1:22" x14ac:dyDescent="0.25">
      <c r="P120" s="141"/>
    </row>
  </sheetData>
  <sheetProtection sheet="1" objects="1" scenarios="1"/>
  <mergeCells count="52">
    <mergeCell ref="A106:N106"/>
    <mergeCell ref="A4:V4"/>
    <mergeCell ref="A1:D1"/>
    <mergeCell ref="A2:D2"/>
    <mergeCell ref="E2:H2"/>
    <mergeCell ref="I2:L2"/>
    <mergeCell ref="M2:P2"/>
    <mergeCell ref="A3:D3"/>
    <mergeCell ref="G11:H11"/>
    <mergeCell ref="A18:F18"/>
    <mergeCell ref="A16:V16"/>
    <mergeCell ref="A25:V25"/>
    <mergeCell ref="M10:N10"/>
    <mergeCell ref="M11:N11"/>
    <mergeCell ref="M12:N12"/>
    <mergeCell ref="O10:Q10"/>
    <mergeCell ref="A64:V64"/>
    <mergeCell ref="G9:H9"/>
    <mergeCell ref="A6:V6"/>
    <mergeCell ref="A8:D8"/>
    <mergeCell ref="G8:K8"/>
    <mergeCell ref="G10:H10"/>
    <mergeCell ref="A27:E27"/>
    <mergeCell ref="H27:L27"/>
    <mergeCell ref="N27:R27"/>
    <mergeCell ref="A36:E36"/>
    <mergeCell ref="P30:R30"/>
    <mergeCell ref="J30:L30"/>
    <mergeCell ref="J31:L31"/>
    <mergeCell ref="H28:I28"/>
    <mergeCell ref="H29:I29"/>
    <mergeCell ref="H30:I30"/>
    <mergeCell ref="A83:N83"/>
    <mergeCell ref="A100:N100"/>
    <mergeCell ref="A81:V81"/>
    <mergeCell ref="A98:V98"/>
    <mergeCell ref="A66:N66"/>
    <mergeCell ref="A33:V33"/>
    <mergeCell ref="O12:Q12"/>
    <mergeCell ref="M9:N9"/>
    <mergeCell ref="O9:Q9"/>
    <mergeCell ref="M8:Q8"/>
    <mergeCell ref="J29:L29"/>
    <mergeCell ref="O11:Q11"/>
    <mergeCell ref="P28:R28"/>
    <mergeCell ref="N29:O29"/>
    <mergeCell ref="I18:V18"/>
    <mergeCell ref="H31:I31"/>
    <mergeCell ref="J28:L28"/>
    <mergeCell ref="N28:O28"/>
    <mergeCell ref="N30:O30"/>
    <mergeCell ref="P29:R29"/>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6F5D1-A8A3-4A3F-953C-456645162C13}">
  <dimension ref="A1:AE150"/>
  <sheetViews>
    <sheetView zoomScale="80" zoomScaleNormal="80" workbookViewId="0">
      <selection activeCell="B156" sqref="B156"/>
    </sheetView>
  </sheetViews>
  <sheetFormatPr defaultColWidth="9.42578125" defaultRowHeight="15" x14ac:dyDescent="0.25"/>
  <cols>
    <col min="1" max="1" width="72.5703125" customWidth="1"/>
    <col min="2" max="2" width="40.5703125" customWidth="1"/>
    <col min="3" max="3" width="27.5703125" customWidth="1"/>
    <col min="4" max="4" width="10" customWidth="1"/>
    <col min="5" max="5" width="8" customWidth="1"/>
    <col min="6" max="6" width="10.42578125" customWidth="1"/>
    <col min="7" max="7" width="23.5703125" customWidth="1"/>
    <col min="8" max="8" width="14.42578125" customWidth="1"/>
    <col min="9" max="9" width="23.42578125" customWidth="1"/>
    <col min="10" max="10" width="17.5703125" customWidth="1"/>
    <col min="11" max="11" width="20" customWidth="1"/>
    <col min="12" max="12" width="11.5703125" customWidth="1"/>
    <col min="13" max="13" width="13.42578125" customWidth="1"/>
    <col min="14" max="15" width="14.5703125" customWidth="1"/>
    <col min="16" max="19" width="13.42578125" customWidth="1"/>
    <col min="20" max="21" width="12" customWidth="1"/>
    <col min="22" max="22" width="18.5703125" customWidth="1"/>
    <col min="23" max="23" width="14.5703125" customWidth="1"/>
    <col min="24" max="24" width="12.42578125" customWidth="1"/>
    <col min="25" max="25" width="22.5703125" customWidth="1"/>
    <col min="26" max="26" width="23.42578125" customWidth="1"/>
    <col min="27" max="27" width="16.5703125" customWidth="1"/>
    <col min="28" max="28" width="16.42578125" customWidth="1"/>
    <col min="29" max="29" width="20.5703125" customWidth="1"/>
    <col min="30" max="30" width="16" customWidth="1"/>
    <col min="31" max="31" width="16.42578125" customWidth="1"/>
  </cols>
  <sheetData>
    <row r="1" spans="1:31" s="11" customFormat="1" ht="26.25" x14ac:dyDescent="0.25">
      <c r="A1" s="236" t="s">
        <v>49</v>
      </c>
      <c r="B1" s="236"/>
      <c r="C1" s="236"/>
      <c r="D1" s="236"/>
      <c r="E1" s="31"/>
      <c r="F1" s="31"/>
      <c r="G1" s="31"/>
      <c r="H1" s="31"/>
      <c r="I1" s="31"/>
      <c r="J1" s="31"/>
      <c r="K1" s="31"/>
      <c r="L1" s="31"/>
      <c r="M1" s="31"/>
      <c r="N1" s="31"/>
      <c r="O1" s="31"/>
      <c r="P1" s="31"/>
      <c r="Q1" s="31"/>
      <c r="R1" s="31"/>
      <c r="S1" s="31"/>
      <c r="T1" s="31"/>
      <c r="U1" s="31"/>
      <c r="V1" s="31"/>
      <c r="W1" s="31"/>
      <c r="X1" s="31"/>
      <c r="Y1" s="31"/>
      <c r="Z1" s="31"/>
      <c r="AA1" s="31"/>
      <c r="AB1" s="31"/>
      <c r="AC1" s="31"/>
      <c r="AD1" s="31"/>
      <c r="AE1" s="31"/>
    </row>
    <row r="2" spans="1:31" s="11" customFormat="1" ht="74.25" customHeight="1" x14ac:dyDescent="0.25">
      <c r="A2" s="237" t="s">
        <v>722</v>
      </c>
      <c r="B2" s="237"/>
      <c r="C2" s="237"/>
      <c r="D2" s="237"/>
      <c r="E2" s="31"/>
      <c r="F2" s="31"/>
      <c r="G2" s="31"/>
      <c r="H2" s="31"/>
      <c r="I2" s="31"/>
      <c r="J2" s="31"/>
      <c r="K2" s="31"/>
      <c r="L2" s="31"/>
      <c r="M2" s="31"/>
      <c r="N2" s="31"/>
      <c r="O2" s="31"/>
      <c r="P2" s="31"/>
      <c r="Q2" s="31"/>
      <c r="R2" s="31"/>
      <c r="S2" s="31"/>
      <c r="T2" s="31"/>
      <c r="U2" s="31"/>
      <c r="V2" s="31"/>
      <c r="W2" s="31"/>
      <c r="X2" s="31"/>
      <c r="Y2" s="31"/>
      <c r="Z2" s="31"/>
      <c r="AA2" s="31"/>
      <c r="AB2" s="31"/>
      <c r="AC2" s="31"/>
      <c r="AD2" s="31"/>
      <c r="AE2" s="31"/>
    </row>
    <row r="3" spans="1:31" s="11" customFormat="1" ht="48.6" customHeight="1" x14ac:dyDescent="0.25">
      <c r="A3" s="235" t="s">
        <v>652</v>
      </c>
      <c r="B3" s="235"/>
      <c r="C3" s="235"/>
      <c r="D3" s="235"/>
      <c r="E3" s="235"/>
      <c r="F3" s="235"/>
      <c r="G3" s="235"/>
      <c r="H3" s="235"/>
      <c r="I3" s="235"/>
      <c r="J3" s="235"/>
      <c r="K3" s="235"/>
      <c r="L3" s="235"/>
      <c r="M3" s="235"/>
      <c r="N3" s="235"/>
      <c r="O3" s="235"/>
      <c r="P3" s="235"/>
      <c r="Q3" s="235"/>
      <c r="R3" s="235"/>
      <c r="S3" s="235"/>
      <c r="T3" s="235"/>
      <c r="U3" s="235"/>
      <c r="V3" s="235"/>
      <c r="W3" s="235"/>
      <c r="X3" s="235"/>
      <c r="Y3" s="235"/>
      <c r="Z3" s="235"/>
      <c r="AA3" s="235"/>
      <c r="AB3" s="235"/>
      <c r="AC3" s="235"/>
      <c r="AD3" s="235"/>
      <c r="AE3" s="235"/>
    </row>
    <row r="4" spans="1:31" s="8" customFormat="1" ht="30.75" customHeight="1" thickBot="1" x14ac:dyDescent="0.25">
      <c r="A4" s="298" t="s">
        <v>666</v>
      </c>
      <c r="B4" s="298"/>
      <c r="C4" s="298"/>
      <c r="D4" s="298"/>
      <c r="E4" s="298"/>
      <c r="F4" s="298"/>
      <c r="G4" s="298"/>
      <c r="H4" s="298"/>
      <c r="I4" s="298"/>
      <c r="J4" s="298"/>
      <c r="K4" s="298"/>
      <c r="L4" s="298"/>
      <c r="M4" s="298"/>
      <c r="N4" s="298"/>
      <c r="O4" s="298"/>
      <c r="P4" s="298"/>
      <c r="Q4" s="298"/>
      <c r="R4" s="298"/>
      <c r="S4" s="298"/>
      <c r="T4" s="298"/>
      <c r="U4" s="298"/>
      <c r="V4" s="298"/>
      <c r="W4" s="197"/>
      <c r="X4" s="197"/>
      <c r="Y4" s="197"/>
      <c r="Z4" s="197"/>
    </row>
    <row r="5" spans="1:31" s="195" customFormat="1" ht="36" customHeight="1" x14ac:dyDescent="0.2">
      <c r="A5" s="53" t="s">
        <v>153</v>
      </c>
      <c r="B5" s="12"/>
      <c r="C5" s="12"/>
      <c r="D5" s="12"/>
      <c r="E5" s="12"/>
      <c r="F5" s="12"/>
      <c r="G5" s="12"/>
      <c r="H5" s="12"/>
      <c r="I5" s="12" t="s">
        <v>154</v>
      </c>
      <c r="J5" s="299" t="s">
        <v>653</v>
      </c>
      <c r="K5" s="299"/>
      <c r="L5" s="299"/>
      <c r="M5" s="299"/>
      <c r="N5" s="300" t="s">
        <v>654</v>
      </c>
      <c r="O5" s="300"/>
      <c r="P5" s="300"/>
      <c r="Q5" s="300"/>
      <c r="R5" s="297" t="s">
        <v>655</v>
      </c>
      <c r="S5" s="297"/>
      <c r="T5" s="297"/>
      <c r="U5" s="297"/>
      <c r="V5" s="33" t="s">
        <v>656</v>
      </c>
      <c r="W5" s="297" t="s">
        <v>155</v>
      </c>
      <c r="X5" s="297"/>
      <c r="Y5" s="297"/>
      <c r="Z5" s="297"/>
      <c r="AA5" s="297"/>
      <c r="AB5" s="297"/>
      <c r="AC5" s="297"/>
      <c r="AD5" s="297"/>
      <c r="AE5" s="297"/>
    </row>
    <row r="6" spans="1:31" s="195" customFormat="1" ht="20.25" customHeight="1" x14ac:dyDescent="0.2">
      <c r="A6" s="54" t="s">
        <v>849</v>
      </c>
      <c r="B6" s="230"/>
      <c r="C6" s="230"/>
      <c r="D6" s="230"/>
      <c r="E6" s="230"/>
      <c r="F6" s="230"/>
      <c r="G6" s="230"/>
      <c r="H6" s="230"/>
      <c r="I6" s="196"/>
      <c r="J6" s="230"/>
      <c r="K6" s="230"/>
      <c r="L6" s="230"/>
      <c r="M6" s="230"/>
      <c r="N6" s="230"/>
      <c r="O6" s="230"/>
      <c r="P6" s="230"/>
      <c r="Q6" s="230"/>
      <c r="R6" s="229"/>
      <c r="S6" s="229"/>
      <c r="T6" s="229"/>
      <c r="U6" s="229"/>
      <c r="V6" s="33"/>
      <c r="W6" s="229"/>
      <c r="X6" s="229"/>
      <c r="Y6" s="229"/>
      <c r="Z6" s="229"/>
      <c r="AA6" s="229"/>
      <c r="AB6" s="229"/>
      <c r="AC6" s="229"/>
      <c r="AD6" s="229"/>
      <c r="AE6" s="229"/>
    </row>
    <row r="7" spans="1:31" s="195" customFormat="1" ht="48" customHeight="1" x14ac:dyDescent="0.25">
      <c r="A7" s="13" t="s">
        <v>156</v>
      </c>
      <c r="B7" s="14" t="s">
        <v>157</v>
      </c>
      <c r="C7" s="14" t="s">
        <v>158</v>
      </c>
      <c r="D7" s="14" t="s">
        <v>159</v>
      </c>
      <c r="E7" s="15" t="s">
        <v>160</v>
      </c>
      <c r="F7" s="14" t="s">
        <v>57</v>
      </c>
      <c r="G7" s="16" t="s">
        <v>161</v>
      </c>
      <c r="H7" s="17" t="s">
        <v>93</v>
      </c>
      <c r="I7" s="18" t="s">
        <v>657</v>
      </c>
      <c r="J7" s="19" t="s">
        <v>162</v>
      </c>
      <c r="K7" s="20" t="s">
        <v>163</v>
      </c>
      <c r="L7" s="21" t="s">
        <v>164</v>
      </c>
      <c r="M7" s="32" t="s">
        <v>165</v>
      </c>
      <c r="N7" s="19" t="s">
        <v>166</v>
      </c>
      <c r="O7" s="20" t="s">
        <v>167</v>
      </c>
      <c r="P7" s="21" t="s">
        <v>168</v>
      </c>
      <c r="Q7" s="22" t="s">
        <v>169</v>
      </c>
      <c r="R7" s="19" t="s">
        <v>170</v>
      </c>
      <c r="S7" s="20" t="s">
        <v>171</v>
      </c>
      <c r="T7" s="21" t="s">
        <v>172</v>
      </c>
      <c r="U7" s="32" t="s">
        <v>173</v>
      </c>
      <c r="V7" s="19" t="s">
        <v>174</v>
      </c>
      <c r="W7" s="20" t="s">
        <v>175</v>
      </c>
      <c r="X7" s="14" t="s">
        <v>176</v>
      </c>
      <c r="Y7" s="14" t="s">
        <v>91</v>
      </c>
      <c r="Z7" s="14" t="s">
        <v>177</v>
      </c>
      <c r="AA7" s="14" t="s">
        <v>87</v>
      </c>
      <c r="AB7" s="14" t="s">
        <v>178</v>
      </c>
      <c r="AC7" s="14" t="s">
        <v>101</v>
      </c>
      <c r="AD7" s="14" t="s">
        <v>179</v>
      </c>
      <c r="AE7" s="35" t="s">
        <v>105</v>
      </c>
    </row>
    <row r="8" spans="1:31" s="195" customFormat="1" ht="12.75" customHeight="1" x14ac:dyDescent="0.2">
      <c r="A8" s="23" t="s">
        <v>19</v>
      </c>
      <c r="B8" s="24" t="s">
        <v>195</v>
      </c>
      <c r="C8" s="24" t="s">
        <v>196</v>
      </c>
      <c r="D8" s="24" t="s">
        <v>197</v>
      </c>
      <c r="E8" s="24">
        <v>78061</v>
      </c>
      <c r="F8" s="24" t="s">
        <v>198</v>
      </c>
      <c r="G8" s="24" t="s">
        <v>199</v>
      </c>
      <c r="H8" s="24" t="s">
        <v>185</v>
      </c>
      <c r="I8" s="25">
        <v>74.991196478591405</v>
      </c>
      <c r="J8" s="26">
        <v>530.09547738692618</v>
      </c>
      <c r="K8" s="26">
        <v>70.79396984924621</v>
      </c>
      <c r="L8" s="26">
        <v>88.849246231155789</v>
      </c>
      <c r="M8" s="26">
        <v>60.050251256281427</v>
      </c>
      <c r="N8" s="26">
        <v>214.12562814070358</v>
      </c>
      <c r="O8" s="26">
        <v>535.57286432160038</v>
      </c>
      <c r="P8" s="26">
        <v>0</v>
      </c>
      <c r="Q8" s="26">
        <v>9.0452261306532666E-2</v>
      </c>
      <c r="R8" s="26">
        <v>72.120603015075403</v>
      </c>
      <c r="S8" s="26">
        <v>63.793969849246267</v>
      </c>
      <c r="T8" s="26">
        <v>78.708542713567908</v>
      </c>
      <c r="U8" s="26">
        <v>535.16582914572086</v>
      </c>
      <c r="V8" s="26">
        <v>489.34673366834227</v>
      </c>
      <c r="W8" s="27">
        <v>1350</v>
      </c>
      <c r="X8" s="24" t="s">
        <v>186</v>
      </c>
      <c r="Y8" s="24" t="s">
        <v>718</v>
      </c>
      <c r="Z8" s="24" t="s">
        <v>188</v>
      </c>
      <c r="AA8" s="28" t="s">
        <v>848</v>
      </c>
      <c r="AB8" s="24" t="s">
        <v>186</v>
      </c>
      <c r="AC8" s="24" t="s">
        <v>187</v>
      </c>
      <c r="AD8" s="24" t="s">
        <v>188</v>
      </c>
      <c r="AE8" s="36">
        <v>43888</v>
      </c>
    </row>
    <row r="9" spans="1:31" ht="15.75" x14ac:dyDescent="0.25">
      <c r="A9" s="23" t="s">
        <v>190</v>
      </c>
      <c r="B9" s="24" t="s">
        <v>191</v>
      </c>
      <c r="C9" s="24" t="s">
        <v>192</v>
      </c>
      <c r="D9" s="24" t="s">
        <v>193</v>
      </c>
      <c r="E9" s="29">
        <v>31815</v>
      </c>
      <c r="F9" s="24" t="s">
        <v>194</v>
      </c>
      <c r="G9" s="24" t="s">
        <v>184</v>
      </c>
      <c r="H9" s="24" t="s">
        <v>5</v>
      </c>
      <c r="I9" s="25">
        <v>76.773988005996998</v>
      </c>
      <c r="J9" s="26">
        <v>155.00000000000014</v>
      </c>
      <c r="K9" s="26">
        <v>135.81909547738684</v>
      </c>
      <c r="L9" s="26">
        <v>176.88442211055309</v>
      </c>
      <c r="M9" s="26">
        <v>177.56281407035206</v>
      </c>
      <c r="N9" s="26">
        <v>450.43216080402169</v>
      </c>
      <c r="O9" s="26">
        <v>189.61809045226158</v>
      </c>
      <c r="P9" s="26">
        <v>2.9748743718592965</v>
      </c>
      <c r="Q9" s="26">
        <v>2.2412060301507539</v>
      </c>
      <c r="R9" s="26">
        <v>268.57286432160902</v>
      </c>
      <c r="S9" s="26">
        <v>94.56281407035172</v>
      </c>
      <c r="T9" s="26">
        <v>89.266331658291463</v>
      </c>
      <c r="U9" s="26">
        <v>192.86432160804048</v>
      </c>
      <c r="V9" s="26">
        <v>506.27135678392216</v>
      </c>
      <c r="W9" s="27">
        <v>1600</v>
      </c>
      <c r="X9" s="24" t="s">
        <v>186</v>
      </c>
      <c r="Y9" s="30" t="s">
        <v>187</v>
      </c>
      <c r="Z9" s="24" t="s">
        <v>188</v>
      </c>
      <c r="AA9" s="28" t="s">
        <v>721</v>
      </c>
      <c r="AB9" s="24" t="s">
        <v>186</v>
      </c>
      <c r="AC9" s="30" t="s">
        <v>187</v>
      </c>
      <c r="AD9" s="30" t="s">
        <v>188</v>
      </c>
      <c r="AE9" s="37">
        <v>43594</v>
      </c>
    </row>
    <row r="10" spans="1:31" ht="15.75" x14ac:dyDescent="0.25">
      <c r="A10" s="23" t="s">
        <v>214</v>
      </c>
      <c r="B10" s="24" t="s">
        <v>215</v>
      </c>
      <c r="C10" s="24" t="s">
        <v>216</v>
      </c>
      <c r="D10" s="24" t="s">
        <v>207</v>
      </c>
      <c r="E10" s="29">
        <v>71342</v>
      </c>
      <c r="F10" s="24" t="s">
        <v>208</v>
      </c>
      <c r="G10" s="24" t="s">
        <v>184</v>
      </c>
      <c r="H10" s="24" t="s">
        <v>185</v>
      </c>
      <c r="I10" s="25">
        <v>116.829716193656</v>
      </c>
      <c r="J10" s="26">
        <v>184.8894472361801</v>
      </c>
      <c r="K10" s="26">
        <v>99.276381909547752</v>
      </c>
      <c r="L10" s="26">
        <v>126.49246231155786</v>
      </c>
      <c r="M10" s="26">
        <v>48.125628140703526</v>
      </c>
      <c r="N10" s="26">
        <v>158.38190954773893</v>
      </c>
      <c r="O10" s="26">
        <v>228.10552763819038</v>
      </c>
      <c r="P10" s="26">
        <v>51.195979899497488</v>
      </c>
      <c r="Q10" s="26">
        <v>21.10050251256283</v>
      </c>
      <c r="R10" s="26">
        <v>119.50753768844233</v>
      </c>
      <c r="S10" s="26">
        <v>32.452261306532641</v>
      </c>
      <c r="T10" s="26">
        <v>57.567839195979893</v>
      </c>
      <c r="U10" s="26">
        <v>249.25628140703432</v>
      </c>
      <c r="V10" s="26">
        <v>338.36180904522689</v>
      </c>
      <c r="W10" s="27">
        <v>1170</v>
      </c>
      <c r="X10" s="24" t="s">
        <v>186</v>
      </c>
      <c r="Y10" s="30" t="s">
        <v>187</v>
      </c>
      <c r="Z10" s="24" t="s">
        <v>188</v>
      </c>
      <c r="AA10" s="28" t="s">
        <v>708</v>
      </c>
      <c r="AB10" s="24" t="s">
        <v>186</v>
      </c>
      <c r="AC10" s="30" t="s">
        <v>187</v>
      </c>
      <c r="AD10" s="30" t="s">
        <v>188</v>
      </c>
      <c r="AE10" s="37">
        <v>43734</v>
      </c>
    </row>
    <row r="11" spans="1:31" ht="15.75" x14ac:dyDescent="0.25">
      <c r="A11" s="23" t="s">
        <v>16</v>
      </c>
      <c r="B11" s="24" t="s">
        <v>211</v>
      </c>
      <c r="C11" s="24" t="s">
        <v>34</v>
      </c>
      <c r="D11" s="24" t="s">
        <v>212</v>
      </c>
      <c r="E11" s="29">
        <v>85131</v>
      </c>
      <c r="F11" s="24" t="s">
        <v>213</v>
      </c>
      <c r="G11" s="24" t="s">
        <v>184</v>
      </c>
      <c r="H11" s="24" t="s">
        <v>5</v>
      </c>
      <c r="I11" s="25">
        <v>92.478995433789905</v>
      </c>
      <c r="J11" s="26">
        <v>325.26130653266051</v>
      </c>
      <c r="K11" s="26">
        <v>42.934673366834197</v>
      </c>
      <c r="L11" s="26">
        <v>40.793969849246253</v>
      </c>
      <c r="M11" s="26">
        <v>36.713567839195967</v>
      </c>
      <c r="N11" s="26">
        <v>93.371859296482469</v>
      </c>
      <c r="O11" s="26">
        <v>352.33165829145594</v>
      </c>
      <c r="P11" s="26">
        <v>0</v>
      </c>
      <c r="Q11" s="26">
        <v>0</v>
      </c>
      <c r="R11" s="26">
        <v>40.532663316582919</v>
      </c>
      <c r="S11" s="26">
        <v>20.015075376884408</v>
      </c>
      <c r="T11" s="26">
        <v>31.266331658291467</v>
      </c>
      <c r="U11" s="26">
        <v>353.88944723617976</v>
      </c>
      <c r="V11" s="26">
        <v>271.45728643216063</v>
      </c>
      <c r="W11" s="27">
        <v>1800</v>
      </c>
      <c r="X11" s="24" t="s">
        <v>186</v>
      </c>
      <c r="Y11" s="30" t="s">
        <v>718</v>
      </c>
      <c r="Z11" s="24" t="s">
        <v>188</v>
      </c>
      <c r="AA11" s="28" t="s">
        <v>840</v>
      </c>
      <c r="AB11" s="24" t="s">
        <v>186</v>
      </c>
      <c r="AC11" s="30" t="s">
        <v>187</v>
      </c>
      <c r="AD11" s="30" t="s">
        <v>188</v>
      </c>
      <c r="AE11" s="37">
        <v>43643</v>
      </c>
    </row>
    <row r="12" spans="1:31" ht="15.75" x14ac:dyDescent="0.25">
      <c r="A12" s="23" t="s">
        <v>217</v>
      </c>
      <c r="B12" s="24" t="s">
        <v>218</v>
      </c>
      <c r="C12" s="24" t="s">
        <v>34</v>
      </c>
      <c r="D12" s="24" t="s">
        <v>212</v>
      </c>
      <c r="E12" s="29">
        <v>85131</v>
      </c>
      <c r="F12" s="24" t="s">
        <v>213</v>
      </c>
      <c r="G12" s="24" t="s">
        <v>184</v>
      </c>
      <c r="H12" s="24" t="s">
        <v>185</v>
      </c>
      <c r="I12" s="25">
        <v>47.452744397531703</v>
      </c>
      <c r="J12" s="26">
        <v>300.8040201005029</v>
      </c>
      <c r="K12" s="26">
        <v>28.492462311557777</v>
      </c>
      <c r="L12" s="26">
        <v>39.834170854271385</v>
      </c>
      <c r="M12" s="26">
        <v>39.829145728643212</v>
      </c>
      <c r="N12" s="26">
        <v>69.01507537688444</v>
      </c>
      <c r="O12" s="26">
        <v>119.89447236181051</v>
      </c>
      <c r="P12" s="26">
        <v>18.010050251256281</v>
      </c>
      <c r="Q12" s="26">
        <v>202.04020100502723</v>
      </c>
      <c r="R12" s="26">
        <v>37.934673366834168</v>
      </c>
      <c r="S12" s="26">
        <v>18.73366834170854</v>
      </c>
      <c r="T12" s="26">
        <v>28.994974874371849</v>
      </c>
      <c r="U12" s="26">
        <v>323.2964824120611</v>
      </c>
      <c r="V12" s="26">
        <v>275.2160804020121</v>
      </c>
      <c r="W12" s="27"/>
      <c r="X12" s="24" t="s">
        <v>186</v>
      </c>
      <c r="Y12" s="30" t="s">
        <v>718</v>
      </c>
      <c r="Z12" s="24" t="s">
        <v>188</v>
      </c>
      <c r="AA12" s="28" t="s">
        <v>847</v>
      </c>
      <c r="AB12" s="24" t="s">
        <v>186</v>
      </c>
      <c r="AC12" s="30" t="s">
        <v>187</v>
      </c>
      <c r="AD12" s="30" t="s">
        <v>188</v>
      </c>
      <c r="AE12" s="37">
        <v>43867</v>
      </c>
    </row>
    <row r="13" spans="1:31" ht="15.75" x14ac:dyDescent="0.25">
      <c r="A13" s="23" t="s">
        <v>26</v>
      </c>
      <c r="B13" s="24" t="s">
        <v>219</v>
      </c>
      <c r="C13" s="24" t="s">
        <v>220</v>
      </c>
      <c r="D13" s="24" t="s">
        <v>221</v>
      </c>
      <c r="E13" s="29">
        <v>39120</v>
      </c>
      <c r="F13" s="24" t="s">
        <v>208</v>
      </c>
      <c r="G13" s="24" t="s">
        <v>184</v>
      </c>
      <c r="H13" s="24" t="s">
        <v>185</v>
      </c>
      <c r="I13" s="25">
        <v>53.8041438623925</v>
      </c>
      <c r="J13" s="26">
        <v>283.42713567838956</v>
      </c>
      <c r="K13" s="26">
        <v>25.889447236180878</v>
      </c>
      <c r="L13" s="26">
        <v>43.090452261306567</v>
      </c>
      <c r="M13" s="26">
        <v>45.125628140703547</v>
      </c>
      <c r="N13" s="26">
        <v>110.19597989949794</v>
      </c>
      <c r="O13" s="26">
        <v>259.39698492462185</v>
      </c>
      <c r="P13" s="26">
        <v>3.2261306532663299</v>
      </c>
      <c r="Q13" s="26">
        <v>24.713567839195811</v>
      </c>
      <c r="R13" s="26">
        <v>59.904522613065375</v>
      </c>
      <c r="S13" s="26">
        <v>24.567839195979882</v>
      </c>
      <c r="T13" s="26">
        <v>28.949748743718587</v>
      </c>
      <c r="U13" s="26">
        <v>284.11055276381677</v>
      </c>
      <c r="V13" s="26">
        <v>367.69346733668436</v>
      </c>
      <c r="W13" s="27">
        <v>1100</v>
      </c>
      <c r="X13" s="24" t="s">
        <v>186</v>
      </c>
      <c r="Y13" s="30" t="s">
        <v>718</v>
      </c>
      <c r="Z13" s="24" t="s">
        <v>188</v>
      </c>
      <c r="AA13" s="28" t="s">
        <v>833</v>
      </c>
      <c r="AB13" s="24" t="s">
        <v>186</v>
      </c>
      <c r="AC13" s="30" t="s">
        <v>187</v>
      </c>
      <c r="AD13" s="30" t="s">
        <v>188</v>
      </c>
      <c r="AE13" s="37">
        <v>43790</v>
      </c>
    </row>
    <row r="14" spans="1:31" ht="15.75" x14ac:dyDescent="0.25">
      <c r="A14" s="23" t="s">
        <v>302</v>
      </c>
      <c r="B14" s="24" t="s">
        <v>211</v>
      </c>
      <c r="C14" s="24" t="s">
        <v>34</v>
      </c>
      <c r="D14" s="24" t="s">
        <v>212</v>
      </c>
      <c r="E14" s="29">
        <v>85131</v>
      </c>
      <c r="F14" s="24" t="s">
        <v>213</v>
      </c>
      <c r="G14" s="24" t="s">
        <v>184</v>
      </c>
      <c r="H14" s="24" t="s">
        <v>5</v>
      </c>
      <c r="I14" s="25">
        <v>42.715175789942101</v>
      </c>
      <c r="J14" s="26">
        <v>260.45728643215932</v>
      </c>
      <c r="K14" s="26">
        <v>35.894472361809044</v>
      </c>
      <c r="L14" s="26">
        <v>42.517587939698501</v>
      </c>
      <c r="M14" s="26">
        <v>56.728643216080407</v>
      </c>
      <c r="N14" s="26">
        <v>111.6331658291457</v>
      </c>
      <c r="O14" s="26">
        <v>283.82914572864348</v>
      </c>
      <c r="P14" s="26">
        <v>0.135678391959799</v>
      </c>
      <c r="Q14" s="26">
        <v>0</v>
      </c>
      <c r="R14" s="26">
        <v>57.673366834170849</v>
      </c>
      <c r="S14" s="26">
        <v>21.819095477386938</v>
      </c>
      <c r="T14" s="26">
        <v>30.909547738693469</v>
      </c>
      <c r="U14" s="26">
        <v>285.19597989949773</v>
      </c>
      <c r="V14" s="26">
        <v>266.31155778894453</v>
      </c>
      <c r="W14" s="27">
        <v>1800</v>
      </c>
      <c r="X14" s="24" t="s">
        <v>210</v>
      </c>
      <c r="Y14" s="30"/>
      <c r="Z14" s="24"/>
      <c r="AA14" s="28" t="s">
        <v>303</v>
      </c>
      <c r="AB14" s="24" t="s">
        <v>210</v>
      </c>
      <c r="AC14" s="30"/>
      <c r="AD14" s="30"/>
      <c r="AE14" s="37"/>
    </row>
    <row r="15" spans="1:31" ht="15.75" x14ac:dyDescent="0.25">
      <c r="A15" s="23" t="s">
        <v>232</v>
      </c>
      <c r="B15" s="24" t="s">
        <v>233</v>
      </c>
      <c r="C15" s="24" t="s">
        <v>234</v>
      </c>
      <c r="D15" s="24" t="s">
        <v>197</v>
      </c>
      <c r="E15" s="29">
        <v>78566</v>
      </c>
      <c r="F15" s="24" t="s">
        <v>198</v>
      </c>
      <c r="G15" s="24" t="s">
        <v>235</v>
      </c>
      <c r="H15" s="24" t="s">
        <v>185</v>
      </c>
      <c r="I15" s="25">
        <v>11.7555902236089</v>
      </c>
      <c r="J15" s="26">
        <v>349.79899497488964</v>
      </c>
      <c r="K15" s="26">
        <v>23.482412060301495</v>
      </c>
      <c r="L15" s="26">
        <v>2.0603015075376883</v>
      </c>
      <c r="M15" s="26">
        <v>9.6783919597989918</v>
      </c>
      <c r="N15" s="26">
        <v>65.29648241206057</v>
      </c>
      <c r="O15" s="26">
        <v>319.34170854272486</v>
      </c>
      <c r="P15" s="26">
        <v>2.5125628140703519E-2</v>
      </c>
      <c r="Q15" s="26">
        <v>0.35678391959799022</v>
      </c>
      <c r="R15" s="26">
        <v>23.226130653266313</v>
      </c>
      <c r="S15" s="26">
        <v>17.733668341708544</v>
      </c>
      <c r="T15" s="26">
        <v>21.969849246231149</v>
      </c>
      <c r="U15" s="26">
        <v>322.09045226131911</v>
      </c>
      <c r="V15" s="26">
        <v>191.23618090452553</v>
      </c>
      <c r="W15" s="27">
        <v>800</v>
      </c>
      <c r="X15" s="24" t="s">
        <v>186</v>
      </c>
      <c r="Y15" s="30" t="s">
        <v>718</v>
      </c>
      <c r="Z15" s="24" t="s">
        <v>188</v>
      </c>
      <c r="AA15" s="28" t="s">
        <v>821</v>
      </c>
      <c r="AB15" s="24" t="s">
        <v>186</v>
      </c>
      <c r="AC15" s="30" t="s">
        <v>187</v>
      </c>
      <c r="AD15" s="30" t="s">
        <v>188</v>
      </c>
      <c r="AE15" s="37">
        <v>43860</v>
      </c>
    </row>
    <row r="16" spans="1:31" ht="15.75" x14ac:dyDescent="0.25">
      <c r="A16" s="23" t="s">
        <v>204</v>
      </c>
      <c r="B16" s="24" t="s">
        <v>205</v>
      </c>
      <c r="C16" s="24" t="s">
        <v>206</v>
      </c>
      <c r="D16" s="24" t="s">
        <v>207</v>
      </c>
      <c r="E16" s="29">
        <v>71483</v>
      </c>
      <c r="F16" s="24" t="s">
        <v>208</v>
      </c>
      <c r="G16" s="24" t="s">
        <v>184</v>
      </c>
      <c r="H16" s="24" t="s">
        <v>5</v>
      </c>
      <c r="I16" s="25">
        <v>100.529841656516</v>
      </c>
      <c r="J16" s="26">
        <v>161.27638190954815</v>
      </c>
      <c r="K16" s="26">
        <v>54.46733668341713</v>
      </c>
      <c r="L16" s="26">
        <v>81.577889447236146</v>
      </c>
      <c r="M16" s="26">
        <v>61.603015075376931</v>
      </c>
      <c r="N16" s="26">
        <v>150.95477386934678</v>
      </c>
      <c r="O16" s="26">
        <v>207.9698492462316</v>
      </c>
      <c r="P16" s="26">
        <v>0</v>
      </c>
      <c r="Q16" s="26">
        <v>0</v>
      </c>
      <c r="R16" s="26">
        <v>77.809045226130706</v>
      </c>
      <c r="S16" s="26">
        <v>35.256281407035146</v>
      </c>
      <c r="T16" s="26">
        <v>37.537688442211049</v>
      </c>
      <c r="U16" s="26">
        <v>208.32160804020145</v>
      </c>
      <c r="V16" s="26">
        <v>290.59296482412367</v>
      </c>
      <c r="W16" s="27">
        <v>946</v>
      </c>
      <c r="X16" s="24" t="s">
        <v>186</v>
      </c>
      <c r="Y16" s="30" t="s">
        <v>718</v>
      </c>
      <c r="Z16" s="24" t="s">
        <v>188</v>
      </c>
      <c r="AA16" s="28" t="s">
        <v>715</v>
      </c>
      <c r="AB16" s="24" t="s">
        <v>186</v>
      </c>
      <c r="AC16" s="30" t="s">
        <v>187</v>
      </c>
      <c r="AD16" s="30" t="s">
        <v>188</v>
      </c>
      <c r="AE16" s="37">
        <v>43748</v>
      </c>
    </row>
    <row r="17" spans="1:31" ht="15.75" x14ac:dyDescent="0.25">
      <c r="A17" s="23" t="s">
        <v>408</v>
      </c>
      <c r="B17" s="24" t="s">
        <v>409</v>
      </c>
      <c r="C17" s="24" t="s">
        <v>410</v>
      </c>
      <c r="D17" s="24" t="s">
        <v>197</v>
      </c>
      <c r="E17" s="29">
        <v>79501</v>
      </c>
      <c r="F17" s="24" t="s">
        <v>272</v>
      </c>
      <c r="G17" s="24" t="s">
        <v>209</v>
      </c>
      <c r="H17" s="24" t="s">
        <v>5</v>
      </c>
      <c r="I17" s="25">
        <v>47.051620648259302</v>
      </c>
      <c r="J17" s="26">
        <v>84.924623115577972</v>
      </c>
      <c r="K17" s="26">
        <v>102.05527638190944</v>
      </c>
      <c r="L17" s="26">
        <v>89.592964824120543</v>
      </c>
      <c r="M17" s="26">
        <v>80.386934673366909</v>
      </c>
      <c r="N17" s="26">
        <v>246.42211055276371</v>
      </c>
      <c r="O17" s="26">
        <v>105.02512562814066</v>
      </c>
      <c r="P17" s="26">
        <v>2.1356783919597992</v>
      </c>
      <c r="Q17" s="26">
        <v>3.3768844221105532</v>
      </c>
      <c r="R17" s="26">
        <v>142.22110552763826</v>
      </c>
      <c r="S17" s="26">
        <v>56.924623115577909</v>
      </c>
      <c r="T17" s="26">
        <v>48.49246231155783</v>
      </c>
      <c r="U17" s="26">
        <v>109.32160804020093</v>
      </c>
      <c r="V17" s="26">
        <v>217.05025125628234</v>
      </c>
      <c r="W17" s="27">
        <v>750</v>
      </c>
      <c r="X17" s="24" t="s">
        <v>186</v>
      </c>
      <c r="Y17" s="30" t="s">
        <v>718</v>
      </c>
      <c r="Z17" s="24" t="s">
        <v>188</v>
      </c>
      <c r="AA17" s="28" t="s">
        <v>715</v>
      </c>
      <c r="AB17" s="24" t="s">
        <v>186</v>
      </c>
      <c r="AC17" s="30" t="s">
        <v>187</v>
      </c>
      <c r="AD17" s="30" t="s">
        <v>332</v>
      </c>
      <c r="AE17" s="37">
        <v>43818</v>
      </c>
    </row>
    <row r="18" spans="1:31" ht="15.75" x14ac:dyDescent="0.25">
      <c r="A18" s="23" t="s">
        <v>200</v>
      </c>
      <c r="B18" s="24" t="s">
        <v>719</v>
      </c>
      <c r="C18" s="24" t="s">
        <v>201</v>
      </c>
      <c r="D18" s="24" t="s">
        <v>197</v>
      </c>
      <c r="E18" s="29">
        <v>78017</v>
      </c>
      <c r="F18" s="24" t="s">
        <v>198</v>
      </c>
      <c r="G18" s="24" t="s">
        <v>202</v>
      </c>
      <c r="H18" s="24" t="s">
        <v>185</v>
      </c>
      <c r="I18" s="25">
        <v>17.798459804658201</v>
      </c>
      <c r="J18" s="26">
        <v>346.12562814071259</v>
      </c>
      <c r="K18" s="26">
        <v>8.0452261306532886</v>
      </c>
      <c r="L18" s="26">
        <v>0.39195979899497491</v>
      </c>
      <c r="M18" s="26">
        <v>0</v>
      </c>
      <c r="N18" s="26">
        <v>0.5678391959798994</v>
      </c>
      <c r="O18" s="26">
        <v>129.01005025125772</v>
      </c>
      <c r="P18" s="26">
        <v>0.85929648241206036</v>
      </c>
      <c r="Q18" s="26">
        <v>224.12562814070284</v>
      </c>
      <c r="R18" s="26">
        <v>2.5125628140703519E-2</v>
      </c>
      <c r="S18" s="26">
        <v>7.0351758793969849E-2</v>
      </c>
      <c r="T18" s="26">
        <v>1.3316582914572863</v>
      </c>
      <c r="U18" s="26">
        <v>353.13567839196992</v>
      </c>
      <c r="V18" s="26">
        <v>144.79396984924634</v>
      </c>
      <c r="W18" s="27">
        <v>2400</v>
      </c>
      <c r="X18" s="24" t="s">
        <v>186</v>
      </c>
      <c r="Y18" s="30" t="s">
        <v>203</v>
      </c>
      <c r="Z18" s="24"/>
      <c r="AA18" s="28" t="s">
        <v>818</v>
      </c>
      <c r="AB18" s="24" t="s">
        <v>186</v>
      </c>
      <c r="AC18" s="30" t="s">
        <v>203</v>
      </c>
      <c r="AD18" s="30"/>
      <c r="AE18" s="37">
        <v>44183</v>
      </c>
    </row>
    <row r="19" spans="1:31" ht="15.75" x14ac:dyDescent="0.25">
      <c r="A19" s="23" t="s">
        <v>222</v>
      </c>
      <c r="B19" s="24" t="s">
        <v>223</v>
      </c>
      <c r="C19" s="24" t="s">
        <v>224</v>
      </c>
      <c r="D19" s="24" t="s">
        <v>182</v>
      </c>
      <c r="E19" s="29">
        <v>92154</v>
      </c>
      <c r="F19" s="24" t="s">
        <v>225</v>
      </c>
      <c r="G19" s="24" t="s">
        <v>199</v>
      </c>
      <c r="H19" s="24" t="s">
        <v>185</v>
      </c>
      <c r="I19" s="25">
        <v>131.320652173913</v>
      </c>
      <c r="J19" s="26">
        <v>180.08040201005042</v>
      </c>
      <c r="K19" s="26">
        <v>50.331658291457302</v>
      </c>
      <c r="L19" s="26">
        <v>43.668341708542712</v>
      </c>
      <c r="M19" s="26">
        <v>78.13065326633162</v>
      </c>
      <c r="N19" s="26">
        <v>146.56281407035175</v>
      </c>
      <c r="O19" s="26">
        <v>162.91959798994961</v>
      </c>
      <c r="P19" s="26">
        <v>11.874371859296479</v>
      </c>
      <c r="Q19" s="26">
        <v>30.854271356783972</v>
      </c>
      <c r="R19" s="26">
        <v>91.658291457286424</v>
      </c>
      <c r="S19" s="26">
        <v>30.025125628140707</v>
      </c>
      <c r="T19" s="26">
        <v>36.557788944723605</v>
      </c>
      <c r="U19" s="26">
        <v>193.96984924623138</v>
      </c>
      <c r="V19" s="26">
        <v>230.18592964824131</v>
      </c>
      <c r="W19" s="27">
        <v>1100</v>
      </c>
      <c r="X19" s="24" t="s">
        <v>186</v>
      </c>
      <c r="Y19" s="30" t="s">
        <v>718</v>
      </c>
      <c r="Z19" s="24" t="s">
        <v>188</v>
      </c>
      <c r="AA19" s="28" t="s">
        <v>811</v>
      </c>
      <c r="AB19" s="24" t="s">
        <v>186</v>
      </c>
      <c r="AC19" s="30" t="s">
        <v>187</v>
      </c>
      <c r="AD19" s="30" t="s">
        <v>188</v>
      </c>
      <c r="AE19" s="37">
        <v>43854</v>
      </c>
    </row>
    <row r="20" spans="1:31" ht="15.75" x14ac:dyDescent="0.25">
      <c r="A20" s="23" t="s">
        <v>11</v>
      </c>
      <c r="B20" s="24" t="s">
        <v>249</v>
      </c>
      <c r="C20" s="24" t="s">
        <v>250</v>
      </c>
      <c r="D20" s="24" t="s">
        <v>197</v>
      </c>
      <c r="E20" s="29">
        <v>78580</v>
      </c>
      <c r="F20" s="24" t="s">
        <v>198</v>
      </c>
      <c r="G20" s="24" t="s">
        <v>209</v>
      </c>
      <c r="H20" s="24" t="s">
        <v>185</v>
      </c>
      <c r="I20" s="25">
        <v>25.607476635514001</v>
      </c>
      <c r="J20" s="26">
        <v>304.36180904522797</v>
      </c>
      <c r="K20" s="26">
        <v>13.115577889447236</v>
      </c>
      <c r="L20" s="26">
        <v>9.0954773869346699</v>
      </c>
      <c r="M20" s="26">
        <v>7.0552763819095503</v>
      </c>
      <c r="N20" s="26">
        <v>40.155778894472384</v>
      </c>
      <c r="O20" s="26">
        <v>122.35175879396981</v>
      </c>
      <c r="P20" s="26">
        <v>13.603015075376881</v>
      </c>
      <c r="Q20" s="26">
        <v>157.51758793969896</v>
      </c>
      <c r="R20" s="26">
        <v>30.587939698492434</v>
      </c>
      <c r="S20" s="26">
        <v>10.844221105527634</v>
      </c>
      <c r="T20" s="26">
        <v>11.105527638190955</v>
      </c>
      <c r="U20" s="26">
        <v>281.09045226130922</v>
      </c>
      <c r="V20" s="26">
        <v>185.31155778894558</v>
      </c>
      <c r="W20" s="27">
        <v>750</v>
      </c>
      <c r="X20" s="24" t="s">
        <v>186</v>
      </c>
      <c r="Y20" s="30" t="s">
        <v>718</v>
      </c>
      <c r="Z20" s="24" t="s">
        <v>188</v>
      </c>
      <c r="AA20" s="28" t="s">
        <v>812</v>
      </c>
      <c r="AB20" s="24" t="s">
        <v>186</v>
      </c>
      <c r="AC20" s="30" t="s">
        <v>187</v>
      </c>
      <c r="AD20" s="30" t="s">
        <v>188</v>
      </c>
      <c r="AE20" s="37">
        <v>43762</v>
      </c>
    </row>
    <row r="21" spans="1:31" ht="15.75" x14ac:dyDescent="0.25">
      <c r="A21" s="23" t="s">
        <v>241</v>
      </c>
      <c r="B21" s="24" t="s">
        <v>242</v>
      </c>
      <c r="C21" s="24" t="s">
        <v>243</v>
      </c>
      <c r="D21" s="24" t="s">
        <v>197</v>
      </c>
      <c r="E21" s="29">
        <v>77301</v>
      </c>
      <c r="F21" s="24" t="s">
        <v>244</v>
      </c>
      <c r="G21" s="24" t="s">
        <v>199</v>
      </c>
      <c r="H21" s="24" t="s">
        <v>185</v>
      </c>
      <c r="I21" s="25">
        <v>32.498357064622098</v>
      </c>
      <c r="J21" s="26">
        <v>59.331658291457337</v>
      </c>
      <c r="K21" s="26">
        <v>158.89447236180891</v>
      </c>
      <c r="L21" s="26">
        <v>65.261306532663326</v>
      </c>
      <c r="M21" s="26">
        <v>43.829145728643283</v>
      </c>
      <c r="N21" s="26">
        <v>156.51256281407109</v>
      </c>
      <c r="O21" s="26">
        <v>133.85929648241202</v>
      </c>
      <c r="P21" s="26">
        <v>13.055276381909547</v>
      </c>
      <c r="Q21" s="26">
        <v>23.88944723618086</v>
      </c>
      <c r="R21" s="26">
        <v>94.035175879397258</v>
      </c>
      <c r="S21" s="26">
        <v>40.155778894472334</v>
      </c>
      <c r="T21" s="26">
        <v>37.371859296482405</v>
      </c>
      <c r="U21" s="26">
        <v>155.75376884422056</v>
      </c>
      <c r="V21" s="26">
        <v>210.33165829145796</v>
      </c>
      <c r="W21" s="27">
        <v>750</v>
      </c>
      <c r="X21" s="24" t="s">
        <v>186</v>
      </c>
      <c r="Y21" s="30" t="s">
        <v>718</v>
      </c>
      <c r="Z21" s="24"/>
      <c r="AA21" s="28" t="s">
        <v>846</v>
      </c>
      <c r="AB21" s="24" t="s">
        <v>186</v>
      </c>
      <c r="AC21" s="30" t="s">
        <v>187</v>
      </c>
      <c r="AD21" s="30" t="s">
        <v>188</v>
      </c>
      <c r="AE21" s="37">
        <v>43818</v>
      </c>
    </row>
    <row r="22" spans="1:31" ht="15.75" x14ac:dyDescent="0.25">
      <c r="A22" s="23" t="s">
        <v>6</v>
      </c>
      <c r="B22" s="24" t="s">
        <v>180</v>
      </c>
      <c r="C22" s="24" t="s">
        <v>181</v>
      </c>
      <c r="D22" s="24" t="s">
        <v>182</v>
      </c>
      <c r="E22" s="29">
        <v>92301</v>
      </c>
      <c r="F22" s="24" t="s">
        <v>183</v>
      </c>
      <c r="G22" s="24" t="s">
        <v>199</v>
      </c>
      <c r="H22" s="24" t="s">
        <v>185</v>
      </c>
      <c r="I22" s="25">
        <v>225.11045655375599</v>
      </c>
      <c r="J22" s="26">
        <v>41.597989949748737</v>
      </c>
      <c r="K22" s="26">
        <v>22.648241206030153</v>
      </c>
      <c r="L22" s="26">
        <v>87.889447236180899</v>
      </c>
      <c r="M22" s="26">
        <v>171.11557788944722</v>
      </c>
      <c r="N22" s="26">
        <v>258.98994974874358</v>
      </c>
      <c r="O22" s="26">
        <v>33.125628140703498</v>
      </c>
      <c r="P22" s="26">
        <v>23.663316582914572</v>
      </c>
      <c r="Q22" s="26">
        <v>7.4723618090452266</v>
      </c>
      <c r="R22" s="26">
        <v>201.27135678391969</v>
      </c>
      <c r="S22" s="26">
        <v>61.025125628140735</v>
      </c>
      <c r="T22" s="26">
        <v>20.336683417085425</v>
      </c>
      <c r="U22" s="26">
        <v>40.618090452261285</v>
      </c>
      <c r="V22" s="26">
        <v>214.0854271356788</v>
      </c>
      <c r="W22" s="27">
        <v>1455</v>
      </c>
      <c r="X22" s="24" t="s">
        <v>186</v>
      </c>
      <c r="Y22" s="30" t="s">
        <v>718</v>
      </c>
      <c r="Z22" s="24" t="s">
        <v>188</v>
      </c>
      <c r="AA22" s="28" t="s">
        <v>837</v>
      </c>
      <c r="AB22" s="24" t="s">
        <v>186</v>
      </c>
      <c r="AC22" s="30" t="s">
        <v>718</v>
      </c>
      <c r="AD22" s="30" t="s">
        <v>188</v>
      </c>
      <c r="AE22" s="37">
        <v>44153</v>
      </c>
    </row>
    <row r="23" spans="1:31" ht="15.75" x14ac:dyDescent="0.25">
      <c r="A23" s="23" t="s">
        <v>296</v>
      </c>
      <c r="B23" s="24" t="s">
        <v>297</v>
      </c>
      <c r="C23" s="24" t="s">
        <v>298</v>
      </c>
      <c r="D23" s="24" t="s">
        <v>299</v>
      </c>
      <c r="E23" s="29">
        <v>17402</v>
      </c>
      <c r="F23" s="24" t="s">
        <v>300</v>
      </c>
      <c r="G23" s="24" t="s">
        <v>209</v>
      </c>
      <c r="H23" s="24" t="s">
        <v>185</v>
      </c>
      <c r="I23" s="25">
        <v>77.222702702702705</v>
      </c>
      <c r="J23" s="26">
        <v>44.753768844221135</v>
      </c>
      <c r="K23" s="26">
        <v>80.427135678391949</v>
      </c>
      <c r="L23" s="26">
        <v>100.04020100502524</v>
      </c>
      <c r="M23" s="26">
        <v>97.427135678392048</v>
      </c>
      <c r="N23" s="26">
        <v>241.06030150753813</v>
      </c>
      <c r="O23" s="26">
        <v>63.386934673366888</v>
      </c>
      <c r="P23" s="26">
        <v>12.603015075376883</v>
      </c>
      <c r="Q23" s="26">
        <v>5.5979899497487438</v>
      </c>
      <c r="R23" s="26">
        <v>152.492462311558</v>
      </c>
      <c r="S23" s="26">
        <v>49.195979899497502</v>
      </c>
      <c r="T23" s="26">
        <v>48.834170854271377</v>
      </c>
      <c r="U23" s="26">
        <v>72.125628140703526</v>
      </c>
      <c r="V23" s="26">
        <v>246.81407035175974</v>
      </c>
      <c r="W23" s="27">
        <v>500</v>
      </c>
      <c r="X23" s="24" t="s">
        <v>186</v>
      </c>
      <c r="Y23" s="30" t="s">
        <v>255</v>
      </c>
      <c r="Z23" s="24" t="s">
        <v>188</v>
      </c>
      <c r="AA23" s="28" t="s">
        <v>836</v>
      </c>
      <c r="AB23" s="24" t="s">
        <v>186</v>
      </c>
      <c r="AC23" s="30" t="s">
        <v>255</v>
      </c>
      <c r="AD23" s="30" t="s">
        <v>188</v>
      </c>
      <c r="AE23" s="37">
        <v>43756</v>
      </c>
    </row>
    <row r="24" spans="1:31" ht="15.75" x14ac:dyDescent="0.25">
      <c r="A24" s="23" t="s">
        <v>8</v>
      </c>
      <c r="B24" s="24" t="s">
        <v>292</v>
      </c>
      <c r="C24" s="24" t="s">
        <v>293</v>
      </c>
      <c r="D24" s="24" t="s">
        <v>286</v>
      </c>
      <c r="E24" s="29">
        <v>33073</v>
      </c>
      <c r="F24" s="24" t="s">
        <v>30</v>
      </c>
      <c r="G24" s="24" t="s">
        <v>199</v>
      </c>
      <c r="H24" s="24" t="s">
        <v>185</v>
      </c>
      <c r="I24" s="25">
        <v>61.348450491307602</v>
      </c>
      <c r="J24" s="26">
        <v>251.2814070351759</v>
      </c>
      <c r="K24" s="26">
        <v>65.035175879396959</v>
      </c>
      <c r="L24" s="26">
        <v>0.15577889447236182</v>
      </c>
      <c r="M24" s="26">
        <v>0.22613065326633167</v>
      </c>
      <c r="N24" s="26">
        <v>64.120603015075389</v>
      </c>
      <c r="O24" s="26">
        <v>206.713567839196</v>
      </c>
      <c r="P24" s="26">
        <v>4.4623115577889445</v>
      </c>
      <c r="Q24" s="26">
        <v>41.402010050251299</v>
      </c>
      <c r="R24" s="26">
        <v>6.2663316582914561</v>
      </c>
      <c r="S24" s="26">
        <v>23.391959798994982</v>
      </c>
      <c r="T24" s="26">
        <v>39.020100502512548</v>
      </c>
      <c r="U24" s="26">
        <v>248.02010050251263</v>
      </c>
      <c r="V24" s="26">
        <v>185.64824120603004</v>
      </c>
      <c r="W24" s="27">
        <v>700</v>
      </c>
      <c r="X24" s="24" t="s">
        <v>186</v>
      </c>
      <c r="Y24" s="30" t="s">
        <v>187</v>
      </c>
      <c r="Z24" s="24" t="s">
        <v>188</v>
      </c>
      <c r="AA24" s="28" t="s">
        <v>721</v>
      </c>
      <c r="AB24" s="24" t="s">
        <v>186</v>
      </c>
      <c r="AC24" s="30" t="s">
        <v>187</v>
      </c>
      <c r="AD24" s="30" t="s">
        <v>188</v>
      </c>
      <c r="AE24" s="37">
        <v>43769</v>
      </c>
    </row>
    <row r="25" spans="1:31" ht="15.75" x14ac:dyDescent="0.25">
      <c r="A25" s="23" t="s">
        <v>256</v>
      </c>
      <c r="B25" s="24" t="s">
        <v>257</v>
      </c>
      <c r="C25" s="24" t="s">
        <v>258</v>
      </c>
      <c r="D25" s="24" t="s">
        <v>197</v>
      </c>
      <c r="E25" s="29">
        <v>79925</v>
      </c>
      <c r="F25" s="24" t="s">
        <v>240</v>
      </c>
      <c r="G25" s="24" t="s">
        <v>235</v>
      </c>
      <c r="H25" s="24" t="s">
        <v>185</v>
      </c>
      <c r="I25" s="25">
        <v>33.091503267973899</v>
      </c>
      <c r="J25" s="26">
        <v>228.86432160804105</v>
      </c>
      <c r="K25" s="26">
        <v>29.346733668341713</v>
      </c>
      <c r="L25" s="26">
        <v>29.733668341708537</v>
      </c>
      <c r="M25" s="26">
        <v>28.467336683417081</v>
      </c>
      <c r="N25" s="26">
        <v>78.120603015075403</v>
      </c>
      <c r="O25" s="26">
        <v>148.81407035175968</v>
      </c>
      <c r="P25" s="26">
        <v>22.075376884422109</v>
      </c>
      <c r="Q25" s="26">
        <v>67.402010050251292</v>
      </c>
      <c r="R25" s="26">
        <v>54.934673366834204</v>
      </c>
      <c r="S25" s="26">
        <v>22.854271356783919</v>
      </c>
      <c r="T25" s="26">
        <v>22.311557788944729</v>
      </c>
      <c r="U25" s="26">
        <v>216.31155778894566</v>
      </c>
      <c r="V25" s="26">
        <v>154.68341708542738</v>
      </c>
      <c r="W25" s="27">
        <v>600</v>
      </c>
      <c r="X25" s="24" t="s">
        <v>186</v>
      </c>
      <c r="Y25" s="30" t="s">
        <v>718</v>
      </c>
      <c r="Z25" s="24" t="s">
        <v>188</v>
      </c>
      <c r="AA25" s="28" t="s">
        <v>833</v>
      </c>
      <c r="AB25" s="24" t="s">
        <v>186</v>
      </c>
      <c r="AC25" s="30" t="s">
        <v>187</v>
      </c>
      <c r="AD25" s="30" t="s">
        <v>188</v>
      </c>
      <c r="AE25" s="37">
        <v>43811</v>
      </c>
    </row>
    <row r="26" spans="1:31" ht="15.75" x14ac:dyDescent="0.25">
      <c r="A26" s="23" t="s">
        <v>267</v>
      </c>
      <c r="B26" s="24" t="s">
        <v>268</v>
      </c>
      <c r="C26" s="24" t="s">
        <v>269</v>
      </c>
      <c r="D26" s="24" t="s">
        <v>182</v>
      </c>
      <c r="E26" s="29">
        <v>92231</v>
      </c>
      <c r="F26" s="24" t="s">
        <v>225</v>
      </c>
      <c r="G26" s="24" t="s">
        <v>199</v>
      </c>
      <c r="H26" s="24" t="s">
        <v>185</v>
      </c>
      <c r="I26" s="25">
        <v>86.589139344262307</v>
      </c>
      <c r="J26" s="26">
        <v>247.27135678391969</v>
      </c>
      <c r="K26" s="26">
        <v>12.773869346733665</v>
      </c>
      <c r="L26" s="26">
        <v>14.582914572864322</v>
      </c>
      <c r="M26" s="26">
        <v>37.185929648241199</v>
      </c>
      <c r="N26" s="26">
        <v>61.246231155778879</v>
      </c>
      <c r="O26" s="26">
        <v>221.6884422110555</v>
      </c>
      <c r="P26" s="26">
        <v>2.1306532663316582</v>
      </c>
      <c r="Q26" s="26">
        <v>26.74874371859293</v>
      </c>
      <c r="R26" s="26">
        <v>46.0251256281407</v>
      </c>
      <c r="S26" s="26">
        <v>9.1356783919597984</v>
      </c>
      <c r="T26" s="26">
        <v>8.21608040201005</v>
      </c>
      <c r="U26" s="26">
        <v>248.43718592964839</v>
      </c>
      <c r="V26" s="26">
        <v>202.07035175879452</v>
      </c>
      <c r="W26" s="27">
        <v>640</v>
      </c>
      <c r="X26" s="24" t="s">
        <v>186</v>
      </c>
      <c r="Y26" s="30" t="s">
        <v>718</v>
      </c>
      <c r="Z26" s="24" t="s">
        <v>188</v>
      </c>
      <c r="AA26" s="28" t="s">
        <v>813</v>
      </c>
      <c r="AB26" s="24" t="s">
        <v>186</v>
      </c>
      <c r="AC26" s="30" t="s">
        <v>187</v>
      </c>
      <c r="AD26" s="30" t="s">
        <v>188</v>
      </c>
      <c r="AE26" s="37">
        <v>43846</v>
      </c>
    </row>
    <row r="27" spans="1:31" ht="15.75" x14ac:dyDescent="0.25">
      <c r="A27" s="23" t="s">
        <v>227</v>
      </c>
      <c r="B27" s="24" t="s">
        <v>228</v>
      </c>
      <c r="C27" s="24" t="s">
        <v>229</v>
      </c>
      <c r="D27" s="24" t="s">
        <v>230</v>
      </c>
      <c r="E27" s="29">
        <v>98421</v>
      </c>
      <c r="F27" s="24" t="s">
        <v>231</v>
      </c>
      <c r="G27" s="24" t="s">
        <v>199</v>
      </c>
      <c r="H27" s="24" t="s">
        <v>185</v>
      </c>
      <c r="I27" s="25">
        <v>142.51915455746399</v>
      </c>
      <c r="J27" s="26">
        <v>41.783919597990042</v>
      </c>
      <c r="K27" s="26">
        <v>42.386934673366824</v>
      </c>
      <c r="L27" s="26">
        <v>80.140703517587937</v>
      </c>
      <c r="M27" s="26">
        <v>138.93969849246233</v>
      </c>
      <c r="N27" s="26">
        <v>238.28643216080417</v>
      </c>
      <c r="O27" s="26">
        <v>43.030150753768886</v>
      </c>
      <c r="P27" s="26">
        <v>17.432160804020103</v>
      </c>
      <c r="Q27" s="26">
        <v>4.5025125628140694</v>
      </c>
      <c r="R27" s="26">
        <v>189.64321608040203</v>
      </c>
      <c r="S27" s="26">
        <v>35.572864321608044</v>
      </c>
      <c r="T27" s="26">
        <v>29.743718592964807</v>
      </c>
      <c r="U27" s="26">
        <v>48.291457286432262</v>
      </c>
      <c r="V27" s="26">
        <v>241.80904522613085</v>
      </c>
      <c r="W27" s="27">
        <v>1181</v>
      </c>
      <c r="X27" s="24" t="s">
        <v>186</v>
      </c>
      <c r="Y27" s="30" t="s">
        <v>718</v>
      </c>
      <c r="Z27" s="24" t="s">
        <v>188</v>
      </c>
      <c r="AA27" s="28" t="s">
        <v>809</v>
      </c>
      <c r="AB27" s="24" t="s">
        <v>186</v>
      </c>
      <c r="AC27" s="30" t="s">
        <v>187</v>
      </c>
      <c r="AD27" s="30" t="s">
        <v>188</v>
      </c>
      <c r="AE27" s="37">
        <v>43601</v>
      </c>
    </row>
    <row r="28" spans="1:31" ht="15.75" x14ac:dyDescent="0.25">
      <c r="A28" s="23" t="s">
        <v>283</v>
      </c>
      <c r="B28" s="24" t="s">
        <v>284</v>
      </c>
      <c r="C28" s="24" t="s">
        <v>285</v>
      </c>
      <c r="D28" s="24" t="s">
        <v>286</v>
      </c>
      <c r="E28" s="29">
        <v>33194</v>
      </c>
      <c r="F28" s="24" t="s">
        <v>30</v>
      </c>
      <c r="G28" s="24" t="s">
        <v>235</v>
      </c>
      <c r="H28" s="24" t="s">
        <v>5</v>
      </c>
      <c r="I28" s="25">
        <v>30.129476584022001</v>
      </c>
      <c r="J28" s="26">
        <v>8.1005025125628123</v>
      </c>
      <c r="K28" s="26">
        <v>5.7286432160803988</v>
      </c>
      <c r="L28" s="26">
        <v>146.28643216080405</v>
      </c>
      <c r="M28" s="26">
        <v>141.75879396984945</v>
      </c>
      <c r="N28" s="26">
        <v>208.88944723618084</v>
      </c>
      <c r="O28" s="26">
        <v>92.984924623115717</v>
      </c>
      <c r="P28" s="26">
        <v>0</v>
      </c>
      <c r="Q28" s="26">
        <v>0</v>
      </c>
      <c r="R28" s="26">
        <v>132.24120603015101</v>
      </c>
      <c r="S28" s="26">
        <v>44.185929648241206</v>
      </c>
      <c r="T28" s="26">
        <v>32.889447236180864</v>
      </c>
      <c r="U28" s="26">
        <v>92.557788944723754</v>
      </c>
      <c r="V28" s="26">
        <v>212.26130653266364</v>
      </c>
      <c r="W28" s="27">
        <v>450</v>
      </c>
      <c r="X28" s="24" t="s">
        <v>186</v>
      </c>
      <c r="Y28" s="30" t="s">
        <v>718</v>
      </c>
      <c r="Z28" s="24" t="s">
        <v>466</v>
      </c>
      <c r="AA28" s="28" t="s">
        <v>845</v>
      </c>
      <c r="AB28" s="24" t="s">
        <v>186</v>
      </c>
      <c r="AC28" s="30" t="s">
        <v>187</v>
      </c>
      <c r="AD28" s="30" t="s">
        <v>188</v>
      </c>
      <c r="AE28" s="37">
        <v>43874</v>
      </c>
    </row>
    <row r="29" spans="1:31" ht="15.75" x14ac:dyDescent="0.25">
      <c r="A29" s="23" t="s">
        <v>40</v>
      </c>
      <c r="B29" s="24" t="s">
        <v>252</v>
      </c>
      <c r="C29" s="24" t="s">
        <v>253</v>
      </c>
      <c r="D29" s="24" t="s">
        <v>193</v>
      </c>
      <c r="E29" s="29">
        <v>31772</v>
      </c>
      <c r="F29" s="24" t="s">
        <v>194</v>
      </c>
      <c r="G29" s="24" t="s">
        <v>209</v>
      </c>
      <c r="H29" s="24" t="s">
        <v>185</v>
      </c>
      <c r="I29" s="25">
        <v>81.678764478764506</v>
      </c>
      <c r="J29" s="26">
        <v>61.592964824120649</v>
      </c>
      <c r="K29" s="26">
        <v>53.924623115577887</v>
      </c>
      <c r="L29" s="26">
        <v>82.095477386934832</v>
      </c>
      <c r="M29" s="26">
        <v>102.52763819095483</v>
      </c>
      <c r="N29" s="26">
        <v>183.54271356783954</v>
      </c>
      <c r="O29" s="26">
        <v>79.000000000000185</v>
      </c>
      <c r="P29" s="26">
        <v>22.276381909547734</v>
      </c>
      <c r="Q29" s="26">
        <v>15.321608040201008</v>
      </c>
      <c r="R29" s="26">
        <v>132.24623115577887</v>
      </c>
      <c r="S29" s="26">
        <v>37.41206030150753</v>
      </c>
      <c r="T29" s="26">
        <v>36.316582914572862</v>
      </c>
      <c r="U29" s="26">
        <v>94.165829145728893</v>
      </c>
      <c r="V29" s="26">
        <v>237.85929648241233</v>
      </c>
      <c r="W29" s="27">
        <v>600</v>
      </c>
      <c r="X29" s="24" t="s">
        <v>186</v>
      </c>
      <c r="Y29" s="30" t="s">
        <v>255</v>
      </c>
      <c r="Z29" s="24" t="s">
        <v>188</v>
      </c>
      <c r="AA29" s="28" t="s">
        <v>720</v>
      </c>
      <c r="AB29" s="24" t="s">
        <v>186</v>
      </c>
      <c r="AC29" s="30" t="s">
        <v>255</v>
      </c>
      <c r="AD29" s="30" t="s">
        <v>188</v>
      </c>
      <c r="AE29" s="37">
        <v>43629</v>
      </c>
    </row>
    <row r="30" spans="1:31" ht="15.75" x14ac:dyDescent="0.25">
      <c r="A30" s="23" t="s">
        <v>270</v>
      </c>
      <c r="B30" s="24" t="s">
        <v>271</v>
      </c>
      <c r="C30" s="24" t="s">
        <v>41</v>
      </c>
      <c r="D30" s="24" t="s">
        <v>197</v>
      </c>
      <c r="E30" s="29">
        <v>76009</v>
      </c>
      <c r="F30" s="24" t="s">
        <v>272</v>
      </c>
      <c r="G30" s="24" t="s">
        <v>184</v>
      </c>
      <c r="H30" s="24" t="s">
        <v>185</v>
      </c>
      <c r="I30" s="25">
        <v>20.1418975650714</v>
      </c>
      <c r="J30" s="26">
        <v>84.869346733668309</v>
      </c>
      <c r="K30" s="26">
        <v>78.412060301507864</v>
      </c>
      <c r="L30" s="26">
        <v>59.994974874372446</v>
      </c>
      <c r="M30" s="26">
        <v>57.783919597990561</v>
      </c>
      <c r="N30" s="26">
        <v>187.99497487437492</v>
      </c>
      <c r="O30" s="26">
        <v>75.517587939698842</v>
      </c>
      <c r="P30" s="26">
        <v>6.8341708542713562</v>
      </c>
      <c r="Q30" s="26">
        <v>10.71356783919598</v>
      </c>
      <c r="R30" s="26">
        <v>114.47236180904586</v>
      </c>
      <c r="S30" s="26">
        <v>41.613065326633262</v>
      </c>
      <c r="T30" s="26">
        <v>37.527638190954889</v>
      </c>
      <c r="U30" s="26">
        <v>87.447236180904298</v>
      </c>
      <c r="V30" s="26">
        <v>206.89949748744314</v>
      </c>
      <c r="W30" s="27">
        <v>550</v>
      </c>
      <c r="X30" s="24" t="s">
        <v>186</v>
      </c>
      <c r="Y30" s="30" t="s">
        <v>718</v>
      </c>
      <c r="Z30" s="24" t="s">
        <v>188</v>
      </c>
      <c r="AA30" s="28" t="s">
        <v>845</v>
      </c>
      <c r="AB30" s="24" t="s">
        <v>186</v>
      </c>
      <c r="AC30" s="30" t="s">
        <v>187</v>
      </c>
      <c r="AD30" s="30" t="s">
        <v>188</v>
      </c>
      <c r="AE30" s="37">
        <v>43874</v>
      </c>
    </row>
    <row r="31" spans="1:31" ht="15.75" x14ac:dyDescent="0.25">
      <c r="A31" s="23" t="s">
        <v>304</v>
      </c>
      <c r="B31" s="24" t="s">
        <v>305</v>
      </c>
      <c r="C31" s="24" t="s">
        <v>306</v>
      </c>
      <c r="D31" s="24" t="s">
        <v>307</v>
      </c>
      <c r="E31" s="29">
        <v>14020</v>
      </c>
      <c r="F31" s="24" t="s">
        <v>308</v>
      </c>
      <c r="G31" s="24" t="s">
        <v>235</v>
      </c>
      <c r="H31" s="24" t="s">
        <v>185</v>
      </c>
      <c r="I31" s="25">
        <v>125.49186256781201</v>
      </c>
      <c r="J31" s="26">
        <v>32.296482412060286</v>
      </c>
      <c r="K31" s="26">
        <v>26.929648241206028</v>
      </c>
      <c r="L31" s="26">
        <v>70.150753768844226</v>
      </c>
      <c r="M31" s="26">
        <v>117.41206030150755</v>
      </c>
      <c r="N31" s="26">
        <v>199.67839195979897</v>
      </c>
      <c r="O31" s="26">
        <v>41.663316582914639</v>
      </c>
      <c r="P31" s="26">
        <v>2.5678391959798992</v>
      </c>
      <c r="Q31" s="26">
        <v>2.8793969849246235</v>
      </c>
      <c r="R31" s="26">
        <v>157.12562814070344</v>
      </c>
      <c r="S31" s="26">
        <v>32.8391959798995</v>
      </c>
      <c r="T31" s="26">
        <v>12.587939698492466</v>
      </c>
      <c r="U31" s="26">
        <v>44.236180904522669</v>
      </c>
      <c r="V31" s="26">
        <v>214.29648241206061</v>
      </c>
      <c r="W31" s="27">
        <v>400</v>
      </c>
      <c r="X31" s="24" t="s">
        <v>186</v>
      </c>
      <c r="Y31" s="30"/>
      <c r="Z31" s="24"/>
      <c r="AA31" s="28" t="s">
        <v>844</v>
      </c>
      <c r="AB31" s="24" t="s">
        <v>186</v>
      </c>
      <c r="AC31" s="30" t="s">
        <v>187</v>
      </c>
      <c r="AD31" s="30" t="s">
        <v>188</v>
      </c>
      <c r="AE31" s="37">
        <v>43559</v>
      </c>
    </row>
    <row r="32" spans="1:31" ht="15.75" x14ac:dyDescent="0.25">
      <c r="A32" s="23" t="s">
        <v>18</v>
      </c>
      <c r="B32" s="24" t="s">
        <v>309</v>
      </c>
      <c r="C32" s="24" t="s">
        <v>310</v>
      </c>
      <c r="D32" s="24" t="s">
        <v>286</v>
      </c>
      <c r="E32" s="29">
        <v>33471</v>
      </c>
      <c r="F32" s="24" t="s">
        <v>30</v>
      </c>
      <c r="G32" s="24" t="s">
        <v>209</v>
      </c>
      <c r="H32" s="24" t="s">
        <v>185</v>
      </c>
      <c r="I32" s="25">
        <v>75.494437577255894</v>
      </c>
      <c r="J32" s="26">
        <v>5.0251256281407036E-3</v>
      </c>
      <c r="K32" s="26">
        <v>2.6331658291457285</v>
      </c>
      <c r="L32" s="26">
        <v>128.42713567839209</v>
      </c>
      <c r="M32" s="26">
        <v>113.29648241206027</v>
      </c>
      <c r="N32" s="26">
        <v>154.18592964824123</v>
      </c>
      <c r="O32" s="26">
        <v>53.060301507537673</v>
      </c>
      <c r="P32" s="26">
        <v>20.572864321608037</v>
      </c>
      <c r="Q32" s="26">
        <v>16.542713567839197</v>
      </c>
      <c r="R32" s="26">
        <v>101.14572864321606</v>
      </c>
      <c r="S32" s="26">
        <v>44.582914572864354</v>
      </c>
      <c r="T32" s="26">
        <v>29.035175879396988</v>
      </c>
      <c r="U32" s="26">
        <v>69.597989949748765</v>
      </c>
      <c r="V32" s="26">
        <v>163.422110552764</v>
      </c>
      <c r="W32" s="27">
        <v>300</v>
      </c>
      <c r="X32" s="24" t="s">
        <v>186</v>
      </c>
      <c r="Y32" s="30" t="s">
        <v>756</v>
      </c>
      <c r="Z32" s="24" t="s">
        <v>311</v>
      </c>
      <c r="AA32" s="28" t="s">
        <v>835</v>
      </c>
      <c r="AB32" s="24" t="s">
        <v>186</v>
      </c>
      <c r="AC32" s="30" t="s">
        <v>294</v>
      </c>
      <c r="AD32" s="30" t="s">
        <v>311</v>
      </c>
      <c r="AE32" s="37">
        <v>43895</v>
      </c>
    </row>
    <row r="33" spans="1:31" ht="15.75" x14ac:dyDescent="0.25">
      <c r="A33" s="23" t="s">
        <v>287</v>
      </c>
      <c r="B33" s="24" t="s">
        <v>288</v>
      </c>
      <c r="C33" s="24" t="s">
        <v>42</v>
      </c>
      <c r="D33" s="24" t="s">
        <v>289</v>
      </c>
      <c r="E33" s="29">
        <v>80010</v>
      </c>
      <c r="F33" s="24" t="s">
        <v>290</v>
      </c>
      <c r="G33" s="24" t="s">
        <v>199</v>
      </c>
      <c r="H33" s="24" t="s">
        <v>185</v>
      </c>
      <c r="I33" s="25">
        <v>75.176718092566603</v>
      </c>
      <c r="J33" s="26">
        <v>23.160804020100475</v>
      </c>
      <c r="K33" s="26">
        <v>33.13065326633189</v>
      </c>
      <c r="L33" s="26">
        <v>81.221105527638201</v>
      </c>
      <c r="M33" s="26">
        <v>81.984924623115603</v>
      </c>
      <c r="N33" s="26">
        <v>172.29145728643238</v>
      </c>
      <c r="O33" s="26">
        <v>42.296482412061422</v>
      </c>
      <c r="P33" s="26">
        <v>4.3969849246231156</v>
      </c>
      <c r="Q33" s="26">
        <v>0.51256281407035198</v>
      </c>
      <c r="R33" s="26">
        <v>121.4070351758793</v>
      </c>
      <c r="S33" s="26">
        <v>37.045226130653255</v>
      </c>
      <c r="T33" s="26">
        <v>17.40201005025126</v>
      </c>
      <c r="U33" s="26">
        <v>43.643216080403171</v>
      </c>
      <c r="V33" s="26">
        <v>153.76381909548019</v>
      </c>
      <c r="W33" s="27">
        <v>525</v>
      </c>
      <c r="X33" s="24" t="s">
        <v>186</v>
      </c>
      <c r="Y33" s="30" t="s">
        <v>718</v>
      </c>
      <c r="Z33" s="24" t="s">
        <v>188</v>
      </c>
      <c r="AA33" s="28" t="s">
        <v>821</v>
      </c>
      <c r="AB33" s="24" t="s">
        <v>186</v>
      </c>
      <c r="AC33" s="30" t="s">
        <v>187</v>
      </c>
      <c r="AD33" s="30" t="s">
        <v>188</v>
      </c>
      <c r="AE33" s="37">
        <v>43796</v>
      </c>
    </row>
    <row r="34" spans="1:31" ht="15.75" x14ac:dyDescent="0.25">
      <c r="A34" s="23" t="s">
        <v>39</v>
      </c>
      <c r="B34" s="24" t="s">
        <v>262</v>
      </c>
      <c r="C34" s="24" t="s">
        <v>263</v>
      </c>
      <c r="D34" s="24" t="s">
        <v>207</v>
      </c>
      <c r="E34" s="29">
        <v>70576</v>
      </c>
      <c r="F34" s="24" t="s">
        <v>208</v>
      </c>
      <c r="G34" s="24" t="s">
        <v>184</v>
      </c>
      <c r="H34" s="24" t="s">
        <v>5</v>
      </c>
      <c r="I34" s="25">
        <v>117.406810035842</v>
      </c>
      <c r="J34" s="26">
        <v>80.291457286432134</v>
      </c>
      <c r="K34" s="26">
        <v>51.361809045226167</v>
      </c>
      <c r="L34" s="26">
        <v>58.005025125628144</v>
      </c>
      <c r="M34" s="26">
        <v>21.422110552763826</v>
      </c>
      <c r="N34" s="26">
        <v>94.95477386934671</v>
      </c>
      <c r="O34" s="26">
        <v>115.56783919597991</v>
      </c>
      <c r="P34" s="26">
        <v>0</v>
      </c>
      <c r="Q34" s="26">
        <v>0.55778894472361806</v>
      </c>
      <c r="R34" s="26">
        <v>45.155778894472384</v>
      </c>
      <c r="S34" s="26">
        <v>14.311557788944723</v>
      </c>
      <c r="T34" s="26">
        <v>35.35175879396985</v>
      </c>
      <c r="U34" s="26">
        <v>116.26130653266331</v>
      </c>
      <c r="V34" s="26">
        <v>151.90954773869339</v>
      </c>
      <c r="W34" s="27"/>
      <c r="X34" s="24" t="s">
        <v>186</v>
      </c>
      <c r="Y34" s="30" t="s">
        <v>718</v>
      </c>
      <c r="Z34" s="24" t="s">
        <v>188</v>
      </c>
      <c r="AA34" s="28" t="s">
        <v>840</v>
      </c>
      <c r="AB34" s="24" t="s">
        <v>186</v>
      </c>
      <c r="AC34" s="30" t="s">
        <v>187</v>
      </c>
      <c r="AD34" s="30" t="s">
        <v>188</v>
      </c>
      <c r="AE34" s="37">
        <v>43580</v>
      </c>
    </row>
    <row r="35" spans="1:31" ht="15.75" x14ac:dyDescent="0.25">
      <c r="A35" s="23" t="s">
        <v>273</v>
      </c>
      <c r="B35" s="24" t="s">
        <v>274</v>
      </c>
      <c r="C35" s="24" t="s">
        <v>275</v>
      </c>
      <c r="D35" s="24" t="s">
        <v>276</v>
      </c>
      <c r="E35" s="29">
        <v>7105</v>
      </c>
      <c r="F35" s="24" t="s">
        <v>277</v>
      </c>
      <c r="G35" s="24" t="s">
        <v>209</v>
      </c>
      <c r="H35" s="24" t="s">
        <v>5</v>
      </c>
      <c r="I35" s="25">
        <v>137.22826086956499</v>
      </c>
      <c r="J35" s="26">
        <v>2.4371859296482414</v>
      </c>
      <c r="K35" s="26">
        <v>2.0050251256281406</v>
      </c>
      <c r="L35" s="26">
        <v>115.45728643216079</v>
      </c>
      <c r="M35" s="26">
        <v>88.040201005025054</v>
      </c>
      <c r="N35" s="26">
        <v>130.93467336683418</v>
      </c>
      <c r="O35" s="26">
        <v>77.005025125628165</v>
      </c>
      <c r="P35" s="26">
        <v>0</v>
      </c>
      <c r="Q35" s="26">
        <v>0</v>
      </c>
      <c r="R35" s="26">
        <v>86.422110552763812</v>
      </c>
      <c r="S35" s="26">
        <v>14.51256281407035</v>
      </c>
      <c r="T35" s="26">
        <v>30.40703517587939</v>
      </c>
      <c r="U35" s="26">
        <v>76.597989949748765</v>
      </c>
      <c r="V35" s="26">
        <v>111.39195979899503</v>
      </c>
      <c r="W35" s="27"/>
      <c r="X35" s="24" t="s">
        <v>186</v>
      </c>
      <c r="Y35" s="30" t="s">
        <v>187</v>
      </c>
      <c r="Z35" s="24" t="s">
        <v>188</v>
      </c>
      <c r="AA35" s="28" t="s">
        <v>683</v>
      </c>
      <c r="AB35" s="24" t="s">
        <v>186</v>
      </c>
      <c r="AC35" s="30" t="s">
        <v>187</v>
      </c>
      <c r="AD35" s="30" t="s">
        <v>188</v>
      </c>
      <c r="AE35" s="37">
        <v>43734</v>
      </c>
    </row>
    <row r="36" spans="1:31" ht="15.75" x14ac:dyDescent="0.25">
      <c r="A36" s="23" t="s">
        <v>259</v>
      </c>
      <c r="B36" s="24" t="s">
        <v>260</v>
      </c>
      <c r="C36" s="24" t="s">
        <v>261</v>
      </c>
      <c r="D36" s="24" t="s">
        <v>197</v>
      </c>
      <c r="E36" s="29">
        <v>77032</v>
      </c>
      <c r="F36" s="24" t="s">
        <v>244</v>
      </c>
      <c r="G36" s="24" t="s">
        <v>199</v>
      </c>
      <c r="H36" s="24" t="s">
        <v>185</v>
      </c>
      <c r="I36" s="25">
        <v>42.435200000000002</v>
      </c>
      <c r="J36" s="26">
        <v>85.763819095477757</v>
      </c>
      <c r="K36" s="26">
        <v>61.643216080401956</v>
      </c>
      <c r="L36" s="26">
        <v>29.135678391959793</v>
      </c>
      <c r="M36" s="26">
        <v>18.140703517587941</v>
      </c>
      <c r="N36" s="26">
        <v>66.758793969849378</v>
      </c>
      <c r="O36" s="26">
        <v>90.422110552764636</v>
      </c>
      <c r="P36" s="26">
        <v>4.8592964824120601</v>
      </c>
      <c r="Q36" s="26">
        <v>32.643216080401949</v>
      </c>
      <c r="R36" s="26">
        <v>30.376884422110535</v>
      </c>
      <c r="S36" s="26">
        <v>21.512562814070357</v>
      </c>
      <c r="T36" s="26">
        <v>21.311557788944725</v>
      </c>
      <c r="U36" s="26">
        <v>121.48241206030271</v>
      </c>
      <c r="V36" s="26">
        <v>130.09547738693607</v>
      </c>
      <c r="W36" s="27">
        <v>750</v>
      </c>
      <c r="X36" s="24" t="s">
        <v>186</v>
      </c>
      <c r="Y36" s="30" t="s">
        <v>718</v>
      </c>
      <c r="Z36" s="24" t="s">
        <v>188</v>
      </c>
      <c r="AA36" s="28" t="s">
        <v>834</v>
      </c>
      <c r="AB36" s="24" t="s">
        <v>186</v>
      </c>
      <c r="AC36" s="30" t="s">
        <v>187</v>
      </c>
      <c r="AD36" s="30" t="s">
        <v>188</v>
      </c>
      <c r="AE36" s="37">
        <v>43839</v>
      </c>
    </row>
    <row r="37" spans="1:31" ht="15.75" x14ac:dyDescent="0.25">
      <c r="A37" s="23" t="s">
        <v>236</v>
      </c>
      <c r="B37" s="24" t="s">
        <v>237</v>
      </c>
      <c r="C37" s="24" t="s">
        <v>238</v>
      </c>
      <c r="D37" s="24" t="s">
        <v>239</v>
      </c>
      <c r="E37" s="29">
        <v>88081</v>
      </c>
      <c r="F37" s="24" t="s">
        <v>240</v>
      </c>
      <c r="G37" s="24" t="s">
        <v>184</v>
      </c>
      <c r="H37" s="24" t="s">
        <v>5</v>
      </c>
      <c r="I37" s="25">
        <v>51.568649885583497</v>
      </c>
      <c r="J37" s="26">
        <v>94.577889447236259</v>
      </c>
      <c r="K37" s="26">
        <v>38.366834170854311</v>
      </c>
      <c r="L37" s="26">
        <v>31.246231155778876</v>
      </c>
      <c r="M37" s="26">
        <v>23.653266331658276</v>
      </c>
      <c r="N37" s="26">
        <v>79.939698492462384</v>
      </c>
      <c r="O37" s="26">
        <v>107.77386934673368</v>
      </c>
      <c r="P37" s="26">
        <v>0</v>
      </c>
      <c r="Q37" s="26">
        <v>0.1306532663316583</v>
      </c>
      <c r="R37" s="26">
        <v>48.301507537688472</v>
      </c>
      <c r="S37" s="26">
        <v>17.763819095477384</v>
      </c>
      <c r="T37" s="26">
        <v>14.673366834170851</v>
      </c>
      <c r="U37" s="26">
        <v>107.10552763819096</v>
      </c>
      <c r="V37" s="26">
        <v>123.18592964824124</v>
      </c>
      <c r="W37" s="27">
        <v>500</v>
      </c>
      <c r="X37" s="24" t="s">
        <v>186</v>
      </c>
      <c r="Y37" s="30" t="s">
        <v>718</v>
      </c>
      <c r="Z37" s="24" t="s">
        <v>188</v>
      </c>
      <c r="AA37" s="28" t="s">
        <v>818</v>
      </c>
      <c r="AB37" s="24" t="s">
        <v>186</v>
      </c>
      <c r="AC37" s="30" t="s">
        <v>187</v>
      </c>
      <c r="AD37" s="30" t="s">
        <v>188</v>
      </c>
      <c r="AE37" s="37">
        <v>43860</v>
      </c>
    </row>
    <row r="38" spans="1:31" ht="15.75" x14ac:dyDescent="0.25">
      <c r="A38" s="23" t="s">
        <v>843</v>
      </c>
      <c r="B38" s="24" t="s">
        <v>842</v>
      </c>
      <c r="C38" s="24" t="s">
        <v>841</v>
      </c>
      <c r="D38" s="24" t="s">
        <v>207</v>
      </c>
      <c r="E38" s="29">
        <v>71251</v>
      </c>
      <c r="F38" s="24" t="s">
        <v>208</v>
      </c>
      <c r="G38" s="24" t="s">
        <v>184</v>
      </c>
      <c r="H38" s="24" t="s">
        <v>185</v>
      </c>
      <c r="I38" s="25">
        <v>117.772234273319</v>
      </c>
      <c r="J38" s="26">
        <v>125.06532663316607</v>
      </c>
      <c r="K38" s="26">
        <v>17.41708542713566</v>
      </c>
      <c r="L38" s="26">
        <v>19.311557788944704</v>
      </c>
      <c r="M38" s="26">
        <v>19.537688442211042</v>
      </c>
      <c r="N38" s="26">
        <v>37.316582914572884</v>
      </c>
      <c r="O38" s="26">
        <v>93.859296482412304</v>
      </c>
      <c r="P38" s="26">
        <v>10.226130653266322</v>
      </c>
      <c r="Q38" s="26">
        <v>39.929648241205975</v>
      </c>
      <c r="R38" s="26">
        <v>23.005025125628112</v>
      </c>
      <c r="S38" s="26">
        <v>10.904522613065318</v>
      </c>
      <c r="T38" s="26">
        <v>13.633165829145723</v>
      </c>
      <c r="U38" s="26">
        <v>133.78894472361804</v>
      </c>
      <c r="V38" s="26">
        <v>138.48743718593002</v>
      </c>
      <c r="W38" s="27">
        <v>751</v>
      </c>
      <c r="X38" s="24" t="s">
        <v>186</v>
      </c>
      <c r="Y38" s="30" t="s">
        <v>718</v>
      </c>
      <c r="Z38" s="24" t="s">
        <v>188</v>
      </c>
      <c r="AA38" s="28" t="s">
        <v>837</v>
      </c>
      <c r="AB38" s="24" t="s">
        <v>186</v>
      </c>
      <c r="AC38" s="30" t="s">
        <v>187</v>
      </c>
      <c r="AD38" s="30" t="s">
        <v>188</v>
      </c>
      <c r="AE38" s="37">
        <v>43776</v>
      </c>
    </row>
    <row r="39" spans="1:31" ht="15.75" x14ac:dyDescent="0.25">
      <c r="A39" s="23" t="s">
        <v>350</v>
      </c>
      <c r="B39" s="24" t="s">
        <v>351</v>
      </c>
      <c r="C39" s="24" t="s">
        <v>352</v>
      </c>
      <c r="D39" s="24" t="s">
        <v>281</v>
      </c>
      <c r="E39" s="29">
        <v>22427</v>
      </c>
      <c r="F39" s="24" t="s">
        <v>282</v>
      </c>
      <c r="G39" s="24" t="s">
        <v>184</v>
      </c>
      <c r="H39" s="24" t="s">
        <v>185</v>
      </c>
      <c r="I39" s="25">
        <v>42.8239895697523</v>
      </c>
      <c r="J39" s="26">
        <v>20.829145728643208</v>
      </c>
      <c r="K39" s="26">
        <v>38.603015075376923</v>
      </c>
      <c r="L39" s="26">
        <v>52.211055276381984</v>
      </c>
      <c r="M39" s="26">
        <v>63.241206030150856</v>
      </c>
      <c r="N39" s="26">
        <v>142.70351758794021</v>
      </c>
      <c r="O39" s="26">
        <v>31.944723618090446</v>
      </c>
      <c r="P39" s="26">
        <v>0.13567839195979897</v>
      </c>
      <c r="Q39" s="26">
        <v>0.10050251256281405</v>
      </c>
      <c r="R39" s="26">
        <v>76.879396984924696</v>
      </c>
      <c r="S39" s="26">
        <v>43.718592964824133</v>
      </c>
      <c r="T39" s="26">
        <v>21.613065326633158</v>
      </c>
      <c r="U39" s="26">
        <v>32.673366834170857</v>
      </c>
      <c r="V39" s="26">
        <v>107.67336683417105</v>
      </c>
      <c r="W39" s="27">
        <v>224</v>
      </c>
      <c r="X39" s="24" t="s">
        <v>186</v>
      </c>
      <c r="Y39" s="30" t="s">
        <v>187</v>
      </c>
      <c r="Z39" s="24" t="s">
        <v>188</v>
      </c>
      <c r="AA39" s="28" t="s">
        <v>701</v>
      </c>
      <c r="AB39" s="24" t="s">
        <v>186</v>
      </c>
      <c r="AC39" s="30" t="s">
        <v>187</v>
      </c>
      <c r="AD39" s="30" t="s">
        <v>188</v>
      </c>
      <c r="AE39" s="37">
        <v>43587</v>
      </c>
    </row>
    <row r="40" spans="1:31" ht="15.75" x14ac:dyDescent="0.25">
      <c r="A40" s="23" t="s">
        <v>354</v>
      </c>
      <c r="B40" s="24" t="s">
        <v>355</v>
      </c>
      <c r="C40" s="24" t="s">
        <v>356</v>
      </c>
      <c r="D40" s="24" t="s">
        <v>286</v>
      </c>
      <c r="E40" s="29">
        <v>32063</v>
      </c>
      <c r="F40" s="24" t="s">
        <v>30</v>
      </c>
      <c r="G40" s="24" t="s">
        <v>209</v>
      </c>
      <c r="H40" s="24" t="s">
        <v>185</v>
      </c>
      <c r="I40" s="25">
        <v>63.862745098039198</v>
      </c>
      <c r="J40" s="26">
        <v>11.64824120603015</v>
      </c>
      <c r="K40" s="26">
        <v>33.874371859296481</v>
      </c>
      <c r="L40" s="26">
        <v>75.864321608040214</v>
      </c>
      <c r="M40" s="26">
        <v>34.145728643216081</v>
      </c>
      <c r="N40" s="26">
        <v>108.11557788944735</v>
      </c>
      <c r="O40" s="26">
        <v>39.71356783919601</v>
      </c>
      <c r="P40" s="26">
        <v>6.1155778894472359</v>
      </c>
      <c r="Q40" s="26">
        <v>1.5879396984924625</v>
      </c>
      <c r="R40" s="26">
        <v>73.532663316582926</v>
      </c>
      <c r="S40" s="26">
        <v>22.698492462311556</v>
      </c>
      <c r="T40" s="26">
        <v>18.045226130653262</v>
      </c>
      <c r="U40" s="26">
        <v>41.256281407035196</v>
      </c>
      <c r="V40" s="26">
        <v>106.97989949748754</v>
      </c>
      <c r="W40" s="27"/>
      <c r="X40" s="24" t="s">
        <v>186</v>
      </c>
      <c r="Y40" s="30" t="s">
        <v>756</v>
      </c>
      <c r="Z40" s="24" t="s">
        <v>311</v>
      </c>
      <c r="AA40" s="28" t="s">
        <v>840</v>
      </c>
      <c r="AB40" s="24" t="s">
        <v>186</v>
      </c>
      <c r="AC40" s="30" t="s">
        <v>294</v>
      </c>
      <c r="AD40" s="30" t="s">
        <v>311</v>
      </c>
      <c r="AE40" s="37">
        <v>43616</v>
      </c>
    </row>
    <row r="41" spans="1:31" ht="15.75" x14ac:dyDescent="0.25">
      <c r="A41" s="23" t="s">
        <v>47</v>
      </c>
      <c r="B41" s="24" t="s">
        <v>373</v>
      </c>
      <c r="C41" s="24" t="s">
        <v>374</v>
      </c>
      <c r="D41" s="24" t="s">
        <v>276</v>
      </c>
      <c r="E41" s="29">
        <v>7601</v>
      </c>
      <c r="F41" s="24" t="s">
        <v>344</v>
      </c>
      <c r="G41" s="24" t="s">
        <v>254</v>
      </c>
      <c r="H41" s="24" t="s">
        <v>185</v>
      </c>
      <c r="I41" s="25">
        <v>95.050119331742195</v>
      </c>
      <c r="J41" s="26">
        <v>24.371859296482395</v>
      </c>
      <c r="K41" s="26">
        <v>12.005025125628139</v>
      </c>
      <c r="L41" s="26">
        <v>56.36180904522611</v>
      </c>
      <c r="M41" s="26">
        <v>61.567839195979872</v>
      </c>
      <c r="N41" s="26">
        <v>102.23618090452267</v>
      </c>
      <c r="O41" s="26">
        <v>43.331658291457266</v>
      </c>
      <c r="P41" s="26">
        <v>6.3366834170854256</v>
      </c>
      <c r="Q41" s="26">
        <v>2.4020100502512558</v>
      </c>
      <c r="R41" s="26">
        <v>63.889447236180885</v>
      </c>
      <c r="S41" s="26">
        <v>22.241206030150757</v>
      </c>
      <c r="T41" s="26">
        <v>24.733668341708547</v>
      </c>
      <c r="U41" s="26">
        <v>43.44221105527636</v>
      </c>
      <c r="V41" s="26">
        <v>113.67336683417098</v>
      </c>
      <c r="W41" s="27"/>
      <c r="X41" s="24" t="s">
        <v>186</v>
      </c>
      <c r="Y41" s="30" t="s">
        <v>756</v>
      </c>
      <c r="Z41" s="24" t="s">
        <v>311</v>
      </c>
      <c r="AA41" s="28" t="s">
        <v>835</v>
      </c>
      <c r="AB41" s="24" t="s">
        <v>186</v>
      </c>
      <c r="AC41" s="30" t="s">
        <v>294</v>
      </c>
      <c r="AD41" s="30" t="s">
        <v>311</v>
      </c>
      <c r="AE41" s="37">
        <v>43888</v>
      </c>
    </row>
    <row r="42" spans="1:31" ht="15.75" x14ac:dyDescent="0.25">
      <c r="A42" s="23" t="s">
        <v>245</v>
      </c>
      <c r="B42" s="24" t="s">
        <v>246</v>
      </c>
      <c r="C42" s="24" t="s">
        <v>247</v>
      </c>
      <c r="D42" s="24" t="s">
        <v>207</v>
      </c>
      <c r="E42" s="29">
        <v>71202</v>
      </c>
      <c r="F42" s="24" t="s">
        <v>208</v>
      </c>
      <c r="G42" s="24" t="s">
        <v>184</v>
      </c>
      <c r="H42" s="24" t="s">
        <v>5</v>
      </c>
      <c r="I42" s="25">
        <v>92.534045393858506</v>
      </c>
      <c r="J42" s="26">
        <v>111.6934673366835</v>
      </c>
      <c r="K42" s="26">
        <v>18.517587939698476</v>
      </c>
      <c r="L42" s="26">
        <v>16.256281407035161</v>
      </c>
      <c r="M42" s="26">
        <v>7.236180904522616</v>
      </c>
      <c r="N42" s="26">
        <v>28.195979899497431</v>
      </c>
      <c r="O42" s="26">
        <v>124.63316582914582</v>
      </c>
      <c r="P42" s="26">
        <v>0.21105527638190952</v>
      </c>
      <c r="Q42" s="26">
        <v>0.66331658291457296</v>
      </c>
      <c r="R42" s="26">
        <v>13.135678391959777</v>
      </c>
      <c r="S42" s="26">
        <v>7.2562814070351758</v>
      </c>
      <c r="T42" s="26">
        <v>8.1457286432160831</v>
      </c>
      <c r="U42" s="26">
        <v>125.16582914572879</v>
      </c>
      <c r="V42" s="26">
        <v>130.29145728643306</v>
      </c>
      <c r="W42" s="27">
        <v>677</v>
      </c>
      <c r="X42" s="24" t="s">
        <v>186</v>
      </c>
      <c r="Y42" s="30" t="s">
        <v>718</v>
      </c>
      <c r="Z42" s="24" t="s">
        <v>188</v>
      </c>
      <c r="AA42" s="28" t="s">
        <v>705</v>
      </c>
      <c r="AB42" s="24" t="s">
        <v>186</v>
      </c>
      <c r="AC42" s="30" t="s">
        <v>187</v>
      </c>
      <c r="AD42" s="30" t="s">
        <v>188</v>
      </c>
      <c r="AE42" s="37">
        <v>43741</v>
      </c>
    </row>
    <row r="43" spans="1:31" ht="15.75" x14ac:dyDescent="0.25">
      <c r="A43" s="23" t="s">
        <v>15</v>
      </c>
      <c r="B43" s="24" t="s">
        <v>312</v>
      </c>
      <c r="C43" s="24" t="s">
        <v>313</v>
      </c>
      <c r="D43" s="24" t="s">
        <v>197</v>
      </c>
      <c r="E43" s="29">
        <v>78046</v>
      </c>
      <c r="F43" s="24" t="s">
        <v>198</v>
      </c>
      <c r="G43" s="24" t="s">
        <v>226</v>
      </c>
      <c r="H43" s="24" t="s">
        <v>5</v>
      </c>
      <c r="I43" s="25">
        <v>80.0486111111111</v>
      </c>
      <c r="J43" s="26">
        <v>110.90452261306537</v>
      </c>
      <c r="K43" s="26">
        <v>10.356783919597992</v>
      </c>
      <c r="L43" s="26">
        <v>7.2361809045226169</v>
      </c>
      <c r="M43" s="26">
        <v>22.477386934673373</v>
      </c>
      <c r="N43" s="26">
        <v>45.050251256281392</v>
      </c>
      <c r="O43" s="26">
        <v>105.92462311557793</v>
      </c>
      <c r="P43" s="26">
        <v>0</v>
      </c>
      <c r="Q43" s="26">
        <v>0</v>
      </c>
      <c r="R43" s="26">
        <v>20.080402010050246</v>
      </c>
      <c r="S43" s="26">
        <v>7.9095477386934698</v>
      </c>
      <c r="T43" s="26">
        <v>17.060301507537698</v>
      </c>
      <c r="U43" s="26">
        <v>105.92462311557793</v>
      </c>
      <c r="V43" s="26">
        <v>114.85929648241213</v>
      </c>
      <c r="W43" s="27">
        <v>275</v>
      </c>
      <c r="X43" s="24" t="s">
        <v>186</v>
      </c>
      <c r="Y43" s="30" t="s">
        <v>255</v>
      </c>
      <c r="Z43" s="24" t="s">
        <v>188</v>
      </c>
      <c r="AA43" s="28" t="s">
        <v>839</v>
      </c>
      <c r="AB43" s="24" t="s">
        <v>186</v>
      </c>
      <c r="AC43" s="30" t="s">
        <v>255</v>
      </c>
      <c r="AD43" s="30" t="s">
        <v>188</v>
      </c>
      <c r="AE43" s="37">
        <v>43902</v>
      </c>
    </row>
    <row r="44" spans="1:31" ht="15.75" x14ac:dyDescent="0.25">
      <c r="A44" s="23" t="s">
        <v>329</v>
      </c>
      <c r="B44" s="24" t="s">
        <v>330</v>
      </c>
      <c r="C44" s="24" t="s">
        <v>331</v>
      </c>
      <c r="D44" s="24" t="s">
        <v>197</v>
      </c>
      <c r="E44" s="29">
        <v>76642</v>
      </c>
      <c r="F44" s="24" t="s">
        <v>198</v>
      </c>
      <c r="G44" s="24" t="s">
        <v>254</v>
      </c>
      <c r="H44" s="24" t="s">
        <v>5</v>
      </c>
      <c r="I44" s="25">
        <v>71.830769230769207</v>
      </c>
      <c r="J44" s="26">
        <v>101.89447236180909</v>
      </c>
      <c r="K44" s="26">
        <v>14.703517587939702</v>
      </c>
      <c r="L44" s="26">
        <v>13.839195979899497</v>
      </c>
      <c r="M44" s="26">
        <v>9.3316582914572859</v>
      </c>
      <c r="N44" s="26">
        <v>32.346733668341713</v>
      </c>
      <c r="O44" s="26">
        <v>107.37688442211056</v>
      </c>
      <c r="P44" s="26">
        <v>0</v>
      </c>
      <c r="Q44" s="26">
        <v>4.5226130653266333E-2</v>
      </c>
      <c r="R44" s="26">
        <v>9.0603015075376856</v>
      </c>
      <c r="S44" s="26">
        <v>8.708542713567839</v>
      </c>
      <c r="T44" s="26">
        <v>14.57788944723618</v>
      </c>
      <c r="U44" s="26">
        <v>107.42211055276383</v>
      </c>
      <c r="V44" s="26">
        <v>90.261306532663269</v>
      </c>
      <c r="W44" s="27"/>
      <c r="X44" s="24" t="s">
        <v>186</v>
      </c>
      <c r="Y44" s="30" t="s">
        <v>294</v>
      </c>
      <c r="Z44" s="24" t="s">
        <v>311</v>
      </c>
      <c r="AA44" s="28" t="s">
        <v>702</v>
      </c>
      <c r="AB44" s="24" t="s">
        <v>186</v>
      </c>
      <c r="AC44" s="30" t="s">
        <v>294</v>
      </c>
      <c r="AD44" s="30" t="s">
        <v>311</v>
      </c>
      <c r="AE44" s="37">
        <v>43762</v>
      </c>
    </row>
    <row r="45" spans="1:31" ht="15.75" x14ac:dyDescent="0.25">
      <c r="A45" s="23" t="s">
        <v>314</v>
      </c>
      <c r="B45" s="24" t="s">
        <v>315</v>
      </c>
      <c r="C45" s="24" t="s">
        <v>316</v>
      </c>
      <c r="D45" s="24" t="s">
        <v>207</v>
      </c>
      <c r="E45" s="29">
        <v>71334</v>
      </c>
      <c r="F45" s="24" t="s">
        <v>208</v>
      </c>
      <c r="G45" s="24" t="s">
        <v>184</v>
      </c>
      <c r="H45" s="24" t="s">
        <v>5</v>
      </c>
      <c r="I45" s="25">
        <v>135.70845481049599</v>
      </c>
      <c r="J45" s="26">
        <v>96.829145728642942</v>
      </c>
      <c r="K45" s="26">
        <v>21.507537688442206</v>
      </c>
      <c r="L45" s="26">
        <v>11.934673366834172</v>
      </c>
      <c r="M45" s="26">
        <v>7.5226130653266345</v>
      </c>
      <c r="N45" s="26">
        <v>27.040201005025118</v>
      </c>
      <c r="O45" s="26">
        <v>110.75376884422083</v>
      </c>
      <c r="P45" s="26">
        <v>0</v>
      </c>
      <c r="Q45" s="26">
        <v>0</v>
      </c>
      <c r="R45" s="26">
        <v>10.381909547738694</v>
      </c>
      <c r="S45" s="26">
        <v>7.1407035175879425</v>
      </c>
      <c r="T45" s="26">
        <v>9.5175879396984939</v>
      </c>
      <c r="U45" s="26">
        <v>110.75376884422083</v>
      </c>
      <c r="V45" s="26">
        <v>105.28643216080391</v>
      </c>
      <c r="W45" s="27">
        <v>361</v>
      </c>
      <c r="X45" s="24" t="s">
        <v>186</v>
      </c>
      <c r="Y45" s="30" t="s">
        <v>756</v>
      </c>
      <c r="Z45" s="24"/>
      <c r="AA45" s="28" t="s">
        <v>830</v>
      </c>
      <c r="AB45" s="24" t="s">
        <v>186</v>
      </c>
      <c r="AC45" s="30" t="s">
        <v>294</v>
      </c>
      <c r="AD45" s="30" t="s">
        <v>311</v>
      </c>
      <c r="AE45" s="37">
        <v>43902</v>
      </c>
    </row>
    <row r="46" spans="1:31" ht="15.75" x14ac:dyDescent="0.25">
      <c r="A46" s="23" t="s">
        <v>9</v>
      </c>
      <c r="B46" s="24" t="s">
        <v>348</v>
      </c>
      <c r="C46" s="24" t="s">
        <v>31</v>
      </c>
      <c r="D46" s="24" t="s">
        <v>207</v>
      </c>
      <c r="E46" s="29">
        <v>71303</v>
      </c>
      <c r="F46" s="24" t="s">
        <v>208</v>
      </c>
      <c r="G46" s="24" t="s">
        <v>349</v>
      </c>
      <c r="H46" s="24" t="s">
        <v>5</v>
      </c>
      <c r="I46" s="25">
        <v>3.6187747906566798</v>
      </c>
      <c r="J46" s="26">
        <v>34.175879396984662</v>
      </c>
      <c r="K46" s="26">
        <v>19.306532663316382</v>
      </c>
      <c r="L46" s="26">
        <v>34.994974874371735</v>
      </c>
      <c r="M46" s="26">
        <v>34.502512562813848</v>
      </c>
      <c r="N46" s="26">
        <v>79.407035175883294</v>
      </c>
      <c r="O46" s="26">
        <v>43.532663316583644</v>
      </c>
      <c r="P46" s="26">
        <v>2.5125628140703519E-2</v>
      </c>
      <c r="Q46" s="26">
        <v>1.507537688442211E-2</v>
      </c>
      <c r="R46" s="26">
        <v>46.974874371860189</v>
      </c>
      <c r="S46" s="26">
        <v>17.050251256281257</v>
      </c>
      <c r="T46" s="26">
        <v>15.241206030150627</v>
      </c>
      <c r="U46" s="26">
        <v>43.713567839196728</v>
      </c>
      <c r="V46" s="26">
        <v>121.71356783920334</v>
      </c>
      <c r="W46" s="27"/>
      <c r="X46" s="24" t="s">
        <v>210</v>
      </c>
      <c r="Y46" s="30"/>
      <c r="Z46" s="24"/>
      <c r="AA46" s="28"/>
      <c r="AB46" s="24" t="s">
        <v>210</v>
      </c>
      <c r="AC46" s="30"/>
      <c r="AD46" s="30"/>
      <c r="AE46" s="37"/>
    </row>
    <row r="47" spans="1:31" ht="15.75" x14ac:dyDescent="0.25">
      <c r="A47" s="23" t="s">
        <v>24</v>
      </c>
      <c r="B47" s="24" t="s">
        <v>712</v>
      </c>
      <c r="C47" s="24" t="s">
        <v>384</v>
      </c>
      <c r="D47" s="24" t="s">
        <v>197</v>
      </c>
      <c r="E47" s="29">
        <v>78118</v>
      </c>
      <c r="F47" s="24" t="s">
        <v>198</v>
      </c>
      <c r="G47" s="24" t="s">
        <v>202</v>
      </c>
      <c r="H47" s="24" t="s">
        <v>185</v>
      </c>
      <c r="I47" s="25">
        <v>6.2153121902874098</v>
      </c>
      <c r="J47" s="26">
        <v>119.89447236181879</v>
      </c>
      <c r="K47" s="26">
        <v>1.3618090452261307</v>
      </c>
      <c r="L47" s="26">
        <v>2.0100502512562814E-2</v>
      </c>
      <c r="M47" s="26">
        <v>0</v>
      </c>
      <c r="N47" s="26">
        <v>0.3266331658291457</v>
      </c>
      <c r="O47" s="26">
        <v>60.723618090453833</v>
      </c>
      <c r="P47" s="26">
        <v>0</v>
      </c>
      <c r="Q47" s="26">
        <v>60.22613065326798</v>
      </c>
      <c r="R47" s="26">
        <v>0</v>
      </c>
      <c r="S47" s="26">
        <v>1.0050251256281407E-2</v>
      </c>
      <c r="T47" s="26">
        <v>0.3165829145728643</v>
      </c>
      <c r="U47" s="26">
        <v>120.94974874372841</v>
      </c>
      <c r="V47" s="26">
        <v>31.994974874371586</v>
      </c>
      <c r="W47" s="27">
        <v>830</v>
      </c>
      <c r="X47" s="24" t="s">
        <v>186</v>
      </c>
      <c r="Y47" s="30" t="s">
        <v>203</v>
      </c>
      <c r="Z47" s="24"/>
      <c r="AA47" s="28" t="s">
        <v>838</v>
      </c>
      <c r="AB47" s="24" t="s">
        <v>186</v>
      </c>
      <c r="AC47" s="30" t="s">
        <v>203</v>
      </c>
      <c r="AD47" s="30"/>
      <c r="AE47" s="37">
        <v>44155</v>
      </c>
    </row>
    <row r="48" spans="1:31" ht="15.75" x14ac:dyDescent="0.25">
      <c r="A48" s="23" t="s">
        <v>375</v>
      </c>
      <c r="B48" s="24" t="s">
        <v>376</v>
      </c>
      <c r="C48" s="24" t="s">
        <v>45</v>
      </c>
      <c r="D48" s="24" t="s">
        <v>377</v>
      </c>
      <c r="E48" s="29">
        <v>89015</v>
      </c>
      <c r="F48" s="24" t="s">
        <v>378</v>
      </c>
      <c r="G48" s="24" t="s">
        <v>254</v>
      </c>
      <c r="H48" s="24" t="s">
        <v>185</v>
      </c>
      <c r="I48" s="25">
        <v>86.626016260162601</v>
      </c>
      <c r="J48" s="26">
        <v>16.51758793969849</v>
      </c>
      <c r="K48" s="26">
        <v>44.723618090452291</v>
      </c>
      <c r="L48" s="26">
        <v>43.653266331658287</v>
      </c>
      <c r="M48" s="26">
        <v>15.110552763819094</v>
      </c>
      <c r="N48" s="26">
        <v>78.814070351758815</v>
      </c>
      <c r="O48" s="26">
        <v>28.206030150753762</v>
      </c>
      <c r="P48" s="26">
        <v>9.7336683417085439</v>
      </c>
      <c r="Q48" s="26">
        <v>3.2512562814070347</v>
      </c>
      <c r="R48" s="26">
        <v>41.577889447236181</v>
      </c>
      <c r="S48" s="26">
        <v>28.492462311557787</v>
      </c>
      <c r="T48" s="26">
        <v>18.241206030150753</v>
      </c>
      <c r="U48" s="26">
        <v>31.693467336683412</v>
      </c>
      <c r="V48" s="26">
        <v>90.954773869346781</v>
      </c>
      <c r="W48" s="27"/>
      <c r="X48" s="24" t="s">
        <v>186</v>
      </c>
      <c r="Y48" s="30" t="s">
        <v>294</v>
      </c>
      <c r="Z48" s="24" t="s">
        <v>311</v>
      </c>
      <c r="AA48" s="28" t="s">
        <v>837</v>
      </c>
      <c r="AB48" s="24" t="s">
        <v>186</v>
      </c>
      <c r="AC48" s="30" t="s">
        <v>294</v>
      </c>
      <c r="AD48" s="30" t="s">
        <v>311</v>
      </c>
      <c r="AE48" s="37">
        <v>43664</v>
      </c>
    </row>
    <row r="49" spans="1:31" ht="15.75" x14ac:dyDescent="0.25">
      <c r="A49" s="23" t="s">
        <v>717</v>
      </c>
      <c r="B49" s="24" t="s">
        <v>716</v>
      </c>
      <c r="C49" s="24" t="s">
        <v>291</v>
      </c>
      <c r="D49" s="24" t="s">
        <v>193</v>
      </c>
      <c r="E49" s="29">
        <v>31537</v>
      </c>
      <c r="F49" s="24" t="s">
        <v>194</v>
      </c>
      <c r="G49" s="24" t="s">
        <v>184</v>
      </c>
      <c r="H49" s="24" t="s">
        <v>5</v>
      </c>
      <c r="I49" s="25">
        <v>106.175</v>
      </c>
      <c r="J49" s="26">
        <v>32.758793969849265</v>
      </c>
      <c r="K49" s="26">
        <v>21.743718592964814</v>
      </c>
      <c r="L49" s="26">
        <v>34.050251256281413</v>
      </c>
      <c r="M49" s="26">
        <v>30.713567839195978</v>
      </c>
      <c r="N49" s="26">
        <v>75.879396984924625</v>
      </c>
      <c r="O49" s="26">
        <v>43.386934673366852</v>
      </c>
      <c r="P49" s="26">
        <v>0</v>
      </c>
      <c r="Q49" s="26">
        <v>0</v>
      </c>
      <c r="R49" s="26">
        <v>34.452261306532705</v>
      </c>
      <c r="S49" s="26">
        <v>22.175879396984921</v>
      </c>
      <c r="T49" s="26">
        <v>18.241206030150757</v>
      </c>
      <c r="U49" s="26">
        <v>44.396984924623133</v>
      </c>
      <c r="V49" s="26">
        <v>50.050251256281442</v>
      </c>
      <c r="W49" s="27">
        <v>544</v>
      </c>
      <c r="X49" s="24" t="s">
        <v>210</v>
      </c>
      <c r="Y49" s="30"/>
      <c r="Z49" s="24"/>
      <c r="AA49" s="28" t="s">
        <v>303</v>
      </c>
      <c r="AB49" s="24" t="s">
        <v>210</v>
      </c>
      <c r="AC49" s="30"/>
      <c r="AD49" s="30"/>
      <c r="AE49" s="37"/>
    </row>
    <row r="50" spans="1:31" ht="15.75" x14ac:dyDescent="0.25">
      <c r="A50" s="23" t="s">
        <v>400</v>
      </c>
      <c r="B50" s="24" t="s">
        <v>401</v>
      </c>
      <c r="C50" s="24" t="s">
        <v>402</v>
      </c>
      <c r="D50" s="24" t="s">
        <v>403</v>
      </c>
      <c r="E50" s="29">
        <v>49014</v>
      </c>
      <c r="F50" s="24" t="s">
        <v>395</v>
      </c>
      <c r="G50" s="24" t="s">
        <v>209</v>
      </c>
      <c r="H50" s="24" t="s">
        <v>185</v>
      </c>
      <c r="I50" s="25">
        <v>53.224872231686497</v>
      </c>
      <c r="J50" s="26">
        <v>12.130653266331654</v>
      </c>
      <c r="K50" s="26">
        <v>39.97989949748743</v>
      </c>
      <c r="L50" s="26">
        <v>36.482412060301449</v>
      </c>
      <c r="M50" s="26">
        <v>19.030150753768844</v>
      </c>
      <c r="N50" s="26">
        <v>83.055276381909692</v>
      </c>
      <c r="O50" s="26">
        <v>18.567839195979904</v>
      </c>
      <c r="P50" s="26">
        <v>4.6482412060301517</v>
      </c>
      <c r="Q50" s="26">
        <v>1.351758793969849</v>
      </c>
      <c r="R50" s="26">
        <v>49.396984924623197</v>
      </c>
      <c r="S50" s="26">
        <v>20.577889447236188</v>
      </c>
      <c r="T50" s="26">
        <v>18.286432160804022</v>
      </c>
      <c r="U50" s="26">
        <v>19.361809045226131</v>
      </c>
      <c r="V50" s="26">
        <v>77.361809045226295</v>
      </c>
      <c r="W50" s="27">
        <v>75</v>
      </c>
      <c r="X50" s="24" t="s">
        <v>186</v>
      </c>
      <c r="Y50" s="30" t="s">
        <v>756</v>
      </c>
      <c r="Z50" s="24" t="s">
        <v>311</v>
      </c>
      <c r="AA50" s="28" t="s">
        <v>824</v>
      </c>
      <c r="AB50" s="24" t="s">
        <v>186</v>
      </c>
      <c r="AC50" s="30" t="s">
        <v>294</v>
      </c>
      <c r="AD50" s="30" t="s">
        <v>311</v>
      </c>
      <c r="AE50" s="37">
        <v>43895</v>
      </c>
    </row>
    <row r="51" spans="1:31" ht="15.75" x14ac:dyDescent="0.25">
      <c r="A51" s="23" t="s">
        <v>357</v>
      </c>
      <c r="B51" s="24" t="s">
        <v>358</v>
      </c>
      <c r="C51" s="24" t="s">
        <v>359</v>
      </c>
      <c r="D51" s="24" t="s">
        <v>360</v>
      </c>
      <c r="E51" s="29">
        <v>60098</v>
      </c>
      <c r="F51" s="24" t="s">
        <v>36</v>
      </c>
      <c r="G51" s="24" t="s">
        <v>254</v>
      </c>
      <c r="H51" s="24" t="s">
        <v>185</v>
      </c>
      <c r="I51" s="25">
        <v>40.162454873646197</v>
      </c>
      <c r="J51" s="26">
        <v>27.356783919597973</v>
      </c>
      <c r="K51" s="26">
        <v>15.91959798994975</v>
      </c>
      <c r="L51" s="26">
        <v>29.437185929648219</v>
      </c>
      <c r="M51" s="26">
        <v>32.78391959798995</v>
      </c>
      <c r="N51" s="26">
        <v>65.020100502512605</v>
      </c>
      <c r="O51" s="26">
        <v>32.497487437185889</v>
      </c>
      <c r="P51" s="26">
        <v>5.1859296482412054</v>
      </c>
      <c r="Q51" s="26">
        <v>2.7939698492462313</v>
      </c>
      <c r="R51" s="26">
        <v>44.206030150753776</v>
      </c>
      <c r="S51" s="26">
        <v>13.788944723618089</v>
      </c>
      <c r="T51" s="26">
        <v>12.211055276381915</v>
      </c>
      <c r="U51" s="26">
        <v>35.291457286432141</v>
      </c>
      <c r="V51" s="26">
        <v>69.376884422110734</v>
      </c>
      <c r="W51" s="27"/>
      <c r="X51" s="24" t="s">
        <v>186</v>
      </c>
      <c r="Y51" s="30" t="s">
        <v>294</v>
      </c>
      <c r="Z51" s="24" t="s">
        <v>311</v>
      </c>
      <c r="AA51" s="28" t="s">
        <v>702</v>
      </c>
      <c r="AB51" s="24" t="s">
        <v>186</v>
      </c>
      <c r="AC51" s="30" t="s">
        <v>294</v>
      </c>
      <c r="AD51" s="30" t="s">
        <v>311</v>
      </c>
      <c r="AE51" s="37">
        <v>43629</v>
      </c>
    </row>
    <row r="52" spans="1:31" ht="15.75" x14ac:dyDescent="0.25">
      <c r="A52" s="23" t="s">
        <v>17</v>
      </c>
      <c r="B52" s="24" t="s">
        <v>361</v>
      </c>
      <c r="C52" s="24" t="s">
        <v>313</v>
      </c>
      <c r="D52" s="24" t="s">
        <v>197</v>
      </c>
      <c r="E52" s="29">
        <v>78041</v>
      </c>
      <c r="F52" s="24" t="s">
        <v>198</v>
      </c>
      <c r="G52" s="24" t="s">
        <v>184</v>
      </c>
      <c r="H52" s="24" t="s">
        <v>185</v>
      </c>
      <c r="I52" s="25">
        <v>47.518716577540097</v>
      </c>
      <c r="J52" s="26">
        <v>72.432160804020285</v>
      </c>
      <c r="K52" s="26">
        <v>4.6984924623115587</v>
      </c>
      <c r="L52" s="26">
        <v>10.015075376884424</v>
      </c>
      <c r="M52" s="26">
        <v>13.417085427135678</v>
      </c>
      <c r="N52" s="26">
        <v>7.9597989949748778</v>
      </c>
      <c r="O52" s="26">
        <v>3.0050251256281406</v>
      </c>
      <c r="P52" s="26">
        <v>14.603015075376881</v>
      </c>
      <c r="Q52" s="26">
        <v>74.994974874372062</v>
      </c>
      <c r="R52" s="26">
        <v>8.8844221105527623</v>
      </c>
      <c r="S52" s="26">
        <v>7.467336683417086</v>
      </c>
      <c r="T52" s="26">
        <v>6.1457286432160823</v>
      </c>
      <c r="U52" s="26">
        <v>78.065326633166052</v>
      </c>
      <c r="V52" s="26">
        <v>71.402010050251533</v>
      </c>
      <c r="W52" s="27"/>
      <c r="X52" s="24" t="s">
        <v>186</v>
      </c>
      <c r="Y52" s="30" t="s">
        <v>294</v>
      </c>
      <c r="Z52" s="24" t="s">
        <v>311</v>
      </c>
      <c r="AA52" s="28" t="s">
        <v>715</v>
      </c>
      <c r="AB52" s="24" t="s">
        <v>186</v>
      </c>
      <c r="AC52" s="30" t="s">
        <v>294</v>
      </c>
      <c r="AD52" s="30" t="s">
        <v>311</v>
      </c>
      <c r="AE52" s="37">
        <v>43620</v>
      </c>
    </row>
    <row r="53" spans="1:31" ht="15.75" x14ac:dyDescent="0.25">
      <c r="A53" s="23" t="s">
        <v>366</v>
      </c>
      <c r="B53" s="24" t="s">
        <v>367</v>
      </c>
      <c r="C53" s="24" t="s">
        <v>22</v>
      </c>
      <c r="D53" s="24" t="s">
        <v>276</v>
      </c>
      <c r="E53" s="29">
        <v>7201</v>
      </c>
      <c r="F53" s="24" t="s">
        <v>277</v>
      </c>
      <c r="G53" s="24" t="s">
        <v>199</v>
      </c>
      <c r="H53" s="24" t="s">
        <v>185</v>
      </c>
      <c r="I53" s="25">
        <v>41.750871080139397</v>
      </c>
      <c r="J53" s="26">
        <v>58.090452261307007</v>
      </c>
      <c r="K53" s="26">
        <v>38.020100502512548</v>
      </c>
      <c r="L53" s="26">
        <v>2.2562814070351762</v>
      </c>
      <c r="M53" s="26">
        <v>0.18592964824120595</v>
      </c>
      <c r="N53" s="26">
        <v>23.035175879396984</v>
      </c>
      <c r="O53" s="26">
        <v>67.381909547738843</v>
      </c>
      <c r="P53" s="26">
        <v>0.457286432160804</v>
      </c>
      <c r="Q53" s="26">
        <v>7.6783919597989874</v>
      </c>
      <c r="R53" s="26">
        <v>4.3969849246231147</v>
      </c>
      <c r="S53" s="26">
        <v>4.7788944723618076</v>
      </c>
      <c r="T53" s="26">
        <v>15.140703517587937</v>
      </c>
      <c r="U53" s="26">
        <v>74.236180904522769</v>
      </c>
      <c r="V53" s="26">
        <v>56.296482412060612</v>
      </c>
      <c r="W53" s="27">
        <v>285</v>
      </c>
      <c r="X53" s="24" t="s">
        <v>186</v>
      </c>
      <c r="Y53" s="30" t="s">
        <v>187</v>
      </c>
      <c r="Z53" s="24" t="s">
        <v>188</v>
      </c>
      <c r="AA53" s="28" t="s">
        <v>701</v>
      </c>
      <c r="AB53" s="24" t="s">
        <v>186</v>
      </c>
      <c r="AC53" s="30" t="s">
        <v>187</v>
      </c>
      <c r="AD53" s="30" t="s">
        <v>188</v>
      </c>
      <c r="AE53" s="37">
        <v>43741</v>
      </c>
    </row>
    <row r="54" spans="1:31" ht="15.75" x14ac:dyDescent="0.25">
      <c r="A54" s="23" t="s">
        <v>264</v>
      </c>
      <c r="B54" s="24" t="s">
        <v>265</v>
      </c>
      <c r="C54" s="24" t="s">
        <v>266</v>
      </c>
      <c r="D54" s="24" t="s">
        <v>207</v>
      </c>
      <c r="E54" s="29">
        <v>70515</v>
      </c>
      <c r="F54" s="24" t="s">
        <v>208</v>
      </c>
      <c r="G54" s="24" t="s">
        <v>184</v>
      </c>
      <c r="H54" s="24" t="s">
        <v>185</v>
      </c>
      <c r="I54" s="25">
        <v>32.898373983739802</v>
      </c>
      <c r="J54" s="26">
        <v>69.894472361810045</v>
      </c>
      <c r="K54" s="26">
        <v>6.5829145728643192</v>
      </c>
      <c r="L54" s="26">
        <v>14.412060301507534</v>
      </c>
      <c r="M54" s="26">
        <v>6.4221105527638196</v>
      </c>
      <c r="N54" s="26">
        <v>1.0753768844221105</v>
      </c>
      <c r="O54" s="26">
        <v>0</v>
      </c>
      <c r="P54" s="26">
        <v>21.502512562814047</v>
      </c>
      <c r="Q54" s="26">
        <v>74.733668341709887</v>
      </c>
      <c r="R54" s="26">
        <v>16.65326633165828</v>
      </c>
      <c r="S54" s="26">
        <v>2.6934673366834168</v>
      </c>
      <c r="T54" s="26">
        <v>3.2211055276381892</v>
      </c>
      <c r="U54" s="26">
        <v>74.743718592966175</v>
      </c>
      <c r="V54" s="26">
        <v>82.763819095478937</v>
      </c>
      <c r="W54" s="27">
        <v>700</v>
      </c>
      <c r="X54" s="24" t="s">
        <v>186</v>
      </c>
      <c r="Y54" s="30" t="s">
        <v>718</v>
      </c>
      <c r="Z54" s="24" t="s">
        <v>188</v>
      </c>
      <c r="AA54" s="28" t="s">
        <v>836</v>
      </c>
      <c r="AB54" s="24" t="s">
        <v>186</v>
      </c>
      <c r="AC54" s="30" t="s">
        <v>187</v>
      </c>
      <c r="AD54" s="30" t="s">
        <v>188</v>
      </c>
      <c r="AE54" s="37">
        <v>43776</v>
      </c>
    </row>
    <row r="55" spans="1:31" ht="15.75" x14ac:dyDescent="0.25">
      <c r="A55" s="23" t="s">
        <v>278</v>
      </c>
      <c r="B55" s="24" t="s">
        <v>279</v>
      </c>
      <c r="C55" s="24" t="s">
        <v>280</v>
      </c>
      <c r="D55" s="24" t="s">
        <v>281</v>
      </c>
      <c r="E55" s="29">
        <v>23901</v>
      </c>
      <c r="F55" s="24" t="s">
        <v>282</v>
      </c>
      <c r="G55" s="24" t="s">
        <v>184</v>
      </c>
      <c r="H55" s="24" t="s">
        <v>5</v>
      </c>
      <c r="I55" s="25">
        <v>345.01503759398503</v>
      </c>
      <c r="J55" s="26">
        <v>11.462311557788945</v>
      </c>
      <c r="K55" s="26">
        <v>20.060301507537691</v>
      </c>
      <c r="L55" s="26">
        <v>25.708542713567837</v>
      </c>
      <c r="M55" s="26">
        <v>38.954773869346724</v>
      </c>
      <c r="N55" s="26">
        <v>80.949748743718644</v>
      </c>
      <c r="O55" s="26">
        <v>15.236180904522612</v>
      </c>
      <c r="P55" s="26">
        <v>0</v>
      </c>
      <c r="Q55" s="26">
        <v>0</v>
      </c>
      <c r="R55" s="26">
        <v>49.09045226130651</v>
      </c>
      <c r="S55" s="26">
        <v>23.065326633165839</v>
      </c>
      <c r="T55" s="26">
        <v>8.7939698492462313</v>
      </c>
      <c r="U55" s="26">
        <v>15.236180904522612</v>
      </c>
      <c r="V55" s="26">
        <v>66.793969849246238</v>
      </c>
      <c r="W55" s="27">
        <v>500</v>
      </c>
      <c r="X55" s="24" t="s">
        <v>186</v>
      </c>
      <c r="Y55" s="30" t="s">
        <v>718</v>
      </c>
      <c r="Z55" s="24" t="s">
        <v>188</v>
      </c>
      <c r="AA55" s="28" t="s">
        <v>835</v>
      </c>
      <c r="AB55" s="24" t="s">
        <v>186</v>
      </c>
      <c r="AC55" s="30" t="s">
        <v>187</v>
      </c>
      <c r="AD55" s="30" t="s">
        <v>188</v>
      </c>
      <c r="AE55" s="37">
        <v>43888</v>
      </c>
    </row>
    <row r="56" spans="1:31" ht="15.75" x14ac:dyDescent="0.25">
      <c r="A56" s="23" t="s">
        <v>362</v>
      </c>
      <c r="B56" s="24" t="s">
        <v>363</v>
      </c>
      <c r="C56" s="24" t="s">
        <v>364</v>
      </c>
      <c r="D56" s="24" t="s">
        <v>44</v>
      </c>
      <c r="E56" s="29">
        <v>35901</v>
      </c>
      <c r="F56" s="24" t="s">
        <v>208</v>
      </c>
      <c r="G56" s="24" t="s">
        <v>254</v>
      </c>
      <c r="H56" s="24" t="s">
        <v>5</v>
      </c>
      <c r="I56" s="25">
        <v>59.928067700987299</v>
      </c>
      <c r="J56" s="26">
        <v>36.015075376884475</v>
      </c>
      <c r="K56" s="26">
        <v>11.391959798994945</v>
      </c>
      <c r="L56" s="26">
        <v>20.477386934673333</v>
      </c>
      <c r="M56" s="26">
        <v>24.964824120602984</v>
      </c>
      <c r="N56" s="26">
        <v>46.623115577889493</v>
      </c>
      <c r="O56" s="26">
        <v>46.150753768844396</v>
      </c>
      <c r="P56" s="26">
        <v>6.5326633165829151E-2</v>
      </c>
      <c r="Q56" s="26">
        <v>1.0050251256281407E-2</v>
      </c>
      <c r="R56" s="26">
        <v>29.266331658291417</v>
      </c>
      <c r="S56" s="26">
        <v>9.1256281407035083</v>
      </c>
      <c r="T56" s="26">
        <v>8.3165829145728587</v>
      </c>
      <c r="U56" s="26">
        <v>46.140703517588115</v>
      </c>
      <c r="V56" s="26">
        <v>83.497487437186038</v>
      </c>
      <c r="W56" s="27"/>
      <c r="X56" s="24" t="s">
        <v>186</v>
      </c>
      <c r="Y56" s="30" t="s">
        <v>294</v>
      </c>
      <c r="Z56" s="24" t="s">
        <v>311</v>
      </c>
      <c r="AA56" s="28" t="s">
        <v>715</v>
      </c>
      <c r="AB56" s="24" t="s">
        <v>186</v>
      </c>
      <c r="AC56" s="30" t="s">
        <v>294</v>
      </c>
      <c r="AD56" s="30" t="s">
        <v>311</v>
      </c>
      <c r="AE56" s="37">
        <v>43664</v>
      </c>
    </row>
    <row r="57" spans="1:31" ht="15.75" x14ac:dyDescent="0.25">
      <c r="A57" s="23" t="s">
        <v>25</v>
      </c>
      <c r="B57" s="24" t="s">
        <v>432</v>
      </c>
      <c r="C57" s="24" t="s">
        <v>313</v>
      </c>
      <c r="D57" s="24" t="s">
        <v>197</v>
      </c>
      <c r="E57" s="29">
        <v>78046</v>
      </c>
      <c r="F57" s="24" t="s">
        <v>198</v>
      </c>
      <c r="G57" s="24" t="s">
        <v>184</v>
      </c>
      <c r="H57" s="24" t="s">
        <v>185</v>
      </c>
      <c r="I57" s="25">
        <v>20.712021136063399</v>
      </c>
      <c r="J57" s="26">
        <v>74.592964824120656</v>
      </c>
      <c r="K57" s="26">
        <v>5.1557788944723617</v>
      </c>
      <c r="L57" s="26">
        <v>3.5829145728643201</v>
      </c>
      <c r="M57" s="26">
        <v>7.6532663316582941</v>
      </c>
      <c r="N57" s="26">
        <v>10.125628140703514</v>
      </c>
      <c r="O57" s="26">
        <v>11.060301507537693</v>
      </c>
      <c r="P57" s="26">
        <v>4.6482412060301517</v>
      </c>
      <c r="Q57" s="26">
        <v>65.150753768844197</v>
      </c>
      <c r="R57" s="26">
        <v>6.8291457286432165</v>
      </c>
      <c r="S57" s="26">
        <v>2.9145728643216078</v>
      </c>
      <c r="T57" s="26">
        <v>5.0301507537688437</v>
      </c>
      <c r="U57" s="26">
        <v>76.211055276381927</v>
      </c>
      <c r="V57" s="26">
        <v>74.693467336683341</v>
      </c>
      <c r="W57" s="27"/>
      <c r="X57" s="24" t="s">
        <v>186</v>
      </c>
      <c r="Y57" s="30" t="s">
        <v>718</v>
      </c>
      <c r="Z57" s="24" t="s">
        <v>188</v>
      </c>
      <c r="AA57" s="28" t="s">
        <v>811</v>
      </c>
      <c r="AB57" s="24" t="s">
        <v>186</v>
      </c>
      <c r="AC57" s="30" t="s">
        <v>187</v>
      </c>
      <c r="AD57" s="30" t="s">
        <v>188</v>
      </c>
      <c r="AE57" s="37">
        <v>43867</v>
      </c>
    </row>
    <row r="58" spans="1:31" ht="15.75" x14ac:dyDescent="0.25">
      <c r="A58" s="23" t="s">
        <v>318</v>
      </c>
      <c r="B58" s="24" t="s">
        <v>319</v>
      </c>
      <c r="C58" s="24" t="s">
        <v>320</v>
      </c>
      <c r="D58" s="24" t="s">
        <v>197</v>
      </c>
      <c r="E58" s="29">
        <v>77351</v>
      </c>
      <c r="F58" s="24" t="s">
        <v>244</v>
      </c>
      <c r="G58" s="24" t="s">
        <v>209</v>
      </c>
      <c r="H58" s="24" t="s">
        <v>5</v>
      </c>
      <c r="I58" s="25">
        <v>76.752212389380503</v>
      </c>
      <c r="J58" s="26">
        <v>57.798994974874375</v>
      </c>
      <c r="K58" s="26">
        <v>11.36180904522613</v>
      </c>
      <c r="L58" s="26">
        <v>13.135678391959804</v>
      </c>
      <c r="M58" s="26">
        <v>8.2361809045226142</v>
      </c>
      <c r="N58" s="26">
        <v>27.819095477386906</v>
      </c>
      <c r="O58" s="26">
        <v>62.71356783919596</v>
      </c>
      <c r="P58" s="26">
        <v>0</v>
      </c>
      <c r="Q58" s="26">
        <v>0</v>
      </c>
      <c r="R58" s="26">
        <v>12.376884422110555</v>
      </c>
      <c r="S58" s="26">
        <v>8.7336683417085439</v>
      </c>
      <c r="T58" s="26">
        <v>7.1457286432160805</v>
      </c>
      <c r="U58" s="26">
        <v>62.276381909547716</v>
      </c>
      <c r="V58" s="26">
        <v>76.100502512562642</v>
      </c>
      <c r="W58" s="27">
        <v>350</v>
      </c>
      <c r="X58" s="24" t="s">
        <v>186</v>
      </c>
      <c r="Y58" s="30" t="s">
        <v>756</v>
      </c>
      <c r="Z58" s="24" t="s">
        <v>311</v>
      </c>
      <c r="AA58" s="28" t="s">
        <v>834</v>
      </c>
      <c r="AB58" s="24" t="s">
        <v>186</v>
      </c>
      <c r="AC58" s="30" t="s">
        <v>294</v>
      </c>
      <c r="AD58" s="30" t="s">
        <v>311</v>
      </c>
      <c r="AE58" s="37">
        <v>43839</v>
      </c>
    </row>
    <row r="59" spans="1:31" ht="15.75" x14ac:dyDescent="0.25">
      <c r="A59" s="23" t="s">
        <v>321</v>
      </c>
      <c r="B59" s="24" t="s">
        <v>322</v>
      </c>
      <c r="C59" s="24" t="s">
        <v>37</v>
      </c>
      <c r="D59" s="24" t="s">
        <v>197</v>
      </c>
      <c r="E59" s="29">
        <v>76837</v>
      </c>
      <c r="F59" s="24" t="s">
        <v>272</v>
      </c>
      <c r="G59" s="24" t="s">
        <v>254</v>
      </c>
      <c r="H59" s="24" t="s">
        <v>5</v>
      </c>
      <c r="I59" s="25">
        <v>102.470588235294</v>
      </c>
      <c r="J59" s="26">
        <v>17.879396984924622</v>
      </c>
      <c r="K59" s="26">
        <v>24.125628140703505</v>
      </c>
      <c r="L59" s="26">
        <v>22.015075376884415</v>
      </c>
      <c r="M59" s="26">
        <v>26.477386934673362</v>
      </c>
      <c r="N59" s="26">
        <v>66.934673366834218</v>
      </c>
      <c r="O59" s="26">
        <v>23.562814070351752</v>
      </c>
      <c r="P59" s="26">
        <v>0</v>
      </c>
      <c r="Q59" s="26">
        <v>0</v>
      </c>
      <c r="R59" s="26">
        <v>48.211055276381948</v>
      </c>
      <c r="S59" s="26">
        <v>11.668341708542712</v>
      </c>
      <c r="T59" s="26">
        <v>7.0552763819095459</v>
      </c>
      <c r="U59" s="26">
        <v>23.562814070351752</v>
      </c>
      <c r="V59" s="26">
        <v>61.854271356784047</v>
      </c>
      <c r="W59" s="27"/>
      <c r="X59" s="24" t="s">
        <v>186</v>
      </c>
      <c r="Y59" s="30" t="s">
        <v>294</v>
      </c>
      <c r="Z59" s="24" t="s">
        <v>311</v>
      </c>
      <c r="AA59" s="28" t="s">
        <v>833</v>
      </c>
      <c r="AB59" s="24" t="s">
        <v>186</v>
      </c>
      <c r="AC59" s="30" t="s">
        <v>294</v>
      </c>
      <c r="AD59" s="30" t="s">
        <v>311</v>
      </c>
      <c r="AE59" s="37">
        <v>43818</v>
      </c>
    </row>
    <row r="60" spans="1:31" ht="15.75" x14ac:dyDescent="0.25">
      <c r="A60" s="23" t="s">
        <v>418</v>
      </c>
      <c r="B60" s="24" t="s">
        <v>419</v>
      </c>
      <c r="C60" s="24" t="s">
        <v>27</v>
      </c>
      <c r="D60" s="24" t="s">
        <v>394</v>
      </c>
      <c r="E60" s="29">
        <v>45011</v>
      </c>
      <c r="F60" s="24" t="s">
        <v>395</v>
      </c>
      <c r="G60" s="24" t="s">
        <v>209</v>
      </c>
      <c r="H60" s="24" t="s">
        <v>185</v>
      </c>
      <c r="I60" s="25">
        <v>63.978647686832701</v>
      </c>
      <c r="J60" s="26">
        <v>16.472361809045221</v>
      </c>
      <c r="K60" s="26">
        <v>13.256281407035175</v>
      </c>
      <c r="L60" s="26">
        <v>34.618090452261313</v>
      </c>
      <c r="M60" s="26">
        <v>25.065326633165828</v>
      </c>
      <c r="N60" s="26">
        <v>60.844221105527609</v>
      </c>
      <c r="O60" s="26">
        <v>20.206030150753765</v>
      </c>
      <c r="P60" s="26">
        <v>6.1608040201005023</v>
      </c>
      <c r="Q60" s="26">
        <v>2.2010050251256281</v>
      </c>
      <c r="R60" s="26">
        <v>27.231155778894468</v>
      </c>
      <c r="S60" s="26">
        <v>19.572864321608044</v>
      </c>
      <c r="T60" s="26">
        <v>20.201005025125632</v>
      </c>
      <c r="U60" s="26">
        <v>22.407035175879393</v>
      </c>
      <c r="V60" s="26">
        <v>58.879396984924682</v>
      </c>
      <c r="W60" s="27"/>
      <c r="X60" s="24" t="s">
        <v>186</v>
      </c>
      <c r="Y60" s="30" t="s">
        <v>756</v>
      </c>
      <c r="Z60" s="24" t="s">
        <v>311</v>
      </c>
      <c r="AA60" s="28" t="s">
        <v>825</v>
      </c>
      <c r="AB60" s="24" t="s">
        <v>186</v>
      </c>
      <c r="AC60" s="30" t="s">
        <v>294</v>
      </c>
      <c r="AD60" s="30" t="s">
        <v>311</v>
      </c>
      <c r="AE60" s="37">
        <v>43587</v>
      </c>
    </row>
    <row r="61" spans="1:31" ht="15.75" x14ac:dyDescent="0.25">
      <c r="A61" s="23" t="s">
        <v>714</v>
      </c>
      <c r="B61" s="24" t="s">
        <v>713</v>
      </c>
      <c r="C61" s="24" t="s">
        <v>325</v>
      </c>
      <c r="D61" s="24" t="s">
        <v>212</v>
      </c>
      <c r="E61" s="29">
        <v>85132</v>
      </c>
      <c r="F61" s="24" t="s">
        <v>213</v>
      </c>
      <c r="G61" s="24" t="s">
        <v>254</v>
      </c>
      <c r="H61" s="24" t="s">
        <v>5</v>
      </c>
      <c r="I61" s="25">
        <v>20.7720264317181</v>
      </c>
      <c r="J61" s="26">
        <v>74.904522613065552</v>
      </c>
      <c r="K61" s="26">
        <v>5.1608040201005005</v>
      </c>
      <c r="L61" s="26">
        <v>4.9999999999999991</v>
      </c>
      <c r="M61" s="26">
        <v>3.8994974874371851</v>
      </c>
      <c r="N61" s="26">
        <v>9.4723618090452124</v>
      </c>
      <c r="O61" s="26">
        <v>51.668341708542926</v>
      </c>
      <c r="P61" s="26">
        <v>3.1155778894472359</v>
      </c>
      <c r="Q61" s="26">
        <v>24.708542713567834</v>
      </c>
      <c r="R61" s="26">
        <v>6.8693467336683351</v>
      </c>
      <c r="S61" s="26">
        <v>2.6381909547738664</v>
      </c>
      <c r="T61" s="26">
        <v>2.4020100502512558</v>
      </c>
      <c r="U61" s="26">
        <v>77.055276381909678</v>
      </c>
      <c r="V61" s="26">
        <v>21.974874371859158</v>
      </c>
      <c r="W61" s="27"/>
      <c r="X61" s="24" t="s">
        <v>186</v>
      </c>
      <c r="Y61" s="30" t="s">
        <v>255</v>
      </c>
      <c r="Z61" s="24"/>
      <c r="AA61" s="28" t="s">
        <v>832</v>
      </c>
      <c r="AB61" s="24" t="s">
        <v>186</v>
      </c>
      <c r="AC61" s="30" t="s">
        <v>255</v>
      </c>
      <c r="AD61" s="30" t="s">
        <v>188</v>
      </c>
      <c r="AE61" s="37">
        <v>43706</v>
      </c>
    </row>
    <row r="62" spans="1:31" ht="15.75" x14ac:dyDescent="0.25">
      <c r="A62" s="23" t="s">
        <v>396</v>
      </c>
      <c r="B62" s="24" t="s">
        <v>397</v>
      </c>
      <c r="C62" s="24" t="s">
        <v>398</v>
      </c>
      <c r="D62" s="24" t="s">
        <v>360</v>
      </c>
      <c r="E62" s="29">
        <v>62992</v>
      </c>
      <c r="F62" s="24" t="s">
        <v>36</v>
      </c>
      <c r="G62" s="24" t="s">
        <v>209</v>
      </c>
      <c r="H62" s="24" t="s">
        <v>185</v>
      </c>
      <c r="I62" s="25">
        <v>32.657786885245898</v>
      </c>
      <c r="J62" s="26">
        <v>21.115577889447223</v>
      </c>
      <c r="K62" s="26">
        <v>10.532663316582916</v>
      </c>
      <c r="L62" s="26">
        <v>27.015075376884418</v>
      </c>
      <c r="M62" s="26">
        <v>28.81407035175879</v>
      </c>
      <c r="N62" s="26">
        <v>57.180904522613062</v>
      </c>
      <c r="O62" s="26">
        <v>25.728643216080375</v>
      </c>
      <c r="P62" s="26">
        <v>3.5628140703517586</v>
      </c>
      <c r="Q62" s="26">
        <v>1.0050251256281406</v>
      </c>
      <c r="R62" s="26">
        <v>31.376884422110535</v>
      </c>
      <c r="S62" s="26">
        <v>17.060301507537684</v>
      </c>
      <c r="T62" s="26">
        <v>12.185929648241206</v>
      </c>
      <c r="U62" s="26">
        <v>26.854271356783901</v>
      </c>
      <c r="V62" s="26">
        <v>56.849246231155817</v>
      </c>
      <c r="W62" s="27"/>
      <c r="X62" s="24" t="s">
        <v>186</v>
      </c>
      <c r="Y62" s="30"/>
      <c r="Z62" s="24"/>
      <c r="AA62" s="28" t="s">
        <v>831</v>
      </c>
      <c r="AB62" s="24" t="s">
        <v>186</v>
      </c>
      <c r="AC62" s="30" t="s">
        <v>718</v>
      </c>
      <c r="AD62" s="30" t="s">
        <v>466</v>
      </c>
      <c r="AE62" s="37">
        <v>44265</v>
      </c>
    </row>
    <row r="63" spans="1:31" ht="15.75" x14ac:dyDescent="0.25">
      <c r="A63" s="23" t="s">
        <v>711</v>
      </c>
      <c r="B63" s="24" t="s">
        <v>710</v>
      </c>
      <c r="C63" s="24" t="s">
        <v>709</v>
      </c>
      <c r="D63" s="24" t="s">
        <v>182</v>
      </c>
      <c r="E63" s="29">
        <v>93250</v>
      </c>
      <c r="F63" s="24" t="s">
        <v>328</v>
      </c>
      <c r="G63" s="24" t="s">
        <v>199</v>
      </c>
      <c r="H63" s="24" t="s">
        <v>185</v>
      </c>
      <c r="I63" s="25">
        <v>40.218106995884803</v>
      </c>
      <c r="J63" s="26">
        <v>2.6231155778894473</v>
      </c>
      <c r="K63" s="26">
        <v>9.8190954773869308</v>
      </c>
      <c r="L63" s="26">
        <v>18.67336683417086</v>
      </c>
      <c r="M63" s="26">
        <v>52.919597989949764</v>
      </c>
      <c r="N63" s="26">
        <v>81.050251256281456</v>
      </c>
      <c r="O63" s="26">
        <v>2.9849246231155777</v>
      </c>
      <c r="P63" s="26">
        <v>0</v>
      </c>
      <c r="Q63" s="26">
        <v>0</v>
      </c>
      <c r="R63" s="26">
        <v>71.57788944723616</v>
      </c>
      <c r="S63" s="26">
        <v>5.7537688442211055</v>
      </c>
      <c r="T63" s="26">
        <v>3.7185929648241207</v>
      </c>
      <c r="U63" s="26">
        <v>2.9849246231155777</v>
      </c>
      <c r="V63" s="26">
        <v>64.477386934673405</v>
      </c>
      <c r="W63" s="27">
        <v>560</v>
      </c>
      <c r="X63" s="24" t="s">
        <v>186</v>
      </c>
      <c r="Y63" s="30" t="s">
        <v>718</v>
      </c>
      <c r="Z63" s="24"/>
      <c r="AA63" s="28" t="s">
        <v>830</v>
      </c>
      <c r="AB63" s="24" t="s">
        <v>186</v>
      </c>
      <c r="AC63" s="30" t="s">
        <v>187</v>
      </c>
      <c r="AD63" s="30" t="s">
        <v>332</v>
      </c>
      <c r="AE63" s="37">
        <v>44120</v>
      </c>
    </row>
    <row r="64" spans="1:31" ht="15.75" x14ac:dyDescent="0.25">
      <c r="A64" s="23" t="s">
        <v>32</v>
      </c>
      <c r="B64" s="24" t="s">
        <v>382</v>
      </c>
      <c r="C64" s="24" t="s">
        <v>383</v>
      </c>
      <c r="D64" s="24" t="s">
        <v>377</v>
      </c>
      <c r="E64" s="29">
        <v>89060</v>
      </c>
      <c r="F64" s="24" t="s">
        <v>378</v>
      </c>
      <c r="G64" s="24" t="s">
        <v>254</v>
      </c>
      <c r="H64" s="24" t="s">
        <v>185</v>
      </c>
      <c r="I64" s="25">
        <v>59.094736842105299</v>
      </c>
      <c r="J64" s="26">
        <v>21.477386934673365</v>
      </c>
      <c r="K64" s="26">
        <v>17.718592964824122</v>
      </c>
      <c r="L64" s="26">
        <v>22.452261306532659</v>
      </c>
      <c r="M64" s="26">
        <v>20.437185929648237</v>
      </c>
      <c r="N64" s="26">
        <v>53.758793969849265</v>
      </c>
      <c r="O64" s="26">
        <v>14.492462311557789</v>
      </c>
      <c r="P64" s="26">
        <v>4.733668341708543</v>
      </c>
      <c r="Q64" s="26">
        <v>9.1005025125628105</v>
      </c>
      <c r="R64" s="26">
        <v>32.457286432160785</v>
      </c>
      <c r="S64" s="26">
        <v>15.522613065326636</v>
      </c>
      <c r="T64" s="26">
        <v>10.512562814070352</v>
      </c>
      <c r="U64" s="26">
        <v>23.59296482412061</v>
      </c>
      <c r="V64" s="26">
        <v>64.562814070351791</v>
      </c>
      <c r="W64" s="27"/>
      <c r="X64" s="24" t="s">
        <v>186</v>
      </c>
      <c r="Y64" s="30"/>
      <c r="Z64" s="24"/>
      <c r="AA64" s="28" t="s">
        <v>829</v>
      </c>
      <c r="AB64" s="24" t="s">
        <v>186</v>
      </c>
      <c r="AC64" s="30" t="s">
        <v>255</v>
      </c>
      <c r="AD64" s="30" t="s">
        <v>188</v>
      </c>
      <c r="AE64" s="37">
        <v>43671</v>
      </c>
    </row>
    <row r="65" spans="1:31" ht="15.75" x14ac:dyDescent="0.25">
      <c r="A65" s="23" t="s">
        <v>460</v>
      </c>
      <c r="B65" s="24" t="s">
        <v>461</v>
      </c>
      <c r="C65" s="24" t="s">
        <v>462</v>
      </c>
      <c r="D65" s="24" t="s">
        <v>299</v>
      </c>
      <c r="E65" s="29">
        <v>17745</v>
      </c>
      <c r="F65" s="24" t="s">
        <v>300</v>
      </c>
      <c r="G65" s="24" t="s">
        <v>254</v>
      </c>
      <c r="H65" s="24" t="s">
        <v>5</v>
      </c>
      <c r="I65" s="25">
        <v>44.9503546099291</v>
      </c>
      <c r="J65" s="26">
        <v>1.8140703517587939</v>
      </c>
      <c r="K65" s="26">
        <v>23.773869346733665</v>
      </c>
      <c r="L65" s="26">
        <v>27.517587939698473</v>
      </c>
      <c r="M65" s="26">
        <v>26.999999999999996</v>
      </c>
      <c r="N65" s="26">
        <v>78.422110552763897</v>
      </c>
      <c r="O65" s="26">
        <v>0.68341708542713575</v>
      </c>
      <c r="P65" s="26">
        <v>1</v>
      </c>
      <c r="Q65" s="26">
        <v>0</v>
      </c>
      <c r="R65" s="26">
        <v>55.447236180904532</v>
      </c>
      <c r="S65" s="26">
        <v>21.527638190954779</v>
      </c>
      <c r="T65" s="26">
        <v>1.4974874371859297</v>
      </c>
      <c r="U65" s="26">
        <v>1.6331658291457287</v>
      </c>
      <c r="V65" s="26">
        <v>75.994974874371948</v>
      </c>
      <c r="W65" s="27"/>
      <c r="X65" s="24" t="s">
        <v>186</v>
      </c>
      <c r="Y65" s="30" t="s">
        <v>756</v>
      </c>
      <c r="Z65" s="24" t="s">
        <v>311</v>
      </c>
      <c r="AA65" s="28" t="s">
        <v>823</v>
      </c>
      <c r="AB65" s="24" t="s">
        <v>186</v>
      </c>
      <c r="AC65" s="30" t="s">
        <v>294</v>
      </c>
      <c r="AD65" s="30" t="s">
        <v>311</v>
      </c>
      <c r="AE65" s="37">
        <v>43734</v>
      </c>
    </row>
    <row r="66" spans="1:31" ht="15.75" x14ac:dyDescent="0.25">
      <c r="A66" s="23" t="s">
        <v>333</v>
      </c>
      <c r="B66" s="24" t="s">
        <v>334</v>
      </c>
      <c r="C66" s="24" t="s">
        <v>335</v>
      </c>
      <c r="D66" s="24" t="s">
        <v>29</v>
      </c>
      <c r="E66" s="29">
        <v>2360</v>
      </c>
      <c r="F66" s="24" t="s">
        <v>336</v>
      </c>
      <c r="G66" s="24" t="s">
        <v>209</v>
      </c>
      <c r="H66" s="24" t="s">
        <v>5</v>
      </c>
      <c r="I66" s="25">
        <v>170.208333333333</v>
      </c>
      <c r="J66" s="26">
        <v>12.437185929648241</v>
      </c>
      <c r="K66" s="26">
        <v>5.582914572864321</v>
      </c>
      <c r="L66" s="26">
        <v>29.301507537688448</v>
      </c>
      <c r="M66" s="26">
        <v>30.874371859296478</v>
      </c>
      <c r="N66" s="26">
        <v>46.567839195979914</v>
      </c>
      <c r="O66" s="26">
        <v>31.628140703517595</v>
      </c>
      <c r="P66" s="26">
        <v>0</v>
      </c>
      <c r="Q66" s="26">
        <v>0</v>
      </c>
      <c r="R66" s="26">
        <v>27.175879396984921</v>
      </c>
      <c r="S66" s="26">
        <v>8.3919597989949732</v>
      </c>
      <c r="T66" s="26">
        <v>11</v>
      </c>
      <c r="U66" s="26">
        <v>31.628140703517595</v>
      </c>
      <c r="V66" s="26">
        <v>45.180904522613076</v>
      </c>
      <c r="W66" s="27"/>
      <c r="X66" s="24" t="s">
        <v>186</v>
      </c>
      <c r="Y66" s="30" t="s">
        <v>756</v>
      </c>
      <c r="Z66" s="24" t="s">
        <v>311</v>
      </c>
      <c r="AA66" s="28" t="s">
        <v>806</v>
      </c>
      <c r="AB66" s="24" t="s">
        <v>186</v>
      </c>
      <c r="AC66" s="30" t="s">
        <v>294</v>
      </c>
      <c r="AD66" s="30" t="s">
        <v>311</v>
      </c>
      <c r="AE66" s="37">
        <v>43629</v>
      </c>
    </row>
    <row r="67" spans="1:31" ht="15.75" x14ac:dyDescent="0.25">
      <c r="A67" s="23" t="s">
        <v>828</v>
      </c>
      <c r="B67" s="24" t="s">
        <v>301</v>
      </c>
      <c r="C67" s="24" t="s">
        <v>35</v>
      </c>
      <c r="D67" s="24" t="s">
        <v>197</v>
      </c>
      <c r="E67" s="29">
        <v>76574</v>
      </c>
      <c r="F67" s="24" t="s">
        <v>198</v>
      </c>
      <c r="G67" s="24" t="s">
        <v>184</v>
      </c>
      <c r="H67" s="24" t="s">
        <v>10</v>
      </c>
      <c r="I67" s="25">
        <v>48.976525821596198</v>
      </c>
      <c r="J67" s="26">
        <v>75.994974874372346</v>
      </c>
      <c r="K67" s="26">
        <v>0.19597989949748743</v>
      </c>
      <c r="L67" s="26">
        <v>0</v>
      </c>
      <c r="M67" s="26">
        <v>0.61809045226130654</v>
      </c>
      <c r="N67" s="26">
        <v>0</v>
      </c>
      <c r="O67" s="26">
        <v>0</v>
      </c>
      <c r="P67" s="26">
        <v>1.3869346733668344</v>
      </c>
      <c r="Q67" s="26">
        <v>75.422110552764309</v>
      </c>
      <c r="R67" s="26">
        <v>0</v>
      </c>
      <c r="S67" s="26">
        <v>0</v>
      </c>
      <c r="T67" s="26">
        <v>1.3869346733668344</v>
      </c>
      <c r="U67" s="26">
        <v>75.422110552764309</v>
      </c>
      <c r="V67" s="26">
        <v>58.311557788944782</v>
      </c>
      <c r="W67" s="27">
        <v>461</v>
      </c>
      <c r="X67" s="24" t="s">
        <v>186</v>
      </c>
      <c r="Y67" s="30" t="s">
        <v>718</v>
      </c>
      <c r="Z67" s="24" t="s">
        <v>188</v>
      </c>
      <c r="AA67" s="28" t="s">
        <v>805</v>
      </c>
      <c r="AB67" s="24" t="s">
        <v>186</v>
      </c>
      <c r="AC67" s="30" t="s">
        <v>203</v>
      </c>
      <c r="AD67" s="30" t="s">
        <v>189</v>
      </c>
      <c r="AE67" s="37">
        <v>43706</v>
      </c>
    </row>
    <row r="68" spans="1:31" ht="15.75" x14ac:dyDescent="0.25">
      <c r="A68" s="23" t="s">
        <v>33</v>
      </c>
      <c r="B68" s="24" t="s">
        <v>368</v>
      </c>
      <c r="C68" s="24" t="s">
        <v>369</v>
      </c>
      <c r="D68" s="24" t="s">
        <v>370</v>
      </c>
      <c r="E68" s="29">
        <v>74447</v>
      </c>
      <c r="F68" s="24" t="s">
        <v>272</v>
      </c>
      <c r="G68" s="24" t="s">
        <v>209</v>
      </c>
      <c r="H68" s="24" t="s">
        <v>5</v>
      </c>
      <c r="I68" s="25">
        <v>71.223642172523995</v>
      </c>
      <c r="J68" s="26">
        <v>24.673366834170846</v>
      </c>
      <c r="K68" s="26">
        <v>13.698492462311547</v>
      </c>
      <c r="L68" s="26">
        <v>16.321608040200999</v>
      </c>
      <c r="M68" s="26">
        <v>21.999999999999986</v>
      </c>
      <c r="N68" s="26">
        <v>47.603015075376931</v>
      </c>
      <c r="O68" s="26">
        <v>29.090452261306517</v>
      </c>
      <c r="P68" s="26">
        <v>0</v>
      </c>
      <c r="Q68" s="26">
        <v>0</v>
      </c>
      <c r="R68" s="26">
        <v>36.316582914572891</v>
      </c>
      <c r="S68" s="26">
        <v>6.341708542713568</v>
      </c>
      <c r="T68" s="26">
        <v>5.0603015075376874</v>
      </c>
      <c r="U68" s="26">
        <v>28.974874371859283</v>
      </c>
      <c r="V68" s="26">
        <v>63.306532663316673</v>
      </c>
      <c r="W68" s="27"/>
      <c r="X68" s="24" t="s">
        <v>186</v>
      </c>
      <c r="Y68" s="30" t="s">
        <v>187</v>
      </c>
      <c r="Z68" s="24" t="s">
        <v>188</v>
      </c>
      <c r="AA68" s="28" t="s">
        <v>702</v>
      </c>
      <c r="AB68" s="24" t="s">
        <v>186</v>
      </c>
      <c r="AC68" s="30" t="s">
        <v>187</v>
      </c>
      <c r="AD68" s="30" t="s">
        <v>188</v>
      </c>
      <c r="AE68" s="37">
        <v>43727</v>
      </c>
    </row>
    <row r="69" spans="1:31" ht="15.75" x14ac:dyDescent="0.25">
      <c r="A69" s="23" t="s">
        <v>323</v>
      </c>
      <c r="B69" s="24" t="s">
        <v>324</v>
      </c>
      <c r="C69" s="24" t="s">
        <v>325</v>
      </c>
      <c r="D69" s="24" t="s">
        <v>212</v>
      </c>
      <c r="E69" s="29">
        <v>85132</v>
      </c>
      <c r="F69" s="24" t="s">
        <v>213</v>
      </c>
      <c r="G69" s="24" t="s">
        <v>235</v>
      </c>
      <c r="H69" s="24" t="s">
        <v>5</v>
      </c>
      <c r="I69" s="25">
        <v>10.9544603867748</v>
      </c>
      <c r="J69" s="26">
        <v>41.562814070351919</v>
      </c>
      <c r="K69" s="26">
        <v>11.83919597989949</v>
      </c>
      <c r="L69" s="26">
        <v>8.2914572864321592</v>
      </c>
      <c r="M69" s="26">
        <v>9.2060301507537652</v>
      </c>
      <c r="N69" s="26">
        <v>27.748743718592898</v>
      </c>
      <c r="O69" s="26">
        <v>42.924623115577972</v>
      </c>
      <c r="P69" s="26">
        <v>2.0100502512562814E-2</v>
      </c>
      <c r="Q69" s="26">
        <v>0.20603015075376868</v>
      </c>
      <c r="R69" s="26">
        <v>13.065326633165835</v>
      </c>
      <c r="S69" s="26">
        <v>5.7537688442211019</v>
      </c>
      <c r="T69" s="26">
        <v>8.5226130653266328</v>
      </c>
      <c r="U69" s="26">
        <v>43.557788944723761</v>
      </c>
      <c r="V69" s="26">
        <v>42.90954773869359</v>
      </c>
      <c r="W69" s="27">
        <v>392</v>
      </c>
      <c r="X69" s="24" t="s">
        <v>186</v>
      </c>
      <c r="Y69" s="30" t="s">
        <v>718</v>
      </c>
      <c r="Z69" s="24"/>
      <c r="AA69" s="28" t="s">
        <v>815</v>
      </c>
      <c r="AB69" s="24" t="s">
        <v>186</v>
      </c>
      <c r="AC69" s="30" t="s">
        <v>718</v>
      </c>
      <c r="AD69" s="30" t="s">
        <v>188</v>
      </c>
      <c r="AE69" s="37">
        <v>44139</v>
      </c>
    </row>
    <row r="70" spans="1:31" ht="15.75" x14ac:dyDescent="0.25">
      <c r="A70" s="23" t="s">
        <v>341</v>
      </c>
      <c r="B70" s="24" t="s">
        <v>342</v>
      </c>
      <c r="C70" s="24" t="s">
        <v>343</v>
      </c>
      <c r="D70" s="24" t="s">
        <v>276</v>
      </c>
      <c r="E70" s="29">
        <v>7032</v>
      </c>
      <c r="F70" s="24" t="s">
        <v>344</v>
      </c>
      <c r="G70" s="24" t="s">
        <v>209</v>
      </c>
      <c r="H70" s="24" t="s">
        <v>185</v>
      </c>
      <c r="I70" s="25">
        <v>117.212903225806</v>
      </c>
      <c r="J70" s="26">
        <v>1.8492462311557789</v>
      </c>
      <c r="K70" s="26">
        <v>5.6231155778894477</v>
      </c>
      <c r="L70" s="26">
        <v>33.025125628140707</v>
      </c>
      <c r="M70" s="26">
        <v>28.753768844221106</v>
      </c>
      <c r="N70" s="26">
        <v>52.78391959798995</v>
      </c>
      <c r="O70" s="26">
        <v>16.467336683417088</v>
      </c>
      <c r="P70" s="26">
        <v>0</v>
      </c>
      <c r="Q70" s="26">
        <v>0</v>
      </c>
      <c r="R70" s="26">
        <v>30.793969849246231</v>
      </c>
      <c r="S70" s="26">
        <v>11.623115577889447</v>
      </c>
      <c r="T70" s="26">
        <v>10.743718592964823</v>
      </c>
      <c r="U70" s="26">
        <v>16.090452261306535</v>
      </c>
      <c r="V70" s="26">
        <v>40.8643216080402</v>
      </c>
      <c r="W70" s="27"/>
      <c r="X70" s="24" t="s">
        <v>186</v>
      </c>
      <c r="Y70" s="30" t="s">
        <v>255</v>
      </c>
      <c r="Z70" s="24" t="s">
        <v>188</v>
      </c>
      <c r="AA70" s="28" t="s">
        <v>708</v>
      </c>
      <c r="AB70" s="24" t="s">
        <v>186</v>
      </c>
      <c r="AC70" s="30" t="s">
        <v>255</v>
      </c>
      <c r="AD70" s="30" t="s">
        <v>188</v>
      </c>
      <c r="AE70" s="37">
        <v>43594</v>
      </c>
    </row>
    <row r="71" spans="1:31" ht="15.75" x14ac:dyDescent="0.25">
      <c r="A71" s="23" t="s">
        <v>480</v>
      </c>
      <c r="B71" s="24" t="s">
        <v>481</v>
      </c>
      <c r="C71" s="24" t="s">
        <v>482</v>
      </c>
      <c r="D71" s="24" t="s">
        <v>339</v>
      </c>
      <c r="E71" s="29">
        <v>56201</v>
      </c>
      <c r="F71" s="24" t="s">
        <v>340</v>
      </c>
      <c r="G71" s="24" t="s">
        <v>209</v>
      </c>
      <c r="H71" s="24" t="s">
        <v>185</v>
      </c>
      <c r="I71" s="25">
        <v>71.198830409356702</v>
      </c>
      <c r="J71" s="26">
        <v>3.0402010050251254</v>
      </c>
      <c r="K71" s="26">
        <v>10.648241206030152</v>
      </c>
      <c r="L71" s="26">
        <v>38.407035175879386</v>
      </c>
      <c r="M71" s="26">
        <v>17.145728643216078</v>
      </c>
      <c r="N71" s="26">
        <v>47.301507537688437</v>
      </c>
      <c r="O71" s="26">
        <v>11.758793969849243</v>
      </c>
      <c r="P71" s="26">
        <v>8.1909547738693469</v>
      </c>
      <c r="Q71" s="26">
        <v>1.9899497487437188</v>
      </c>
      <c r="R71" s="26">
        <v>33.447236180904525</v>
      </c>
      <c r="S71" s="26">
        <v>12.668341708542714</v>
      </c>
      <c r="T71" s="26">
        <v>11.075376884422107</v>
      </c>
      <c r="U71" s="26">
        <v>12.050251256281403</v>
      </c>
      <c r="V71" s="26">
        <v>50.653266331658315</v>
      </c>
      <c r="W71" s="27"/>
      <c r="X71" s="24" t="s">
        <v>186</v>
      </c>
      <c r="Y71" s="30" t="s">
        <v>294</v>
      </c>
      <c r="Z71" s="24" t="s">
        <v>311</v>
      </c>
      <c r="AA71" s="28" t="s">
        <v>453</v>
      </c>
      <c r="AB71" s="24" t="s">
        <v>186</v>
      </c>
      <c r="AC71" s="30" t="s">
        <v>294</v>
      </c>
      <c r="AD71" s="30" t="s">
        <v>311</v>
      </c>
      <c r="AE71" s="37">
        <v>43440</v>
      </c>
    </row>
    <row r="72" spans="1:31" ht="15.75" x14ac:dyDescent="0.25">
      <c r="A72" s="23" t="s">
        <v>420</v>
      </c>
      <c r="B72" s="24" t="s">
        <v>421</v>
      </c>
      <c r="C72" s="24" t="s">
        <v>422</v>
      </c>
      <c r="D72" s="24" t="s">
        <v>399</v>
      </c>
      <c r="E72" s="29">
        <v>53039</v>
      </c>
      <c r="F72" s="24" t="s">
        <v>36</v>
      </c>
      <c r="G72" s="24" t="s">
        <v>254</v>
      </c>
      <c r="H72" s="24" t="s">
        <v>185</v>
      </c>
      <c r="I72" s="25">
        <v>40.242902208201897</v>
      </c>
      <c r="J72" s="26">
        <v>4.949748743718593</v>
      </c>
      <c r="K72" s="26">
        <v>4.3115577889447225</v>
      </c>
      <c r="L72" s="26">
        <v>25.91457286432162</v>
      </c>
      <c r="M72" s="26">
        <v>33.884422110552748</v>
      </c>
      <c r="N72" s="26">
        <v>54.693467336683462</v>
      </c>
      <c r="O72" s="26">
        <v>9.7537688442211063</v>
      </c>
      <c r="P72" s="26">
        <v>4.4924623115577891</v>
      </c>
      <c r="Q72" s="26">
        <v>0.12060301507537688</v>
      </c>
      <c r="R72" s="26">
        <v>31.517587939698494</v>
      </c>
      <c r="S72" s="26">
        <v>16.854271356783915</v>
      </c>
      <c r="T72" s="26">
        <v>10.874371859296481</v>
      </c>
      <c r="U72" s="26">
        <v>9.8140703517587937</v>
      </c>
      <c r="V72" s="26">
        <v>43.06030150753768</v>
      </c>
      <c r="W72" s="27"/>
      <c r="X72" s="24" t="s">
        <v>186</v>
      </c>
      <c r="Y72" s="30" t="s">
        <v>756</v>
      </c>
      <c r="Z72" s="24" t="s">
        <v>311</v>
      </c>
      <c r="AA72" s="28" t="s">
        <v>822</v>
      </c>
      <c r="AB72" s="24" t="s">
        <v>186</v>
      </c>
      <c r="AC72" s="30" t="s">
        <v>294</v>
      </c>
      <c r="AD72" s="30" t="s">
        <v>311</v>
      </c>
      <c r="AE72" s="37">
        <v>44133</v>
      </c>
    </row>
    <row r="73" spans="1:31" ht="15.75" x14ac:dyDescent="0.25">
      <c r="A73" s="23" t="s">
        <v>28</v>
      </c>
      <c r="B73" s="24" t="s">
        <v>423</v>
      </c>
      <c r="C73" s="24" t="s">
        <v>424</v>
      </c>
      <c r="D73" s="24" t="s">
        <v>307</v>
      </c>
      <c r="E73" s="29">
        <v>10924</v>
      </c>
      <c r="F73" s="24" t="s">
        <v>344</v>
      </c>
      <c r="G73" s="24" t="s">
        <v>209</v>
      </c>
      <c r="H73" s="24" t="s">
        <v>185</v>
      </c>
      <c r="I73" s="25">
        <v>82.919597989949807</v>
      </c>
      <c r="J73" s="26">
        <v>10.723618090452257</v>
      </c>
      <c r="K73" s="26">
        <v>15.266331658291454</v>
      </c>
      <c r="L73" s="26">
        <v>22.999999999999986</v>
      </c>
      <c r="M73" s="26">
        <v>19.954773869346724</v>
      </c>
      <c r="N73" s="26">
        <v>45.010050251256303</v>
      </c>
      <c r="O73" s="26">
        <v>21.703517587939682</v>
      </c>
      <c r="P73" s="26">
        <v>0.99497487437185916</v>
      </c>
      <c r="Q73" s="26">
        <v>1.2361809045226131</v>
      </c>
      <c r="R73" s="26">
        <v>18.206030150753769</v>
      </c>
      <c r="S73" s="26">
        <v>15.934673366834172</v>
      </c>
      <c r="T73" s="26">
        <v>12.231155778894472</v>
      </c>
      <c r="U73" s="26">
        <v>22.572864321608023</v>
      </c>
      <c r="V73" s="26">
        <v>38.095477386934704</v>
      </c>
      <c r="W73" s="27"/>
      <c r="X73" s="24" t="s">
        <v>186</v>
      </c>
      <c r="Y73" s="30"/>
      <c r="Z73" s="24"/>
      <c r="AA73" s="28" t="s">
        <v>827</v>
      </c>
      <c r="AB73" s="24" t="s">
        <v>186</v>
      </c>
      <c r="AC73" s="30" t="s">
        <v>756</v>
      </c>
      <c r="AD73" s="30" t="s">
        <v>311</v>
      </c>
      <c r="AE73" s="37">
        <v>44134</v>
      </c>
    </row>
    <row r="74" spans="1:31" ht="15.75" x14ac:dyDescent="0.25">
      <c r="A74" s="23" t="s">
        <v>442</v>
      </c>
      <c r="B74" s="24" t="s">
        <v>443</v>
      </c>
      <c r="C74" s="24" t="s">
        <v>444</v>
      </c>
      <c r="D74" s="24" t="s">
        <v>445</v>
      </c>
      <c r="E74" s="29">
        <v>3820</v>
      </c>
      <c r="F74" s="24" t="s">
        <v>336</v>
      </c>
      <c r="G74" s="24" t="s">
        <v>209</v>
      </c>
      <c r="H74" s="24" t="s">
        <v>185</v>
      </c>
      <c r="I74" s="25">
        <v>107.72932330827101</v>
      </c>
      <c r="J74" s="26">
        <v>5.3266331658291461</v>
      </c>
      <c r="K74" s="26">
        <v>5.9748743718592969</v>
      </c>
      <c r="L74" s="26">
        <v>26.748743718592973</v>
      </c>
      <c r="M74" s="26">
        <v>30.286432160804026</v>
      </c>
      <c r="N74" s="26">
        <v>37.839195979899493</v>
      </c>
      <c r="O74" s="26">
        <v>28.160804020100503</v>
      </c>
      <c r="P74" s="26">
        <v>0.21608040201005024</v>
      </c>
      <c r="Q74" s="26">
        <v>2.120603015075377</v>
      </c>
      <c r="R74" s="26">
        <v>21.96984924623116</v>
      </c>
      <c r="S74" s="26">
        <v>7.5125628140703506</v>
      </c>
      <c r="T74" s="26">
        <v>8.6432160804020111</v>
      </c>
      <c r="U74" s="26">
        <v>30.211055276381909</v>
      </c>
      <c r="V74" s="26">
        <v>36.391959798994975</v>
      </c>
      <c r="W74" s="27"/>
      <c r="X74" s="24" t="s">
        <v>186</v>
      </c>
      <c r="Y74" s="30" t="s">
        <v>255</v>
      </c>
      <c r="Z74" s="24" t="s">
        <v>188</v>
      </c>
      <c r="AA74" s="28" t="s">
        <v>812</v>
      </c>
      <c r="AB74" s="24" t="s">
        <v>186</v>
      </c>
      <c r="AC74" s="30" t="s">
        <v>255</v>
      </c>
      <c r="AD74" s="30" t="s">
        <v>188</v>
      </c>
      <c r="AE74" s="37">
        <v>43811</v>
      </c>
    </row>
    <row r="75" spans="1:31" ht="15.75" x14ac:dyDescent="0.25">
      <c r="A75" s="23" t="s">
        <v>447</v>
      </c>
      <c r="B75" s="24" t="s">
        <v>448</v>
      </c>
      <c r="C75" s="24" t="s">
        <v>383</v>
      </c>
      <c r="D75" s="24" t="s">
        <v>377</v>
      </c>
      <c r="E75" s="29">
        <v>89060</v>
      </c>
      <c r="F75" s="24" t="s">
        <v>378</v>
      </c>
      <c r="G75" s="24" t="s">
        <v>209</v>
      </c>
      <c r="H75" s="24" t="s">
        <v>185</v>
      </c>
      <c r="I75" s="25">
        <v>38.635802469135797</v>
      </c>
      <c r="J75" s="26">
        <v>11.160804020100505</v>
      </c>
      <c r="K75" s="26">
        <v>8.5979899497487491</v>
      </c>
      <c r="L75" s="26">
        <v>22.879396984924622</v>
      </c>
      <c r="M75" s="26">
        <v>22.512562814070346</v>
      </c>
      <c r="N75" s="26">
        <v>52.075376884422099</v>
      </c>
      <c r="O75" s="26">
        <v>13.075376884422111</v>
      </c>
      <c r="P75" s="26">
        <v>0</v>
      </c>
      <c r="Q75" s="26">
        <v>0</v>
      </c>
      <c r="R75" s="26">
        <v>30.959798994974868</v>
      </c>
      <c r="S75" s="26">
        <v>10.884422110552766</v>
      </c>
      <c r="T75" s="26">
        <v>10.231155778894477</v>
      </c>
      <c r="U75" s="26">
        <v>13.075376884422111</v>
      </c>
      <c r="V75" s="26">
        <v>47.673366834170878</v>
      </c>
      <c r="W75" s="27"/>
      <c r="X75" s="24" t="s">
        <v>186</v>
      </c>
      <c r="Y75" s="30" t="s">
        <v>756</v>
      </c>
      <c r="Z75" s="24" t="s">
        <v>311</v>
      </c>
      <c r="AA75" s="28" t="s">
        <v>826</v>
      </c>
      <c r="AB75" s="24" t="s">
        <v>186</v>
      </c>
      <c r="AC75" s="30" t="s">
        <v>294</v>
      </c>
      <c r="AD75" s="30" t="s">
        <v>311</v>
      </c>
      <c r="AE75" s="37">
        <v>43804</v>
      </c>
    </row>
    <row r="76" spans="1:31" ht="15.75" x14ac:dyDescent="0.25">
      <c r="A76" s="23" t="s">
        <v>20</v>
      </c>
      <c r="B76" s="24" t="s">
        <v>337</v>
      </c>
      <c r="C76" s="24" t="s">
        <v>338</v>
      </c>
      <c r="D76" s="24" t="s">
        <v>339</v>
      </c>
      <c r="E76" s="29">
        <v>55330</v>
      </c>
      <c r="F76" s="24" t="s">
        <v>340</v>
      </c>
      <c r="G76" s="24" t="s">
        <v>209</v>
      </c>
      <c r="H76" s="24" t="s">
        <v>185</v>
      </c>
      <c r="I76" s="25">
        <v>131.227586206897</v>
      </c>
      <c r="J76" s="26">
        <v>3.874371859296482</v>
      </c>
      <c r="K76" s="26">
        <v>8.1859296482412081</v>
      </c>
      <c r="L76" s="26">
        <v>39.130653266331649</v>
      </c>
      <c r="M76" s="26">
        <v>11.829145728643216</v>
      </c>
      <c r="N76" s="26">
        <v>44.929648241206024</v>
      </c>
      <c r="O76" s="26">
        <v>12.396984924623114</v>
      </c>
      <c r="P76" s="26">
        <v>5.4773869346733663</v>
      </c>
      <c r="Q76" s="26">
        <v>0.21608040201005024</v>
      </c>
      <c r="R76" s="26">
        <v>32.824120603015068</v>
      </c>
      <c r="S76" s="26">
        <v>10.964824120603016</v>
      </c>
      <c r="T76" s="26">
        <v>6.7085427135678382</v>
      </c>
      <c r="U76" s="26">
        <v>12.522613065326633</v>
      </c>
      <c r="V76" s="26">
        <v>47.221105527638187</v>
      </c>
      <c r="W76" s="27"/>
      <c r="X76" s="24" t="s">
        <v>186</v>
      </c>
      <c r="Y76" s="30" t="s">
        <v>756</v>
      </c>
      <c r="Z76" s="24" t="s">
        <v>311</v>
      </c>
      <c r="AA76" s="28" t="s">
        <v>825</v>
      </c>
      <c r="AB76" s="24" t="s">
        <v>186</v>
      </c>
      <c r="AC76" s="30" t="s">
        <v>294</v>
      </c>
      <c r="AD76" s="30" t="s">
        <v>311</v>
      </c>
      <c r="AE76" s="37">
        <v>43784</v>
      </c>
    </row>
    <row r="77" spans="1:31" ht="15.75" x14ac:dyDescent="0.25">
      <c r="A77" s="23" t="s">
        <v>7</v>
      </c>
      <c r="B77" s="24" t="s">
        <v>425</v>
      </c>
      <c r="C77" s="24" t="s">
        <v>426</v>
      </c>
      <c r="D77" s="24" t="s">
        <v>207</v>
      </c>
      <c r="E77" s="29">
        <v>70655</v>
      </c>
      <c r="F77" s="24" t="s">
        <v>208</v>
      </c>
      <c r="G77" s="24" t="s">
        <v>209</v>
      </c>
      <c r="H77" s="24" t="s">
        <v>5</v>
      </c>
      <c r="I77" s="25">
        <v>69.496815286624198</v>
      </c>
      <c r="J77" s="26">
        <v>40.366834170854275</v>
      </c>
      <c r="K77" s="26">
        <v>18.231155778894475</v>
      </c>
      <c r="L77" s="26">
        <v>3.5477386934673367</v>
      </c>
      <c r="M77" s="26">
        <v>0</v>
      </c>
      <c r="N77" s="26">
        <v>9.8140703517587937</v>
      </c>
      <c r="O77" s="26">
        <v>52.331658291457309</v>
      </c>
      <c r="P77" s="26">
        <v>0</v>
      </c>
      <c r="Q77" s="26">
        <v>0</v>
      </c>
      <c r="R77" s="26">
        <v>3.8894472361809043</v>
      </c>
      <c r="S77" s="26">
        <v>2.1859296482412058</v>
      </c>
      <c r="T77" s="26">
        <v>3.7738693467336675</v>
      </c>
      <c r="U77" s="26">
        <v>52.296482412060321</v>
      </c>
      <c r="V77" s="26">
        <v>51.804020100502562</v>
      </c>
      <c r="W77" s="27">
        <v>100</v>
      </c>
      <c r="X77" s="24" t="s">
        <v>186</v>
      </c>
      <c r="Y77" s="30" t="s">
        <v>718</v>
      </c>
      <c r="Z77" s="24" t="s">
        <v>188</v>
      </c>
      <c r="AA77" s="28" t="s">
        <v>808</v>
      </c>
      <c r="AB77" s="24" t="s">
        <v>186</v>
      </c>
      <c r="AC77" s="30" t="s">
        <v>187</v>
      </c>
      <c r="AD77" s="30" t="s">
        <v>188</v>
      </c>
      <c r="AE77" s="37">
        <v>43804</v>
      </c>
    </row>
    <row r="78" spans="1:31" ht="15.75" x14ac:dyDescent="0.25">
      <c r="A78" s="23" t="s">
        <v>414</v>
      </c>
      <c r="B78" s="24" t="s">
        <v>415</v>
      </c>
      <c r="C78" s="24" t="s">
        <v>416</v>
      </c>
      <c r="D78" s="24" t="s">
        <v>417</v>
      </c>
      <c r="E78" s="29">
        <v>41005</v>
      </c>
      <c r="F78" s="24" t="s">
        <v>36</v>
      </c>
      <c r="G78" s="24" t="s">
        <v>254</v>
      </c>
      <c r="H78" s="24" t="s">
        <v>185</v>
      </c>
      <c r="I78" s="25">
        <v>52.614718614718598</v>
      </c>
      <c r="J78" s="26">
        <v>10.03015075376884</v>
      </c>
      <c r="K78" s="26">
        <v>5.482412060301507</v>
      </c>
      <c r="L78" s="26">
        <v>21.070351758793969</v>
      </c>
      <c r="M78" s="26">
        <v>17.100502512562816</v>
      </c>
      <c r="N78" s="26">
        <v>38.648241206030143</v>
      </c>
      <c r="O78" s="26">
        <v>14.894472361809044</v>
      </c>
      <c r="P78" s="26">
        <v>3.015075376884422E-2</v>
      </c>
      <c r="Q78" s="26">
        <v>0.11055276381909548</v>
      </c>
      <c r="R78" s="26">
        <v>23.567839195979897</v>
      </c>
      <c r="S78" s="26">
        <v>8.2462311557788919</v>
      </c>
      <c r="T78" s="26">
        <v>6.8643216080402008</v>
      </c>
      <c r="U78" s="26">
        <v>15.005025125628141</v>
      </c>
      <c r="V78" s="26">
        <v>34.497487437185917</v>
      </c>
      <c r="W78" s="27"/>
      <c r="X78" s="24" t="s">
        <v>186</v>
      </c>
      <c r="Y78" s="30" t="s">
        <v>294</v>
      </c>
      <c r="Z78" s="24" t="s">
        <v>311</v>
      </c>
      <c r="AA78" s="28" t="s">
        <v>824</v>
      </c>
      <c r="AB78" s="24" t="s">
        <v>186</v>
      </c>
      <c r="AC78" s="30" t="s">
        <v>294</v>
      </c>
      <c r="AD78" s="30" t="s">
        <v>311</v>
      </c>
      <c r="AE78" s="37">
        <v>43895</v>
      </c>
    </row>
    <row r="79" spans="1:31" ht="15.75" x14ac:dyDescent="0.25">
      <c r="A79" s="23" t="s">
        <v>477</v>
      </c>
      <c r="B79" s="24" t="s">
        <v>478</v>
      </c>
      <c r="C79" s="24" t="s">
        <v>479</v>
      </c>
      <c r="D79" s="24" t="s">
        <v>212</v>
      </c>
      <c r="E79" s="29">
        <v>85349</v>
      </c>
      <c r="F79" s="24" t="s">
        <v>225</v>
      </c>
      <c r="G79" s="24" t="s">
        <v>209</v>
      </c>
      <c r="H79" s="24" t="s">
        <v>185</v>
      </c>
      <c r="I79" s="25">
        <v>14.350777934936399</v>
      </c>
      <c r="J79" s="26">
        <v>28.949748743718438</v>
      </c>
      <c r="K79" s="26">
        <v>9.1356783919598001</v>
      </c>
      <c r="L79" s="26">
        <v>6.5427135678391997</v>
      </c>
      <c r="M79" s="26">
        <v>7.4623115577889472</v>
      </c>
      <c r="N79" s="26">
        <v>16.693467336683401</v>
      </c>
      <c r="O79" s="26">
        <v>29.336683417085275</v>
      </c>
      <c r="P79" s="26">
        <v>0.97487437185929648</v>
      </c>
      <c r="Q79" s="26">
        <v>5.0854271356783887</v>
      </c>
      <c r="R79" s="26">
        <v>8.9296482412060314</v>
      </c>
      <c r="S79" s="26">
        <v>3.8090452261306535</v>
      </c>
      <c r="T79" s="26">
        <v>4.618090452261308</v>
      </c>
      <c r="U79" s="26">
        <v>34.73366834170848</v>
      </c>
      <c r="V79" s="26">
        <v>29.085427135678263</v>
      </c>
      <c r="W79" s="27">
        <v>100</v>
      </c>
      <c r="X79" s="24" t="s">
        <v>186</v>
      </c>
      <c r="Y79" s="30" t="s">
        <v>756</v>
      </c>
      <c r="Z79" s="24"/>
      <c r="AA79" s="28" t="s">
        <v>823</v>
      </c>
      <c r="AB79" s="24" t="s">
        <v>186</v>
      </c>
      <c r="AC79" s="30" t="s">
        <v>294</v>
      </c>
      <c r="AD79" s="30" t="s">
        <v>311</v>
      </c>
      <c r="AE79" s="37">
        <v>43587</v>
      </c>
    </row>
    <row r="80" spans="1:31" ht="15.75" x14ac:dyDescent="0.25">
      <c r="A80" s="23" t="s">
        <v>486</v>
      </c>
      <c r="B80" s="24" t="s">
        <v>487</v>
      </c>
      <c r="C80" s="24" t="s">
        <v>12</v>
      </c>
      <c r="D80" s="24" t="s">
        <v>488</v>
      </c>
      <c r="E80" s="29">
        <v>47834</v>
      </c>
      <c r="F80" s="24" t="s">
        <v>36</v>
      </c>
      <c r="G80" s="24" t="s">
        <v>254</v>
      </c>
      <c r="H80" s="24" t="s">
        <v>5</v>
      </c>
      <c r="I80" s="25">
        <v>18.285454545454499</v>
      </c>
      <c r="J80" s="26">
        <v>18.120603015075339</v>
      </c>
      <c r="K80" s="26">
        <v>7.4321608040200999</v>
      </c>
      <c r="L80" s="26">
        <v>15.603015075376877</v>
      </c>
      <c r="M80" s="26">
        <v>10.542713567839202</v>
      </c>
      <c r="N80" s="26">
        <v>27.160804020100439</v>
      </c>
      <c r="O80" s="26">
        <v>20.894472361808997</v>
      </c>
      <c r="P80" s="26">
        <v>2.2562814070351758</v>
      </c>
      <c r="Q80" s="26">
        <v>1.3869346733668344</v>
      </c>
      <c r="R80" s="26">
        <v>12.110552763819101</v>
      </c>
      <c r="S80" s="26">
        <v>5.7386934673366836</v>
      </c>
      <c r="T80" s="26">
        <v>11.462311557788945</v>
      </c>
      <c r="U80" s="26">
        <v>22.386934673366778</v>
      </c>
      <c r="V80" s="26">
        <v>30.879396984924593</v>
      </c>
      <c r="W80" s="27"/>
      <c r="X80" s="24" t="s">
        <v>186</v>
      </c>
      <c r="Y80" s="30" t="s">
        <v>255</v>
      </c>
      <c r="Z80" s="24" t="s">
        <v>188</v>
      </c>
      <c r="AA80" s="28" t="s">
        <v>700</v>
      </c>
      <c r="AB80" s="24" t="s">
        <v>186</v>
      </c>
      <c r="AC80" s="30" t="s">
        <v>255</v>
      </c>
      <c r="AD80" s="30" t="s">
        <v>188</v>
      </c>
      <c r="AE80" s="37">
        <v>43616</v>
      </c>
    </row>
    <row r="81" spans="1:31" ht="15.75" x14ac:dyDescent="0.25">
      <c r="A81" s="23" t="s">
        <v>483</v>
      </c>
      <c r="B81" s="24" t="s">
        <v>484</v>
      </c>
      <c r="C81" s="24" t="s">
        <v>485</v>
      </c>
      <c r="D81" s="24" t="s">
        <v>339</v>
      </c>
      <c r="E81" s="29">
        <v>56007</v>
      </c>
      <c r="F81" s="24" t="s">
        <v>340</v>
      </c>
      <c r="G81" s="24" t="s">
        <v>209</v>
      </c>
      <c r="H81" s="24" t="s">
        <v>5</v>
      </c>
      <c r="I81" s="25">
        <v>76.732026143790804</v>
      </c>
      <c r="J81" s="26">
        <v>2.7587939698492456</v>
      </c>
      <c r="K81" s="26">
        <v>8.0050251256281406</v>
      </c>
      <c r="L81" s="26">
        <v>24.618090452261299</v>
      </c>
      <c r="M81" s="26">
        <v>12.336683417085425</v>
      </c>
      <c r="N81" s="26">
        <v>37.040201005025118</v>
      </c>
      <c r="O81" s="26">
        <v>10.678391959798995</v>
      </c>
      <c r="P81" s="26">
        <v>0</v>
      </c>
      <c r="Q81" s="26">
        <v>0</v>
      </c>
      <c r="R81" s="26">
        <v>25.537688442211056</v>
      </c>
      <c r="S81" s="26">
        <v>7.3266331658291453</v>
      </c>
      <c r="T81" s="26">
        <v>4.5678391959799001</v>
      </c>
      <c r="U81" s="26">
        <v>10.28643216080402</v>
      </c>
      <c r="V81" s="26">
        <v>33.934673366834161</v>
      </c>
      <c r="W81" s="27"/>
      <c r="X81" s="24" t="s">
        <v>186</v>
      </c>
      <c r="Y81" s="30"/>
      <c r="Z81" s="24"/>
      <c r="AA81" s="28" t="s">
        <v>822</v>
      </c>
      <c r="AB81" s="24" t="s">
        <v>186</v>
      </c>
      <c r="AC81" s="30" t="s">
        <v>294</v>
      </c>
      <c r="AD81" s="30" t="s">
        <v>311</v>
      </c>
      <c r="AE81" s="37">
        <v>44084</v>
      </c>
    </row>
    <row r="82" spans="1:31" ht="15.75" x14ac:dyDescent="0.25">
      <c r="A82" s="23" t="s">
        <v>456</v>
      </c>
      <c r="B82" s="24" t="s">
        <v>457</v>
      </c>
      <c r="C82" s="24" t="s">
        <v>458</v>
      </c>
      <c r="D82" s="24" t="s">
        <v>459</v>
      </c>
      <c r="E82" s="29">
        <v>66845</v>
      </c>
      <c r="F82" s="24" t="s">
        <v>36</v>
      </c>
      <c r="G82" s="24" t="s">
        <v>209</v>
      </c>
      <c r="H82" s="24" t="s">
        <v>185</v>
      </c>
      <c r="I82" s="25">
        <v>37.132075471698101</v>
      </c>
      <c r="J82" s="26">
        <v>5.2964824120603007</v>
      </c>
      <c r="K82" s="26">
        <v>17.326633165829154</v>
      </c>
      <c r="L82" s="26">
        <v>18.296482412060296</v>
      </c>
      <c r="M82" s="26">
        <v>6.7537688442211055</v>
      </c>
      <c r="N82" s="26">
        <v>35.135678391959821</v>
      </c>
      <c r="O82" s="26">
        <v>11.115577889447236</v>
      </c>
      <c r="P82" s="26">
        <v>0.81909547738693478</v>
      </c>
      <c r="Q82" s="26">
        <v>0.60301507537688437</v>
      </c>
      <c r="R82" s="26">
        <v>17.844221105527641</v>
      </c>
      <c r="S82" s="26">
        <v>7.7085427135678399</v>
      </c>
      <c r="T82" s="26">
        <v>10.402010050251258</v>
      </c>
      <c r="U82" s="26">
        <v>11.718592964824118</v>
      </c>
      <c r="V82" s="26">
        <v>34.55276381909546</v>
      </c>
      <c r="W82" s="27"/>
      <c r="X82" s="24" t="s">
        <v>186</v>
      </c>
      <c r="Y82" s="30" t="s">
        <v>756</v>
      </c>
      <c r="Z82" s="24" t="s">
        <v>311</v>
      </c>
      <c r="AA82" s="28" t="s">
        <v>821</v>
      </c>
      <c r="AB82" s="24" t="s">
        <v>186</v>
      </c>
      <c r="AC82" s="30" t="s">
        <v>294</v>
      </c>
      <c r="AD82" s="30" t="s">
        <v>311</v>
      </c>
      <c r="AE82" s="37">
        <v>43657</v>
      </c>
    </row>
    <row r="83" spans="1:31" ht="15.75" x14ac:dyDescent="0.25">
      <c r="A83" s="23" t="s">
        <v>433</v>
      </c>
      <c r="B83" s="24" t="s">
        <v>434</v>
      </c>
      <c r="C83" s="24" t="s">
        <v>435</v>
      </c>
      <c r="D83" s="24" t="s">
        <v>370</v>
      </c>
      <c r="E83" s="29">
        <v>74647</v>
      </c>
      <c r="F83" s="24" t="s">
        <v>272</v>
      </c>
      <c r="G83" s="24" t="s">
        <v>209</v>
      </c>
      <c r="H83" s="24" t="s">
        <v>10</v>
      </c>
      <c r="I83" s="25">
        <v>37.8818443804035</v>
      </c>
      <c r="J83" s="26">
        <v>16.311557788944711</v>
      </c>
      <c r="K83" s="26">
        <v>7.2864321608040168</v>
      </c>
      <c r="L83" s="26">
        <v>11.643216080402008</v>
      </c>
      <c r="M83" s="26">
        <v>11.608040201005018</v>
      </c>
      <c r="N83" s="26">
        <v>26.407035175879372</v>
      </c>
      <c r="O83" s="26">
        <v>14.00502512562813</v>
      </c>
      <c r="P83" s="26">
        <v>2.0552763819095481</v>
      </c>
      <c r="Q83" s="26">
        <v>4.3819095477386929</v>
      </c>
      <c r="R83" s="26">
        <v>14.572864321608035</v>
      </c>
      <c r="S83" s="26">
        <v>7.4572864321608003</v>
      </c>
      <c r="T83" s="26">
        <v>6.3969849246231103</v>
      </c>
      <c r="U83" s="26">
        <v>18.422110552763812</v>
      </c>
      <c r="V83" s="26">
        <v>30.462311557788912</v>
      </c>
      <c r="W83" s="27"/>
      <c r="X83" s="24" t="s">
        <v>186</v>
      </c>
      <c r="Y83" s="30" t="s">
        <v>187</v>
      </c>
      <c r="Z83" s="24" t="s">
        <v>188</v>
      </c>
      <c r="AA83" s="28" t="s">
        <v>700</v>
      </c>
      <c r="AB83" s="24" t="s">
        <v>186</v>
      </c>
      <c r="AC83" s="30" t="s">
        <v>187</v>
      </c>
      <c r="AD83" s="30" t="s">
        <v>188</v>
      </c>
      <c r="AE83" s="37">
        <v>43762</v>
      </c>
    </row>
    <row r="84" spans="1:31" ht="15.75" x14ac:dyDescent="0.25">
      <c r="A84" s="23" t="s">
        <v>436</v>
      </c>
      <c r="B84" s="24" t="s">
        <v>437</v>
      </c>
      <c r="C84" s="24" t="s">
        <v>438</v>
      </c>
      <c r="D84" s="24" t="s">
        <v>286</v>
      </c>
      <c r="E84" s="29">
        <v>32327</v>
      </c>
      <c r="F84" s="24" t="s">
        <v>30</v>
      </c>
      <c r="G84" s="24" t="s">
        <v>209</v>
      </c>
      <c r="H84" s="24" t="s">
        <v>5</v>
      </c>
      <c r="I84" s="25">
        <v>54.4962406015038</v>
      </c>
      <c r="J84" s="26">
        <v>1.1306532663316582</v>
      </c>
      <c r="K84" s="26">
        <v>3.4170854271356785</v>
      </c>
      <c r="L84" s="26">
        <v>20.261306532663294</v>
      </c>
      <c r="M84" s="26">
        <v>20.55276381909546</v>
      </c>
      <c r="N84" s="26">
        <v>37.979899497487438</v>
      </c>
      <c r="O84" s="26">
        <v>7.3819095477386965</v>
      </c>
      <c r="P84" s="26">
        <v>0</v>
      </c>
      <c r="Q84" s="26">
        <v>0</v>
      </c>
      <c r="R84" s="26">
        <v>28.71859296482409</v>
      </c>
      <c r="S84" s="26">
        <v>6.0402010050251285</v>
      </c>
      <c r="T84" s="26">
        <v>3.1959798994974871</v>
      </c>
      <c r="U84" s="26">
        <v>7.4070351758793995</v>
      </c>
      <c r="V84" s="26">
        <v>39.361809045226096</v>
      </c>
      <c r="W84" s="27"/>
      <c r="X84" s="24" t="s">
        <v>186</v>
      </c>
      <c r="Y84" s="30" t="s">
        <v>294</v>
      </c>
      <c r="Z84" s="24" t="s">
        <v>820</v>
      </c>
      <c r="AA84" s="28" t="s">
        <v>707</v>
      </c>
      <c r="AB84" s="24" t="s">
        <v>186</v>
      </c>
      <c r="AC84" s="30" t="s">
        <v>294</v>
      </c>
      <c r="AD84" s="30" t="s">
        <v>311</v>
      </c>
      <c r="AE84" s="37">
        <v>43756</v>
      </c>
    </row>
    <row r="85" spans="1:31" ht="15.75" x14ac:dyDescent="0.25">
      <c r="A85" s="23" t="s">
        <v>48</v>
      </c>
      <c r="B85" s="24" t="s">
        <v>326</v>
      </c>
      <c r="C85" s="24" t="s">
        <v>327</v>
      </c>
      <c r="D85" s="24" t="s">
        <v>182</v>
      </c>
      <c r="E85" s="29">
        <v>93301</v>
      </c>
      <c r="F85" s="24" t="s">
        <v>328</v>
      </c>
      <c r="G85" s="24" t="s">
        <v>199</v>
      </c>
      <c r="H85" s="24" t="s">
        <v>185</v>
      </c>
      <c r="I85" s="25">
        <v>347.88</v>
      </c>
      <c r="J85" s="26">
        <v>0</v>
      </c>
      <c r="K85" s="26">
        <v>13.130653266331658</v>
      </c>
      <c r="L85" s="26">
        <v>13.180904522613067</v>
      </c>
      <c r="M85" s="26">
        <v>16.251256281407034</v>
      </c>
      <c r="N85" s="26">
        <v>41.562814070351756</v>
      </c>
      <c r="O85" s="26">
        <v>1</v>
      </c>
      <c r="P85" s="26">
        <v>0</v>
      </c>
      <c r="Q85" s="26">
        <v>0</v>
      </c>
      <c r="R85" s="26">
        <v>37.286432160804019</v>
      </c>
      <c r="S85" s="26">
        <v>2.2763819095477387</v>
      </c>
      <c r="T85" s="26">
        <v>2</v>
      </c>
      <c r="U85" s="26">
        <v>1</v>
      </c>
      <c r="V85" s="26">
        <v>38.231155778894468</v>
      </c>
      <c r="W85" s="27">
        <v>320</v>
      </c>
      <c r="X85" s="24" t="s">
        <v>186</v>
      </c>
      <c r="Y85" s="30" t="s">
        <v>187</v>
      </c>
      <c r="Z85" s="24" t="s">
        <v>188</v>
      </c>
      <c r="AA85" s="28" t="s">
        <v>706</v>
      </c>
      <c r="AB85" s="24" t="s">
        <v>186</v>
      </c>
      <c r="AC85" s="30" t="s">
        <v>187</v>
      </c>
      <c r="AD85" s="30" t="s">
        <v>188</v>
      </c>
      <c r="AE85" s="37">
        <v>43643</v>
      </c>
    </row>
    <row r="86" spans="1:31" ht="15.75" x14ac:dyDescent="0.25">
      <c r="A86" s="23" t="s">
        <v>379</v>
      </c>
      <c r="B86" s="24" t="s">
        <v>380</v>
      </c>
      <c r="C86" s="24" t="s">
        <v>381</v>
      </c>
      <c r="D86" s="24" t="s">
        <v>299</v>
      </c>
      <c r="E86" s="29">
        <v>18428</v>
      </c>
      <c r="F86" s="24" t="s">
        <v>300</v>
      </c>
      <c r="G86" s="24" t="s">
        <v>209</v>
      </c>
      <c r="H86" s="24" t="s">
        <v>5</v>
      </c>
      <c r="I86" s="25">
        <v>86.219512195121993</v>
      </c>
      <c r="J86" s="26">
        <v>6.6381909547738687</v>
      </c>
      <c r="K86" s="26">
        <v>8.1005025125628141</v>
      </c>
      <c r="L86" s="26">
        <v>17.492462311557791</v>
      </c>
      <c r="M86" s="26">
        <v>10.271356783919595</v>
      </c>
      <c r="N86" s="26">
        <v>28.723618090452263</v>
      </c>
      <c r="O86" s="26">
        <v>13.778894472361808</v>
      </c>
      <c r="P86" s="26">
        <v>0</v>
      </c>
      <c r="Q86" s="26">
        <v>0</v>
      </c>
      <c r="R86" s="26">
        <v>15.432160804020098</v>
      </c>
      <c r="S86" s="26">
        <v>5.8592964824120592</v>
      </c>
      <c r="T86" s="26">
        <v>7.9698492462311563</v>
      </c>
      <c r="U86" s="26">
        <v>13.241206030150753</v>
      </c>
      <c r="V86" s="26">
        <v>24.437185929648237</v>
      </c>
      <c r="W86" s="27"/>
      <c r="X86" s="24" t="s">
        <v>186</v>
      </c>
      <c r="Y86" s="30" t="s">
        <v>255</v>
      </c>
      <c r="Z86" s="24" t="s">
        <v>188</v>
      </c>
      <c r="AA86" s="28" t="s">
        <v>819</v>
      </c>
      <c r="AB86" s="24" t="s">
        <v>186</v>
      </c>
      <c r="AC86" s="30" t="s">
        <v>255</v>
      </c>
      <c r="AD86" s="30" t="s">
        <v>188</v>
      </c>
      <c r="AE86" s="37">
        <v>43580</v>
      </c>
    </row>
    <row r="87" spans="1:31" ht="15.75" x14ac:dyDescent="0.25">
      <c r="A87" s="23" t="s">
        <v>371</v>
      </c>
      <c r="B87" s="24" t="s">
        <v>372</v>
      </c>
      <c r="C87" s="24" t="s">
        <v>42</v>
      </c>
      <c r="D87" s="24" t="s">
        <v>289</v>
      </c>
      <c r="E87" s="29">
        <v>80010</v>
      </c>
      <c r="F87" s="24" t="s">
        <v>290</v>
      </c>
      <c r="G87" s="24" t="s">
        <v>199</v>
      </c>
      <c r="H87" s="24" t="s">
        <v>185</v>
      </c>
      <c r="I87" s="25">
        <v>73.891891891891902</v>
      </c>
      <c r="J87" s="26">
        <v>3.5175879396984908</v>
      </c>
      <c r="K87" s="26">
        <v>4.8090452261306531</v>
      </c>
      <c r="L87" s="26">
        <v>15.728643216080398</v>
      </c>
      <c r="M87" s="26">
        <v>13.592964824120603</v>
      </c>
      <c r="N87" s="26">
        <v>25.527638190954775</v>
      </c>
      <c r="O87" s="26">
        <v>2.2211055276381919</v>
      </c>
      <c r="P87" s="26">
        <v>7.6281407035175883</v>
      </c>
      <c r="Q87" s="26">
        <v>2.2713567839195972</v>
      </c>
      <c r="R87" s="26">
        <v>23.778894472361809</v>
      </c>
      <c r="S87" s="26">
        <v>5.9698492462311563</v>
      </c>
      <c r="T87" s="26">
        <v>3.4070351758793973</v>
      </c>
      <c r="U87" s="26">
        <v>4.4924623115577855</v>
      </c>
      <c r="V87" s="26">
        <v>27.502512562814058</v>
      </c>
      <c r="W87" s="27">
        <v>432</v>
      </c>
      <c r="X87" s="24" t="s">
        <v>186</v>
      </c>
      <c r="Y87" s="30" t="s">
        <v>718</v>
      </c>
      <c r="Z87" s="24" t="s">
        <v>188</v>
      </c>
      <c r="AA87" s="28" t="s">
        <v>818</v>
      </c>
      <c r="AB87" s="24" t="s">
        <v>186</v>
      </c>
      <c r="AC87" s="30" t="s">
        <v>187</v>
      </c>
      <c r="AD87" s="30" t="s">
        <v>188</v>
      </c>
      <c r="AE87" s="37">
        <v>43796</v>
      </c>
    </row>
    <row r="88" spans="1:31" ht="15.75" x14ac:dyDescent="0.25">
      <c r="A88" s="23" t="s">
        <v>467</v>
      </c>
      <c r="B88" s="24" t="s">
        <v>468</v>
      </c>
      <c r="C88" s="24" t="s">
        <v>469</v>
      </c>
      <c r="D88" s="24" t="s">
        <v>470</v>
      </c>
      <c r="E88" s="29">
        <v>50627</v>
      </c>
      <c r="F88" s="24" t="s">
        <v>340</v>
      </c>
      <c r="G88" s="24" t="s">
        <v>209</v>
      </c>
      <c r="H88" s="24" t="s">
        <v>185</v>
      </c>
      <c r="I88" s="25">
        <v>60.847328244274799</v>
      </c>
      <c r="J88" s="26">
        <v>4.0954773869346734</v>
      </c>
      <c r="K88" s="26">
        <v>10.150753768844218</v>
      </c>
      <c r="L88" s="26">
        <v>10.165829145728642</v>
      </c>
      <c r="M88" s="26">
        <v>11.809045226130651</v>
      </c>
      <c r="N88" s="26">
        <v>32.211055276381899</v>
      </c>
      <c r="O88" s="26">
        <v>3.9899497487437188</v>
      </c>
      <c r="P88" s="26">
        <v>1.0050251256281407E-2</v>
      </c>
      <c r="Q88" s="26">
        <v>1.0050251256281407E-2</v>
      </c>
      <c r="R88" s="26">
        <v>18.984924623115575</v>
      </c>
      <c r="S88" s="26">
        <v>5.5427135678391961</v>
      </c>
      <c r="T88" s="26">
        <v>7.6934673366834199</v>
      </c>
      <c r="U88" s="26">
        <v>4</v>
      </c>
      <c r="V88" s="26">
        <v>28.246231155778883</v>
      </c>
      <c r="W88" s="27"/>
      <c r="X88" s="24" t="s">
        <v>186</v>
      </c>
      <c r="Y88" s="30" t="s">
        <v>756</v>
      </c>
      <c r="Z88" s="24" t="s">
        <v>311</v>
      </c>
      <c r="AA88" s="28" t="s">
        <v>817</v>
      </c>
      <c r="AB88" s="24" t="s">
        <v>186</v>
      </c>
      <c r="AC88" s="30" t="s">
        <v>294</v>
      </c>
      <c r="AD88" s="30" t="s">
        <v>311</v>
      </c>
      <c r="AE88" s="37">
        <v>43720</v>
      </c>
    </row>
    <row r="89" spans="1:31" ht="15.75" x14ac:dyDescent="0.25">
      <c r="A89" s="23" t="s">
        <v>411</v>
      </c>
      <c r="B89" s="24" t="s">
        <v>412</v>
      </c>
      <c r="C89" s="24" t="s">
        <v>413</v>
      </c>
      <c r="D89" s="24" t="s">
        <v>360</v>
      </c>
      <c r="E89" s="29">
        <v>60901</v>
      </c>
      <c r="F89" s="24" t="s">
        <v>36</v>
      </c>
      <c r="G89" s="24" t="s">
        <v>254</v>
      </c>
      <c r="H89" s="24" t="s">
        <v>5</v>
      </c>
      <c r="I89" s="25">
        <v>83.642105263157902</v>
      </c>
      <c r="J89" s="26">
        <v>6.5276381909547716</v>
      </c>
      <c r="K89" s="26">
        <v>6.0904522613065319</v>
      </c>
      <c r="L89" s="26">
        <v>11.381909547738687</v>
      </c>
      <c r="M89" s="26">
        <v>12.201005025125623</v>
      </c>
      <c r="N89" s="26">
        <v>26.010050251256274</v>
      </c>
      <c r="O89" s="26">
        <v>10.190954773869347</v>
      </c>
      <c r="P89" s="26">
        <v>0</v>
      </c>
      <c r="Q89" s="26">
        <v>0</v>
      </c>
      <c r="R89" s="26">
        <v>18.226130653266324</v>
      </c>
      <c r="S89" s="26">
        <v>4.9999999999999991</v>
      </c>
      <c r="T89" s="26">
        <v>2.6633165829145731</v>
      </c>
      <c r="U89" s="26">
        <v>10.311557788944722</v>
      </c>
      <c r="V89" s="26">
        <v>27.276381909547727</v>
      </c>
      <c r="W89" s="27"/>
      <c r="X89" s="24" t="s">
        <v>186</v>
      </c>
      <c r="Y89" s="30" t="s">
        <v>294</v>
      </c>
      <c r="Z89" s="24" t="s">
        <v>311</v>
      </c>
      <c r="AA89" s="28" t="s">
        <v>816</v>
      </c>
      <c r="AB89" s="24" t="s">
        <v>186</v>
      </c>
      <c r="AC89" s="30" t="s">
        <v>294</v>
      </c>
      <c r="AD89" s="30" t="s">
        <v>311</v>
      </c>
      <c r="AE89" s="37">
        <v>44160</v>
      </c>
    </row>
    <row r="90" spans="1:31" ht="15.75" x14ac:dyDescent="0.25">
      <c r="A90" s="23" t="s">
        <v>13</v>
      </c>
      <c r="B90" s="24" t="s">
        <v>324</v>
      </c>
      <c r="C90" s="24" t="s">
        <v>325</v>
      </c>
      <c r="D90" s="24" t="s">
        <v>212</v>
      </c>
      <c r="E90" s="29">
        <v>85232</v>
      </c>
      <c r="F90" s="24" t="s">
        <v>213</v>
      </c>
      <c r="G90" s="24" t="s">
        <v>349</v>
      </c>
      <c r="H90" s="24" t="s">
        <v>5</v>
      </c>
      <c r="I90" s="25">
        <v>1.71695436273351</v>
      </c>
      <c r="J90" s="26">
        <v>12.693467336683328</v>
      </c>
      <c r="K90" s="26">
        <v>9.6432160804019098</v>
      </c>
      <c r="L90" s="26">
        <v>6.5477386934672888</v>
      </c>
      <c r="M90" s="26">
        <v>6.9296482412060101</v>
      </c>
      <c r="N90" s="26">
        <v>18.939698492462085</v>
      </c>
      <c r="O90" s="26">
        <v>13.562814070351658</v>
      </c>
      <c r="P90" s="26">
        <v>1.0201005025125633</v>
      </c>
      <c r="Q90" s="26">
        <v>2.2914572864321534</v>
      </c>
      <c r="R90" s="26">
        <v>11.582914572864219</v>
      </c>
      <c r="S90" s="26">
        <v>4.286432160803991</v>
      </c>
      <c r="T90" s="26">
        <v>3.6130653266331474</v>
      </c>
      <c r="U90" s="26">
        <v>16.331658291457153</v>
      </c>
      <c r="V90" s="26">
        <v>23.135678391959512</v>
      </c>
      <c r="W90" s="27"/>
      <c r="X90" s="24" t="s">
        <v>210</v>
      </c>
      <c r="Y90" s="30"/>
      <c r="Z90" s="24"/>
      <c r="AA90" s="28"/>
      <c r="AB90" s="24" t="s">
        <v>210</v>
      </c>
      <c r="AC90" s="30"/>
      <c r="AD90" s="30"/>
      <c r="AE90" s="37"/>
    </row>
    <row r="91" spans="1:31" ht="15.75" x14ac:dyDescent="0.25">
      <c r="A91" s="23" t="s">
        <v>439</v>
      </c>
      <c r="B91" s="24" t="s">
        <v>440</v>
      </c>
      <c r="C91" s="24" t="s">
        <v>441</v>
      </c>
      <c r="D91" s="24" t="s">
        <v>197</v>
      </c>
      <c r="E91" s="29">
        <v>79521</v>
      </c>
      <c r="F91" s="24" t="s">
        <v>272</v>
      </c>
      <c r="G91" s="24" t="s">
        <v>254</v>
      </c>
      <c r="H91" s="24" t="s">
        <v>185</v>
      </c>
      <c r="I91" s="25">
        <v>39.8857142857143</v>
      </c>
      <c r="J91" s="26">
        <v>11.457286432160807</v>
      </c>
      <c r="K91" s="26">
        <v>7.0753768844221101</v>
      </c>
      <c r="L91" s="26">
        <v>8.8040201005025089</v>
      </c>
      <c r="M91" s="26">
        <v>7.2412060301507521</v>
      </c>
      <c r="N91" s="26">
        <v>16.577889447236181</v>
      </c>
      <c r="O91" s="26">
        <v>8.3115577889447234</v>
      </c>
      <c r="P91" s="26">
        <v>4.7336683417085403</v>
      </c>
      <c r="Q91" s="26">
        <v>4.9547738693467336</v>
      </c>
      <c r="R91" s="26">
        <v>10.497487437185928</v>
      </c>
      <c r="S91" s="26">
        <v>4.6733668341708547</v>
      </c>
      <c r="T91" s="26">
        <v>6.0251256281407022</v>
      </c>
      <c r="U91" s="26">
        <v>13.381909547738694</v>
      </c>
      <c r="V91" s="26">
        <v>20.351758793969829</v>
      </c>
      <c r="W91" s="27"/>
      <c r="X91" s="24" t="s">
        <v>186</v>
      </c>
      <c r="Y91" s="30" t="s">
        <v>756</v>
      </c>
      <c r="Z91" s="24" t="s">
        <v>311</v>
      </c>
      <c r="AA91" s="28" t="s">
        <v>705</v>
      </c>
      <c r="AB91" s="24" t="s">
        <v>186</v>
      </c>
      <c r="AC91" s="30" t="s">
        <v>294</v>
      </c>
      <c r="AD91" s="30" t="s">
        <v>311</v>
      </c>
      <c r="AE91" s="37">
        <v>43685</v>
      </c>
    </row>
    <row r="92" spans="1:31" ht="15.75" x14ac:dyDescent="0.25">
      <c r="A92" s="23" t="s">
        <v>428</v>
      </c>
      <c r="B92" s="24" t="s">
        <v>429</v>
      </c>
      <c r="C92" s="24" t="s">
        <v>430</v>
      </c>
      <c r="D92" s="24" t="s">
        <v>431</v>
      </c>
      <c r="E92" s="29">
        <v>2863</v>
      </c>
      <c r="F92" s="24" t="s">
        <v>336</v>
      </c>
      <c r="G92" s="24" t="s">
        <v>254</v>
      </c>
      <c r="H92" s="24" t="s">
        <v>5</v>
      </c>
      <c r="I92" s="25">
        <v>65.0416666666667</v>
      </c>
      <c r="J92" s="26">
        <v>0.35678391959798994</v>
      </c>
      <c r="K92" s="26">
        <v>0.24623115577889448</v>
      </c>
      <c r="L92" s="26">
        <v>8.0301507537688437</v>
      </c>
      <c r="M92" s="26">
        <v>22.537688442211056</v>
      </c>
      <c r="N92" s="26">
        <v>21.130653266331663</v>
      </c>
      <c r="O92" s="26">
        <v>10.040201005025127</v>
      </c>
      <c r="P92" s="26">
        <v>0</v>
      </c>
      <c r="Q92" s="26">
        <v>0</v>
      </c>
      <c r="R92" s="26">
        <v>16.075376884422113</v>
      </c>
      <c r="S92" s="26">
        <v>2.3015075376884422</v>
      </c>
      <c r="T92" s="26">
        <v>2.7537688442211055</v>
      </c>
      <c r="U92" s="26">
        <v>10.040201005025127</v>
      </c>
      <c r="V92" s="26">
        <v>22.663316582914572</v>
      </c>
      <c r="W92" s="27"/>
      <c r="X92" s="24" t="s">
        <v>186</v>
      </c>
      <c r="Y92" s="30" t="s">
        <v>756</v>
      </c>
      <c r="Z92" s="24" t="s">
        <v>311</v>
      </c>
      <c r="AA92" s="28" t="s">
        <v>815</v>
      </c>
      <c r="AB92" s="24" t="s">
        <v>186</v>
      </c>
      <c r="AC92" s="30" t="s">
        <v>756</v>
      </c>
      <c r="AD92" s="30" t="s">
        <v>311</v>
      </c>
      <c r="AE92" s="37">
        <v>44155</v>
      </c>
    </row>
    <row r="93" spans="1:31" ht="15.75" x14ac:dyDescent="0.25">
      <c r="A93" s="23" t="s">
        <v>704</v>
      </c>
      <c r="B93" s="24" t="s">
        <v>703</v>
      </c>
      <c r="C93" s="24" t="s">
        <v>243</v>
      </c>
      <c r="D93" s="24" t="s">
        <v>197</v>
      </c>
      <c r="E93" s="29">
        <v>77301</v>
      </c>
      <c r="F93" s="24" t="s">
        <v>244</v>
      </c>
      <c r="G93" s="24" t="s">
        <v>209</v>
      </c>
      <c r="H93" s="24" t="s">
        <v>185</v>
      </c>
      <c r="I93" s="25">
        <v>142.167883211679</v>
      </c>
      <c r="J93" s="26">
        <v>17.015075376884415</v>
      </c>
      <c r="K93" s="26">
        <v>6.025125628140704</v>
      </c>
      <c r="L93" s="26">
        <v>1.7035175879396982</v>
      </c>
      <c r="M93" s="26">
        <v>5.8693467336683414</v>
      </c>
      <c r="N93" s="26">
        <v>13.527638190954763</v>
      </c>
      <c r="O93" s="26">
        <v>17.085427135678387</v>
      </c>
      <c r="P93" s="26">
        <v>0</v>
      </c>
      <c r="Q93" s="26">
        <v>0</v>
      </c>
      <c r="R93" s="26">
        <v>7.6331658291457307</v>
      </c>
      <c r="S93" s="26">
        <v>1.472361809045226</v>
      </c>
      <c r="T93" s="26">
        <v>4.4221105527638187</v>
      </c>
      <c r="U93" s="26">
        <v>17.085427135678387</v>
      </c>
      <c r="V93" s="26">
        <v>24.341708542713555</v>
      </c>
      <c r="W93" s="27"/>
      <c r="X93" s="24" t="s">
        <v>186</v>
      </c>
      <c r="Y93" s="30" t="s">
        <v>756</v>
      </c>
      <c r="Z93" s="24" t="s">
        <v>311</v>
      </c>
      <c r="AA93" s="28" t="s">
        <v>814</v>
      </c>
      <c r="AB93" s="24" t="s">
        <v>210</v>
      </c>
      <c r="AC93" s="30"/>
      <c r="AD93" s="30"/>
      <c r="AE93" s="37"/>
    </row>
    <row r="94" spans="1:31" ht="15.75" x14ac:dyDescent="0.25">
      <c r="A94" s="23" t="s">
        <v>388</v>
      </c>
      <c r="B94" s="24" t="s">
        <v>389</v>
      </c>
      <c r="C94" s="24" t="s">
        <v>390</v>
      </c>
      <c r="D94" s="24" t="s">
        <v>197</v>
      </c>
      <c r="E94" s="29">
        <v>76031</v>
      </c>
      <c r="F94" s="24" t="s">
        <v>272</v>
      </c>
      <c r="G94" s="24" t="s">
        <v>209</v>
      </c>
      <c r="H94" s="24" t="s">
        <v>5</v>
      </c>
      <c r="I94" s="25">
        <v>85.936363636363595</v>
      </c>
      <c r="J94" s="26">
        <v>13.361809045226135</v>
      </c>
      <c r="K94" s="26">
        <v>5.582914572864321</v>
      </c>
      <c r="L94" s="26">
        <v>6.7085427135678373</v>
      </c>
      <c r="M94" s="26">
        <v>4.3768844221105523</v>
      </c>
      <c r="N94" s="26">
        <v>19.23618090452262</v>
      </c>
      <c r="O94" s="26">
        <v>10.793969849246237</v>
      </c>
      <c r="P94" s="26">
        <v>0</v>
      </c>
      <c r="Q94" s="26">
        <v>0</v>
      </c>
      <c r="R94" s="26">
        <v>8.8994974874371842</v>
      </c>
      <c r="S94" s="26">
        <v>4.2663316582914579</v>
      </c>
      <c r="T94" s="26">
        <v>6.0703517587939686</v>
      </c>
      <c r="U94" s="26">
        <v>10.793969849246237</v>
      </c>
      <c r="V94" s="26">
        <v>15.899497487437182</v>
      </c>
      <c r="W94" s="27"/>
      <c r="X94" s="24" t="s">
        <v>186</v>
      </c>
      <c r="Y94" s="30" t="s">
        <v>187</v>
      </c>
      <c r="Z94" s="24" t="s">
        <v>188</v>
      </c>
      <c r="AA94" s="28" t="s">
        <v>701</v>
      </c>
      <c r="AB94" s="24" t="s">
        <v>186</v>
      </c>
      <c r="AC94" s="30" t="s">
        <v>187</v>
      </c>
      <c r="AD94" s="30" t="s">
        <v>188</v>
      </c>
      <c r="AE94" s="37">
        <v>43699</v>
      </c>
    </row>
    <row r="95" spans="1:31" ht="15.75" x14ac:dyDescent="0.25">
      <c r="A95" s="23" t="s">
        <v>471</v>
      </c>
      <c r="B95" s="24" t="s">
        <v>472</v>
      </c>
      <c r="C95" s="24" t="s">
        <v>473</v>
      </c>
      <c r="D95" s="24" t="s">
        <v>403</v>
      </c>
      <c r="E95" s="29">
        <v>48060</v>
      </c>
      <c r="F95" s="24" t="s">
        <v>395</v>
      </c>
      <c r="G95" s="24" t="s">
        <v>209</v>
      </c>
      <c r="H95" s="24" t="s">
        <v>5</v>
      </c>
      <c r="I95" s="25">
        <v>57.421686746988001</v>
      </c>
      <c r="J95" s="26">
        <v>3.1909547738693473</v>
      </c>
      <c r="K95" s="26">
        <v>9.7135678391959779</v>
      </c>
      <c r="L95" s="26">
        <v>9.8291457286432173</v>
      </c>
      <c r="M95" s="26">
        <v>3.9949748743718594</v>
      </c>
      <c r="N95" s="26">
        <v>18.140703517587934</v>
      </c>
      <c r="O95" s="26">
        <v>8.5879396984924625</v>
      </c>
      <c r="P95" s="26">
        <v>0</v>
      </c>
      <c r="Q95" s="26">
        <v>0</v>
      </c>
      <c r="R95" s="26">
        <v>12.437185929648242</v>
      </c>
      <c r="S95" s="26">
        <v>3.7236180904522613</v>
      </c>
      <c r="T95" s="26">
        <v>2.1407035175879394</v>
      </c>
      <c r="U95" s="26">
        <v>8.4271356783919611</v>
      </c>
      <c r="V95" s="26">
        <v>20.994974874371849</v>
      </c>
      <c r="W95" s="27"/>
      <c r="X95" s="24" t="s">
        <v>186</v>
      </c>
      <c r="Y95" s="30" t="s">
        <v>255</v>
      </c>
      <c r="Z95" s="24" t="s">
        <v>188</v>
      </c>
      <c r="AA95" s="28" t="s">
        <v>702</v>
      </c>
      <c r="AB95" s="24" t="s">
        <v>186</v>
      </c>
      <c r="AC95" s="30" t="s">
        <v>255</v>
      </c>
      <c r="AD95" s="30" t="s">
        <v>188</v>
      </c>
      <c r="AE95" s="37">
        <v>43769</v>
      </c>
    </row>
    <row r="96" spans="1:31" ht="15.75" x14ac:dyDescent="0.25">
      <c r="A96" s="23" t="s">
        <v>14</v>
      </c>
      <c r="B96" s="24" t="s">
        <v>474</v>
      </c>
      <c r="C96" s="24" t="s">
        <v>475</v>
      </c>
      <c r="D96" s="24" t="s">
        <v>394</v>
      </c>
      <c r="E96" s="29">
        <v>44883</v>
      </c>
      <c r="F96" s="24" t="s">
        <v>395</v>
      </c>
      <c r="G96" s="24" t="s">
        <v>209</v>
      </c>
      <c r="H96" s="24" t="s">
        <v>185</v>
      </c>
      <c r="I96" s="25">
        <v>95</v>
      </c>
      <c r="J96" s="26">
        <v>7.9648241206030157</v>
      </c>
      <c r="K96" s="26">
        <v>4.9095477386934681</v>
      </c>
      <c r="L96" s="26">
        <v>7.3969849246231165</v>
      </c>
      <c r="M96" s="26">
        <v>6.1306532663316586</v>
      </c>
      <c r="N96" s="26">
        <v>17.542713567839193</v>
      </c>
      <c r="O96" s="26">
        <v>8.859296482412061</v>
      </c>
      <c r="P96" s="26">
        <v>0</v>
      </c>
      <c r="Q96" s="26">
        <v>0</v>
      </c>
      <c r="R96" s="26">
        <v>5.0653266331658298</v>
      </c>
      <c r="S96" s="26">
        <v>6.5376884422110546</v>
      </c>
      <c r="T96" s="26">
        <v>5.9396984924623117</v>
      </c>
      <c r="U96" s="26">
        <v>8.859296482412061</v>
      </c>
      <c r="V96" s="26">
        <v>19.145728643216074</v>
      </c>
      <c r="W96" s="27"/>
      <c r="X96" s="24" t="s">
        <v>186</v>
      </c>
      <c r="Y96" s="30" t="s">
        <v>294</v>
      </c>
      <c r="Z96" s="24" t="s">
        <v>311</v>
      </c>
      <c r="AA96" s="28" t="s">
        <v>813</v>
      </c>
      <c r="AB96" s="24" t="s">
        <v>186</v>
      </c>
      <c r="AC96" s="30" t="s">
        <v>294</v>
      </c>
      <c r="AD96" s="30" t="s">
        <v>317</v>
      </c>
      <c r="AE96" s="37">
        <v>43741</v>
      </c>
    </row>
    <row r="97" spans="1:31" ht="15.75" x14ac:dyDescent="0.25">
      <c r="A97" s="23" t="s">
        <v>499</v>
      </c>
      <c r="B97" s="24" t="s">
        <v>500</v>
      </c>
      <c r="C97" s="24" t="s">
        <v>501</v>
      </c>
      <c r="D97" s="24" t="s">
        <v>470</v>
      </c>
      <c r="E97" s="29">
        <v>50313</v>
      </c>
      <c r="F97" s="24" t="s">
        <v>340</v>
      </c>
      <c r="G97" s="24" t="s">
        <v>254</v>
      </c>
      <c r="H97" s="24" t="s">
        <v>185</v>
      </c>
      <c r="I97" s="25">
        <v>47.198113207547202</v>
      </c>
      <c r="J97" s="26">
        <v>8.5728643216080407</v>
      </c>
      <c r="K97" s="26">
        <v>7.8492462311557789</v>
      </c>
      <c r="L97" s="26">
        <v>5.7537688442211063</v>
      </c>
      <c r="M97" s="26">
        <v>4.1256281407035171</v>
      </c>
      <c r="N97" s="26">
        <v>19.381909547738697</v>
      </c>
      <c r="O97" s="26">
        <v>5.8040201005025125</v>
      </c>
      <c r="P97" s="26">
        <v>0.80402010050251249</v>
      </c>
      <c r="Q97" s="26">
        <v>0.31155778894472358</v>
      </c>
      <c r="R97" s="26">
        <v>7.1959798994974875</v>
      </c>
      <c r="S97" s="26">
        <v>5.8291457286432165</v>
      </c>
      <c r="T97" s="26">
        <v>7.1608040201005023</v>
      </c>
      <c r="U97" s="26">
        <v>6.1155778894472359</v>
      </c>
      <c r="V97" s="26">
        <v>16.547738693467323</v>
      </c>
      <c r="W97" s="27"/>
      <c r="X97" s="24" t="s">
        <v>186</v>
      </c>
      <c r="Y97" s="30" t="s">
        <v>294</v>
      </c>
      <c r="Z97" s="24" t="s">
        <v>311</v>
      </c>
      <c r="AA97" s="28" t="s">
        <v>446</v>
      </c>
      <c r="AB97" s="24" t="s">
        <v>186</v>
      </c>
      <c r="AC97" s="30" t="s">
        <v>294</v>
      </c>
      <c r="AD97" s="30" t="s">
        <v>311</v>
      </c>
      <c r="AE97" s="37">
        <v>43314</v>
      </c>
    </row>
    <row r="98" spans="1:31" ht="15.75" x14ac:dyDescent="0.25">
      <c r="A98" s="23" t="s">
        <v>345</v>
      </c>
      <c r="B98" s="24" t="s">
        <v>346</v>
      </c>
      <c r="C98" s="24" t="s">
        <v>347</v>
      </c>
      <c r="D98" s="24" t="s">
        <v>239</v>
      </c>
      <c r="E98" s="29">
        <v>87016</v>
      </c>
      <c r="F98" s="24" t="s">
        <v>240</v>
      </c>
      <c r="G98" s="24" t="s">
        <v>209</v>
      </c>
      <c r="H98" s="24" t="s">
        <v>5</v>
      </c>
      <c r="I98" s="25">
        <v>157.08196721311501</v>
      </c>
      <c r="J98" s="26">
        <v>10.341708542713565</v>
      </c>
      <c r="K98" s="26">
        <v>4.733668341708543</v>
      </c>
      <c r="L98" s="26">
        <v>3.8040201005025116</v>
      </c>
      <c r="M98" s="26">
        <v>4.3517587939698483</v>
      </c>
      <c r="N98" s="26">
        <v>13.64824120603015</v>
      </c>
      <c r="O98" s="26">
        <v>9.5829145728643201</v>
      </c>
      <c r="P98" s="26">
        <v>0</v>
      </c>
      <c r="Q98" s="26">
        <v>0</v>
      </c>
      <c r="R98" s="26">
        <v>7.2914572864321601</v>
      </c>
      <c r="S98" s="26">
        <v>2.9648241206030153</v>
      </c>
      <c r="T98" s="26">
        <v>3.391959798994975</v>
      </c>
      <c r="U98" s="26">
        <v>9.5829145728643201</v>
      </c>
      <c r="V98" s="26">
        <v>20.090452261306528</v>
      </c>
      <c r="W98" s="27">
        <v>714</v>
      </c>
      <c r="X98" s="24" t="s">
        <v>186</v>
      </c>
      <c r="Y98" s="30" t="s">
        <v>187</v>
      </c>
      <c r="Z98" s="24" t="s">
        <v>188</v>
      </c>
      <c r="AA98" s="28" t="s">
        <v>702</v>
      </c>
      <c r="AB98" s="24" t="s">
        <v>186</v>
      </c>
      <c r="AC98" s="30" t="s">
        <v>187</v>
      </c>
      <c r="AD98" s="30" t="s">
        <v>188</v>
      </c>
      <c r="AE98" s="37">
        <v>43790</v>
      </c>
    </row>
    <row r="99" spans="1:31" ht="15.75" x14ac:dyDescent="0.25">
      <c r="A99" s="23" t="s">
        <v>43</v>
      </c>
      <c r="B99" s="24" t="s">
        <v>489</v>
      </c>
      <c r="C99" s="24" t="s">
        <v>490</v>
      </c>
      <c r="D99" s="24" t="s">
        <v>394</v>
      </c>
      <c r="E99" s="29">
        <v>44024</v>
      </c>
      <c r="F99" s="24" t="s">
        <v>395</v>
      </c>
      <c r="G99" s="24" t="s">
        <v>254</v>
      </c>
      <c r="H99" s="24" t="s">
        <v>185</v>
      </c>
      <c r="I99" s="25">
        <v>118.114285714286</v>
      </c>
      <c r="J99" s="26">
        <v>4.4472361809045227</v>
      </c>
      <c r="K99" s="26">
        <v>4.6482412060301508</v>
      </c>
      <c r="L99" s="26">
        <v>8.7135678391959797</v>
      </c>
      <c r="M99" s="26">
        <v>4.7939698492462304</v>
      </c>
      <c r="N99" s="26">
        <v>16.080402010050253</v>
      </c>
      <c r="O99" s="26">
        <v>5.5477386934673376</v>
      </c>
      <c r="P99" s="26">
        <v>0.5879396984924623</v>
      </c>
      <c r="Q99" s="26">
        <v>0.38693467336683418</v>
      </c>
      <c r="R99" s="26">
        <v>6.0552763819095476</v>
      </c>
      <c r="S99" s="26">
        <v>5.5929648241206031</v>
      </c>
      <c r="T99" s="26">
        <v>5.2713567839195985</v>
      </c>
      <c r="U99" s="26">
        <v>5.6834170854271369</v>
      </c>
      <c r="V99" s="26">
        <v>13.427135678391956</v>
      </c>
      <c r="W99" s="27"/>
      <c r="X99" s="24" t="s">
        <v>186</v>
      </c>
      <c r="Y99" s="30" t="s">
        <v>294</v>
      </c>
      <c r="Z99" s="24" t="s">
        <v>311</v>
      </c>
      <c r="AA99" s="28" t="s">
        <v>812</v>
      </c>
      <c r="AB99" s="24" t="s">
        <v>186</v>
      </c>
      <c r="AC99" s="30" t="s">
        <v>294</v>
      </c>
      <c r="AD99" s="30" t="s">
        <v>311</v>
      </c>
      <c r="AE99" s="37">
        <v>43748</v>
      </c>
    </row>
    <row r="100" spans="1:31" ht="15.75" x14ac:dyDescent="0.25">
      <c r="A100" s="23" t="s">
        <v>540</v>
      </c>
      <c r="B100" s="24" t="s">
        <v>541</v>
      </c>
      <c r="C100" s="24" t="s">
        <v>542</v>
      </c>
      <c r="D100" s="24" t="s">
        <v>543</v>
      </c>
      <c r="E100" s="29">
        <v>96910</v>
      </c>
      <c r="F100" s="24" t="s">
        <v>328</v>
      </c>
      <c r="G100" s="24" t="s">
        <v>254</v>
      </c>
      <c r="H100" s="24" t="s">
        <v>185</v>
      </c>
      <c r="I100" s="25">
        <v>272.58823529411802</v>
      </c>
      <c r="J100" s="26">
        <v>0</v>
      </c>
      <c r="K100" s="26">
        <v>3.3969849246231161</v>
      </c>
      <c r="L100" s="26">
        <v>10.603015075376886</v>
      </c>
      <c r="M100" s="26">
        <v>7.4723618090452266</v>
      </c>
      <c r="N100" s="26">
        <v>21.396984924623116</v>
      </c>
      <c r="O100" s="26">
        <v>7.5376884422110546E-2</v>
      </c>
      <c r="P100" s="26">
        <v>0</v>
      </c>
      <c r="Q100" s="26">
        <v>0</v>
      </c>
      <c r="R100" s="26">
        <v>16.407035175879397</v>
      </c>
      <c r="S100" s="26">
        <v>2.4221105527638191</v>
      </c>
      <c r="T100" s="26">
        <v>2.5678391959798996</v>
      </c>
      <c r="U100" s="26">
        <v>7.5376884422110546E-2</v>
      </c>
      <c r="V100" s="26">
        <v>20.91457286432161</v>
      </c>
      <c r="W100" s="27"/>
      <c r="X100" s="24" t="s">
        <v>210</v>
      </c>
      <c r="Y100" s="30"/>
      <c r="Z100" s="24"/>
      <c r="AA100" s="28"/>
      <c r="AB100" s="24" t="s">
        <v>210</v>
      </c>
      <c r="AC100" s="30"/>
      <c r="AD100" s="30"/>
      <c r="AE100" s="37"/>
    </row>
    <row r="101" spans="1:31" ht="15.75" x14ac:dyDescent="0.25">
      <c r="A101" s="23" t="s">
        <v>508</v>
      </c>
      <c r="B101" s="24" t="s">
        <v>509</v>
      </c>
      <c r="C101" s="24" t="s">
        <v>510</v>
      </c>
      <c r="D101" s="24" t="s">
        <v>29</v>
      </c>
      <c r="E101" s="29">
        <v>1301</v>
      </c>
      <c r="F101" s="24" t="s">
        <v>336</v>
      </c>
      <c r="G101" s="24" t="s">
        <v>254</v>
      </c>
      <c r="H101" s="24" t="s">
        <v>5</v>
      </c>
      <c r="I101" s="25">
        <v>93.407407407407405</v>
      </c>
      <c r="J101" s="26">
        <v>0</v>
      </c>
      <c r="K101" s="26">
        <v>0.3165829145728643</v>
      </c>
      <c r="L101" s="26">
        <v>5.3768844221105532</v>
      </c>
      <c r="M101" s="26">
        <v>15.653266331658296</v>
      </c>
      <c r="N101" s="26">
        <v>16.477386934673369</v>
      </c>
      <c r="O101" s="26">
        <v>4.8693467336683414</v>
      </c>
      <c r="P101" s="26">
        <v>0</v>
      </c>
      <c r="Q101" s="26">
        <v>0</v>
      </c>
      <c r="R101" s="26">
        <v>14.361809045226133</v>
      </c>
      <c r="S101" s="26">
        <v>0.59798994974874375</v>
      </c>
      <c r="T101" s="26">
        <v>1.5175879396984924</v>
      </c>
      <c r="U101" s="26">
        <v>4.8693467336683414</v>
      </c>
      <c r="V101" s="26">
        <v>17.864321608040203</v>
      </c>
      <c r="W101" s="27"/>
      <c r="X101" s="24" t="s">
        <v>186</v>
      </c>
      <c r="Y101" s="30" t="s">
        <v>294</v>
      </c>
      <c r="Z101" s="24" t="s">
        <v>311</v>
      </c>
      <c r="AA101" s="28" t="s">
        <v>353</v>
      </c>
      <c r="AB101" s="24" t="s">
        <v>186</v>
      </c>
      <c r="AC101" s="30" t="s">
        <v>294</v>
      </c>
      <c r="AD101" s="30" t="s">
        <v>311</v>
      </c>
      <c r="AE101" s="37">
        <v>43209</v>
      </c>
    </row>
    <row r="102" spans="1:31" ht="15.75" x14ac:dyDescent="0.25">
      <c r="A102" s="23" t="s">
        <v>449</v>
      </c>
      <c r="B102" s="24" t="s">
        <v>450</v>
      </c>
      <c r="C102" s="24" t="s">
        <v>451</v>
      </c>
      <c r="D102" s="24" t="s">
        <v>452</v>
      </c>
      <c r="E102" s="29">
        <v>68801</v>
      </c>
      <c r="F102" s="24" t="s">
        <v>340</v>
      </c>
      <c r="G102" s="24" t="s">
        <v>209</v>
      </c>
      <c r="H102" s="24" t="s">
        <v>185</v>
      </c>
      <c r="I102" s="25">
        <v>58.178571428571402</v>
      </c>
      <c r="J102" s="26">
        <v>2.4472361809045222</v>
      </c>
      <c r="K102" s="26">
        <v>3.9396984924623117</v>
      </c>
      <c r="L102" s="26">
        <v>6.5226130653266328</v>
      </c>
      <c r="M102" s="26">
        <v>8.0753768844221128</v>
      </c>
      <c r="N102" s="26">
        <v>16.763819095477391</v>
      </c>
      <c r="O102" s="26">
        <v>1.7185929648241205</v>
      </c>
      <c r="P102" s="26">
        <v>1.9899497487437188</v>
      </c>
      <c r="Q102" s="26">
        <v>0.51256281407035187</v>
      </c>
      <c r="R102" s="26">
        <v>6.6733668341708547</v>
      </c>
      <c r="S102" s="26">
        <v>8.9949748743718594</v>
      </c>
      <c r="T102" s="26">
        <v>3.1758793969849246</v>
      </c>
      <c r="U102" s="26">
        <v>2.1407035175879394</v>
      </c>
      <c r="V102" s="26">
        <v>15.306532663316579</v>
      </c>
      <c r="W102" s="27"/>
      <c r="X102" s="24" t="s">
        <v>186</v>
      </c>
      <c r="Y102" s="30" t="s">
        <v>294</v>
      </c>
      <c r="Z102" s="24" t="s">
        <v>311</v>
      </c>
      <c r="AA102" s="28" t="s">
        <v>701</v>
      </c>
      <c r="AB102" s="24" t="s">
        <v>186</v>
      </c>
      <c r="AC102" s="30" t="s">
        <v>294</v>
      </c>
      <c r="AD102" s="30" t="s">
        <v>311</v>
      </c>
      <c r="AE102" s="37">
        <v>43657</v>
      </c>
    </row>
    <row r="103" spans="1:31" ht="15.75" x14ac:dyDescent="0.25">
      <c r="A103" s="23" t="s">
        <v>404</v>
      </c>
      <c r="B103" s="24" t="s">
        <v>405</v>
      </c>
      <c r="C103" s="24" t="s">
        <v>406</v>
      </c>
      <c r="D103" s="24" t="s">
        <v>38</v>
      </c>
      <c r="E103" s="29">
        <v>21863</v>
      </c>
      <c r="F103" s="24" t="s">
        <v>407</v>
      </c>
      <c r="G103" s="24" t="s">
        <v>209</v>
      </c>
      <c r="H103" s="24" t="s">
        <v>185</v>
      </c>
      <c r="I103" s="25">
        <v>88.090909090909093</v>
      </c>
      <c r="J103" s="26">
        <v>0.47236180904522612</v>
      </c>
      <c r="K103" s="26">
        <v>1.0452261306532664</v>
      </c>
      <c r="L103" s="26">
        <v>3.2412060301507539</v>
      </c>
      <c r="M103" s="26">
        <v>15.859296482412061</v>
      </c>
      <c r="N103" s="26">
        <v>15.060301507537687</v>
      </c>
      <c r="O103" s="26">
        <v>3.9949748743718594</v>
      </c>
      <c r="P103" s="26">
        <v>1.0904522613065326</v>
      </c>
      <c r="Q103" s="26">
        <v>0.47236180904522612</v>
      </c>
      <c r="R103" s="26">
        <v>11.522613065326633</v>
      </c>
      <c r="S103" s="26">
        <v>4.1658291457286429</v>
      </c>
      <c r="T103" s="26">
        <v>0.46231155778894473</v>
      </c>
      <c r="U103" s="26">
        <v>4.4673366834170851</v>
      </c>
      <c r="V103" s="26">
        <v>12.537688442211058</v>
      </c>
      <c r="W103" s="27"/>
      <c r="X103" s="24" t="s">
        <v>186</v>
      </c>
      <c r="Y103" s="30" t="s">
        <v>756</v>
      </c>
      <c r="Z103" s="24" t="s">
        <v>311</v>
      </c>
      <c r="AA103" s="28" t="s">
        <v>811</v>
      </c>
      <c r="AB103" s="24" t="s">
        <v>186</v>
      </c>
      <c r="AC103" s="30" t="s">
        <v>294</v>
      </c>
      <c r="AD103" s="30" t="s">
        <v>311</v>
      </c>
      <c r="AE103" s="37">
        <v>43692</v>
      </c>
    </row>
    <row r="104" spans="1:31" ht="15.75" x14ac:dyDescent="0.25">
      <c r="A104" s="23" t="s">
        <v>385</v>
      </c>
      <c r="B104" s="24" t="s">
        <v>386</v>
      </c>
      <c r="C104" s="24" t="s">
        <v>387</v>
      </c>
      <c r="D104" s="24" t="s">
        <v>182</v>
      </c>
      <c r="E104" s="29">
        <v>95901</v>
      </c>
      <c r="F104" s="24" t="s">
        <v>328</v>
      </c>
      <c r="G104" s="24" t="s">
        <v>209</v>
      </c>
      <c r="H104" s="24" t="s">
        <v>185</v>
      </c>
      <c r="I104" s="25">
        <v>296.56</v>
      </c>
      <c r="J104" s="26">
        <v>0.457286432160804</v>
      </c>
      <c r="K104" s="26">
        <v>2.2261306532663312</v>
      </c>
      <c r="L104" s="26">
        <v>2.6834170854271355</v>
      </c>
      <c r="M104" s="26">
        <v>13.959798994974875</v>
      </c>
      <c r="N104" s="26">
        <v>18.869346733668344</v>
      </c>
      <c r="O104" s="26">
        <v>0.457286432160804</v>
      </c>
      <c r="P104" s="26">
        <v>0</v>
      </c>
      <c r="Q104" s="26">
        <v>0</v>
      </c>
      <c r="R104" s="26">
        <v>15.814070351758794</v>
      </c>
      <c r="S104" s="26">
        <v>1.5929648241206029</v>
      </c>
      <c r="T104" s="26">
        <v>1.4623115577889445</v>
      </c>
      <c r="U104" s="26">
        <v>0.457286432160804</v>
      </c>
      <c r="V104" s="26">
        <v>15.557788944723619</v>
      </c>
      <c r="W104" s="27">
        <v>150</v>
      </c>
      <c r="X104" s="24" t="s">
        <v>186</v>
      </c>
      <c r="Y104" s="30" t="s">
        <v>756</v>
      </c>
      <c r="Z104" s="24" t="s">
        <v>311</v>
      </c>
      <c r="AA104" s="28" t="s">
        <v>806</v>
      </c>
      <c r="AB104" s="24" t="s">
        <v>186</v>
      </c>
      <c r="AC104" s="30" t="s">
        <v>294</v>
      </c>
      <c r="AD104" s="30" t="s">
        <v>311</v>
      </c>
      <c r="AE104" s="37">
        <v>43784</v>
      </c>
    </row>
    <row r="105" spans="1:31" ht="15.75" x14ac:dyDescent="0.25">
      <c r="A105" s="23" t="s">
        <v>391</v>
      </c>
      <c r="B105" s="24" t="s">
        <v>392</v>
      </c>
      <c r="C105" s="24" t="s">
        <v>393</v>
      </c>
      <c r="D105" s="24" t="s">
        <v>29</v>
      </c>
      <c r="E105" s="29">
        <v>2747</v>
      </c>
      <c r="F105" s="24" t="s">
        <v>336</v>
      </c>
      <c r="G105" s="24" t="s">
        <v>209</v>
      </c>
      <c r="H105" s="24" t="s">
        <v>185</v>
      </c>
      <c r="I105" s="25">
        <v>378.75</v>
      </c>
      <c r="J105" s="26">
        <v>0.19597989949748743</v>
      </c>
      <c r="K105" s="26">
        <v>0.66834170854271358</v>
      </c>
      <c r="L105" s="26">
        <v>3.0402010050251254</v>
      </c>
      <c r="M105" s="26">
        <v>14.894472361809049</v>
      </c>
      <c r="N105" s="26">
        <v>15.296482412060303</v>
      </c>
      <c r="O105" s="26">
        <v>3.5025125628140708</v>
      </c>
      <c r="P105" s="26">
        <v>0</v>
      </c>
      <c r="Q105" s="26">
        <v>0</v>
      </c>
      <c r="R105" s="26">
        <v>13.412060301507539</v>
      </c>
      <c r="S105" s="26">
        <v>0.20100502512562815</v>
      </c>
      <c r="T105" s="26">
        <v>1.6834170854271355</v>
      </c>
      <c r="U105" s="26">
        <v>3.5025125628140708</v>
      </c>
      <c r="V105" s="26">
        <v>15.723618090452263</v>
      </c>
      <c r="W105" s="27"/>
      <c r="X105" s="24" t="s">
        <v>186</v>
      </c>
      <c r="Y105" s="30" t="s">
        <v>255</v>
      </c>
      <c r="Z105" s="24" t="s">
        <v>188</v>
      </c>
      <c r="AA105" s="28" t="s">
        <v>810</v>
      </c>
      <c r="AB105" s="24" t="s">
        <v>186</v>
      </c>
      <c r="AC105" s="30" t="s">
        <v>255</v>
      </c>
      <c r="AD105" s="30" t="s">
        <v>188</v>
      </c>
      <c r="AE105" s="37">
        <v>43601</v>
      </c>
    </row>
    <row r="106" spans="1:31" ht="15.75" x14ac:dyDescent="0.25">
      <c r="A106" s="23" t="s">
        <v>494</v>
      </c>
      <c r="B106" s="24" t="s">
        <v>495</v>
      </c>
      <c r="C106" s="24" t="s">
        <v>496</v>
      </c>
      <c r="D106" s="24" t="s">
        <v>497</v>
      </c>
      <c r="E106" s="29">
        <v>96819</v>
      </c>
      <c r="F106" s="24" t="s">
        <v>328</v>
      </c>
      <c r="G106" s="24" t="s">
        <v>498</v>
      </c>
      <c r="H106" s="24" t="s">
        <v>185</v>
      </c>
      <c r="I106" s="25">
        <v>175.392857142857</v>
      </c>
      <c r="J106" s="26">
        <v>0.78894472361809032</v>
      </c>
      <c r="K106" s="26">
        <v>5.5427135678391952</v>
      </c>
      <c r="L106" s="26">
        <v>8.8643216080402016</v>
      </c>
      <c r="M106" s="26">
        <v>2.3517587939698492</v>
      </c>
      <c r="N106" s="26">
        <v>15.055276381909547</v>
      </c>
      <c r="O106" s="26">
        <v>0.97487437185929648</v>
      </c>
      <c r="P106" s="26">
        <v>1.2110552763819096</v>
      </c>
      <c r="Q106" s="26">
        <v>0.30653266331658297</v>
      </c>
      <c r="R106" s="26">
        <v>7.3567839195979907</v>
      </c>
      <c r="S106" s="26">
        <v>6.7688442211055282</v>
      </c>
      <c r="T106" s="26">
        <v>2.1407035175879394</v>
      </c>
      <c r="U106" s="26">
        <v>1.2814070351758793</v>
      </c>
      <c r="V106" s="26">
        <v>14.864321608040203</v>
      </c>
      <c r="W106" s="27"/>
      <c r="X106" s="24" t="s">
        <v>210</v>
      </c>
      <c r="Y106" s="30"/>
      <c r="Z106" s="24"/>
      <c r="AA106" s="28"/>
      <c r="AB106" s="24" t="s">
        <v>210</v>
      </c>
      <c r="AC106" s="30"/>
      <c r="AD106" s="30"/>
      <c r="AE106" s="37"/>
    </row>
    <row r="107" spans="1:31" ht="15.75" x14ac:dyDescent="0.25">
      <c r="A107" s="23" t="s">
        <v>544</v>
      </c>
      <c r="B107" s="24" t="s">
        <v>545</v>
      </c>
      <c r="C107" s="24" t="s">
        <v>546</v>
      </c>
      <c r="D107" s="24" t="s">
        <v>452</v>
      </c>
      <c r="E107" s="29">
        <v>68949</v>
      </c>
      <c r="F107" s="24" t="s">
        <v>340</v>
      </c>
      <c r="G107" s="24" t="s">
        <v>254</v>
      </c>
      <c r="H107" s="24" t="s">
        <v>185</v>
      </c>
      <c r="I107" s="25">
        <v>59.553571428571402</v>
      </c>
      <c r="J107" s="26">
        <v>1.8894472361809047</v>
      </c>
      <c r="K107" s="26">
        <v>2.7939698492462313</v>
      </c>
      <c r="L107" s="26">
        <v>5.0653266331658289</v>
      </c>
      <c r="M107" s="26">
        <v>5.7286432160804024</v>
      </c>
      <c r="N107" s="26">
        <v>13.517587939698492</v>
      </c>
      <c r="O107" s="26">
        <v>1.5376884422110551</v>
      </c>
      <c r="P107" s="26">
        <v>0.42211055276381909</v>
      </c>
      <c r="Q107" s="26">
        <v>0</v>
      </c>
      <c r="R107" s="26">
        <v>3.7336683417085426</v>
      </c>
      <c r="S107" s="26">
        <v>8.2713567839195967</v>
      </c>
      <c r="T107" s="26">
        <v>1.9346733668341707</v>
      </c>
      <c r="U107" s="26">
        <v>1.5376884422110551</v>
      </c>
      <c r="V107" s="26">
        <v>9.7889447236180889</v>
      </c>
      <c r="W107" s="27"/>
      <c r="X107" s="24" t="s">
        <v>186</v>
      </c>
      <c r="Y107" s="30" t="s">
        <v>294</v>
      </c>
      <c r="Z107" s="24" t="s">
        <v>311</v>
      </c>
      <c r="AA107" s="28" t="s">
        <v>365</v>
      </c>
      <c r="AB107" s="24" t="s">
        <v>514</v>
      </c>
      <c r="AC107" s="30" t="s">
        <v>294</v>
      </c>
      <c r="AD107" s="30" t="s">
        <v>311</v>
      </c>
      <c r="AE107" s="37">
        <v>43371</v>
      </c>
    </row>
    <row r="108" spans="1:31" ht="15.75" x14ac:dyDescent="0.25">
      <c r="A108" s="23" t="s">
        <v>526</v>
      </c>
      <c r="B108" s="24" t="s">
        <v>527</v>
      </c>
      <c r="C108" s="24" t="s">
        <v>528</v>
      </c>
      <c r="D108" s="24" t="s">
        <v>452</v>
      </c>
      <c r="E108" s="29">
        <v>68102</v>
      </c>
      <c r="F108" s="24" t="s">
        <v>340</v>
      </c>
      <c r="G108" s="24" t="s">
        <v>209</v>
      </c>
      <c r="H108" s="24" t="s">
        <v>185</v>
      </c>
      <c r="I108" s="25">
        <v>17.510344827586199</v>
      </c>
      <c r="J108" s="26">
        <v>0.542713567839196</v>
      </c>
      <c r="K108" s="26">
        <v>2.1155778894472359</v>
      </c>
      <c r="L108" s="26">
        <v>4.984924623115579</v>
      </c>
      <c r="M108" s="26">
        <v>7.6834170854271333</v>
      </c>
      <c r="N108" s="26">
        <v>11.572864321608032</v>
      </c>
      <c r="O108" s="26">
        <v>0.64824120603015079</v>
      </c>
      <c r="P108" s="26">
        <v>2.9145728643216082</v>
      </c>
      <c r="Q108" s="26">
        <v>0.19095477386934676</v>
      </c>
      <c r="R108" s="26">
        <v>9.8291457286432138</v>
      </c>
      <c r="S108" s="26">
        <v>3.1407035175879394</v>
      </c>
      <c r="T108" s="26">
        <v>1.5376884422110553</v>
      </c>
      <c r="U108" s="26">
        <v>0.81909547738693456</v>
      </c>
      <c r="V108" s="26">
        <v>13.914572864321604</v>
      </c>
      <c r="W108" s="27"/>
      <c r="X108" s="24" t="s">
        <v>186</v>
      </c>
      <c r="Y108" s="30" t="s">
        <v>255</v>
      </c>
      <c r="Z108" s="24" t="s">
        <v>188</v>
      </c>
      <c r="AA108" s="28" t="s">
        <v>251</v>
      </c>
      <c r="AB108" s="24" t="s">
        <v>186</v>
      </c>
      <c r="AC108" s="30" t="s">
        <v>255</v>
      </c>
      <c r="AD108" s="30" t="s">
        <v>188</v>
      </c>
      <c r="AE108" s="37">
        <v>43398</v>
      </c>
    </row>
    <row r="109" spans="1:31" ht="15.75" x14ac:dyDescent="0.25">
      <c r="A109" s="23" t="s">
        <v>699</v>
      </c>
      <c r="B109" s="24" t="s">
        <v>698</v>
      </c>
      <c r="C109" s="24" t="s">
        <v>181</v>
      </c>
      <c r="D109" s="24" t="s">
        <v>182</v>
      </c>
      <c r="E109" s="29">
        <v>92301</v>
      </c>
      <c r="F109" s="24" t="s">
        <v>183</v>
      </c>
      <c r="G109" s="24" t="s">
        <v>199</v>
      </c>
      <c r="H109" s="24" t="s">
        <v>185</v>
      </c>
      <c r="I109" s="25">
        <v>23.4324324324324</v>
      </c>
      <c r="J109" s="26">
        <v>1.0150753768844221</v>
      </c>
      <c r="K109" s="26">
        <v>1.9597989949748742</v>
      </c>
      <c r="L109" s="26">
        <v>5.5728643216080389</v>
      </c>
      <c r="M109" s="26">
        <v>6.281407035175878</v>
      </c>
      <c r="N109" s="26">
        <v>12.778894472361811</v>
      </c>
      <c r="O109" s="26">
        <v>2.050251256281407</v>
      </c>
      <c r="P109" s="26">
        <v>0</v>
      </c>
      <c r="Q109" s="26">
        <v>0</v>
      </c>
      <c r="R109" s="26">
        <v>9.0452261306532638</v>
      </c>
      <c r="S109" s="26">
        <v>1.693467336683417</v>
      </c>
      <c r="T109" s="26">
        <v>1.8492462311557789</v>
      </c>
      <c r="U109" s="26">
        <v>2.2412060301507539</v>
      </c>
      <c r="V109" s="26">
        <v>12.723618090452261</v>
      </c>
      <c r="W109" s="27">
        <v>120</v>
      </c>
      <c r="X109" s="24" t="s">
        <v>186</v>
      </c>
      <c r="Y109" s="30" t="s">
        <v>718</v>
      </c>
      <c r="Z109" s="24"/>
      <c r="AA109" s="28" t="s">
        <v>755</v>
      </c>
      <c r="AB109" s="24" t="s">
        <v>186</v>
      </c>
      <c r="AC109" s="30" t="s">
        <v>718</v>
      </c>
      <c r="AD109" s="30"/>
      <c r="AE109" s="37">
        <v>44133</v>
      </c>
    </row>
    <row r="110" spans="1:31" ht="15.75" x14ac:dyDescent="0.25">
      <c r="A110" s="23" t="s">
        <v>505</v>
      </c>
      <c r="B110" s="24" t="s">
        <v>506</v>
      </c>
      <c r="C110" s="24" t="s">
        <v>507</v>
      </c>
      <c r="D110" s="24" t="s">
        <v>193</v>
      </c>
      <c r="E110" s="29">
        <v>30250</v>
      </c>
      <c r="F110" s="24" t="s">
        <v>194</v>
      </c>
      <c r="G110" s="24" t="s">
        <v>226</v>
      </c>
      <c r="H110" s="24" t="s">
        <v>185</v>
      </c>
      <c r="I110" s="25">
        <v>10.14</v>
      </c>
      <c r="J110" s="26">
        <v>2.6281407035175874</v>
      </c>
      <c r="K110" s="26">
        <v>2.6834170854271355</v>
      </c>
      <c r="L110" s="26">
        <v>6.0150753768844201</v>
      </c>
      <c r="M110" s="26">
        <v>3.4773869346733655</v>
      </c>
      <c r="N110" s="26">
        <v>10.648241206030139</v>
      </c>
      <c r="O110" s="26">
        <v>4.1507537688442202</v>
      </c>
      <c r="P110" s="26">
        <v>5.0251256281407036E-3</v>
      </c>
      <c r="Q110" s="26">
        <v>0</v>
      </c>
      <c r="R110" s="26">
        <v>5.7638190954773858</v>
      </c>
      <c r="S110" s="26">
        <v>3.3668341708542706</v>
      </c>
      <c r="T110" s="26">
        <v>1.6281407035175879</v>
      </c>
      <c r="U110" s="26">
        <v>4.0452261306532655</v>
      </c>
      <c r="V110" s="26">
        <v>12.874371859296456</v>
      </c>
      <c r="W110" s="27"/>
      <c r="X110" s="24" t="s">
        <v>186</v>
      </c>
      <c r="Y110" s="30" t="s">
        <v>756</v>
      </c>
      <c r="Z110" s="24" t="s">
        <v>311</v>
      </c>
      <c r="AA110" s="28" t="s">
        <v>809</v>
      </c>
      <c r="AB110" s="24" t="s">
        <v>186</v>
      </c>
      <c r="AC110" s="30" t="s">
        <v>294</v>
      </c>
      <c r="AD110" s="30" t="s">
        <v>311</v>
      </c>
      <c r="AE110" s="37">
        <v>43804</v>
      </c>
    </row>
    <row r="111" spans="1:31" ht="15.75" x14ac:dyDescent="0.25">
      <c r="A111" s="23" t="s">
        <v>463</v>
      </c>
      <c r="B111" s="24" t="s">
        <v>464</v>
      </c>
      <c r="C111" s="24" t="s">
        <v>465</v>
      </c>
      <c r="D111" s="24" t="s">
        <v>38</v>
      </c>
      <c r="E111" s="29">
        <v>20794</v>
      </c>
      <c r="F111" s="24" t="s">
        <v>407</v>
      </c>
      <c r="G111" s="24" t="s">
        <v>209</v>
      </c>
      <c r="H111" s="24" t="s">
        <v>5</v>
      </c>
      <c r="I111" s="25">
        <v>125.93939393939399</v>
      </c>
      <c r="J111" s="26">
        <v>0</v>
      </c>
      <c r="K111" s="26">
        <v>0</v>
      </c>
      <c r="L111" s="26">
        <v>4.1155778894472368</v>
      </c>
      <c r="M111" s="26">
        <v>8.3366834170854265</v>
      </c>
      <c r="N111" s="26">
        <v>11.914572864321608</v>
      </c>
      <c r="O111" s="26">
        <v>0.53768844221105527</v>
      </c>
      <c r="P111" s="26">
        <v>0</v>
      </c>
      <c r="Q111" s="26">
        <v>0</v>
      </c>
      <c r="R111" s="26">
        <v>10.306532663316583</v>
      </c>
      <c r="S111" s="26">
        <v>1.608040201005025</v>
      </c>
      <c r="T111" s="26">
        <v>0</v>
      </c>
      <c r="U111" s="26">
        <v>0.53768844221105527</v>
      </c>
      <c r="V111" s="26">
        <v>9.6733668341708547</v>
      </c>
      <c r="W111" s="27"/>
      <c r="X111" s="24" t="s">
        <v>186</v>
      </c>
      <c r="Y111" s="30" t="s">
        <v>718</v>
      </c>
      <c r="Z111" s="24" t="s">
        <v>188</v>
      </c>
      <c r="AA111" s="28" t="s">
        <v>808</v>
      </c>
      <c r="AB111" s="24" t="s">
        <v>186</v>
      </c>
      <c r="AC111" s="30" t="s">
        <v>807</v>
      </c>
      <c r="AD111" s="30"/>
      <c r="AE111" s="37">
        <v>43811</v>
      </c>
    </row>
    <row r="112" spans="1:31" ht="15.75" x14ac:dyDescent="0.25">
      <c r="A112" s="23" t="s">
        <v>523</v>
      </c>
      <c r="B112" s="24" t="s">
        <v>524</v>
      </c>
      <c r="C112" s="24" t="s">
        <v>525</v>
      </c>
      <c r="D112" s="24" t="s">
        <v>377</v>
      </c>
      <c r="E112" s="29">
        <v>89512</v>
      </c>
      <c r="F112" s="24" t="s">
        <v>378</v>
      </c>
      <c r="G112" s="24" t="s">
        <v>254</v>
      </c>
      <c r="H112" s="24" t="s">
        <v>185</v>
      </c>
      <c r="I112" s="25">
        <v>15.6324786324786</v>
      </c>
      <c r="J112" s="26">
        <v>0.46231155778894473</v>
      </c>
      <c r="K112" s="26">
        <v>0.81909547738693467</v>
      </c>
      <c r="L112" s="26">
        <v>2.7587939698492452</v>
      </c>
      <c r="M112" s="26">
        <v>5.0452261306532673</v>
      </c>
      <c r="N112" s="26">
        <v>7.7537688442211099</v>
      </c>
      <c r="O112" s="26">
        <v>1.1005025125628141</v>
      </c>
      <c r="P112" s="26">
        <v>0.12060301507537688</v>
      </c>
      <c r="Q112" s="26">
        <v>0.11055276381909548</v>
      </c>
      <c r="R112" s="26">
        <v>6.0351758793969861</v>
      </c>
      <c r="S112" s="26">
        <v>1.0100502512562815</v>
      </c>
      <c r="T112" s="26">
        <v>0.83919597989949768</v>
      </c>
      <c r="U112" s="26">
        <v>1.2010050251256281</v>
      </c>
      <c r="V112" s="26">
        <v>7.6080402010050259</v>
      </c>
      <c r="W112" s="27"/>
      <c r="X112" s="24" t="s">
        <v>186</v>
      </c>
      <c r="Y112" s="30" t="s">
        <v>294</v>
      </c>
      <c r="Z112" s="24" t="s">
        <v>311</v>
      </c>
      <c r="AA112" s="28" t="s">
        <v>700</v>
      </c>
      <c r="AB112" s="24" t="s">
        <v>186</v>
      </c>
      <c r="AC112" s="30" t="s">
        <v>294</v>
      </c>
      <c r="AD112" s="30" t="s">
        <v>311</v>
      </c>
      <c r="AE112" s="37">
        <v>43342</v>
      </c>
    </row>
    <row r="113" spans="1:31" ht="15.75" x14ac:dyDescent="0.25">
      <c r="A113" s="23" t="s">
        <v>502</v>
      </c>
      <c r="B113" s="24" t="s">
        <v>503</v>
      </c>
      <c r="C113" s="24" t="s">
        <v>504</v>
      </c>
      <c r="D113" s="24" t="s">
        <v>403</v>
      </c>
      <c r="E113" s="29">
        <v>49783</v>
      </c>
      <c r="F113" s="24" t="s">
        <v>395</v>
      </c>
      <c r="G113" s="24" t="s">
        <v>209</v>
      </c>
      <c r="H113" s="24" t="s">
        <v>185</v>
      </c>
      <c r="I113" s="25">
        <v>195.70588235294099</v>
      </c>
      <c r="J113" s="26">
        <v>1.386934673366834</v>
      </c>
      <c r="K113" s="26">
        <v>0.5879396984924623</v>
      </c>
      <c r="L113" s="26">
        <v>5.1356783919597984</v>
      </c>
      <c r="M113" s="26">
        <v>1.2412060301507539</v>
      </c>
      <c r="N113" s="26">
        <v>6.6482412060301508</v>
      </c>
      <c r="O113" s="26">
        <v>0.70351758793969843</v>
      </c>
      <c r="P113" s="26">
        <v>1</v>
      </c>
      <c r="Q113" s="26">
        <v>0</v>
      </c>
      <c r="R113" s="26">
        <v>5.2110552763819094</v>
      </c>
      <c r="S113" s="26">
        <v>2.2462311557788945</v>
      </c>
      <c r="T113" s="26">
        <v>0.19095477386934673</v>
      </c>
      <c r="U113" s="26">
        <v>0.70351758793969843</v>
      </c>
      <c r="V113" s="26">
        <v>8.0452261306532655</v>
      </c>
      <c r="W113" s="27"/>
      <c r="X113" s="24" t="s">
        <v>186</v>
      </c>
      <c r="Y113" s="30" t="s">
        <v>756</v>
      </c>
      <c r="Z113" s="24" t="s">
        <v>311</v>
      </c>
      <c r="AA113" s="28" t="s">
        <v>755</v>
      </c>
      <c r="AB113" s="24" t="s">
        <v>186</v>
      </c>
      <c r="AC113" s="30" t="s">
        <v>294</v>
      </c>
      <c r="AD113" s="30" t="s">
        <v>311</v>
      </c>
      <c r="AE113" s="37">
        <v>43552</v>
      </c>
    </row>
    <row r="114" spans="1:31" ht="15.75" x14ac:dyDescent="0.25">
      <c r="A114" s="23" t="s">
        <v>21</v>
      </c>
      <c r="B114" s="24" t="s">
        <v>454</v>
      </c>
      <c r="C114" s="24" t="s">
        <v>455</v>
      </c>
      <c r="D114" s="24" t="s">
        <v>403</v>
      </c>
      <c r="E114" s="29">
        <v>48161</v>
      </c>
      <c r="F114" s="24" t="s">
        <v>395</v>
      </c>
      <c r="G114" s="24" t="s">
        <v>209</v>
      </c>
      <c r="H114" s="24" t="s">
        <v>5</v>
      </c>
      <c r="I114" s="25">
        <v>61.241379310344797</v>
      </c>
      <c r="J114" s="26">
        <v>1.2160804020100504</v>
      </c>
      <c r="K114" s="26">
        <v>5.522613065326631</v>
      </c>
      <c r="L114" s="26">
        <v>0.97989949748743721</v>
      </c>
      <c r="M114" s="26">
        <v>0.12562814070351758</v>
      </c>
      <c r="N114" s="26">
        <v>4.7135678391959779</v>
      </c>
      <c r="O114" s="26">
        <v>3.1306532663316586</v>
      </c>
      <c r="P114" s="26">
        <v>0</v>
      </c>
      <c r="Q114" s="26">
        <v>0</v>
      </c>
      <c r="R114" s="26">
        <v>0.87939698492462304</v>
      </c>
      <c r="S114" s="26">
        <v>2.7788944723618085</v>
      </c>
      <c r="T114" s="26">
        <v>1.035175879396985</v>
      </c>
      <c r="U114" s="26">
        <v>3.1507537688442215</v>
      </c>
      <c r="V114" s="26">
        <v>6.9497487437185921</v>
      </c>
      <c r="W114" s="27"/>
      <c r="X114" s="24" t="s">
        <v>186</v>
      </c>
      <c r="Y114" s="30" t="s">
        <v>756</v>
      </c>
      <c r="Z114" s="24" t="s">
        <v>311</v>
      </c>
      <c r="AA114" s="28" t="s">
        <v>806</v>
      </c>
      <c r="AB114" s="24" t="s">
        <v>186</v>
      </c>
      <c r="AC114" s="30" t="s">
        <v>294</v>
      </c>
      <c r="AD114" s="30" t="s">
        <v>311</v>
      </c>
      <c r="AE114" s="37">
        <v>43692</v>
      </c>
    </row>
    <row r="115" spans="1:31" ht="15.75" x14ac:dyDescent="0.25">
      <c r="A115" s="23" t="s">
        <v>529</v>
      </c>
      <c r="B115" s="24" t="s">
        <v>530</v>
      </c>
      <c r="C115" s="24" t="s">
        <v>224</v>
      </c>
      <c r="D115" s="24" t="s">
        <v>182</v>
      </c>
      <c r="E115" s="29">
        <v>92154</v>
      </c>
      <c r="F115" s="24" t="s">
        <v>225</v>
      </c>
      <c r="G115" s="24" t="s">
        <v>0</v>
      </c>
      <c r="H115" s="24" t="s">
        <v>185</v>
      </c>
      <c r="I115" s="25">
        <v>1.63104325699746</v>
      </c>
      <c r="J115" s="26">
        <v>6.0402010050250743</v>
      </c>
      <c r="K115" s="26">
        <v>0.36180904522613055</v>
      </c>
      <c r="L115" s="26">
        <v>2.5125628140703519E-2</v>
      </c>
      <c r="M115" s="26">
        <v>2.5125628140703519E-2</v>
      </c>
      <c r="N115" s="26">
        <v>0.2412060301507537</v>
      </c>
      <c r="O115" s="26">
        <v>4.4221105527637938</v>
      </c>
      <c r="P115" s="26">
        <v>5.0251256281407036E-3</v>
      </c>
      <c r="Q115" s="26">
        <v>1.7839195979899471</v>
      </c>
      <c r="R115" s="26">
        <v>6.5326633165829151E-2</v>
      </c>
      <c r="S115" s="26">
        <v>7.5376884422110546E-2</v>
      </c>
      <c r="T115" s="26">
        <v>9.0452261306532653E-2</v>
      </c>
      <c r="U115" s="26">
        <v>6.2211055276381311</v>
      </c>
      <c r="V115" s="26">
        <v>4.5477386934673181</v>
      </c>
      <c r="W115" s="27"/>
      <c r="X115" s="24" t="s">
        <v>210</v>
      </c>
      <c r="Y115" s="30"/>
      <c r="Z115" s="24"/>
      <c r="AA115" s="28"/>
      <c r="AB115" s="24" t="s">
        <v>210</v>
      </c>
      <c r="AC115" s="30"/>
      <c r="AD115" s="30"/>
      <c r="AE115" s="37"/>
    </row>
    <row r="116" spans="1:31" ht="15.75" x14ac:dyDescent="0.25">
      <c r="A116" s="23" t="s">
        <v>491</v>
      </c>
      <c r="B116" s="24" t="s">
        <v>492</v>
      </c>
      <c r="C116" s="24" t="s">
        <v>493</v>
      </c>
      <c r="D116" s="24" t="s">
        <v>299</v>
      </c>
      <c r="E116" s="29">
        <v>15931</v>
      </c>
      <c r="F116" s="24" t="s">
        <v>300</v>
      </c>
      <c r="G116" s="24" t="s">
        <v>254</v>
      </c>
      <c r="H116" s="24" t="s">
        <v>5</v>
      </c>
      <c r="I116" s="25">
        <v>70.271186440677994</v>
      </c>
      <c r="J116" s="26">
        <v>0.37185929648241206</v>
      </c>
      <c r="K116" s="26">
        <v>1.442211055276382</v>
      </c>
      <c r="L116" s="26">
        <v>3.8944723618090453</v>
      </c>
      <c r="M116" s="26">
        <v>0.71356783919597988</v>
      </c>
      <c r="N116" s="26">
        <v>4.2663316582914561</v>
      </c>
      <c r="O116" s="26">
        <v>1.6432160804020102</v>
      </c>
      <c r="P116" s="26">
        <v>0.28643216080402012</v>
      </c>
      <c r="Q116" s="26">
        <v>0.22613065326633167</v>
      </c>
      <c r="R116" s="26">
        <v>2.9597989949748738</v>
      </c>
      <c r="S116" s="26">
        <v>1.3919597989949748</v>
      </c>
      <c r="T116" s="26">
        <v>8.0402010050251244E-2</v>
      </c>
      <c r="U116" s="26">
        <v>1.9899497487437188</v>
      </c>
      <c r="V116" s="26">
        <v>4.1809045226130648</v>
      </c>
      <c r="W116" s="27"/>
      <c r="X116" s="24" t="s">
        <v>186</v>
      </c>
      <c r="Y116" s="30" t="s">
        <v>294</v>
      </c>
      <c r="Z116" s="24" t="s">
        <v>311</v>
      </c>
      <c r="AA116" s="28" t="s">
        <v>248</v>
      </c>
      <c r="AB116" s="24" t="s">
        <v>186</v>
      </c>
      <c r="AC116" s="30" t="s">
        <v>294</v>
      </c>
      <c r="AD116" s="30" t="s">
        <v>311</v>
      </c>
      <c r="AE116" s="37">
        <v>43412</v>
      </c>
    </row>
    <row r="117" spans="1:31" ht="15.75" x14ac:dyDescent="0.25">
      <c r="A117" s="23" t="s">
        <v>562</v>
      </c>
      <c r="B117" s="24" t="s">
        <v>563</v>
      </c>
      <c r="C117" s="24" t="s">
        <v>539</v>
      </c>
      <c r="D117" s="24" t="s">
        <v>307</v>
      </c>
      <c r="E117" s="29">
        <v>12180</v>
      </c>
      <c r="F117" s="24" t="s">
        <v>308</v>
      </c>
      <c r="G117" s="24" t="s">
        <v>254</v>
      </c>
      <c r="H117" s="24" t="s">
        <v>185</v>
      </c>
      <c r="I117" s="25">
        <v>22.7</v>
      </c>
      <c r="J117" s="26">
        <v>2.3467336683417077</v>
      </c>
      <c r="K117" s="26">
        <v>1.3115577889447236</v>
      </c>
      <c r="L117" s="26">
        <v>0.45226130653266333</v>
      </c>
      <c r="M117" s="26">
        <v>1.9748743718592965</v>
      </c>
      <c r="N117" s="26">
        <v>0.57286432160804013</v>
      </c>
      <c r="O117" s="26">
        <v>0.56783919597989962</v>
      </c>
      <c r="P117" s="26">
        <v>3.8442211055276392</v>
      </c>
      <c r="Q117" s="26">
        <v>1.1005025125628141</v>
      </c>
      <c r="R117" s="26">
        <v>2.9396984924623113</v>
      </c>
      <c r="S117" s="26">
        <v>0.16080402010050251</v>
      </c>
      <c r="T117" s="26">
        <v>1.316582914572864</v>
      </c>
      <c r="U117" s="26">
        <v>1.6683417085427135</v>
      </c>
      <c r="V117" s="26">
        <v>5.4673366834170869</v>
      </c>
      <c r="W117" s="27"/>
      <c r="X117" s="24" t="s">
        <v>210</v>
      </c>
      <c r="Y117" s="30"/>
      <c r="Z117" s="24"/>
      <c r="AA117" s="28"/>
      <c r="AB117" s="24" t="s">
        <v>210</v>
      </c>
      <c r="AC117" s="30"/>
      <c r="AD117" s="30"/>
      <c r="AE117" s="37"/>
    </row>
    <row r="118" spans="1:31" ht="15.75" x14ac:dyDescent="0.25">
      <c r="A118" s="23" t="s">
        <v>558</v>
      </c>
      <c r="B118" s="24" t="s">
        <v>559</v>
      </c>
      <c r="C118" s="24" t="s">
        <v>560</v>
      </c>
      <c r="D118" s="24" t="s">
        <v>470</v>
      </c>
      <c r="E118" s="29">
        <v>51501</v>
      </c>
      <c r="F118" s="24" t="s">
        <v>340</v>
      </c>
      <c r="G118" s="24" t="s">
        <v>254</v>
      </c>
      <c r="H118" s="24" t="s">
        <v>185</v>
      </c>
      <c r="I118" s="25">
        <v>24.6</v>
      </c>
      <c r="J118" s="26">
        <v>0.17085427135678391</v>
      </c>
      <c r="K118" s="26">
        <v>0.49748743718592969</v>
      </c>
      <c r="L118" s="26">
        <v>2.5075376884422109</v>
      </c>
      <c r="M118" s="26">
        <v>2.829145728643216</v>
      </c>
      <c r="N118" s="26">
        <v>5.0452261306532664</v>
      </c>
      <c r="O118" s="26">
        <v>0.95979899497487442</v>
      </c>
      <c r="P118" s="26">
        <v>0</v>
      </c>
      <c r="Q118" s="26">
        <v>0</v>
      </c>
      <c r="R118" s="26">
        <v>2.2361809045226129</v>
      </c>
      <c r="S118" s="26">
        <v>1.3316582914572863</v>
      </c>
      <c r="T118" s="26">
        <v>1.477386934673367</v>
      </c>
      <c r="U118" s="26">
        <v>0.95979899497487442</v>
      </c>
      <c r="V118" s="26">
        <v>4.517587939698493</v>
      </c>
      <c r="W118" s="27"/>
      <c r="X118" s="24" t="s">
        <v>186</v>
      </c>
      <c r="Y118" s="30" t="s">
        <v>294</v>
      </c>
      <c r="Z118" s="24" t="s">
        <v>311</v>
      </c>
      <c r="AA118" s="28" t="s">
        <v>561</v>
      </c>
      <c r="AB118" s="24" t="s">
        <v>186</v>
      </c>
      <c r="AC118" s="30" t="s">
        <v>294</v>
      </c>
      <c r="AD118" s="30" t="s">
        <v>311</v>
      </c>
      <c r="AE118" s="37">
        <v>42838</v>
      </c>
    </row>
    <row r="119" spans="1:31" ht="15.75" x14ac:dyDescent="0.25">
      <c r="A119" s="23" t="s">
        <v>697</v>
      </c>
      <c r="B119" s="24" t="s">
        <v>696</v>
      </c>
      <c r="C119" s="24" t="s">
        <v>695</v>
      </c>
      <c r="D119" s="24" t="s">
        <v>197</v>
      </c>
      <c r="E119" s="29">
        <v>76040</v>
      </c>
      <c r="F119" s="24" t="s">
        <v>272</v>
      </c>
      <c r="G119" s="24" t="s">
        <v>209</v>
      </c>
      <c r="H119" s="24" t="s">
        <v>185</v>
      </c>
      <c r="I119" s="25">
        <v>1.3097345132743401</v>
      </c>
      <c r="J119" s="26">
        <v>4.3316582914572423</v>
      </c>
      <c r="K119" s="26">
        <v>0.77889447236181031</v>
      </c>
      <c r="L119" s="26">
        <v>0.36180904522613072</v>
      </c>
      <c r="M119" s="26">
        <v>0.47236180904522646</v>
      </c>
      <c r="N119" s="26">
        <v>2.7638190954773685</v>
      </c>
      <c r="O119" s="26">
        <v>2.5226130653266177</v>
      </c>
      <c r="P119" s="26">
        <v>0.10552763819095475</v>
      </c>
      <c r="Q119" s="26">
        <v>0.55276381909547789</v>
      </c>
      <c r="R119" s="26">
        <v>1.2864321608040197</v>
      </c>
      <c r="S119" s="26">
        <v>0.67336683417085508</v>
      </c>
      <c r="T119" s="26">
        <v>0.9296482412060324</v>
      </c>
      <c r="U119" s="26">
        <v>3.0552763819095246</v>
      </c>
      <c r="V119" s="26">
        <v>2.9095477386934503</v>
      </c>
      <c r="W119" s="27"/>
      <c r="X119" s="24" t="s">
        <v>514</v>
      </c>
      <c r="Y119" s="30" t="s">
        <v>294</v>
      </c>
      <c r="Z119" s="24" t="s">
        <v>311</v>
      </c>
      <c r="AA119" s="28" t="s">
        <v>684</v>
      </c>
      <c r="AB119" s="24" t="s">
        <v>514</v>
      </c>
      <c r="AC119" s="30" t="s">
        <v>294</v>
      </c>
      <c r="AD119" s="30" t="s">
        <v>311</v>
      </c>
      <c r="AE119" s="37">
        <v>42613</v>
      </c>
    </row>
    <row r="120" spans="1:31" ht="15.75" x14ac:dyDescent="0.25">
      <c r="A120" s="23" t="s">
        <v>694</v>
      </c>
      <c r="B120" s="24" t="s">
        <v>693</v>
      </c>
      <c r="C120" s="24" t="s">
        <v>692</v>
      </c>
      <c r="D120" s="24" t="s">
        <v>307</v>
      </c>
      <c r="E120" s="29">
        <v>12901</v>
      </c>
      <c r="F120" s="24" t="s">
        <v>308</v>
      </c>
      <c r="G120" s="24" t="s">
        <v>254</v>
      </c>
      <c r="H120" s="24" t="s">
        <v>185</v>
      </c>
      <c r="I120" s="25">
        <v>17.068493150684901</v>
      </c>
      <c r="J120" s="26">
        <v>3.8894472361809034</v>
      </c>
      <c r="K120" s="26">
        <v>1.1005025125628141</v>
      </c>
      <c r="L120" s="26">
        <v>0.19095477386934673</v>
      </c>
      <c r="M120" s="26">
        <v>0.27638190954773872</v>
      </c>
      <c r="N120" s="26">
        <v>0.51256281407035176</v>
      </c>
      <c r="O120" s="26">
        <v>3.5326633165829135</v>
      </c>
      <c r="P120" s="26">
        <v>0.72361809045226133</v>
      </c>
      <c r="Q120" s="26">
        <v>0.68844221105527625</v>
      </c>
      <c r="R120" s="26">
        <v>0.17085427135678394</v>
      </c>
      <c r="S120" s="26">
        <v>0</v>
      </c>
      <c r="T120" s="26">
        <v>1.0653266331658291</v>
      </c>
      <c r="U120" s="26">
        <v>4.2211055276381897</v>
      </c>
      <c r="V120" s="26">
        <v>1.8994974874371859</v>
      </c>
      <c r="W120" s="27"/>
      <c r="X120" s="24" t="s">
        <v>186</v>
      </c>
      <c r="Y120" s="30" t="s">
        <v>294</v>
      </c>
      <c r="Z120" s="24" t="s">
        <v>311</v>
      </c>
      <c r="AA120" s="28" t="s">
        <v>691</v>
      </c>
      <c r="AB120" s="24" t="s">
        <v>186</v>
      </c>
      <c r="AC120" s="30" t="s">
        <v>294</v>
      </c>
      <c r="AD120" s="30" t="s">
        <v>311</v>
      </c>
      <c r="AE120" s="37">
        <v>43139</v>
      </c>
    </row>
    <row r="121" spans="1:31" ht="15.75" x14ac:dyDescent="0.25">
      <c r="A121" s="23" t="s">
        <v>511</v>
      </c>
      <c r="B121" s="24" t="s">
        <v>512</v>
      </c>
      <c r="C121" s="24" t="s">
        <v>513</v>
      </c>
      <c r="D121" s="24" t="s">
        <v>289</v>
      </c>
      <c r="E121" s="29">
        <v>80814</v>
      </c>
      <c r="F121" s="24" t="s">
        <v>290</v>
      </c>
      <c r="G121" s="24" t="s">
        <v>209</v>
      </c>
      <c r="H121" s="24" t="s">
        <v>185</v>
      </c>
      <c r="I121" s="25">
        <v>32.179487179487197</v>
      </c>
      <c r="J121" s="26">
        <v>0.38693467336683418</v>
      </c>
      <c r="K121" s="26">
        <v>1.2512562814070352</v>
      </c>
      <c r="L121" s="26">
        <v>1.5175879396984926</v>
      </c>
      <c r="M121" s="26">
        <v>1.2864321608040201</v>
      </c>
      <c r="N121" s="26">
        <v>3.6482412060301521</v>
      </c>
      <c r="O121" s="26">
        <v>0.75376884422110546</v>
      </c>
      <c r="P121" s="26">
        <v>4.0201005025125629E-2</v>
      </c>
      <c r="Q121" s="26">
        <v>0</v>
      </c>
      <c r="R121" s="26">
        <v>0.63316582914572872</v>
      </c>
      <c r="S121" s="26">
        <v>3.0301507537688446</v>
      </c>
      <c r="T121" s="26">
        <v>2.5125628140703515E-2</v>
      </c>
      <c r="U121" s="26">
        <v>0.75376884422110546</v>
      </c>
      <c r="V121" s="26">
        <v>2.1356783919597992</v>
      </c>
      <c r="W121" s="27"/>
      <c r="X121" s="24" t="s">
        <v>186</v>
      </c>
      <c r="Y121" s="30" t="s">
        <v>756</v>
      </c>
      <c r="Z121" s="24"/>
      <c r="AA121" s="28" t="s">
        <v>805</v>
      </c>
      <c r="AB121" s="24" t="s">
        <v>186</v>
      </c>
      <c r="AC121" s="30" t="s">
        <v>294</v>
      </c>
      <c r="AD121" s="30"/>
      <c r="AE121" s="37">
        <v>44133</v>
      </c>
    </row>
    <row r="122" spans="1:31" ht="15.75" x14ac:dyDescent="0.25">
      <c r="A122" s="23" t="s">
        <v>535</v>
      </c>
      <c r="B122" s="24" t="s">
        <v>536</v>
      </c>
      <c r="C122" s="24" t="s">
        <v>537</v>
      </c>
      <c r="D122" s="24" t="s">
        <v>538</v>
      </c>
      <c r="E122" s="29">
        <v>96950</v>
      </c>
      <c r="F122" s="24" t="s">
        <v>328</v>
      </c>
      <c r="G122" s="24" t="s">
        <v>254</v>
      </c>
      <c r="H122" s="24" t="s">
        <v>185</v>
      </c>
      <c r="I122" s="25">
        <v>114.777777777778</v>
      </c>
      <c r="J122" s="26">
        <v>0</v>
      </c>
      <c r="K122" s="26">
        <v>0.54773869346733672</v>
      </c>
      <c r="L122" s="26">
        <v>2.6130653266331656</v>
      </c>
      <c r="M122" s="26">
        <v>1.2010050251256281</v>
      </c>
      <c r="N122" s="26">
        <v>3.7487437185929648</v>
      </c>
      <c r="O122" s="26">
        <v>0</v>
      </c>
      <c r="P122" s="26">
        <v>0.46231155778894473</v>
      </c>
      <c r="Q122" s="26">
        <v>0.15075376884422109</v>
      </c>
      <c r="R122" s="26">
        <v>3.0150753768844223</v>
      </c>
      <c r="S122" s="26">
        <v>1.1959798994974875</v>
      </c>
      <c r="T122" s="26">
        <v>0</v>
      </c>
      <c r="U122" s="26">
        <v>0.15075376884422109</v>
      </c>
      <c r="V122" s="26">
        <v>4.3618090452261313</v>
      </c>
      <c r="W122" s="27"/>
      <c r="X122" s="24" t="s">
        <v>210</v>
      </c>
      <c r="Y122" s="30"/>
      <c r="Z122" s="24"/>
      <c r="AA122" s="28"/>
      <c r="AB122" s="24" t="s">
        <v>210</v>
      </c>
      <c r="AC122" s="30"/>
      <c r="AD122" s="30"/>
      <c r="AE122" s="37"/>
    </row>
    <row r="123" spans="1:31" ht="15.75" x14ac:dyDescent="0.25">
      <c r="A123" s="23" t="s">
        <v>520</v>
      </c>
      <c r="B123" s="24" t="s">
        <v>521</v>
      </c>
      <c r="C123" s="24" t="s">
        <v>522</v>
      </c>
      <c r="D123" s="24" t="s">
        <v>339</v>
      </c>
      <c r="E123" s="29">
        <v>55318</v>
      </c>
      <c r="F123" s="24" t="s">
        <v>340</v>
      </c>
      <c r="G123" s="24" t="s">
        <v>209</v>
      </c>
      <c r="H123" s="24" t="s">
        <v>185</v>
      </c>
      <c r="I123" s="25">
        <v>37.846153846153797</v>
      </c>
      <c r="J123" s="26">
        <v>4.5226130653266333E-2</v>
      </c>
      <c r="K123" s="26">
        <v>1.1206030150753767</v>
      </c>
      <c r="L123" s="26">
        <v>2.7939698492462299</v>
      </c>
      <c r="M123" s="26">
        <v>0.14572864321608039</v>
      </c>
      <c r="N123" s="26">
        <v>3.9396984924623104</v>
      </c>
      <c r="O123" s="26">
        <v>0.15577889447236176</v>
      </c>
      <c r="P123" s="26">
        <v>1.0050251256281407E-2</v>
      </c>
      <c r="Q123" s="26">
        <v>0</v>
      </c>
      <c r="R123" s="26">
        <v>3.4773869346733663</v>
      </c>
      <c r="S123" s="26">
        <v>0.41708542713567848</v>
      </c>
      <c r="T123" s="26">
        <v>6.0301507537688447E-2</v>
      </c>
      <c r="U123" s="26">
        <v>0.15075376884422106</v>
      </c>
      <c r="V123" s="26">
        <v>3.9195979899497475</v>
      </c>
      <c r="W123" s="27"/>
      <c r="X123" s="24" t="s">
        <v>186</v>
      </c>
      <c r="Y123" s="30" t="s">
        <v>294</v>
      </c>
      <c r="Z123" s="24" t="s">
        <v>311</v>
      </c>
      <c r="AA123" s="28" t="s">
        <v>427</v>
      </c>
      <c r="AB123" s="24" t="s">
        <v>186</v>
      </c>
      <c r="AC123" s="30" t="s">
        <v>294</v>
      </c>
      <c r="AD123" s="30" t="s">
        <v>311</v>
      </c>
      <c r="AE123" s="37">
        <v>43055</v>
      </c>
    </row>
    <row r="124" spans="1:31" ht="15.75" x14ac:dyDescent="0.25">
      <c r="A124" s="23" t="s">
        <v>804</v>
      </c>
      <c r="B124" s="24" t="s">
        <v>803</v>
      </c>
      <c r="C124" s="24" t="s">
        <v>802</v>
      </c>
      <c r="D124" s="24" t="s">
        <v>518</v>
      </c>
      <c r="E124" s="29">
        <v>84737</v>
      </c>
      <c r="F124" s="24" t="s">
        <v>378</v>
      </c>
      <c r="G124" s="24" t="s">
        <v>254</v>
      </c>
      <c r="H124" s="24" t="s">
        <v>185</v>
      </c>
      <c r="I124" s="25">
        <v>7.0315789473684198</v>
      </c>
      <c r="J124" s="26">
        <v>0.19095477386934673</v>
      </c>
      <c r="K124" s="26">
        <v>1.7688442211055269</v>
      </c>
      <c r="L124" s="26">
        <v>1.3668341708542713</v>
      </c>
      <c r="M124" s="26">
        <v>3.5175879396984924E-2</v>
      </c>
      <c r="N124" s="26">
        <v>1.8341708542713564</v>
      </c>
      <c r="O124" s="26">
        <v>1.3567839195979901</v>
      </c>
      <c r="P124" s="26">
        <v>0</v>
      </c>
      <c r="Q124" s="26">
        <v>0.17085427135678391</v>
      </c>
      <c r="R124" s="26">
        <v>0.56783919597989951</v>
      </c>
      <c r="S124" s="26">
        <v>0.70854271356783916</v>
      </c>
      <c r="T124" s="26">
        <v>0.72361809045226144</v>
      </c>
      <c r="U124" s="26">
        <v>1.3618090452261304</v>
      </c>
      <c r="V124" s="26">
        <v>2.9246231155778872</v>
      </c>
      <c r="W124" s="27"/>
      <c r="X124" s="24" t="s">
        <v>514</v>
      </c>
      <c r="Y124" s="30" t="s">
        <v>294</v>
      </c>
      <c r="Z124" s="24" t="s">
        <v>311</v>
      </c>
      <c r="AA124" s="28" t="s">
        <v>801</v>
      </c>
      <c r="AB124" s="24" t="s">
        <v>514</v>
      </c>
      <c r="AC124" s="30" t="s">
        <v>294</v>
      </c>
      <c r="AD124" s="30" t="s">
        <v>311</v>
      </c>
      <c r="AE124" s="37">
        <v>42978</v>
      </c>
    </row>
    <row r="125" spans="1:31" ht="15.75" x14ac:dyDescent="0.25">
      <c r="A125" s="23" t="s">
        <v>687</v>
      </c>
      <c r="B125" s="24" t="s">
        <v>686</v>
      </c>
      <c r="C125" s="24" t="s">
        <v>685</v>
      </c>
      <c r="D125" s="24" t="s">
        <v>533</v>
      </c>
      <c r="E125" s="29">
        <v>965</v>
      </c>
      <c r="F125" s="24" t="s">
        <v>30</v>
      </c>
      <c r="G125" s="24" t="s">
        <v>349</v>
      </c>
      <c r="H125" s="24" t="s">
        <v>185</v>
      </c>
      <c r="I125" s="25">
        <v>3.7386363636363602</v>
      </c>
      <c r="J125" s="26">
        <v>3.1407035175879381</v>
      </c>
      <c r="K125" s="26">
        <v>3.5175879396984924E-2</v>
      </c>
      <c r="L125" s="26">
        <v>8.0402010050251244E-2</v>
      </c>
      <c r="M125" s="26">
        <v>8.5427135678391955E-2</v>
      </c>
      <c r="N125" s="26">
        <v>0.33165829145728637</v>
      </c>
      <c r="O125" s="26">
        <v>2.6733668341708534</v>
      </c>
      <c r="P125" s="26">
        <v>1.507537688442211E-2</v>
      </c>
      <c r="Q125" s="26">
        <v>0.32160804020100509</v>
      </c>
      <c r="R125" s="26">
        <v>0.19597989949748734</v>
      </c>
      <c r="S125" s="26">
        <v>0.11557788944723618</v>
      </c>
      <c r="T125" s="26">
        <v>3.5175879396984924E-2</v>
      </c>
      <c r="U125" s="26">
        <v>2.9949748743718576</v>
      </c>
      <c r="V125" s="26">
        <v>3.2512562814070347</v>
      </c>
      <c r="W125" s="27"/>
      <c r="X125" s="24" t="s">
        <v>210</v>
      </c>
      <c r="Y125" s="30"/>
      <c r="Z125" s="24"/>
      <c r="AA125" s="28"/>
      <c r="AB125" s="24" t="s">
        <v>210</v>
      </c>
      <c r="AC125" s="30"/>
      <c r="AD125" s="30"/>
      <c r="AE125" s="37"/>
    </row>
    <row r="126" spans="1:31" ht="15.75" x14ac:dyDescent="0.25">
      <c r="A126" s="23" t="s">
        <v>690</v>
      </c>
      <c r="B126" s="24" t="s">
        <v>689</v>
      </c>
      <c r="C126" s="24" t="s">
        <v>688</v>
      </c>
      <c r="D126" s="24" t="s">
        <v>44</v>
      </c>
      <c r="E126" s="29">
        <v>35447</v>
      </c>
      <c r="F126" s="24" t="s">
        <v>208</v>
      </c>
      <c r="G126" s="24" t="s">
        <v>209</v>
      </c>
      <c r="H126" s="24" t="s">
        <v>185</v>
      </c>
      <c r="I126" s="25">
        <v>5.3114754098360697</v>
      </c>
      <c r="J126" s="26">
        <v>0.10050251256281408</v>
      </c>
      <c r="K126" s="26">
        <v>7.5376884422110546E-2</v>
      </c>
      <c r="L126" s="26">
        <v>2.643216080402008</v>
      </c>
      <c r="M126" s="26">
        <v>0.30653266331658285</v>
      </c>
      <c r="N126" s="26">
        <v>7.0351758793969849E-2</v>
      </c>
      <c r="O126" s="26">
        <v>0</v>
      </c>
      <c r="P126" s="26">
        <v>3.0552763819095436</v>
      </c>
      <c r="Q126" s="26">
        <v>0</v>
      </c>
      <c r="R126" s="26">
        <v>2.8793969849246195</v>
      </c>
      <c r="S126" s="26">
        <v>0.20603015075376882</v>
      </c>
      <c r="T126" s="26">
        <v>1.0050251256281407E-2</v>
      </c>
      <c r="U126" s="26">
        <v>3.015075376884422E-2</v>
      </c>
      <c r="V126" s="26">
        <v>2.9296482412060265</v>
      </c>
      <c r="W126" s="27"/>
      <c r="X126" s="24" t="s">
        <v>210</v>
      </c>
      <c r="Y126" s="30"/>
      <c r="Z126" s="24"/>
      <c r="AA126" s="28"/>
      <c r="AB126" s="24" t="s">
        <v>210</v>
      </c>
      <c r="AC126" s="30"/>
      <c r="AD126" s="30"/>
      <c r="AE126" s="37"/>
    </row>
    <row r="127" spans="1:31" ht="15.75" x14ac:dyDescent="0.25">
      <c r="A127" s="23" t="s">
        <v>46</v>
      </c>
      <c r="B127" s="24" t="s">
        <v>531</v>
      </c>
      <c r="C127" s="24" t="s">
        <v>532</v>
      </c>
      <c r="D127" s="24" t="s">
        <v>533</v>
      </c>
      <c r="E127" s="29">
        <v>939</v>
      </c>
      <c r="F127" s="24" t="s">
        <v>30</v>
      </c>
      <c r="G127" s="24" t="s">
        <v>498</v>
      </c>
      <c r="H127" s="24" t="s">
        <v>185</v>
      </c>
      <c r="I127" s="25">
        <v>12.1914893617021</v>
      </c>
      <c r="J127" s="26">
        <v>1.0050251256281407E-2</v>
      </c>
      <c r="K127" s="26">
        <v>0.73366834170854278</v>
      </c>
      <c r="L127" s="26">
        <v>1.4874371859296485</v>
      </c>
      <c r="M127" s="26">
        <v>0.36683417085427139</v>
      </c>
      <c r="N127" s="26">
        <v>2.4572864321608043</v>
      </c>
      <c r="O127" s="26">
        <v>0.1407035175879397</v>
      </c>
      <c r="P127" s="26">
        <v>0</v>
      </c>
      <c r="Q127" s="26">
        <v>0</v>
      </c>
      <c r="R127" s="26">
        <v>1.9195979899497488</v>
      </c>
      <c r="S127" s="26">
        <v>0.53266331658291455</v>
      </c>
      <c r="T127" s="26">
        <v>5.0251256281407036E-3</v>
      </c>
      <c r="U127" s="26">
        <v>0.1407035175879397</v>
      </c>
      <c r="V127" s="26">
        <v>1.8090452261306531</v>
      </c>
      <c r="W127" s="27"/>
      <c r="X127" s="24" t="s">
        <v>186</v>
      </c>
      <c r="Y127" s="30" t="s">
        <v>294</v>
      </c>
      <c r="Z127" s="24" t="s">
        <v>295</v>
      </c>
      <c r="AA127" s="28" t="s">
        <v>534</v>
      </c>
      <c r="AB127" s="24" t="s">
        <v>186</v>
      </c>
      <c r="AC127" s="30" t="s">
        <v>294</v>
      </c>
      <c r="AD127" s="30" t="s">
        <v>295</v>
      </c>
      <c r="AE127" s="37">
        <v>39241</v>
      </c>
    </row>
    <row r="128" spans="1:31" ht="15.75" x14ac:dyDescent="0.25">
      <c r="A128" s="23" t="s">
        <v>547</v>
      </c>
      <c r="B128" s="24" t="s">
        <v>548</v>
      </c>
      <c r="C128" s="24" t="s">
        <v>549</v>
      </c>
      <c r="D128" s="24" t="s">
        <v>550</v>
      </c>
      <c r="E128" s="29">
        <v>25309</v>
      </c>
      <c r="F128" s="24" t="s">
        <v>300</v>
      </c>
      <c r="G128" s="24" t="s">
        <v>254</v>
      </c>
      <c r="H128" s="24" t="s">
        <v>185</v>
      </c>
      <c r="I128" s="25">
        <v>7.0625</v>
      </c>
      <c r="J128" s="26">
        <v>0.135678391959799</v>
      </c>
      <c r="K128" s="26">
        <v>0.44221105527638188</v>
      </c>
      <c r="L128" s="26">
        <v>1.6633165829145728</v>
      </c>
      <c r="M128" s="26">
        <v>0.3165829145728643</v>
      </c>
      <c r="N128" s="26">
        <v>2.2060301507537692</v>
      </c>
      <c r="O128" s="26">
        <v>0.35175879396984927</v>
      </c>
      <c r="P128" s="26">
        <v>0</v>
      </c>
      <c r="Q128" s="26">
        <v>0</v>
      </c>
      <c r="R128" s="26">
        <v>1.7135678391959799</v>
      </c>
      <c r="S128" s="26">
        <v>0.24120603015075379</v>
      </c>
      <c r="T128" s="26">
        <v>0.23115577889447236</v>
      </c>
      <c r="U128" s="26">
        <v>0.37185929648241206</v>
      </c>
      <c r="V128" s="26">
        <v>2.2060301507537687</v>
      </c>
      <c r="W128" s="27"/>
      <c r="X128" s="24" t="s">
        <v>514</v>
      </c>
      <c r="Y128" s="30" t="s">
        <v>294</v>
      </c>
      <c r="Z128" s="24" t="s">
        <v>311</v>
      </c>
      <c r="AA128" s="28" t="s">
        <v>551</v>
      </c>
      <c r="AB128" s="24" t="s">
        <v>514</v>
      </c>
      <c r="AC128" s="30" t="s">
        <v>294</v>
      </c>
      <c r="AD128" s="30" t="s">
        <v>311</v>
      </c>
      <c r="AE128" s="37">
        <v>42996</v>
      </c>
    </row>
    <row r="129" spans="1:31" ht="15.75" x14ac:dyDescent="0.25">
      <c r="A129" s="23" t="s">
        <v>800</v>
      </c>
      <c r="B129" s="24" t="s">
        <v>799</v>
      </c>
      <c r="C129" s="24" t="s">
        <v>798</v>
      </c>
      <c r="D129" s="24" t="s">
        <v>212</v>
      </c>
      <c r="E129" s="29">
        <v>85044</v>
      </c>
      <c r="F129" s="24" t="s">
        <v>213</v>
      </c>
      <c r="G129" s="24" t="s">
        <v>0</v>
      </c>
      <c r="H129" s="24" t="s">
        <v>185</v>
      </c>
      <c r="I129" s="25">
        <v>2.0437956204379599</v>
      </c>
      <c r="J129" s="26">
        <v>1.969849246231153</v>
      </c>
      <c r="K129" s="26">
        <v>0.43216080402010015</v>
      </c>
      <c r="L129" s="26">
        <v>0</v>
      </c>
      <c r="M129" s="26">
        <v>0</v>
      </c>
      <c r="N129" s="26">
        <v>1.0050251256281407E-2</v>
      </c>
      <c r="O129" s="26">
        <v>1.1155778894472355</v>
      </c>
      <c r="P129" s="26">
        <v>0</v>
      </c>
      <c r="Q129" s="26">
        <v>1.2763819095477371</v>
      </c>
      <c r="R129" s="26">
        <v>0</v>
      </c>
      <c r="S129" s="26">
        <v>0</v>
      </c>
      <c r="T129" s="26">
        <v>1.0050251256281407E-2</v>
      </c>
      <c r="U129" s="26">
        <v>2.3919597989949701</v>
      </c>
      <c r="V129" s="26">
        <v>3.5175879396984924E-2</v>
      </c>
      <c r="W129" s="27"/>
      <c r="X129" s="24" t="s">
        <v>210</v>
      </c>
      <c r="Y129" s="30"/>
      <c r="Z129" s="24"/>
      <c r="AA129" s="28"/>
      <c r="AB129" s="24" t="s">
        <v>210</v>
      </c>
      <c r="AC129" s="30"/>
      <c r="AD129" s="30"/>
      <c r="AE129" s="37"/>
    </row>
    <row r="130" spans="1:31" ht="15.75" x14ac:dyDescent="0.25">
      <c r="A130" s="23" t="s">
        <v>797</v>
      </c>
      <c r="B130" s="24" t="s">
        <v>796</v>
      </c>
      <c r="C130" s="24" t="s">
        <v>258</v>
      </c>
      <c r="D130" s="24" t="s">
        <v>197</v>
      </c>
      <c r="E130" s="29">
        <v>79925</v>
      </c>
      <c r="F130" s="24" t="s">
        <v>240</v>
      </c>
      <c r="G130" s="24" t="s">
        <v>0</v>
      </c>
      <c r="H130" s="24" t="s">
        <v>185</v>
      </c>
      <c r="I130" s="25">
        <v>2.11851851851852</v>
      </c>
      <c r="J130" s="26">
        <v>1.9497487437185947</v>
      </c>
      <c r="K130" s="26">
        <v>0</v>
      </c>
      <c r="L130" s="26">
        <v>0</v>
      </c>
      <c r="M130" s="26">
        <v>0</v>
      </c>
      <c r="N130" s="26">
        <v>1.0050251256281407E-2</v>
      </c>
      <c r="O130" s="26">
        <v>0.87437185929648353</v>
      </c>
      <c r="P130" s="26">
        <v>1.507537688442211E-2</v>
      </c>
      <c r="Q130" s="26">
        <v>1.0502512562814077</v>
      </c>
      <c r="R130" s="26">
        <v>0</v>
      </c>
      <c r="S130" s="26">
        <v>0</v>
      </c>
      <c r="T130" s="26">
        <v>2.5125628140703515E-2</v>
      </c>
      <c r="U130" s="26">
        <v>1.9246231155778915</v>
      </c>
      <c r="V130" s="26">
        <v>8.5427135678391955E-2</v>
      </c>
      <c r="W130" s="27"/>
      <c r="X130" s="24" t="s">
        <v>210</v>
      </c>
      <c r="Y130" s="30"/>
      <c r="Z130" s="24"/>
      <c r="AA130" s="28"/>
      <c r="AB130" s="24" t="s">
        <v>210</v>
      </c>
      <c r="AC130" s="30"/>
      <c r="AD130" s="30"/>
      <c r="AE130" s="37"/>
    </row>
    <row r="131" spans="1:31" ht="15.75" x14ac:dyDescent="0.25">
      <c r="A131" s="23" t="s">
        <v>566</v>
      </c>
      <c r="B131" s="24" t="s">
        <v>567</v>
      </c>
      <c r="C131" s="24" t="s">
        <v>568</v>
      </c>
      <c r="D131" s="24" t="s">
        <v>197</v>
      </c>
      <c r="E131" s="29">
        <v>78562</v>
      </c>
      <c r="F131" s="24" t="s">
        <v>198</v>
      </c>
      <c r="G131" s="24" t="s">
        <v>254</v>
      </c>
      <c r="H131" s="24" t="s">
        <v>185</v>
      </c>
      <c r="I131" s="25">
        <v>1.60227272727273</v>
      </c>
      <c r="J131" s="26">
        <v>1.2562814070351733</v>
      </c>
      <c r="K131" s="26">
        <v>0.22613065326633161</v>
      </c>
      <c r="L131" s="26">
        <v>0.15577889447236173</v>
      </c>
      <c r="M131" s="26">
        <v>7.0351758793969849E-2</v>
      </c>
      <c r="N131" s="26">
        <v>1.6733668341708499</v>
      </c>
      <c r="O131" s="26">
        <v>1.0050251256281407E-2</v>
      </c>
      <c r="P131" s="26">
        <v>2.5125628140703519E-2</v>
      </c>
      <c r="Q131" s="26">
        <v>0</v>
      </c>
      <c r="R131" s="26">
        <v>0.59296482412060347</v>
      </c>
      <c r="S131" s="26">
        <v>1.0954773869346728</v>
      </c>
      <c r="T131" s="26">
        <v>2.0100502512562814E-2</v>
      </c>
      <c r="U131" s="26">
        <v>0</v>
      </c>
      <c r="V131" s="26">
        <v>1.6934673366834128</v>
      </c>
      <c r="W131" s="27"/>
      <c r="X131" s="24" t="s">
        <v>186</v>
      </c>
      <c r="Y131" s="30" t="s">
        <v>294</v>
      </c>
      <c r="Z131" s="24" t="s">
        <v>311</v>
      </c>
      <c r="AA131" s="28" t="s">
        <v>683</v>
      </c>
      <c r="AB131" s="24" t="s">
        <v>186</v>
      </c>
      <c r="AC131" s="30" t="s">
        <v>294</v>
      </c>
      <c r="AD131" s="30" t="s">
        <v>311</v>
      </c>
      <c r="AE131" s="37">
        <v>43714</v>
      </c>
    </row>
    <row r="132" spans="1:31" ht="15.75" x14ac:dyDescent="0.25">
      <c r="A132" s="23" t="s">
        <v>515</v>
      </c>
      <c r="B132" s="24" t="s">
        <v>516</v>
      </c>
      <c r="C132" s="24" t="s">
        <v>517</v>
      </c>
      <c r="D132" s="24" t="s">
        <v>518</v>
      </c>
      <c r="E132" s="29">
        <v>84321</v>
      </c>
      <c r="F132" s="24" t="s">
        <v>378</v>
      </c>
      <c r="G132" s="24" t="s">
        <v>254</v>
      </c>
      <c r="H132" s="24" t="s">
        <v>185</v>
      </c>
      <c r="I132" s="25">
        <v>3.8588235294117599</v>
      </c>
      <c r="J132" s="26">
        <v>7.5376884422110546E-2</v>
      </c>
      <c r="K132" s="26">
        <v>0.39195979899497491</v>
      </c>
      <c r="L132" s="26">
        <v>0.66331658291457274</v>
      </c>
      <c r="M132" s="26">
        <v>0.52763819095477371</v>
      </c>
      <c r="N132" s="26">
        <v>1.5527638190954778</v>
      </c>
      <c r="O132" s="26">
        <v>6.030150753768844E-2</v>
      </c>
      <c r="P132" s="26">
        <v>5.0251256281407036E-3</v>
      </c>
      <c r="Q132" s="26">
        <v>4.0201005025125629E-2</v>
      </c>
      <c r="R132" s="26">
        <v>1.1155778894472357</v>
      </c>
      <c r="S132" s="26">
        <v>0.27638190954773872</v>
      </c>
      <c r="T132" s="26">
        <v>0.16582914572864321</v>
      </c>
      <c r="U132" s="26">
        <v>0.10050251256281406</v>
      </c>
      <c r="V132" s="26">
        <v>1.4371859296482412</v>
      </c>
      <c r="W132" s="27"/>
      <c r="X132" s="24" t="s">
        <v>186</v>
      </c>
      <c r="Y132" s="30" t="s">
        <v>294</v>
      </c>
      <c r="Z132" s="24" t="s">
        <v>311</v>
      </c>
      <c r="AA132" s="28" t="s">
        <v>519</v>
      </c>
      <c r="AB132" s="24" t="s">
        <v>186</v>
      </c>
      <c r="AC132" s="30" t="s">
        <v>294</v>
      </c>
      <c r="AD132" s="30" t="s">
        <v>476</v>
      </c>
      <c r="AE132" s="37">
        <v>42810</v>
      </c>
    </row>
    <row r="133" spans="1:31" ht="15.75" x14ac:dyDescent="0.25">
      <c r="A133" s="23" t="s">
        <v>795</v>
      </c>
      <c r="B133" s="24" t="s">
        <v>794</v>
      </c>
      <c r="C133" s="24" t="s">
        <v>793</v>
      </c>
      <c r="D133" s="24" t="s">
        <v>556</v>
      </c>
      <c r="E133" s="29">
        <v>83318</v>
      </c>
      <c r="F133" s="24" t="s">
        <v>378</v>
      </c>
      <c r="G133" s="24" t="s">
        <v>209</v>
      </c>
      <c r="H133" s="24" t="s">
        <v>185</v>
      </c>
      <c r="I133" s="25">
        <v>3.3975903614457801</v>
      </c>
      <c r="J133" s="26">
        <v>0.30653266331658285</v>
      </c>
      <c r="K133" s="26">
        <v>0.67839195979899514</v>
      </c>
      <c r="L133" s="26">
        <v>0.32663316582914576</v>
      </c>
      <c r="M133" s="26">
        <v>0.17085427135678391</v>
      </c>
      <c r="N133" s="26">
        <v>1.1608040201005028</v>
      </c>
      <c r="O133" s="26">
        <v>0.28140703517587934</v>
      </c>
      <c r="P133" s="26">
        <v>4.0201005025125629E-2</v>
      </c>
      <c r="Q133" s="26">
        <v>0</v>
      </c>
      <c r="R133" s="26">
        <v>0.42211055276381904</v>
      </c>
      <c r="S133" s="26">
        <v>0.27638190954773867</v>
      </c>
      <c r="T133" s="26">
        <v>0.50251256281407042</v>
      </c>
      <c r="U133" s="26">
        <v>0.28140703517587934</v>
      </c>
      <c r="V133" s="26">
        <v>0.819095477386935</v>
      </c>
      <c r="W133" s="27"/>
      <c r="X133" s="24" t="s">
        <v>514</v>
      </c>
      <c r="Y133" s="30" t="s">
        <v>294</v>
      </c>
      <c r="Z133" s="24" t="s">
        <v>311</v>
      </c>
      <c r="AA133" s="28" t="s">
        <v>557</v>
      </c>
      <c r="AB133" s="24" t="s">
        <v>514</v>
      </c>
      <c r="AC133" s="30" t="s">
        <v>294</v>
      </c>
      <c r="AD133" s="30" t="s">
        <v>311</v>
      </c>
      <c r="AE133" s="37">
        <v>42983</v>
      </c>
    </row>
    <row r="134" spans="1:31" ht="15.75" x14ac:dyDescent="0.25">
      <c r="A134" s="23" t="s">
        <v>792</v>
      </c>
      <c r="B134" s="24" t="s">
        <v>791</v>
      </c>
      <c r="C134" s="24" t="s">
        <v>790</v>
      </c>
      <c r="D134" s="24" t="s">
        <v>286</v>
      </c>
      <c r="E134" s="29">
        <v>33762</v>
      </c>
      <c r="F134" s="24" t="s">
        <v>30</v>
      </c>
      <c r="G134" s="24" t="s">
        <v>254</v>
      </c>
      <c r="H134" s="24" t="s">
        <v>185</v>
      </c>
      <c r="I134" s="25">
        <v>1.52258064516129</v>
      </c>
      <c r="J134" s="26">
        <v>0.12562814070351755</v>
      </c>
      <c r="K134" s="26">
        <v>0.47738693467336707</v>
      </c>
      <c r="L134" s="26">
        <v>0.39698492462311574</v>
      </c>
      <c r="M134" s="26">
        <v>0.19095477386934664</v>
      </c>
      <c r="N134" s="26">
        <v>0.72864321608040283</v>
      </c>
      <c r="O134" s="26">
        <v>0.41206030150753775</v>
      </c>
      <c r="P134" s="26">
        <v>1.507537688442211E-2</v>
      </c>
      <c r="Q134" s="26">
        <v>3.5175879396984924E-2</v>
      </c>
      <c r="R134" s="26">
        <v>0.2512562814070351</v>
      </c>
      <c r="S134" s="26">
        <v>0.24120603015075368</v>
      </c>
      <c r="T134" s="26">
        <v>0.24623115577889437</v>
      </c>
      <c r="U134" s="26">
        <v>0.45226130653266355</v>
      </c>
      <c r="V134" s="26">
        <v>0.65326633165829207</v>
      </c>
      <c r="W134" s="27"/>
      <c r="X134" s="24" t="s">
        <v>514</v>
      </c>
      <c r="Y134" s="30" t="s">
        <v>294</v>
      </c>
      <c r="Z134" s="24" t="s">
        <v>311</v>
      </c>
      <c r="AA134" s="28" t="s">
        <v>789</v>
      </c>
      <c r="AB134" s="24" t="s">
        <v>514</v>
      </c>
      <c r="AC134" s="30" t="s">
        <v>294</v>
      </c>
      <c r="AD134" s="30" t="s">
        <v>311</v>
      </c>
      <c r="AE134" s="37">
        <v>43019</v>
      </c>
    </row>
    <row r="135" spans="1:31" ht="15.75" x14ac:dyDescent="0.25">
      <c r="A135" s="23" t="s">
        <v>788</v>
      </c>
      <c r="B135" s="24" t="s">
        <v>787</v>
      </c>
      <c r="C135" s="24" t="s">
        <v>786</v>
      </c>
      <c r="D135" s="24" t="s">
        <v>417</v>
      </c>
      <c r="E135" s="29">
        <v>40510</v>
      </c>
      <c r="F135" s="24" t="s">
        <v>36</v>
      </c>
      <c r="G135" s="24" t="s">
        <v>254</v>
      </c>
      <c r="H135" s="24" t="s">
        <v>185</v>
      </c>
      <c r="I135" s="25">
        <v>1.75</v>
      </c>
      <c r="J135" s="26">
        <v>0.12562814070351755</v>
      </c>
      <c r="K135" s="26">
        <v>0.35175879396984938</v>
      </c>
      <c r="L135" s="26">
        <v>0.37688442211055284</v>
      </c>
      <c r="M135" s="26">
        <v>0.33668341708542709</v>
      </c>
      <c r="N135" s="26">
        <v>0.74874371859296507</v>
      </c>
      <c r="O135" s="26">
        <v>0.42211055276381937</v>
      </c>
      <c r="P135" s="26">
        <v>1.0050251256281407E-2</v>
      </c>
      <c r="Q135" s="26">
        <v>1.0050251256281407E-2</v>
      </c>
      <c r="R135" s="26">
        <v>0.38693467336683429</v>
      </c>
      <c r="S135" s="26">
        <v>0.2412060301507537</v>
      </c>
      <c r="T135" s="26">
        <v>0.13065326633165827</v>
      </c>
      <c r="U135" s="26">
        <v>0.43216080402010076</v>
      </c>
      <c r="V135" s="26">
        <v>0.61306532663316593</v>
      </c>
      <c r="W135" s="27"/>
      <c r="X135" s="24" t="s">
        <v>514</v>
      </c>
      <c r="Y135" s="30" t="s">
        <v>294</v>
      </c>
      <c r="Z135" s="24" t="s">
        <v>311</v>
      </c>
      <c r="AA135" s="28" t="s">
        <v>785</v>
      </c>
      <c r="AB135" s="24" t="s">
        <v>514</v>
      </c>
      <c r="AC135" s="30" t="s">
        <v>294</v>
      </c>
      <c r="AD135" s="30" t="s">
        <v>311</v>
      </c>
      <c r="AE135" s="37">
        <v>42983</v>
      </c>
    </row>
    <row r="136" spans="1:31" ht="15.75" x14ac:dyDescent="0.25">
      <c r="A136" s="23" t="s">
        <v>784</v>
      </c>
      <c r="B136" s="24" t="s">
        <v>783</v>
      </c>
      <c r="C136" s="24" t="s">
        <v>782</v>
      </c>
      <c r="D136" s="24" t="s">
        <v>738</v>
      </c>
      <c r="E136" s="29">
        <v>82901</v>
      </c>
      <c r="F136" s="24" t="s">
        <v>290</v>
      </c>
      <c r="G136" s="24" t="s">
        <v>254</v>
      </c>
      <c r="H136" s="24" t="s">
        <v>185</v>
      </c>
      <c r="I136" s="25">
        <v>6.5862068965517198</v>
      </c>
      <c r="J136" s="26">
        <v>3.0150753768844223E-2</v>
      </c>
      <c r="K136" s="26">
        <v>4.5226130653266333E-2</v>
      </c>
      <c r="L136" s="26">
        <v>0.49748743718592964</v>
      </c>
      <c r="M136" s="26">
        <v>0.53768844221105538</v>
      </c>
      <c r="N136" s="26">
        <v>1.0854271356783918</v>
      </c>
      <c r="O136" s="26">
        <v>2.5125628140703519E-2</v>
      </c>
      <c r="P136" s="26">
        <v>0</v>
      </c>
      <c r="Q136" s="26">
        <v>0</v>
      </c>
      <c r="R136" s="26">
        <v>0.91959798994974895</v>
      </c>
      <c r="S136" s="26">
        <v>0.11557788944723618</v>
      </c>
      <c r="T136" s="26">
        <v>5.0251256281407038E-2</v>
      </c>
      <c r="U136" s="26">
        <v>2.5125628140703519E-2</v>
      </c>
      <c r="V136" s="26">
        <v>0.95477386934673381</v>
      </c>
      <c r="W136" s="27"/>
      <c r="X136" s="24" t="s">
        <v>514</v>
      </c>
      <c r="Y136" s="30" t="s">
        <v>294</v>
      </c>
      <c r="Z136" s="24" t="s">
        <v>311</v>
      </c>
      <c r="AA136" s="28" t="s">
        <v>781</v>
      </c>
      <c r="AB136" s="24" t="s">
        <v>514</v>
      </c>
      <c r="AC136" s="30" t="s">
        <v>294</v>
      </c>
      <c r="AD136" s="30" t="s">
        <v>311</v>
      </c>
      <c r="AE136" s="37">
        <v>41493</v>
      </c>
    </row>
    <row r="137" spans="1:31" ht="15.75" x14ac:dyDescent="0.25">
      <c r="A137" s="23" t="s">
        <v>780</v>
      </c>
      <c r="B137" s="24" t="s">
        <v>779</v>
      </c>
      <c r="C137" s="24" t="s">
        <v>778</v>
      </c>
      <c r="D137" s="24" t="s">
        <v>197</v>
      </c>
      <c r="E137" s="29">
        <v>78840</v>
      </c>
      <c r="F137" s="24" t="s">
        <v>198</v>
      </c>
      <c r="G137" s="24" t="s">
        <v>254</v>
      </c>
      <c r="H137" s="24" t="s">
        <v>185</v>
      </c>
      <c r="I137" s="25">
        <v>2.62820512820513</v>
      </c>
      <c r="J137" s="26">
        <v>0.29145728643216084</v>
      </c>
      <c r="K137" s="26">
        <v>0.46733668341708556</v>
      </c>
      <c r="L137" s="26">
        <v>0.26633165829145722</v>
      </c>
      <c r="M137" s="26">
        <v>2.0100502512562814E-2</v>
      </c>
      <c r="N137" s="26">
        <v>0.69849246231155782</v>
      </c>
      <c r="O137" s="26">
        <v>0.22613065326633164</v>
      </c>
      <c r="P137" s="26">
        <v>0.12060301507537688</v>
      </c>
      <c r="Q137" s="26">
        <v>0</v>
      </c>
      <c r="R137" s="26">
        <v>0.49748743718592975</v>
      </c>
      <c r="S137" s="26">
        <v>9.0452261306532653E-2</v>
      </c>
      <c r="T137" s="26">
        <v>0.22110552763819094</v>
      </c>
      <c r="U137" s="26">
        <v>0.23618090452261309</v>
      </c>
      <c r="V137" s="26">
        <v>0.80904522613065333</v>
      </c>
      <c r="W137" s="27"/>
      <c r="X137" s="24" t="s">
        <v>186</v>
      </c>
      <c r="Y137" s="30" t="s">
        <v>294</v>
      </c>
      <c r="Z137" s="24" t="s">
        <v>311</v>
      </c>
      <c r="AA137" s="28" t="s">
        <v>777</v>
      </c>
      <c r="AB137" s="24" t="s">
        <v>514</v>
      </c>
      <c r="AC137" s="30" t="s">
        <v>294</v>
      </c>
      <c r="AD137" s="30" t="s">
        <v>311</v>
      </c>
      <c r="AE137" s="37">
        <v>43374</v>
      </c>
    </row>
    <row r="138" spans="1:31" ht="15.75" x14ac:dyDescent="0.25">
      <c r="A138" s="23" t="s">
        <v>552</v>
      </c>
      <c r="B138" s="24" t="s">
        <v>553</v>
      </c>
      <c r="C138" s="24" t="s">
        <v>554</v>
      </c>
      <c r="D138" s="24" t="s">
        <v>44</v>
      </c>
      <c r="E138" s="29">
        <v>36507</v>
      </c>
      <c r="F138" s="24" t="s">
        <v>208</v>
      </c>
      <c r="G138" s="24" t="s">
        <v>209</v>
      </c>
      <c r="H138" s="24" t="s">
        <v>185</v>
      </c>
      <c r="I138" s="25">
        <v>2.1571428571428601</v>
      </c>
      <c r="J138" s="26">
        <v>0.19095477386934673</v>
      </c>
      <c r="K138" s="26">
        <v>0.39195979899497502</v>
      </c>
      <c r="L138" s="26">
        <v>0.13567839195979897</v>
      </c>
      <c r="M138" s="26">
        <v>5.0251256281407031E-2</v>
      </c>
      <c r="N138" s="26">
        <v>0.34170854271356799</v>
      </c>
      <c r="O138" s="26">
        <v>0.38190954773869329</v>
      </c>
      <c r="P138" s="26">
        <v>2.0100502512562814E-2</v>
      </c>
      <c r="Q138" s="26">
        <v>2.5125628140703519E-2</v>
      </c>
      <c r="R138" s="26">
        <v>0.11055276381909547</v>
      </c>
      <c r="S138" s="26">
        <v>0.13065326633165827</v>
      </c>
      <c r="T138" s="26">
        <v>0.12060301507537685</v>
      </c>
      <c r="U138" s="26">
        <v>0.4070351758793968</v>
      </c>
      <c r="V138" s="26">
        <v>0.35175879396984933</v>
      </c>
      <c r="W138" s="27"/>
      <c r="X138" s="24" t="s">
        <v>514</v>
      </c>
      <c r="Y138" s="30" t="s">
        <v>294</v>
      </c>
      <c r="Z138" s="24" t="s">
        <v>311</v>
      </c>
      <c r="AA138" s="28" t="s">
        <v>555</v>
      </c>
      <c r="AB138" s="24" t="s">
        <v>514</v>
      </c>
      <c r="AC138" s="30" t="s">
        <v>294</v>
      </c>
      <c r="AD138" s="30" t="s">
        <v>311</v>
      </c>
      <c r="AE138" s="37">
        <v>42976</v>
      </c>
    </row>
    <row r="139" spans="1:31" ht="15.75" x14ac:dyDescent="0.25">
      <c r="A139" s="23" t="s">
        <v>776</v>
      </c>
      <c r="B139" s="24" t="s">
        <v>775</v>
      </c>
      <c r="C139" s="24" t="s">
        <v>774</v>
      </c>
      <c r="D139" s="24" t="s">
        <v>564</v>
      </c>
      <c r="E139" s="29">
        <v>72701</v>
      </c>
      <c r="F139" s="24" t="s">
        <v>208</v>
      </c>
      <c r="G139" s="24" t="s">
        <v>254</v>
      </c>
      <c r="H139" s="24" t="s">
        <v>185</v>
      </c>
      <c r="I139" s="25">
        <v>3.0681818181818201</v>
      </c>
      <c r="J139" s="26">
        <v>7.0351758793969849E-2</v>
      </c>
      <c r="K139" s="26">
        <v>0.23115577889447234</v>
      </c>
      <c r="L139" s="26">
        <v>0.30150753768844218</v>
      </c>
      <c r="M139" s="26">
        <v>7.537688442211056E-2</v>
      </c>
      <c r="N139" s="26">
        <v>0.457286432160804</v>
      </c>
      <c r="O139" s="26">
        <v>0.17085427135678394</v>
      </c>
      <c r="P139" s="26">
        <v>5.0251256281407031E-2</v>
      </c>
      <c r="Q139" s="26">
        <v>0</v>
      </c>
      <c r="R139" s="26">
        <v>0.21608040201005024</v>
      </c>
      <c r="S139" s="26">
        <v>0.16080402010050251</v>
      </c>
      <c r="T139" s="26">
        <v>0.13065326633165827</v>
      </c>
      <c r="U139" s="26">
        <v>0.17085427135678394</v>
      </c>
      <c r="V139" s="26">
        <v>0.51758793969849259</v>
      </c>
      <c r="W139" s="27"/>
      <c r="X139" s="24" t="s">
        <v>514</v>
      </c>
      <c r="Y139" s="30" t="s">
        <v>294</v>
      </c>
      <c r="Z139" s="24" t="s">
        <v>311</v>
      </c>
      <c r="AA139" s="28" t="s">
        <v>565</v>
      </c>
      <c r="AB139" s="24" t="s">
        <v>186</v>
      </c>
      <c r="AC139" s="30" t="s">
        <v>294</v>
      </c>
      <c r="AD139" s="30" t="s">
        <v>295</v>
      </c>
      <c r="AE139" s="37">
        <v>40043</v>
      </c>
    </row>
    <row r="140" spans="1:31" ht="15.75" x14ac:dyDescent="0.25">
      <c r="A140" s="23" t="s">
        <v>773</v>
      </c>
      <c r="B140" s="24" t="s">
        <v>772</v>
      </c>
      <c r="C140" s="24" t="s">
        <v>771</v>
      </c>
      <c r="D140" s="24" t="s">
        <v>197</v>
      </c>
      <c r="E140" s="29">
        <v>78557</v>
      </c>
      <c r="F140" s="24" t="s">
        <v>198</v>
      </c>
      <c r="G140" s="24" t="s">
        <v>0</v>
      </c>
      <c r="H140" s="24" t="s">
        <v>185</v>
      </c>
      <c r="I140" s="25">
        <v>0.80991735537190102</v>
      </c>
      <c r="J140" s="26">
        <v>0.62814070351758866</v>
      </c>
      <c r="K140" s="26">
        <v>0</v>
      </c>
      <c r="L140" s="26">
        <v>0</v>
      </c>
      <c r="M140" s="26">
        <v>0</v>
      </c>
      <c r="N140" s="26">
        <v>0</v>
      </c>
      <c r="O140" s="26">
        <v>0.29145728643216084</v>
      </c>
      <c r="P140" s="26">
        <v>0</v>
      </c>
      <c r="Q140" s="26">
        <v>0.33668341708542709</v>
      </c>
      <c r="R140" s="26">
        <v>0</v>
      </c>
      <c r="S140" s="26">
        <v>0</v>
      </c>
      <c r="T140" s="26">
        <v>0</v>
      </c>
      <c r="U140" s="26">
        <v>0.62814070351758866</v>
      </c>
      <c r="V140" s="26">
        <v>0</v>
      </c>
      <c r="W140" s="27"/>
      <c r="X140" s="24" t="s">
        <v>210</v>
      </c>
      <c r="Y140" s="30"/>
      <c r="Z140" s="24"/>
      <c r="AA140" s="28"/>
      <c r="AB140" s="24" t="s">
        <v>210</v>
      </c>
      <c r="AC140" s="30"/>
      <c r="AD140" s="30"/>
      <c r="AE140" s="37"/>
    </row>
    <row r="141" spans="1:31" ht="15.75" x14ac:dyDescent="0.25">
      <c r="A141" s="23" t="s">
        <v>770</v>
      </c>
      <c r="B141" s="24" t="s">
        <v>769</v>
      </c>
      <c r="C141" s="24" t="s">
        <v>768</v>
      </c>
      <c r="D141" s="24" t="s">
        <v>197</v>
      </c>
      <c r="E141" s="29">
        <v>76701</v>
      </c>
      <c r="F141" s="24" t="s">
        <v>198</v>
      </c>
      <c r="G141" s="24" t="s">
        <v>209</v>
      </c>
      <c r="H141" s="24" t="s">
        <v>185</v>
      </c>
      <c r="I141" s="25">
        <v>1.8813559322033899</v>
      </c>
      <c r="J141" s="26">
        <v>3.5175879396984924E-2</v>
      </c>
      <c r="K141" s="26">
        <v>0.11557788944723618</v>
      </c>
      <c r="L141" s="26">
        <v>0.20603015075376885</v>
      </c>
      <c r="M141" s="26">
        <v>0.21608040201005019</v>
      </c>
      <c r="N141" s="26">
        <v>0.41206030150753781</v>
      </c>
      <c r="O141" s="26">
        <v>9.5477386934673364E-2</v>
      </c>
      <c r="P141" s="26">
        <v>6.5326633165829151E-2</v>
      </c>
      <c r="Q141" s="26">
        <v>0</v>
      </c>
      <c r="R141" s="26">
        <v>0.26130653266331655</v>
      </c>
      <c r="S141" s="26">
        <v>0.135678391959799</v>
      </c>
      <c r="T141" s="26">
        <v>8.0402010050251244E-2</v>
      </c>
      <c r="U141" s="26">
        <v>9.5477386934673364E-2</v>
      </c>
      <c r="V141" s="26">
        <v>0.34673366834170871</v>
      </c>
      <c r="W141" s="27"/>
      <c r="X141" s="24" t="s">
        <v>186</v>
      </c>
      <c r="Y141" s="30" t="s">
        <v>294</v>
      </c>
      <c r="Z141" s="24" t="s">
        <v>295</v>
      </c>
      <c r="AA141" s="28" t="s">
        <v>767</v>
      </c>
      <c r="AB141" s="24" t="s">
        <v>186</v>
      </c>
      <c r="AC141" s="30" t="s">
        <v>294</v>
      </c>
      <c r="AD141" s="30" t="s">
        <v>295</v>
      </c>
      <c r="AE141" s="37">
        <v>39105</v>
      </c>
    </row>
    <row r="142" spans="1:31" ht="15.75" x14ac:dyDescent="0.25">
      <c r="A142" s="24" t="s">
        <v>766</v>
      </c>
      <c r="B142" s="24" t="s">
        <v>765</v>
      </c>
      <c r="C142" s="24" t="s">
        <v>764</v>
      </c>
      <c r="D142" s="24" t="s">
        <v>488</v>
      </c>
      <c r="E142" s="29">
        <v>46802</v>
      </c>
      <c r="F142" s="24" t="s">
        <v>36</v>
      </c>
      <c r="G142" s="24" t="s">
        <v>254</v>
      </c>
      <c r="H142" s="24" t="s">
        <v>185</v>
      </c>
      <c r="I142" s="25">
        <v>1.6417910447761199</v>
      </c>
      <c r="J142" s="26">
        <v>9.0452261306532639E-2</v>
      </c>
      <c r="K142" s="26">
        <v>0.15577889447236176</v>
      </c>
      <c r="L142" s="26">
        <v>0.16582914572864318</v>
      </c>
      <c r="M142" s="26">
        <v>0.14070351758793967</v>
      </c>
      <c r="N142" s="26">
        <v>0.32663316582914587</v>
      </c>
      <c r="O142" s="26">
        <v>0.19597989949748743</v>
      </c>
      <c r="P142" s="26">
        <v>2.5125628140703519E-2</v>
      </c>
      <c r="Q142" s="26">
        <v>5.0251256281407036E-3</v>
      </c>
      <c r="R142" s="26">
        <v>6.5326633165829151E-2</v>
      </c>
      <c r="S142" s="26">
        <v>0.14572864321608037</v>
      </c>
      <c r="T142" s="26">
        <v>0.13065326633165827</v>
      </c>
      <c r="U142" s="26">
        <v>0.21105527638190952</v>
      </c>
      <c r="V142" s="26">
        <v>0.14572864321608037</v>
      </c>
      <c r="W142" s="27"/>
      <c r="X142" s="24" t="s">
        <v>210</v>
      </c>
      <c r="Y142" s="30"/>
      <c r="Z142" s="24"/>
      <c r="AA142" s="28"/>
      <c r="AB142" s="24" t="s">
        <v>210</v>
      </c>
      <c r="AC142" s="30"/>
      <c r="AD142" s="30"/>
      <c r="AE142" s="233"/>
    </row>
    <row r="143" spans="1:31" ht="15.75" x14ac:dyDescent="0.25">
      <c r="A143" s="231" t="s">
        <v>682</v>
      </c>
      <c r="B143" s="231" t="s">
        <v>681</v>
      </c>
      <c r="C143" s="231" t="s">
        <v>680</v>
      </c>
      <c r="D143" s="231" t="s">
        <v>360</v>
      </c>
      <c r="E143" s="231">
        <v>61061</v>
      </c>
      <c r="F143" s="231" t="s">
        <v>36</v>
      </c>
      <c r="G143" s="231" t="s">
        <v>254</v>
      </c>
      <c r="H143" s="231" t="s">
        <v>185</v>
      </c>
      <c r="I143" s="232">
        <v>2.4500000000000002</v>
      </c>
      <c r="J143" s="232">
        <v>2.0100502512562814E-2</v>
      </c>
      <c r="K143" s="232">
        <v>5.5276381909547742E-2</v>
      </c>
      <c r="L143" s="232">
        <v>0.17587939698492464</v>
      </c>
      <c r="M143" s="232">
        <v>0.22110552763819094</v>
      </c>
      <c r="N143" s="232">
        <v>0.38190954773869351</v>
      </c>
      <c r="O143" s="232">
        <v>3.015075376884422E-2</v>
      </c>
      <c r="P143" s="232">
        <v>6.0301507537688447E-2</v>
      </c>
      <c r="Q143" s="232">
        <v>0</v>
      </c>
      <c r="R143" s="232">
        <v>0.29145728643216084</v>
      </c>
      <c r="S143" s="232">
        <v>0.11557788944723617</v>
      </c>
      <c r="T143" s="232">
        <v>3.5175879396984924E-2</v>
      </c>
      <c r="U143" s="232">
        <v>3.015075376884422E-2</v>
      </c>
      <c r="V143" s="232">
        <v>0.38190954773869351</v>
      </c>
      <c r="W143" s="231"/>
      <c r="X143" s="231" t="s">
        <v>210</v>
      </c>
      <c r="Y143" s="231"/>
      <c r="Z143" s="231"/>
      <c r="AA143" s="231" t="s">
        <v>303</v>
      </c>
      <c r="AB143" s="231" t="s">
        <v>210</v>
      </c>
      <c r="AC143" s="231"/>
      <c r="AD143" s="231"/>
      <c r="AE143" s="231"/>
    </row>
    <row r="144" spans="1:31" ht="15.75" x14ac:dyDescent="0.25">
      <c r="A144" s="231" t="s">
        <v>763</v>
      </c>
      <c r="B144" s="231" t="s">
        <v>762</v>
      </c>
      <c r="C144" s="231" t="s">
        <v>761</v>
      </c>
      <c r="D144" s="231" t="s">
        <v>760</v>
      </c>
      <c r="E144" s="231">
        <v>57025</v>
      </c>
      <c r="F144" s="231" t="s">
        <v>340</v>
      </c>
      <c r="G144" s="231" t="s">
        <v>254</v>
      </c>
      <c r="H144" s="231" t="s">
        <v>185</v>
      </c>
      <c r="I144" s="232">
        <v>3.7916666666666701</v>
      </c>
      <c r="J144" s="232">
        <v>9.0452261306532666E-2</v>
      </c>
      <c r="K144" s="232">
        <v>0.15075376884422109</v>
      </c>
      <c r="L144" s="232">
        <v>0.20100502512562812</v>
      </c>
      <c r="M144" s="232">
        <v>2.5125628140703519E-2</v>
      </c>
      <c r="N144" s="232">
        <v>0.31155778894472363</v>
      </c>
      <c r="O144" s="232">
        <v>0.15577889447236182</v>
      </c>
      <c r="P144" s="232">
        <v>0</v>
      </c>
      <c r="Q144" s="232">
        <v>0</v>
      </c>
      <c r="R144" s="232">
        <v>6.5326633165829151E-2</v>
      </c>
      <c r="S144" s="232">
        <v>0.10552763819095476</v>
      </c>
      <c r="T144" s="232">
        <v>0.1407035175879397</v>
      </c>
      <c r="U144" s="232">
        <v>0.15577889447236182</v>
      </c>
      <c r="V144" s="232">
        <v>0.34170854271356788</v>
      </c>
      <c r="W144" s="231"/>
      <c r="X144" s="231" t="s">
        <v>210</v>
      </c>
      <c r="Y144" s="231"/>
      <c r="Z144" s="231"/>
      <c r="AA144" s="231"/>
      <c r="AB144" s="231" t="s">
        <v>210</v>
      </c>
      <c r="AC144" s="231"/>
      <c r="AD144" s="231"/>
      <c r="AE144" s="231"/>
    </row>
    <row r="145" spans="1:31" ht="15.75" x14ac:dyDescent="0.25">
      <c r="A145" s="231" t="s">
        <v>759</v>
      </c>
      <c r="B145" s="231" t="s">
        <v>758</v>
      </c>
      <c r="C145" s="231" t="s">
        <v>757</v>
      </c>
      <c r="D145" s="231" t="s">
        <v>38</v>
      </c>
      <c r="E145" s="231">
        <v>21613</v>
      </c>
      <c r="F145" s="231" t="s">
        <v>407</v>
      </c>
      <c r="G145" s="231" t="s">
        <v>209</v>
      </c>
      <c r="H145" s="231" t="s">
        <v>185</v>
      </c>
      <c r="I145" s="232"/>
      <c r="J145" s="232">
        <v>0</v>
      </c>
      <c r="K145" s="232">
        <v>0</v>
      </c>
      <c r="L145" s="232">
        <v>5.0251256281407038E-2</v>
      </c>
      <c r="M145" s="232">
        <v>0.39698492462311552</v>
      </c>
      <c r="N145" s="232">
        <v>0.44723618090452255</v>
      </c>
      <c r="O145" s="232">
        <v>0</v>
      </c>
      <c r="P145" s="232">
        <v>0</v>
      </c>
      <c r="Q145" s="232">
        <v>0</v>
      </c>
      <c r="R145" s="232">
        <v>0.39698492462311552</v>
      </c>
      <c r="S145" s="232">
        <v>5.0251256281407038E-2</v>
      </c>
      <c r="T145" s="232">
        <v>0</v>
      </c>
      <c r="U145" s="232">
        <v>0</v>
      </c>
      <c r="V145" s="232">
        <v>0.38190954773869346</v>
      </c>
      <c r="W145" s="231"/>
      <c r="X145" s="231" t="s">
        <v>186</v>
      </c>
      <c r="Y145" s="231" t="s">
        <v>756</v>
      </c>
      <c r="Z145" s="231" t="s">
        <v>311</v>
      </c>
      <c r="AA145" s="231" t="s">
        <v>755</v>
      </c>
      <c r="AB145" s="231" t="s">
        <v>186</v>
      </c>
      <c r="AC145" s="231" t="s">
        <v>294</v>
      </c>
      <c r="AD145" s="231" t="s">
        <v>311</v>
      </c>
      <c r="AE145" s="231">
        <v>43908</v>
      </c>
    </row>
    <row r="146" spans="1:31" ht="15.75" x14ac:dyDescent="0.25">
      <c r="A146" s="231" t="s">
        <v>754</v>
      </c>
      <c r="B146" s="231" t="s">
        <v>753</v>
      </c>
      <c r="C146" s="231" t="s">
        <v>234</v>
      </c>
      <c r="D146" s="231" t="s">
        <v>197</v>
      </c>
      <c r="E146" s="231">
        <v>78566</v>
      </c>
      <c r="F146" s="231" t="s">
        <v>198</v>
      </c>
      <c r="G146" s="231" t="s">
        <v>349</v>
      </c>
      <c r="H146" s="231" t="s">
        <v>185</v>
      </c>
      <c r="I146" s="232">
        <v>1.2068965517241399</v>
      </c>
      <c r="J146" s="232">
        <v>0.42211055276381915</v>
      </c>
      <c r="K146" s="232">
        <v>0</v>
      </c>
      <c r="L146" s="232">
        <v>0</v>
      </c>
      <c r="M146" s="232">
        <v>0</v>
      </c>
      <c r="N146" s="232">
        <v>0</v>
      </c>
      <c r="O146" s="232">
        <v>0.36180904522613055</v>
      </c>
      <c r="P146" s="232">
        <v>0</v>
      </c>
      <c r="Q146" s="232">
        <v>6.030150753768844E-2</v>
      </c>
      <c r="R146" s="232">
        <v>0</v>
      </c>
      <c r="S146" s="232">
        <v>0</v>
      </c>
      <c r="T146" s="232">
        <v>0</v>
      </c>
      <c r="U146" s="232">
        <v>0.42211055276381915</v>
      </c>
      <c r="V146" s="232">
        <v>0</v>
      </c>
      <c r="W146" s="231"/>
      <c r="X146" s="231" t="s">
        <v>210</v>
      </c>
      <c r="Y146" s="231"/>
      <c r="Z146" s="231"/>
      <c r="AA146" s="231"/>
      <c r="AB146" s="231" t="s">
        <v>210</v>
      </c>
      <c r="AC146" s="231"/>
      <c r="AD146" s="231"/>
      <c r="AE146" s="231"/>
    </row>
    <row r="147" spans="1:31" ht="15.75" x14ac:dyDescent="0.25">
      <c r="A147" s="231" t="s">
        <v>752</v>
      </c>
      <c r="B147" s="231" t="s">
        <v>751</v>
      </c>
      <c r="C147" s="231" t="s">
        <v>258</v>
      </c>
      <c r="D147" s="231" t="s">
        <v>197</v>
      </c>
      <c r="E147" s="231">
        <v>79925</v>
      </c>
      <c r="F147" s="231" t="s">
        <v>240</v>
      </c>
      <c r="G147" s="231" t="s">
        <v>0</v>
      </c>
      <c r="H147" s="231" t="s">
        <v>185</v>
      </c>
      <c r="I147" s="232">
        <v>2.6</v>
      </c>
      <c r="J147" s="232">
        <v>0.40703517587939736</v>
      </c>
      <c r="K147" s="232">
        <v>0</v>
      </c>
      <c r="L147" s="232">
        <v>0</v>
      </c>
      <c r="M147" s="232">
        <v>0</v>
      </c>
      <c r="N147" s="232">
        <v>0</v>
      </c>
      <c r="O147" s="232">
        <v>0.17085427135678388</v>
      </c>
      <c r="P147" s="232">
        <v>0</v>
      </c>
      <c r="Q147" s="232">
        <v>0.23618090452261303</v>
      </c>
      <c r="R147" s="232">
        <v>0</v>
      </c>
      <c r="S147" s="232">
        <v>0</v>
      </c>
      <c r="T147" s="232">
        <v>0</v>
      </c>
      <c r="U147" s="232">
        <v>0.40703517587939736</v>
      </c>
      <c r="V147" s="232">
        <v>0</v>
      </c>
      <c r="W147" s="231"/>
      <c r="X147" s="231" t="s">
        <v>210</v>
      </c>
      <c r="Y147" s="231"/>
      <c r="Z147" s="231"/>
      <c r="AA147" s="231"/>
      <c r="AB147" s="231" t="s">
        <v>210</v>
      </c>
      <c r="AC147" s="231"/>
      <c r="AD147" s="231"/>
      <c r="AE147" s="231"/>
    </row>
    <row r="148" spans="1:31" ht="15.75" x14ac:dyDescent="0.25">
      <c r="A148" s="231" t="s">
        <v>750</v>
      </c>
      <c r="B148" s="231" t="s">
        <v>749</v>
      </c>
      <c r="C148" s="231" t="s">
        <v>748</v>
      </c>
      <c r="D148" s="231" t="s">
        <v>747</v>
      </c>
      <c r="E148" s="231">
        <v>58206</v>
      </c>
      <c r="F148" s="231" t="s">
        <v>340</v>
      </c>
      <c r="G148" s="231" t="s">
        <v>209</v>
      </c>
      <c r="H148" s="231" t="s">
        <v>185</v>
      </c>
      <c r="I148" s="232">
        <v>2.0645161290322598</v>
      </c>
      <c r="J148" s="232">
        <v>0</v>
      </c>
      <c r="K148" s="232">
        <v>0</v>
      </c>
      <c r="L148" s="232">
        <v>0.3919597989949748</v>
      </c>
      <c r="M148" s="232">
        <v>0</v>
      </c>
      <c r="N148" s="232">
        <v>0.15577889447236179</v>
      </c>
      <c r="O148" s="232">
        <v>0.21608040201005019</v>
      </c>
      <c r="P148" s="232">
        <v>0</v>
      </c>
      <c r="Q148" s="232">
        <v>2.0100502512562814E-2</v>
      </c>
      <c r="R148" s="232">
        <v>8.0402010050251257E-2</v>
      </c>
      <c r="S148" s="232">
        <v>5.0251256281407038E-2</v>
      </c>
      <c r="T148" s="232">
        <v>2.5125628140703519E-2</v>
      </c>
      <c r="U148" s="232">
        <v>0.23618090452261301</v>
      </c>
      <c r="V148" s="232">
        <v>0.18592964824120597</v>
      </c>
      <c r="W148" s="231"/>
      <c r="X148" s="231" t="s">
        <v>186</v>
      </c>
      <c r="Y148" s="231" t="s">
        <v>294</v>
      </c>
      <c r="Z148" s="231" t="s">
        <v>476</v>
      </c>
      <c r="AA148" s="231" t="s">
        <v>746</v>
      </c>
      <c r="AB148" s="231" t="s">
        <v>514</v>
      </c>
      <c r="AC148" s="231" t="s">
        <v>294</v>
      </c>
      <c r="AD148" s="231" t="s">
        <v>311</v>
      </c>
      <c r="AE148" s="231">
        <v>42999</v>
      </c>
    </row>
    <row r="149" spans="1:31" ht="15.75" x14ac:dyDescent="0.25">
      <c r="A149" s="231" t="s">
        <v>745</v>
      </c>
      <c r="B149" s="231" t="s">
        <v>744</v>
      </c>
      <c r="C149" s="231" t="s">
        <v>743</v>
      </c>
      <c r="D149" s="231" t="s">
        <v>193</v>
      </c>
      <c r="E149" s="231">
        <v>30720</v>
      </c>
      <c r="F149" s="231" t="s">
        <v>194</v>
      </c>
      <c r="G149" s="231" t="s">
        <v>209</v>
      </c>
      <c r="H149" s="231" t="s">
        <v>185</v>
      </c>
      <c r="I149" s="232">
        <v>2.2352941176470602</v>
      </c>
      <c r="J149" s="232">
        <v>0</v>
      </c>
      <c r="K149" s="232">
        <v>5.0251256281407031E-2</v>
      </c>
      <c r="L149" s="232">
        <v>0.10050251256281406</v>
      </c>
      <c r="M149" s="232">
        <v>6.030150753768844E-2</v>
      </c>
      <c r="N149" s="232">
        <v>0.16080402010050251</v>
      </c>
      <c r="O149" s="232">
        <v>5.0251256281407038E-2</v>
      </c>
      <c r="P149" s="232">
        <v>0</v>
      </c>
      <c r="Q149" s="232">
        <v>0</v>
      </c>
      <c r="R149" s="232">
        <v>7.0351758793969849E-2</v>
      </c>
      <c r="S149" s="232">
        <v>6.5326633165829137E-2</v>
      </c>
      <c r="T149" s="232">
        <v>2.5125628140703515E-2</v>
      </c>
      <c r="U149" s="232">
        <v>5.0251256281407038E-2</v>
      </c>
      <c r="V149" s="232">
        <v>9.0452261306532653E-2</v>
      </c>
      <c r="W149" s="231"/>
      <c r="X149" s="231" t="s">
        <v>514</v>
      </c>
      <c r="Y149" s="231" t="s">
        <v>294</v>
      </c>
      <c r="Z149" s="231" t="s">
        <v>311</v>
      </c>
      <c r="AA149" s="231" t="s">
        <v>742</v>
      </c>
      <c r="AB149" s="231" t="s">
        <v>514</v>
      </c>
      <c r="AC149" s="231" t="s">
        <v>294</v>
      </c>
      <c r="AD149" s="231" t="s">
        <v>311</v>
      </c>
      <c r="AE149" s="231">
        <v>42993</v>
      </c>
    </row>
    <row r="150" spans="1:31" ht="15.75" x14ac:dyDescent="0.25">
      <c r="A150" s="231" t="s">
        <v>741</v>
      </c>
      <c r="B150" s="231" t="s">
        <v>740</v>
      </c>
      <c r="C150" s="231" t="s">
        <v>739</v>
      </c>
      <c r="D150" s="231" t="s">
        <v>738</v>
      </c>
      <c r="E150" s="231">
        <v>82601</v>
      </c>
      <c r="F150" s="231" t="s">
        <v>290</v>
      </c>
      <c r="G150" s="231" t="s">
        <v>254</v>
      </c>
      <c r="H150" s="231" t="s">
        <v>185</v>
      </c>
      <c r="I150" s="232">
        <v>1.8571428571428601</v>
      </c>
      <c r="J150" s="232">
        <v>1.0050251256281407E-2</v>
      </c>
      <c r="K150" s="232">
        <v>0</v>
      </c>
      <c r="L150" s="232">
        <v>0.12562814070351758</v>
      </c>
      <c r="M150" s="232">
        <v>5.0251256281407036E-3</v>
      </c>
      <c r="N150" s="232">
        <v>0.13567839195979897</v>
      </c>
      <c r="O150" s="232">
        <v>0</v>
      </c>
      <c r="P150" s="232">
        <v>0</v>
      </c>
      <c r="Q150" s="232">
        <v>5.0251256281407036E-3</v>
      </c>
      <c r="R150" s="232">
        <v>3.015075376884422E-2</v>
      </c>
      <c r="S150" s="232">
        <v>6.5326633165829151E-2</v>
      </c>
      <c r="T150" s="232">
        <v>4.0201005025125629E-2</v>
      </c>
      <c r="U150" s="232">
        <v>5.0251256281407036E-3</v>
      </c>
      <c r="V150" s="232">
        <v>9.0452261306532666E-2</v>
      </c>
      <c r="W150" s="231"/>
      <c r="X150" s="231" t="s">
        <v>514</v>
      </c>
      <c r="Y150" s="231" t="s">
        <v>294</v>
      </c>
      <c r="Z150" s="231" t="s">
        <v>311</v>
      </c>
      <c r="AA150" s="231" t="s">
        <v>565</v>
      </c>
      <c r="AB150" s="231" t="s">
        <v>514</v>
      </c>
      <c r="AC150" s="231" t="s">
        <v>294</v>
      </c>
      <c r="AD150" s="231" t="s">
        <v>311</v>
      </c>
      <c r="AE150" s="231">
        <v>42986</v>
      </c>
    </row>
  </sheetData>
  <mergeCells count="15">
    <mergeCell ref="A1:D1"/>
    <mergeCell ref="A2:D2"/>
    <mergeCell ref="A3:D3"/>
    <mergeCell ref="E3:H3"/>
    <mergeCell ref="I3:L3"/>
    <mergeCell ref="Y3:AB3"/>
    <mergeCell ref="AC3:AE3"/>
    <mergeCell ref="W5:AE5"/>
    <mergeCell ref="A4:V4"/>
    <mergeCell ref="J5:M5"/>
    <mergeCell ref="N5:Q5"/>
    <mergeCell ref="R5:U5"/>
    <mergeCell ref="M3:P3"/>
    <mergeCell ref="Q3:T3"/>
    <mergeCell ref="U3:X3"/>
  </mergeCells>
  <conditionalFormatting sqref="AE7">
    <cfRule type="cellIs" dxfId="0"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8"/>
  <sheetViews>
    <sheetView showGridLines="0" tabSelected="1" zoomScale="75" zoomScaleNormal="75" workbookViewId="0">
      <selection sqref="A1:D1"/>
    </sheetView>
  </sheetViews>
  <sheetFormatPr defaultRowHeight="15" x14ac:dyDescent="0.25"/>
  <cols>
    <col min="1" max="1" width="26.5703125" style="7" customWidth="1"/>
    <col min="2" max="2" width="151.42578125" style="7" customWidth="1"/>
    <col min="3" max="5" width="8.5703125" customWidth="1"/>
    <col min="6" max="6" width="8.5703125" bestFit="1" customWidth="1"/>
    <col min="7" max="7" width="10.42578125" customWidth="1"/>
    <col min="8" max="8" width="9" bestFit="1" customWidth="1"/>
    <col min="9" max="9" width="7.5703125" bestFit="1" customWidth="1"/>
    <col min="11" max="11" width="7.5703125" bestFit="1" customWidth="1"/>
    <col min="12" max="12" width="9" bestFit="1" customWidth="1"/>
    <col min="13" max="13" width="7.5703125" customWidth="1"/>
    <col min="26" max="26" width="10.5703125" bestFit="1" customWidth="1"/>
  </cols>
  <sheetData>
    <row r="1" spans="1:31" s="11" customFormat="1" ht="26.25" x14ac:dyDescent="0.25">
      <c r="A1" s="236" t="s">
        <v>49</v>
      </c>
      <c r="B1" s="236"/>
      <c r="C1" s="236"/>
      <c r="D1" s="236"/>
      <c r="E1" s="34"/>
      <c r="F1" s="34"/>
      <c r="G1" s="34"/>
      <c r="H1" s="34"/>
      <c r="I1" s="34"/>
      <c r="J1" s="34"/>
      <c r="K1" s="34"/>
      <c r="L1" s="34"/>
      <c r="M1" s="34"/>
      <c r="N1" s="34"/>
      <c r="O1" s="34"/>
      <c r="P1" s="34"/>
      <c r="Q1" s="34"/>
      <c r="R1" s="34"/>
      <c r="S1" s="34"/>
      <c r="T1" s="34"/>
      <c r="U1" s="34"/>
      <c r="V1" s="34"/>
      <c r="W1" s="34"/>
      <c r="X1" s="34"/>
      <c r="Y1" s="34"/>
      <c r="Z1" s="34"/>
      <c r="AA1" s="34"/>
      <c r="AB1" s="34"/>
      <c r="AC1" s="34"/>
      <c r="AD1" s="34"/>
      <c r="AE1" s="34"/>
    </row>
    <row r="2" spans="1:31" s="11" customFormat="1" ht="74.25" customHeight="1" x14ac:dyDescent="0.25">
      <c r="A2" s="237" t="s">
        <v>50</v>
      </c>
      <c r="B2" s="237"/>
      <c r="C2" s="237"/>
      <c r="D2" s="237"/>
      <c r="E2" s="34"/>
      <c r="F2" s="34"/>
      <c r="G2" s="34"/>
      <c r="H2" s="34"/>
      <c r="I2" s="34"/>
      <c r="J2" s="34"/>
      <c r="K2" s="34"/>
      <c r="L2" s="34"/>
      <c r="M2" s="34"/>
      <c r="N2" s="34"/>
      <c r="O2" s="34"/>
      <c r="P2" s="34"/>
      <c r="Q2" s="34"/>
      <c r="R2" s="34"/>
      <c r="S2" s="34"/>
      <c r="T2" s="34"/>
      <c r="U2" s="34"/>
      <c r="V2" s="34"/>
      <c r="W2" s="34"/>
      <c r="X2" s="34"/>
      <c r="Y2" s="34"/>
      <c r="Z2" s="34"/>
      <c r="AA2" s="34"/>
      <c r="AB2" s="34"/>
      <c r="AC2" s="34"/>
      <c r="AD2" s="34"/>
      <c r="AE2" s="34"/>
    </row>
    <row r="3" spans="1:31" s="11" customFormat="1" ht="48.6" customHeight="1" thickBot="1" x14ac:dyDescent="0.3">
      <c r="A3" s="64" t="s">
        <v>603</v>
      </c>
      <c r="B3" s="64"/>
      <c r="C3" s="69"/>
      <c r="D3" s="69"/>
      <c r="E3" s="314"/>
      <c r="F3" s="314"/>
      <c r="G3" s="314"/>
      <c r="H3" s="314"/>
      <c r="I3" s="314"/>
      <c r="J3" s="314"/>
      <c r="K3" s="314"/>
      <c r="L3" s="314"/>
      <c r="M3" s="314"/>
      <c r="N3" s="314"/>
      <c r="O3" s="314"/>
      <c r="P3" s="314"/>
      <c r="Q3" s="314"/>
      <c r="R3" s="314"/>
      <c r="S3" s="314"/>
      <c r="T3" s="314"/>
      <c r="U3" s="314"/>
      <c r="V3" s="314"/>
      <c r="W3" s="314"/>
      <c r="X3" s="314"/>
      <c r="Y3" s="314"/>
      <c r="Z3" s="314"/>
      <c r="AA3" s="314"/>
      <c r="AB3" s="314"/>
      <c r="AC3" s="314"/>
      <c r="AD3" s="314"/>
      <c r="AE3" s="314"/>
    </row>
    <row r="4" spans="1:31" ht="18.75" x14ac:dyDescent="0.25">
      <c r="A4" s="163" t="s">
        <v>119</v>
      </c>
      <c r="B4" s="164" t="s">
        <v>120</v>
      </c>
    </row>
    <row r="5" spans="1:31" ht="15.75" x14ac:dyDescent="0.25">
      <c r="A5" s="165" t="s">
        <v>51</v>
      </c>
      <c r="B5" s="166" t="s">
        <v>52</v>
      </c>
    </row>
    <row r="6" spans="1:31" ht="15.75" x14ac:dyDescent="0.25">
      <c r="A6" s="165" t="s">
        <v>53</v>
      </c>
      <c r="B6" s="166" t="s">
        <v>54</v>
      </c>
    </row>
    <row r="7" spans="1:31" ht="15.75" x14ac:dyDescent="0.25">
      <c r="A7" s="165" t="s">
        <v>55</v>
      </c>
      <c r="B7" s="166" t="s">
        <v>56</v>
      </c>
    </row>
    <row r="8" spans="1:31" ht="15.75" x14ac:dyDescent="0.25">
      <c r="A8" s="165" t="s">
        <v>57</v>
      </c>
      <c r="B8" s="166" t="s">
        <v>58</v>
      </c>
    </row>
    <row r="9" spans="1:31" ht="15.75" x14ac:dyDescent="0.25">
      <c r="A9" s="165" t="s">
        <v>4</v>
      </c>
      <c r="B9" s="166" t="s">
        <v>59</v>
      </c>
    </row>
    <row r="10" spans="1:31" ht="15.75" x14ac:dyDescent="0.25">
      <c r="A10" s="165" t="s">
        <v>60</v>
      </c>
      <c r="B10" s="166" t="s">
        <v>61</v>
      </c>
    </row>
    <row r="11" spans="1:31" ht="15.75" x14ac:dyDescent="0.25">
      <c r="A11" s="165" t="s">
        <v>62</v>
      </c>
      <c r="B11" s="166" t="s">
        <v>63</v>
      </c>
    </row>
    <row r="12" spans="1:31" ht="15.75" x14ac:dyDescent="0.25">
      <c r="A12" s="165" t="s">
        <v>64</v>
      </c>
      <c r="B12" s="166" t="s">
        <v>65</v>
      </c>
      <c r="Z12" s="68"/>
    </row>
    <row r="13" spans="1:31" ht="47.25" x14ac:dyDescent="0.25">
      <c r="A13" s="165" t="s">
        <v>66</v>
      </c>
      <c r="B13" s="166" t="s">
        <v>67</v>
      </c>
    </row>
    <row r="14" spans="1:31" ht="47.25" x14ac:dyDescent="0.25">
      <c r="A14" s="165" t="s">
        <v>69</v>
      </c>
      <c r="B14" s="166" t="s">
        <v>70</v>
      </c>
    </row>
    <row r="15" spans="1:31" ht="15.75" x14ac:dyDescent="0.25">
      <c r="A15" s="165" t="s">
        <v>71</v>
      </c>
      <c r="B15" s="166" t="s">
        <v>72</v>
      </c>
    </row>
    <row r="16" spans="1:31" ht="47.25" customHeight="1" x14ac:dyDescent="0.25">
      <c r="A16" s="313" t="s">
        <v>73</v>
      </c>
      <c r="B16" s="166" t="s">
        <v>74</v>
      </c>
    </row>
    <row r="17" spans="1:2" ht="47.25" x14ac:dyDescent="0.25">
      <c r="A17" s="313"/>
      <c r="B17" s="166" t="s">
        <v>75</v>
      </c>
    </row>
    <row r="18" spans="1:2" ht="47.1" customHeight="1" x14ac:dyDescent="0.25">
      <c r="A18" s="307" t="s">
        <v>610</v>
      </c>
      <c r="B18" s="166" t="s">
        <v>611</v>
      </c>
    </row>
    <row r="19" spans="1:2" ht="47.25" x14ac:dyDescent="0.25">
      <c r="A19" s="309"/>
      <c r="B19" s="166" t="s">
        <v>612</v>
      </c>
    </row>
    <row r="20" spans="1:2" ht="31.5" x14ac:dyDescent="0.25">
      <c r="A20" s="165" t="s">
        <v>76</v>
      </c>
      <c r="B20" s="166" t="s">
        <v>724</v>
      </c>
    </row>
    <row r="21" spans="1:2" ht="15.75" x14ac:dyDescent="0.25">
      <c r="A21" s="165" t="s">
        <v>77</v>
      </c>
      <c r="B21" s="166" t="s">
        <v>78</v>
      </c>
    </row>
    <row r="22" spans="1:2" ht="15.75" x14ac:dyDescent="0.25">
      <c r="A22" s="165" t="s">
        <v>79</v>
      </c>
      <c r="B22" s="166" t="s">
        <v>80</v>
      </c>
    </row>
    <row r="23" spans="1:2" ht="15.75" x14ac:dyDescent="0.25">
      <c r="A23" s="165" t="s">
        <v>81</v>
      </c>
      <c r="B23" s="166" t="s">
        <v>82</v>
      </c>
    </row>
    <row r="24" spans="1:2" ht="47.25" x14ac:dyDescent="0.25">
      <c r="A24" s="165" t="s">
        <v>83</v>
      </c>
      <c r="B24" s="166" t="s">
        <v>84</v>
      </c>
    </row>
    <row r="25" spans="1:2" ht="31.5" x14ac:dyDescent="0.25">
      <c r="A25" s="165" t="s">
        <v>85</v>
      </c>
      <c r="B25" s="166" t="s">
        <v>86</v>
      </c>
    </row>
    <row r="26" spans="1:2" ht="15.75" x14ac:dyDescent="0.25">
      <c r="A26" s="165" t="s">
        <v>87</v>
      </c>
      <c r="B26" s="166" t="s">
        <v>88</v>
      </c>
    </row>
    <row r="27" spans="1:2" ht="15.75" x14ac:dyDescent="0.25">
      <c r="A27" s="165" t="s">
        <v>89</v>
      </c>
      <c r="B27" s="166" t="s">
        <v>90</v>
      </c>
    </row>
    <row r="28" spans="1:2" ht="15.75" x14ac:dyDescent="0.25">
      <c r="A28" s="165" t="s">
        <v>91</v>
      </c>
      <c r="B28" s="166" t="s">
        <v>92</v>
      </c>
    </row>
    <row r="29" spans="1:2" ht="31.5" x14ac:dyDescent="0.25">
      <c r="A29" s="165" t="s">
        <v>93</v>
      </c>
      <c r="B29" s="166" t="s">
        <v>94</v>
      </c>
    </row>
    <row r="30" spans="1:2" ht="15.75" x14ac:dyDescent="0.25">
      <c r="A30" s="165" t="s">
        <v>95</v>
      </c>
      <c r="B30" s="166" t="s">
        <v>96</v>
      </c>
    </row>
    <row r="31" spans="1:2" ht="15.75" x14ac:dyDescent="0.25">
      <c r="A31" s="165" t="s">
        <v>2</v>
      </c>
      <c r="B31" s="166" t="s">
        <v>97</v>
      </c>
    </row>
    <row r="32" spans="1:2" ht="31.5" x14ac:dyDescent="0.25">
      <c r="A32" s="167" t="s">
        <v>644</v>
      </c>
      <c r="B32" s="168" t="s">
        <v>98</v>
      </c>
    </row>
    <row r="33" spans="1:2" ht="15.75" x14ac:dyDescent="0.25">
      <c r="A33" s="165" t="s">
        <v>3</v>
      </c>
      <c r="B33" s="166" t="s">
        <v>99</v>
      </c>
    </row>
    <row r="34" spans="1:2" ht="31.5" x14ac:dyDescent="0.25">
      <c r="A34" s="165" t="s">
        <v>101</v>
      </c>
      <c r="B34" s="166" t="s">
        <v>102</v>
      </c>
    </row>
    <row r="35" spans="1:2" ht="15.75" x14ac:dyDescent="0.25">
      <c r="A35" s="165" t="s">
        <v>103</v>
      </c>
      <c r="B35" s="166" t="s">
        <v>104</v>
      </c>
    </row>
    <row r="36" spans="1:2" ht="31.5" x14ac:dyDescent="0.25">
      <c r="A36" s="165" t="s">
        <v>105</v>
      </c>
      <c r="B36" s="166" t="s">
        <v>106</v>
      </c>
    </row>
    <row r="37" spans="1:2" ht="15.75" x14ac:dyDescent="0.25">
      <c r="A37" s="165" t="s">
        <v>107</v>
      </c>
      <c r="B37" s="166" t="s">
        <v>613</v>
      </c>
    </row>
    <row r="38" spans="1:2" ht="15.75" x14ac:dyDescent="0.25">
      <c r="A38" s="165" t="s">
        <v>23</v>
      </c>
      <c r="B38" s="166" t="s">
        <v>614</v>
      </c>
    </row>
    <row r="39" spans="1:2" ht="15.75" x14ac:dyDescent="0.25">
      <c r="A39" s="313" t="s">
        <v>108</v>
      </c>
      <c r="B39" s="166" t="s">
        <v>109</v>
      </c>
    </row>
    <row r="40" spans="1:2" ht="15.75" x14ac:dyDescent="0.25">
      <c r="A40" s="313"/>
      <c r="B40" s="166" t="s">
        <v>110</v>
      </c>
    </row>
    <row r="41" spans="1:2" ht="47.25" x14ac:dyDescent="0.25">
      <c r="A41" s="313"/>
      <c r="B41" s="166" t="s">
        <v>111</v>
      </c>
    </row>
    <row r="42" spans="1:2" ht="15.75" x14ac:dyDescent="0.25">
      <c r="A42" s="313"/>
      <c r="B42" s="166" t="s">
        <v>112</v>
      </c>
    </row>
    <row r="43" spans="1:2" ht="47.25" x14ac:dyDescent="0.25">
      <c r="A43" s="313"/>
      <c r="B43" s="166" t="s">
        <v>113</v>
      </c>
    </row>
    <row r="44" spans="1:2" ht="15.75" x14ac:dyDescent="0.25">
      <c r="A44" s="313"/>
      <c r="B44" s="166" t="s">
        <v>114</v>
      </c>
    </row>
    <row r="45" spans="1:2" ht="31.5" x14ac:dyDescent="0.25">
      <c r="A45" s="313"/>
      <c r="B45" s="166" t="s">
        <v>115</v>
      </c>
    </row>
    <row r="46" spans="1:2" ht="31.5" x14ac:dyDescent="0.25">
      <c r="A46" s="313"/>
      <c r="B46" s="166" t="s">
        <v>116</v>
      </c>
    </row>
    <row r="47" spans="1:2" ht="15.75" x14ac:dyDescent="0.25">
      <c r="A47" s="165" t="s">
        <v>117</v>
      </c>
      <c r="B47" s="166" t="s">
        <v>118</v>
      </c>
    </row>
    <row r="48" spans="1:2" ht="31.5" x14ac:dyDescent="0.25">
      <c r="A48" s="307" t="s">
        <v>670</v>
      </c>
      <c r="B48" s="166" t="s">
        <v>615</v>
      </c>
    </row>
    <row r="49" spans="1:2" ht="15.75" x14ac:dyDescent="0.25">
      <c r="A49" s="308"/>
      <c r="B49" s="166" t="s">
        <v>616</v>
      </c>
    </row>
    <row r="50" spans="1:2" ht="15.75" x14ac:dyDescent="0.25">
      <c r="A50" s="309"/>
      <c r="B50" s="166" t="s">
        <v>617</v>
      </c>
    </row>
    <row r="51" spans="1:2" ht="15.75" customHeight="1" x14ac:dyDescent="0.25">
      <c r="A51" s="301" t="s">
        <v>669</v>
      </c>
      <c r="B51" s="169" t="s">
        <v>727</v>
      </c>
    </row>
    <row r="52" spans="1:2" ht="15.75" x14ac:dyDescent="0.25">
      <c r="A52" s="302"/>
      <c r="B52" s="168" t="s">
        <v>618</v>
      </c>
    </row>
    <row r="53" spans="1:2" ht="35.450000000000003" customHeight="1" x14ac:dyDescent="0.25">
      <c r="A53" s="302"/>
      <c r="B53" s="168" t="s">
        <v>619</v>
      </c>
    </row>
    <row r="54" spans="1:2" ht="86.25" customHeight="1" x14ac:dyDescent="0.25">
      <c r="A54" s="302"/>
      <c r="B54" s="168" t="s">
        <v>667</v>
      </c>
    </row>
    <row r="55" spans="1:2" ht="87.6" customHeight="1" x14ac:dyDescent="0.25">
      <c r="A55" s="302"/>
      <c r="B55" s="168" t="s">
        <v>675</v>
      </c>
    </row>
    <row r="56" spans="1:2" ht="31.5" x14ac:dyDescent="0.25">
      <c r="A56" s="302"/>
      <c r="B56" s="168" t="s">
        <v>620</v>
      </c>
    </row>
    <row r="57" spans="1:2" ht="78.75" x14ac:dyDescent="0.25">
      <c r="A57" s="302"/>
      <c r="B57" s="168" t="s">
        <v>636</v>
      </c>
    </row>
    <row r="58" spans="1:2" ht="15.75" x14ac:dyDescent="0.25">
      <c r="A58" s="302"/>
      <c r="B58" s="168" t="s">
        <v>621</v>
      </c>
    </row>
    <row r="59" spans="1:2" ht="31.5" x14ac:dyDescent="0.25">
      <c r="A59" s="302"/>
      <c r="B59" s="168" t="s">
        <v>676</v>
      </c>
    </row>
    <row r="60" spans="1:2" ht="31.5" x14ac:dyDescent="0.25">
      <c r="A60" s="303"/>
      <c r="B60" s="168" t="s">
        <v>622</v>
      </c>
    </row>
    <row r="61" spans="1:2" ht="15.75" x14ac:dyDescent="0.25">
      <c r="A61" s="304" t="s">
        <v>668</v>
      </c>
      <c r="B61" s="169" t="s">
        <v>728</v>
      </c>
    </row>
    <row r="62" spans="1:2" ht="31.5" x14ac:dyDescent="0.25">
      <c r="A62" s="305"/>
      <c r="B62" s="166" t="s">
        <v>623</v>
      </c>
    </row>
    <row r="63" spans="1:2" ht="15.75" x14ac:dyDescent="0.25">
      <c r="A63" s="305"/>
      <c r="B63" s="166" t="s">
        <v>624</v>
      </c>
    </row>
    <row r="64" spans="1:2" ht="15.75" x14ac:dyDescent="0.25">
      <c r="A64" s="305"/>
      <c r="B64" s="166" t="s">
        <v>625</v>
      </c>
    </row>
    <row r="65" spans="1:2" ht="78.75" x14ac:dyDescent="0.25">
      <c r="A65" s="305"/>
      <c r="B65" s="168" t="s">
        <v>673</v>
      </c>
    </row>
    <row r="66" spans="1:2" ht="50.1" customHeight="1" x14ac:dyDescent="0.25">
      <c r="A66" s="306"/>
      <c r="B66" s="166" t="s">
        <v>622</v>
      </c>
    </row>
    <row r="67" spans="1:2" ht="15.75" x14ac:dyDescent="0.25">
      <c r="A67" s="307" t="s">
        <v>671</v>
      </c>
      <c r="B67" s="169" t="s">
        <v>729</v>
      </c>
    </row>
    <row r="68" spans="1:2" ht="15.75" x14ac:dyDescent="0.25">
      <c r="A68" s="308"/>
      <c r="B68" s="166" t="s">
        <v>626</v>
      </c>
    </row>
    <row r="69" spans="1:2" ht="39.950000000000003" customHeight="1" x14ac:dyDescent="0.25">
      <c r="A69" s="308"/>
      <c r="B69" s="166" t="s">
        <v>627</v>
      </c>
    </row>
    <row r="70" spans="1:2" ht="63" x14ac:dyDescent="0.25">
      <c r="A70" s="308"/>
      <c r="B70" s="166" t="s">
        <v>674</v>
      </c>
    </row>
    <row r="71" spans="1:2" ht="31.5" x14ac:dyDescent="0.25">
      <c r="A71" s="309"/>
      <c r="B71" s="166" t="s">
        <v>622</v>
      </c>
    </row>
    <row r="72" spans="1:2" ht="20.45" customHeight="1" x14ac:dyDescent="0.25">
      <c r="A72" s="170" t="s">
        <v>639</v>
      </c>
      <c r="B72" s="169" t="s">
        <v>730</v>
      </c>
    </row>
    <row r="73" spans="1:2" ht="15.75" x14ac:dyDescent="0.25">
      <c r="A73" s="170"/>
      <c r="B73" s="166" t="s">
        <v>628</v>
      </c>
    </row>
    <row r="74" spans="1:2" ht="83.45" customHeight="1" x14ac:dyDescent="0.25">
      <c r="A74" s="171"/>
      <c r="B74" s="168" t="s">
        <v>673</v>
      </c>
    </row>
    <row r="75" spans="1:2" ht="78.75" x14ac:dyDescent="0.25">
      <c r="A75" s="172"/>
      <c r="B75" s="169" t="s">
        <v>636</v>
      </c>
    </row>
    <row r="76" spans="1:2" ht="15.75" x14ac:dyDescent="0.25">
      <c r="A76" s="172"/>
      <c r="B76" s="166" t="s">
        <v>621</v>
      </c>
    </row>
    <row r="77" spans="1:2" ht="31.5" x14ac:dyDescent="0.25">
      <c r="A77" s="172"/>
      <c r="B77" s="166" t="s">
        <v>629</v>
      </c>
    </row>
    <row r="78" spans="1:2" ht="31.5" x14ac:dyDescent="0.25">
      <c r="A78" s="173"/>
      <c r="B78" s="168" t="s">
        <v>637</v>
      </c>
    </row>
    <row r="79" spans="1:2" ht="15.75" x14ac:dyDescent="0.25">
      <c r="A79" s="172" t="s">
        <v>672</v>
      </c>
      <c r="B79" s="169" t="s">
        <v>727</v>
      </c>
    </row>
    <row r="80" spans="1:2" ht="15.75" x14ac:dyDescent="0.25">
      <c r="A80" s="172"/>
      <c r="B80" s="166" t="s">
        <v>628</v>
      </c>
    </row>
    <row r="81" spans="1:2" ht="31.5" x14ac:dyDescent="0.25">
      <c r="A81" s="172"/>
      <c r="B81" s="166" t="s">
        <v>620</v>
      </c>
    </row>
    <row r="82" spans="1:2" ht="15.75" x14ac:dyDescent="0.25">
      <c r="A82" s="172"/>
      <c r="B82" s="166" t="s">
        <v>630</v>
      </c>
    </row>
    <row r="83" spans="1:2" ht="47.25" x14ac:dyDescent="0.25">
      <c r="A83" s="171"/>
      <c r="B83" s="166" t="s">
        <v>631</v>
      </c>
    </row>
    <row r="84" spans="1:2" ht="31.5" x14ac:dyDescent="0.25">
      <c r="A84" s="171"/>
      <c r="B84" s="166" t="s">
        <v>632</v>
      </c>
    </row>
    <row r="85" spans="1:2" ht="15.75" x14ac:dyDescent="0.25">
      <c r="A85" s="171"/>
      <c r="B85" s="166" t="s">
        <v>633</v>
      </c>
    </row>
    <row r="86" spans="1:2" ht="15.75" x14ac:dyDescent="0.25">
      <c r="A86" s="171"/>
      <c r="B86" s="166" t="s">
        <v>621</v>
      </c>
    </row>
    <row r="87" spans="1:2" ht="78.75" x14ac:dyDescent="0.25">
      <c r="A87" s="171"/>
      <c r="B87" s="168" t="s">
        <v>673</v>
      </c>
    </row>
    <row r="88" spans="1:2" ht="15.75" x14ac:dyDescent="0.25">
      <c r="A88" s="174"/>
      <c r="B88" s="166" t="s">
        <v>723</v>
      </c>
    </row>
    <row r="89" spans="1:2" ht="15.6" customHeight="1" x14ac:dyDescent="0.25">
      <c r="A89" s="310" t="s">
        <v>647</v>
      </c>
      <c r="B89" s="175" t="s">
        <v>731</v>
      </c>
    </row>
    <row r="90" spans="1:2" ht="15.75" x14ac:dyDescent="0.25">
      <c r="A90" s="311"/>
      <c r="B90" s="175" t="s">
        <v>732</v>
      </c>
    </row>
    <row r="91" spans="1:2" ht="15.75" x14ac:dyDescent="0.25">
      <c r="A91" s="311"/>
      <c r="B91" s="176" t="s">
        <v>628</v>
      </c>
    </row>
    <row r="92" spans="1:2" ht="15.75" x14ac:dyDescent="0.25">
      <c r="A92" s="311"/>
      <c r="B92" s="175" t="s">
        <v>725</v>
      </c>
    </row>
    <row r="93" spans="1:2" ht="63" x14ac:dyDescent="0.25">
      <c r="A93" s="311"/>
      <c r="B93" s="176" t="s">
        <v>640</v>
      </c>
    </row>
    <row r="94" spans="1:2" ht="31.5" x14ac:dyDescent="0.25">
      <c r="A94" s="311"/>
      <c r="B94" s="176" t="s">
        <v>641</v>
      </c>
    </row>
    <row r="95" spans="1:2" ht="47.25" x14ac:dyDescent="0.25">
      <c r="A95" s="311"/>
      <c r="B95" s="175" t="s">
        <v>734</v>
      </c>
    </row>
    <row r="96" spans="1:2" ht="31.5" x14ac:dyDescent="0.25">
      <c r="A96" s="311"/>
      <c r="B96" s="176" t="s">
        <v>642</v>
      </c>
    </row>
    <row r="97" spans="1:2" ht="141.75" x14ac:dyDescent="0.25">
      <c r="A97" s="311"/>
      <c r="B97" s="175" t="s">
        <v>733</v>
      </c>
    </row>
    <row r="98" spans="1:2" ht="63.75" thickBot="1" x14ac:dyDescent="0.3">
      <c r="A98" s="312"/>
      <c r="B98" s="177" t="s">
        <v>643</v>
      </c>
    </row>
  </sheetData>
  <sheetProtection sheet="1" objects="1" scenarios="1"/>
  <mergeCells count="17">
    <mergeCell ref="AC3:AE3"/>
    <mergeCell ref="E3:H3"/>
    <mergeCell ref="I3:L3"/>
    <mergeCell ref="M3:P3"/>
    <mergeCell ref="Q3:T3"/>
    <mergeCell ref="U3:X3"/>
    <mergeCell ref="A1:D1"/>
    <mergeCell ref="A2:D2"/>
    <mergeCell ref="Y3:AB3"/>
    <mergeCell ref="A18:A19"/>
    <mergeCell ref="A39:A46"/>
    <mergeCell ref="A51:A60"/>
    <mergeCell ref="A61:A66"/>
    <mergeCell ref="A67:A71"/>
    <mergeCell ref="A89:A98"/>
    <mergeCell ref="A16:A17"/>
    <mergeCell ref="A48:A50"/>
  </mergeCells>
  <pageMargins left="0.25" right="0.25" top="0.75" bottom="0.75" header="0.3" footer="0.3"/>
  <pageSetup scale="16"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F57B024AAA2849AD5D4D6F3B5DAC10" ma:contentTypeVersion="10" ma:contentTypeDescription="Create a new document." ma:contentTypeScope="" ma:versionID="42595b092136b02773741809332009bc">
  <xsd:schema xmlns:xsd="http://www.w3.org/2001/XMLSchema" xmlns:xs="http://www.w3.org/2001/XMLSchema" xmlns:p="http://schemas.microsoft.com/office/2006/metadata/properties" xmlns:ns2="4fb1db5d-19c2-4c8a-82e5-c8fdf1b06038" targetNamespace="http://schemas.microsoft.com/office/2006/metadata/properties" ma:root="true" ma:fieldsID="1709c59da27f89f77c362d0f9a22c9b6" ns2:_="">
    <xsd:import namespace="4fb1db5d-19c2-4c8a-82e5-c8fdf1b060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1db5d-19c2-4c8a-82e5-c8fdf1b06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5FF0E1A-A11C-4D6F-BF2E-75331299BC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1db5d-19c2-4c8a-82e5-c8fdf1b060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25A08AC0-783C-4C1B-927A-AB27E36B29B1}">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4fb1db5d-19c2-4c8a-82e5-c8fdf1b0603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Header</vt:lpstr>
      <vt:lpstr>ATD FY21 YTD</vt:lpstr>
      <vt:lpstr>Detention FY21 YTD</vt:lpstr>
      <vt:lpstr>Facilities FY21 YTD</vt:lpstr>
      <vt:lpstr>Footnotes</vt:lpstr>
      <vt:lpstr>'Detention FY21 YTD'!Print_Area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Jussara Solorzano</cp:lastModifiedBy>
  <cp:lastPrinted>2020-02-10T19:14:43Z</cp:lastPrinted>
  <dcterms:created xsi:type="dcterms:W3CDTF">2020-01-31T18:40:16Z</dcterms:created>
  <dcterms:modified xsi:type="dcterms:W3CDTF">2021-04-30T20:53:18Z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0x01010027F57B024AAA2849AD5D4D6F3B5DAC10</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ies>
</file>