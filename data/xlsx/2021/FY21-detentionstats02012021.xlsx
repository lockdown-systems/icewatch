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858656735_ice_dhs_gov/Documents/Desktop/EIU/Bi weekly Det Stats/"/>
    </mc:Choice>
  </mc:AlternateContent>
  <xr:revisionPtr revIDLastSave="0" documentId="14_{2DC272DF-2007-4621-B5EB-BC67950AB4DA}" xr6:coauthVersionLast="45" xr6:coauthVersionMax="45" xr10:uidLastSave="{00000000-0000-0000-0000-000000000000}"/>
  <bookViews>
    <workbookView xWindow="28680" yWindow="-120" windowWidth="38640" windowHeight="15840" tabRatio="668" xr2:uid="{00000000-000D-0000-FFFF-FFFF00000000}"/>
  </bookViews>
  <sheets>
    <sheet name="Header" sheetId="9" r:id="rId1"/>
    <sheet name="ATD FY21 YTD" sheetId="13" r:id="rId2"/>
    <sheet name="Detention FY21 YTD" sheetId="3" r:id="rId3"/>
    <sheet name="Facilities FY21 YTD" sheetId="14" r:id="rId4"/>
    <sheet name="Footnotes" sheetId="4" r:id="rId5"/>
  </sheets>
  <definedNames>
    <definedName name="_xlnm.Print_Area" localSheetId="2">'Detention FY21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3" i="3" l="1"/>
  <c r="E22" i="3"/>
  <c r="E21" i="3"/>
  <c r="E20" i="3"/>
  <c r="C23" i="3" l="1"/>
  <c r="C22" i="3"/>
  <c r="C21" i="3"/>
  <c r="C20" i="3"/>
</calcChain>
</file>

<file path=xl/sharedStrings.xml><?xml version="1.0" encoding="utf-8"?>
<sst xmlns="http://schemas.openxmlformats.org/spreadsheetml/2006/main" count="2555" uniqueCount="891">
  <si>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</si>
  <si>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</si>
  <si>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</si>
  <si>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</si>
  <si>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</si>
  <si>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</si>
  <si>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</si>
  <si>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</si>
  <si>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</si>
  <si>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</si>
  <si>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</si>
  <si>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</si>
  <si>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</si>
  <si>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</si>
  <si>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</si>
  <si>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</si>
  <si>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</si>
  <si>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</si>
  <si>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</si>
  <si>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</si>
  <si>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</si>
  <si>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</si>
  <si>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</si>
  <si>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</si>
  <si>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</si>
  <si>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</si>
  <si>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</si>
  <si>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</si>
  <si>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</si>
  <si>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</si>
  <si>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</si>
  <si>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</si>
  <si>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</si>
  <si>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</si>
  <si>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</si>
  <si>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</si>
  <si>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</si>
  <si>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</si>
  <si>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</si>
  <si>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</si>
  <si>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</si>
  <si>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EDEN</t>
  </si>
  <si>
    <t>MD</t>
  </si>
  <si>
    <t>PINE PRAIRIE ICE PROCESSING CENTER</t>
  </si>
  <si>
    <t>IRWIN COUNTY DETENTION CENTER</t>
  </si>
  <si>
    <t>ALVARADO</t>
  </si>
  <si>
    <t>AURORA</t>
  </si>
  <si>
    <t>JEFFERSON COUNTY JAIL</t>
  </si>
  <si>
    <t>PINELLAS COUNTY JAIL</t>
  </si>
  <si>
    <t>GEAUGA COUNTY JAIL</t>
  </si>
  <si>
    <t>AL</t>
  </si>
  <si>
    <t>HENDERSON</t>
  </si>
  <si>
    <t>GUAYNABO MDC (SAN JUAN)</t>
  </si>
  <si>
    <t>BERGEN COUNTY JAIL</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</si>
  <si>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</si>
  <si>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</si>
  <si>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</si>
  <si>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</si>
  <si>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</si>
  <si>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</si>
  <si>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</si>
  <si>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</si>
  <si>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</si>
  <si>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</si>
  <si>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</si>
  <si>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</si>
  <si>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</si>
  <si>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</si>
  <si>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</si>
  <si>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</si>
  <si>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</si>
  <si>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</si>
  <si>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</si>
  <si>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</si>
  <si>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</si>
  <si>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</si>
  <si>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</si>
  <si>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</si>
  <si>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</si>
  <si>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</si>
  <si>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</si>
  <si>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</si>
  <si>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</si>
  <si>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</si>
  <si>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</si>
  <si>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</si>
  <si>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</si>
  <si>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</si>
  <si>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</si>
  <si>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</si>
  <si>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</si>
  <si>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</si>
  <si>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</si>
  <si>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</si>
  <si>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</si>
  <si>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</si>
  <si>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</si>
  <si>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</si>
  <si>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</si>
  <si>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</si>
  <si>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</si>
  <si>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</si>
  <si>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</si>
  <si>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</si>
  <si>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</si>
  <si>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</si>
  <si>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</si>
  <si>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</si>
  <si>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</si>
  <si>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</si>
  <si>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</si>
  <si>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</si>
  <si>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</si>
  <si>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</si>
  <si>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</si>
  <si>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</si>
  <si>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</si>
  <si>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</si>
  <si>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</si>
  <si>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</si>
  <si>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</si>
  <si>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</si>
  <si>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</si>
  <si>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</si>
  <si>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</si>
  <si>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</si>
  <si>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</si>
  <si>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</si>
  <si>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</si>
  <si>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</si>
  <si>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</si>
  <si>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</si>
  <si>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</si>
  <si>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</si>
  <si>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</si>
  <si>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</si>
  <si>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</si>
  <si>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</si>
  <si>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</si>
  <si>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</si>
  <si>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</si>
  <si>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</si>
  <si>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</si>
  <si>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</si>
  <si>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</si>
  <si>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</si>
  <si>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</si>
  <si>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</si>
  <si>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</si>
  <si>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</si>
  <si>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</si>
  <si>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</si>
  <si>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</si>
  <si>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</si>
  <si>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</si>
  <si>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</si>
  <si>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</si>
  <si>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</si>
  <si>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</si>
  <si>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</si>
  <si>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</si>
  <si>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</si>
  <si>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</si>
  <si>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</si>
  <si>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</si>
  <si>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</si>
  <si>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</si>
  <si>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</si>
  <si>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</si>
  <si>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</si>
  <si>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</si>
  <si>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</si>
  <si>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</si>
  <si>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</si>
  <si>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</si>
  <si>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</si>
  <si>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</si>
  <si>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</si>
  <si>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</si>
  <si>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</si>
  <si>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</si>
  <si>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</si>
  <si>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</si>
  <si>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</si>
  <si>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</si>
  <si>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</si>
  <si>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</si>
  <si>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</si>
  <si>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</si>
  <si>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</si>
  <si>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</si>
  <si>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</si>
  <si>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</si>
  <si>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</si>
  <si>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</si>
  <si>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</si>
  <si>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</si>
  <si>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</si>
  <si>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</si>
  <si>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</si>
  <si>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</si>
  <si>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</si>
  <si>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</si>
  <si>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</si>
  <si>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</si>
  <si>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</si>
  <si>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</si>
  <si>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</si>
  <si>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</si>
  <si>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</si>
  <si>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</si>
  <si>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</si>
  <si>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</si>
  <si>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</si>
  <si>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</si>
  <si>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</si>
  <si>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</si>
  <si>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</si>
  <si>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</si>
  <si>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</si>
  <si>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</si>
  <si>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</si>
  <si>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</si>
  <si>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</si>
  <si>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</si>
  <si>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</si>
  <si>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</si>
  <si>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</si>
  <si>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</si>
  <si>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</si>
  <si>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</si>
  <si>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</si>
  <si>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</si>
  <si>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</si>
  <si>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</si>
  <si>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</si>
  <si>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</si>
  <si>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</si>
  <si>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</si>
  <si>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</si>
  <si>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</si>
  <si>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</si>
  <si>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</si>
  <si>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</si>
  <si>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</si>
  <si>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</si>
  <si>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</si>
  <si>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</si>
  <si>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</si>
  <si>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</si>
  <si>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</si>
  <si>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</si>
  <si>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</si>
  <si>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</si>
  <si>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</si>
  <si>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</si>
  <si>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</si>
  <si>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</si>
  <si>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</si>
  <si>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</si>
  <si>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</si>
  <si>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</si>
  <si>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</si>
  <si>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</si>
  <si>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</si>
  <si>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</si>
  <si>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</si>
  <si>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</si>
  <si>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</si>
  <si>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</si>
  <si>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</si>
  <si>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</si>
  <si>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</si>
  <si>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</si>
  <si>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</si>
  <si>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</si>
  <si>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</si>
  <si>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</si>
  <si>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</si>
  <si>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</si>
  <si>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</si>
  <si>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</si>
  <si>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</si>
  <si>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</si>
  <si>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</si>
  <si>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</si>
  <si>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</si>
  <si>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</si>
  <si>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</si>
  <si>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</si>
  <si>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</si>
  <si>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</si>
  <si>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</si>
  <si>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</si>
  <si>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</si>
  <si>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</si>
  <si>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</si>
  <si>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</si>
  <si>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</si>
  <si>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</si>
  <si>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</si>
  <si>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</si>
  <si>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</si>
  <si>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</si>
  <si>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</si>
  <si>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</si>
  <si>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</si>
  <si>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</si>
  <si>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</si>
  <si>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</si>
  <si>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</si>
  <si>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</si>
  <si>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</si>
  <si>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</si>
  <si>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</si>
  <si>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</si>
  <si>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</si>
  <si>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</si>
  <si>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</si>
  <si>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</si>
  <si>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</si>
  <si>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3900 NORTH POWERLINE ROAD</t>
  </si>
  <si>
    <t>POMPANO BEACH</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</si>
  <si>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</si>
  <si>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</si>
  <si>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</si>
  <si>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</si>
  <si>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</si>
  <si>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</si>
  <si>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</si>
  <si>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</si>
  <si>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</si>
  <si>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</si>
  <si>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</si>
  <si>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</si>
  <si>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</si>
  <si>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</si>
  <si>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</si>
  <si>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</si>
  <si>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</si>
  <si>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</si>
  <si>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</si>
  <si>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</si>
  <si>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</si>
  <si>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</si>
  <si>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</si>
  <si>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</si>
  <si>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</si>
  <si>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</si>
  <si>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</si>
  <si>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</si>
  <si>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</si>
  <si>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</si>
  <si>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</si>
  <si>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</si>
  <si>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</si>
  <si>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</si>
  <si>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</si>
  <si>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</si>
  <si>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</si>
  <si>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</si>
  <si>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</si>
  <si>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</si>
  <si>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</si>
  <si>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</si>
  <si>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</si>
  <si>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</si>
  <si>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</si>
  <si>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</si>
  <si>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</si>
  <si>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</si>
  <si>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</si>
  <si>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</si>
  <si>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</si>
  <si>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</si>
  <si>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</si>
  <si>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</si>
  <si>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</si>
  <si>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</si>
  <si>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</si>
  <si>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</si>
  <si>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</si>
  <si>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</si>
  <si>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</si>
  <si>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</si>
  <si>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</si>
  <si>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</si>
  <si>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</si>
  <si>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</si>
  <si>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</si>
  <si>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</si>
  <si>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</si>
  <si>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</si>
  <si>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</si>
  <si>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</si>
  <si>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</si>
  <si>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</si>
  <si>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</si>
  <si>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</si>
  <si>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</si>
  <si>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</si>
  <si>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</si>
  <si>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</si>
  <si>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</si>
  <si>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</si>
  <si>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</si>
  <si>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</si>
  <si>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</si>
  <si>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</si>
  <si>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</si>
  <si>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</si>
  <si>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</si>
  <si>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</si>
  <si>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</si>
  <si>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</si>
  <si>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</si>
  <si>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</si>
  <si>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</si>
  <si>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</si>
  <si>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</si>
  <si>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</si>
  <si>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</si>
  <si>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</si>
  <si>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</si>
  <si>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</si>
  <si>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</si>
  <si>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</si>
  <si>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</si>
  <si>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</si>
  <si>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</si>
  <si>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</si>
  <si>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</si>
  <si>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</si>
  <si>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</si>
  <si>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</si>
  <si>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</si>
  <si>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</si>
  <si>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</si>
  <si>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</si>
  <si>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</si>
  <si>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</si>
  <si>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</si>
  <si>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</si>
  <si>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</si>
  <si>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</si>
  <si>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</si>
  <si>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</si>
  <si>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</si>
  <si>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</si>
  <si>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</si>
  <si>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</si>
  <si>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</si>
  <si>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</si>
  <si>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</si>
  <si>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</si>
  <si>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</si>
  <si>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</si>
  <si>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</si>
  <si>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</si>
  <si>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</si>
  <si>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</si>
  <si>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</si>
  <si>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</si>
  <si>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</si>
  <si>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</si>
  <si>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</si>
  <si>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</si>
  <si>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</si>
  <si>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</si>
  <si>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</si>
  <si>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</si>
  <si>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</si>
  <si>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</si>
  <si>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</si>
  <si>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</si>
  <si>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</si>
  <si>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</si>
  <si>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</si>
  <si>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</si>
  <si>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</si>
  <si>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</si>
  <si>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</si>
  <si>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</si>
  <si>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</si>
  <si>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</si>
  <si>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</si>
  <si>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</si>
  <si>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</si>
  <si>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</si>
  <si>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</si>
  <si>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</si>
  <si>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</si>
  <si>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</si>
  <si>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</si>
  <si>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</si>
  <si>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</si>
  <si>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</si>
  <si>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</si>
  <si>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</si>
  <si>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</si>
  <si>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</si>
  <si>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</si>
  <si>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</si>
  <si>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</si>
  <si>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</si>
  <si>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</si>
  <si>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</si>
  <si>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</si>
  <si>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</si>
  <si>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</si>
  <si>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</si>
  <si>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</si>
  <si>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</si>
  <si>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</si>
  <si>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</si>
  <si>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</si>
  <si>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</si>
  <si>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</si>
  <si>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</si>
  <si>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</si>
  <si>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</si>
  <si>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</si>
  <si>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</si>
  <si>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</si>
  <si>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</si>
  <si>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</si>
  <si>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</si>
  <si>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</si>
  <si>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</si>
  <si>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</si>
  <si>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</si>
  <si>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</si>
  <si>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</si>
  <si>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</si>
  <si>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</si>
  <si>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</si>
  <si>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</si>
  <si>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</si>
  <si>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</si>
  <si>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</si>
  <si>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</si>
  <si>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</si>
  <si>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</si>
  <si>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</si>
  <si>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</si>
  <si>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</si>
  <si>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</si>
  <si>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</si>
  <si>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</si>
  <si>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</si>
  <si>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</si>
  <si>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</si>
  <si>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</si>
  <si>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</si>
  <si>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</si>
  <si>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</si>
  <si>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</si>
  <si>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</si>
  <si>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</si>
  <si>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</si>
  <si>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</si>
  <si>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</si>
  <si>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</si>
  <si>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</si>
  <si>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</si>
  <si>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</si>
  <si>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</si>
  <si>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</si>
  <si>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</si>
  <si>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</si>
  <si>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</si>
  <si>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</si>
  <si>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</si>
  <si>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</si>
  <si>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</si>
  <si>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</si>
  <si>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</si>
  <si>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</si>
  <si>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</si>
  <si>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</si>
  <si>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</si>
  <si>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</si>
  <si>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</si>
  <si>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</si>
  <si>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</si>
  <si>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</si>
  <si>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</si>
  <si>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</si>
  <si>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</si>
  <si>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</si>
  <si>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</si>
  <si>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CHRISTIAN COUNTY JAIL</t>
  </si>
  <si>
    <t>110 WEST ELM</t>
  </si>
  <si>
    <t>OZARK</t>
  </si>
  <si>
    <t>5/24/2018</t>
  </si>
  <si>
    <t>DOUGLAS COUNTY DEPARTMENT OF CORRECTIONS</t>
  </si>
  <si>
    <t>710 SOUTH 17TH ST</t>
  </si>
  <si>
    <t>OMAHA</t>
  </si>
  <si>
    <t>CBP CHULA VISTA BPS</t>
  </si>
  <si>
    <t>311 ATHEY AVE</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</si>
  <si>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</si>
  <si>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</si>
  <si>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</si>
  <si>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</si>
  <si>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</si>
  <si>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</si>
  <si>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</si>
  <si>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</si>
  <si>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</si>
  <si>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</si>
  <si>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</si>
  <si>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</si>
  <si>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HURRICANE</t>
  </si>
  <si>
    <t>9/15/2018</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</si>
  <si>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</si>
  <si>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</si>
  <si>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</si>
  <si>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</si>
  <si>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</si>
  <si>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</si>
  <si>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</si>
  <si>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</si>
  <si>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</si>
  <si>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</si>
  <si>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</si>
  <si>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</si>
  <si>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</si>
  <si>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</si>
  <si>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</si>
  <si>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</si>
  <si>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</si>
  <si>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</si>
  <si>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</si>
  <si>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</si>
  <si>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</si>
  <si>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</si>
  <si>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</si>
  <si>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</si>
  <si>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</si>
  <si>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9/11/2018</t>
  </si>
  <si>
    <t>MINICASSIA DETENTION CENTER</t>
  </si>
  <si>
    <t>1415 ALBION AVENUE</t>
  </si>
  <si>
    <t>BURLEY</t>
  </si>
  <si>
    <t>ID</t>
  </si>
  <si>
    <t>9/17/2018</t>
  </si>
  <si>
    <t>200 COURTHOUSE WAY</t>
  </si>
  <si>
    <t>RIGBY</t>
  </si>
  <si>
    <t>POTTAWATTAMIE COUNTY JAIL</t>
  </si>
  <si>
    <t>1400 BIG LAKE ROAD</t>
  </si>
  <si>
    <t>COUNCIL BLUFFS</t>
  </si>
  <si>
    <t>4/12/2018</t>
  </si>
  <si>
    <t>COWLITZ COUNTY JUVENILE</t>
  </si>
  <si>
    <t>1725 1ST AVE.</t>
  </si>
  <si>
    <t>LONGVIEW</t>
  </si>
  <si>
    <t>JUVENILE</t>
  </si>
  <si>
    <t>JFRMU Juvenile</t>
  </si>
  <si>
    <t>5001 Maloneyville Rd</t>
  </si>
  <si>
    <t>Knoxville</t>
  </si>
  <si>
    <t>TN</t>
  </si>
  <si>
    <t>RENSSELAER COUNTY CORRECTIONAL FACILITY</t>
  </si>
  <si>
    <t>4000 MAIN STREET</t>
  </si>
  <si>
    <t>WESTERN TENNESSEE DETENTION FACILITY</t>
  </si>
  <si>
    <t>6299 FINDE NAIFEH DRIVE</t>
  </si>
  <si>
    <t>MASON</t>
  </si>
  <si>
    <t>WASHINGTON COUNTY DETENTION CENTER</t>
  </si>
  <si>
    <t>1155 WEST CLYDESDALE DRIVE</t>
  </si>
  <si>
    <t>FAYETTEVILLE</t>
  </si>
  <si>
    <t>AR</t>
  </si>
  <si>
    <t>9/18/2018</t>
  </si>
  <si>
    <t>EAST HIDALGO DETENTION CENTER</t>
  </si>
  <si>
    <t>1330 HIGHWAY 107</t>
  </si>
  <si>
    <t>LA VILLA</t>
  </si>
  <si>
    <t>FAYETTE COUNTY DETENTION CENTER</t>
  </si>
  <si>
    <t>600 OLD FRANKFORD CR</t>
  </si>
  <si>
    <t>LEXINGTON</t>
  </si>
  <si>
    <t>8/14/2018</t>
  </si>
  <si>
    <t>9/15/2017</t>
  </si>
  <si>
    <t>9/24/2018</t>
  </si>
  <si>
    <t>10/16/2018</t>
  </si>
  <si>
    <t>NEW HANOVER COUNTY JAIL</t>
  </si>
  <si>
    <t>3950 JUVENILE RD</t>
  </si>
  <si>
    <t>CASTLE HAYNE</t>
  </si>
  <si>
    <t>SD</t>
  </si>
  <si>
    <t>ERIE COUNTY JAIL</t>
  </si>
  <si>
    <t>1618 ASH STREET</t>
  </si>
  <si>
    <t>ERIE</t>
  </si>
  <si>
    <t>9/20/2018</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</si>
  <si>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</si>
  <si>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</si>
  <si>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</si>
  <si>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</si>
  <si>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</si>
  <si>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</si>
  <si>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</si>
  <si>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</si>
  <si>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</si>
  <si>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</si>
  <si>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</si>
  <si>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</si>
  <si>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</si>
  <si>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</si>
  <si>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</si>
  <si>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</si>
  <si>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</si>
  <si>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</si>
  <si>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</si>
  <si>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</si>
  <si>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</si>
  <si>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</si>
  <si>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</si>
  <si>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</si>
  <si>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</si>
  <si>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</si>
  <si>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</si>
  <si>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</si>
  <si>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</si>
  <si>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</si>
  <si>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</si>
  <si>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</si>
  <si>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</si>
  <si>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</si>
  <si>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</si>
  <si>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</si>
  <si>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</si>
  <si>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</si>
  <si>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</si>
  <si>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</si>
  <si>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</si>
  <si>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</si>
  <si>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</si>
  <si>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</si>
  <si>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</si>
  <si>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</si>
  <si>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</si>
  <si>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</si>
  <si>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</si>
  <si>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</si>
  <si>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</si>
  <si>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</si>
  <si>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</si>
  <si>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</si>
  <si>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</si>
  <si>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</si>
  <si>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</si>
  <si>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</si>
  <si>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</si>
  <si>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</si>
  <si>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</si>
  <si>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</si>
  <si>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</si>
  <si>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</si>
  <si>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</si>
  <si>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</si>
  <si>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</si>
  <si>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</si>
  <si>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</si>
  <si>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</si>
  <si>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</si>
  <si>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</si>
  <si>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</si>
  <si>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</si>
  <si>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</si>
  <si>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</si>
  <si>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</si>
  <si>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</si>
  <si>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</si>
  <si>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</si>
  <si>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</si>
  <si>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</si>
  <si>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</si>
  <si>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</si>
  <si>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</si>
  <si>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</si>
  <si>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</si>
  <si>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</si>
  <si>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</si>
  <si>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</si>
  <si>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</si>
  <si>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</si>
  <si>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</si>
  <si>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</si>
  <si>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</si>
  <si>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</si>
  <si>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</si>
  <si>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</si>
  <si>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Average Length of Stay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</si>
  <si>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</si>
  <si>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</si>
  <si>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</si>
  <si>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ICE Final Releases by Release Reason and Criminality: FY2021 YTD</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</si>
  <si>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</si>
  <si>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</si>
  <si>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</si>
  <si>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</si>
  <si>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</si>
  <si>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</si>
  <si>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</si>
  <si>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FY2021 YTD ICE Detention data are updated through 01/16/2021 (IIDS v.1.34 run date 01/18/2021; EID as of 01/16/2021).</t>
  </si>
  <si>
    <t>FY2021 YTD ICE Final Releases data are updated through 01/16/2021 (IIDS v.1.34 run date 01/18/2021; EID as of 01/16/2021).</t>
  </si>
  <si>
    <t>FY2021 YTD ICE Removals data are updated through 01/16/2021 (IIDS v.1.34 run date 01/18/2021; EID as of 01/16/2021).</t>
  </si>
  <si>
    <t>ICE National Docket data are a snapshot as of 01/16/2021 (IIDS v.1.34 run date 01/18/2021; EID as of 01/16/2021).</t>
  </si>
  <si>
    <t>Aliens Currently in ICE Detention Facilities data are a snapshot as of 01/16/2021 (IIDS v.1.34 run date 01/18/2021; EID as of 01/16/2021).</t>
  </si>
  <si>
    <t>FY2021 YTD ICE Releases data are updated through 01/16/2021 (IIDS v.1.34 run date 01/18/2021; EID as of 01/16/2021).</t>
  </si>
  <si>
    <t>USCIS provided data containing APSO (Asylum Pre Screening Officer) cases clocked during FY2019 - FY2021 YTD.  Data were received on 01/19/2021.</t>
  </si>
  <si>
    <t xml:space="preserve">Of the 157,685 records in the USCIS provided data the breakdown of the fear screening determinations is as follows; 91,163 positive fear screening determinations, 40,320 negative fear screening determinations and 26,202 without an identified determination. Of the 91,163 with positive fear screening determinations; 59,246 have Persecution Claim Established and 31,917 have Torture Claim Established. 	</t>
  </si>
  <si>
    <t>The data provided by USCIS contains multiple records for some Alien File Numbers.  There are 157,150 unique fear determinations and 1,157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</si>
  <si>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Active ATD Participants and Average Length in Program, FY21,  as of 1/16/2021, by AOR and Technology</t>
  </si>
  <si>
    <t>Data from OBP Report, 12.31.2020</t>
  </si>
  <si>
    <t>Data from BI Inc. Participants Report, 01.16.2021</t>
  </si>
  <si>
    <t>ATD Active Population by Status, Extended Case Management Service, Count and ALIP, FY21</t>
  </si>
  <si>
    <t>ICE ALTERNATIVES TO DETENTION DATA, FY21</t>
  </si>
  <si>
    <t>TOOELE</t>
  </si>
  <si>
    <t>47 SOUTH MAIN STREET</t>
  </si>
  <si>
    <t>TOOELE COUNTY JAIL</t>
  </si>
  <si>
    <t>COCOA</t>
  </si>
  <si>
    <t>855 CAMP RD</t>
  </si>
  <si>
    <t>BREVARD CORRECTIONAL</t>
  </si>
  <si>
    <t>NORTH PLATTE</t>
  </si>
  <si>
    <t>3020 N JEFFERS</t>
  </si>
  <si>
    <t>LINCOLN COUNTY JAIL</t>
  </si>
  <si>
    <t>OREGON</t>
  </si>
  <si>
    <t>103 JEFFERSON STREET</t>
  </si>
  <si>
    <t>OGLE COUNTY JAIL</t>
  </si>
  <si>
    <t>11/21/2007</t>
  </si>
  <si>
    <t>STILLWATER</t>
  </si>
  <si>
    <t>14900 NORTH 612ST. STREET</t>
  </si>
  <si>
    <t>WASHINGTON COUNTY JAIL</t>
  </si>
  <si>
    <t>WOODBURY</t>
  </si>
  <si>
    <t>682 NORTH BROAD ST</t>
  </si>
  <si>
    <t>CTR FAM SVS JUNTOS PRF</t>
  </si>
  <si>
    <t>LUBBOCK</t>
  </si>
  <si>
    <t>811 MAIN STREET</t>
  </si>
  <si>
    <t>LUBBOCK COUNTY DETENTION CENTER</t>
  </si>
  <si>
    <t>MOUNTAIN HOME</t>
  </si>
  <si>
    <t>2255 E. 8TH NORTH</t>
  </si>
  <si>
    <t>ELMORE COUNTY JAIL</t>
  </si>
  <si>
    <t>9/21/2017</t>
  </si>
  <si>
    <t>WAVERLY</t>
  </si>
  <si>
    <t>111 4TH STREET NE</t>
  </si>
  <si>
    <t>BREMER COUNTY JAIL</t>
  </si>
  <si>
    <t>YANKTON</t>
  </si>
  <si>
    <t>410 WALNUT STREET</t>
  </si>
  <si>
    <t>YANKTON COUNTY JAIL</t>
  </si>
  <si>
    <t>MARIETTA</t>
  </si>
  <si>
    <t>1825 COUNTY SERVICES PARKWAY</t>
  </si>
  <si>
    <t>COBB COUNTY JAIL</t>
  </si>
  <si>
    <t>10/9/2020</t>
  </si>
  <si>
    <t>10/11/2017</t>
  </si>
  <si>
    <t>PAULS VALLEY</t>
  </si>
  <si>
    <t>201 WEST GRANT AVENUE</t>
  </si>
  <si>
    <t>GARVIN COUNTY DETENTION CENTER</t>
  </si>
  <si>
    <t>750 SOUTH 5300 WEST</t>
  </si>
  <si>
    <t>10/25/2018</t>
  </si>
  <si>
    <t>PLATTSBURGH</t>
  </si>
  <si>
    <t>25 MCCARTHY DRIVE</t>
  </si>
  <si>
    <t>CLINTON COUNTY JAIL</t>
  </si>
  <si>
    <t>10450 RANCHO ROAD</t>
  </si>
  <si>
    <t>DESERT VIEW</t>
  </si>
  <si>
    <t>BEDFORD</t>
  </si>
  <si>
    <t>2121 L DON DODSON DRIVE</t>
  </si>
  <si>
    <t>BEDFORD MUNICIPAL DETENTION CENTER</t>
  </si>
  <si>
    <t>EULESS</t>
  </si>
  <si>
    <t>1102 W. EULESS BLVD.</t>
  </si>
  <si>
    <t>EULESS CITY JAIL</t>
  </si>
  <si>
    <t>10/15/2020</t>
  </si>
  <si>
    <t>9/17/2020</t>
  </si>
  <si>
    <t>10/1/2020</t>
  </si>
  <si>
    <t>10/21/2020</t>
  </si>
  <si>
    <t>10/14/2020</t>
  </si>
  <si>
    <t>500 HILBIG RD</t>
  </si>
  <si>
    <t>JOE CORLEY PROCESSING CTR</t>
  </si>
  <si>
    <t>9/10/2020</t>
  </si>
  <si>
    <t>10/8/2020</t>
  </si>
  <si>
    <t>3/5/2020</t>
  </si>
  <si>
    <t>10/16/2020</t>
  </si>
  <si>
    <t>MCFARLAND</t>
  </si>
  <si>
    <t>611 FRONTAGE RD</t>
  </si>
  <si>
    <t>GOLDEN STATE ANNEX</t>
  </si>
  <si>
    <t>10/7/2020</t>
  </si>
  <si>
    <t>3/12/2020</t>
  </si>
  <si>
    <t>409 FM 1144</t>
  </si>
  <si>
    <t>10/23/2020</t>
  </si>
  <si>
    <t>2/27/2020</t>
  </si>
  <si>
    <t>1100 BOWLING ROAD</t>
  </si>
  <si>
    <t>CCA, FLORENCE CORRECTIONAL CENTER</t>
  </si>
  <si>
    <t>2/14/2020</t>
  </si>
  <si>
    <t>300 EL RANCHO WAY</t>
  </si>
  <si>
    <t>PBNDS 2011 - 2016 Revisions</t>
  </si>
  <si>
    <t>9/25/2020</t>
  </si>
  <si>
    <t>9/24/2020</t>
  </si>
  <si>
    <t>Source: ICE Integrated Decision Support (IIDS), 01/11/2021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</si>
</sst>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8"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theme="1"/>
      <name val="Arial"/>
    </font>
    <font>
      <sz val="12"/>
      <color theme="1"/>
      <name val="Times New Roman"/>
    </font>
    <font>
      <sz val="10"/>
      <color indexed="8"/>
      <name val="Arial"/>
    </font>
    <font>
      <sz val="12"/>
      <color indexed="8"/>
      <name val="Times New Roman"/>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91">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0" fontId="7" fillId="6" borderId="0" xfId="3" applyFont="1" applyFill="1" applyAlignment="1">
      <alignment horizontal="left" vertical="center" wrapText="1"/>
    </xf>
    <xf numFmtId="0" fontId="18"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0" fillId="3" borderId="9" xfId="4" applyFont="1" applyFill="1" applyBorder="1" applyAlignment="1">
      <alignment vertical="top" wrapText="1"/>
    </xf>
    <xf numFmtId="0" fontId="21" fillId="3" borderId="7" xfId="4" applyFont="1" applyFill="1" applyBorder="1" applyAlignment="1">
      <alignment horizontal="left" vertical="top" wrapText="1"/>
    </xf>
    <xf numFmtId="0" fontId="23" fillId="6" borderId="0" xfId="3" applyFont="1" applyFill="1" applyAlignment="1">
      <alignment vertical="center" wrapText="1"/>
    </xf>
    <xf numFmtId="0" fontId="16" fillId="0" borderId="1" xfId="0" applyFont="1" applyBorder="1" applyAlignment="1">
      <alignment vertical="center"/>
    </xf>
    <xf numFmtId="0" fontId="15" fillId="7" borderId="1" xfId="0" applyFont="1" applyFill="1" applyBorder="1" applyAlignment="1">
      <alignment vertical="center"/>
    </xf>
    <xf numFmtId="3" fontId="16" fillId="0" borderId="1" xfId="0" applyNumberFormat="1" applyFont="1" applyBorder="1" applyAlignment="1">
      <alignment vertical="center"/>
    </xf>
    <xf numFmtId="3" fontId="15" fillId="7" borderId="1" xfId="0" applyNumberFormat="1" applyFont="1" applyFill="1" applyBorder="1" applyAlignment="1">
      <alignment vertical="center"/>
    </xf>
    <xf numFmtId="0" fontId="17" fillId="8" borderId="1" xfId="0" applyFont="1" applyFill="1" applyBorder="1" applyAlignment="1">
      <alignment vertical="center"/>
    </xf>
    <xf numFmtId="0" fontId="22" fillId="6" borderId="11" xfId="3" applyFont="1" applyFill="1" applyBorder="1" applyAlignment="1">
      <alignment vertical="center" wrapText="1"/>
    </xf>
    <xf numFmtId="0" fontId="28" fillId="6" borderId="6" xfId="3" applyFont="1" applyFill="1" applyBorder="1" applyAlignment="1">
      <alignment vertical="center" wrapText="1"/>
    </xf>
    <xf numFmtId="0" fontId="7" fillId="5" borderId="0" xfId="3" applyFont="1" applyFill="1" applyAlignment="1">
      <alignment vertical="center" wrapText="1"/>
    </xf>
    <xf numFmtId="0" fontId="27" fillId="5" borderId="0" xfId="2" applyFont="1" applyFill="1" applyAlignment="1">
      <alignment vertical="top"/>
    </xf>
    <xf numFmtId="0" fontId="22" fillId="6" borderId="0" xfId="3" applyFont="1" applyFill="1" applyAlignment="1">
      <alignment vertical="center" wrapText="1"/>
    </xf>
    <xf numFmtId="0" fontId="22"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7" fillId="2" borderId="0" xfId="2" applyFont="1" applyFill="1" applyAlignment="1">
      <alignment vertical="top"/>
    </xf>
    <xf numFmtId="0" fontId="30" fillId="3" borderId="23"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31" fillId="4" borderId="25" xfId="0" applyFont="1" applyFill="1" applyBorder="1"/>
    <xf numFmtId="41" fontId="32" fillId="4" borderId="4" xfId="0" applyNumberFormat="1" applyFont="1" applyFill="1" applyBorder="1" applyAlignment="1">
      <alignment horizontal="center"/>
    </xf>
    <xf numFmtId="167" fontId="32" fillId="4" borderId="4" xfId="0" applyNumberFormat="1" applyFont="1" applyFill="1" applyBorder="1" applyAlignment="1">
      <alignment horizontal="center"/>
    </xf>
    <xf numFmtId="0" fontId="31" fillId="9" borderId="1" xfId="0" applyFont="1" applyFill="1" applyBorder="1" applyAlignment="1">
      <alignment vertical="center"/>
    </xf>
    <xf numFmtId="3" fontId="31" fillId="9" borderId="1" xfId="0" applyNumberFormat="1" applyFont="1" applyFill="1" applyBorder="1" applyAlignment="1">
      <alignment vertical="center"/>
    </xf>
    <xf numFmtId="168" fontId="31"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8"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8"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8" fillId="3" borderId="5" xfId="0" applyFont="1" applyFill="1" applyBorder="1" applyAlignment="1">
      <alignment horizontal="center" vertical="center" wrapText="1"/>
    </xf>
    <xf numFmtId="0" fontId="2" fillId="5" borderId="5" xfId="0" applyFont="1" applyFill="1" applyBorder="1"/>
    <xf numFmtId="164" fontId="29"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8"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29" fillId="2" borderId="1" xfId="1" applyNumberFormat="1" applyFont="1" applyFill="1" applyBorder="1" applyAlignment="1">
      <alignment horizontal="left"/>
    </xf>
    <xf numFmtId="164" fontId="29" fillId="2" borderId="1" xfId="1" applyNumberFormat="1" applyFont="1" applyFill="1" applyBorder="1" applyAlignment="1"/>
    <xf numFmtId="164" fontId="29"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3" fillId="2" borderId="39" xfId="0" applyNumberFormat="1" applyFont="1" applyFill="1" applyBorder="1" applyAlignment="1">
      <alignment vertical="top" wrapText="1"/>
    </xf>
    <xf numFmtId="49" fontId="33" fillId="0" borderId="39" xfId="0" applyNumberFormat="1" applyFont="1" applyBorder="1" applyAlignment="1">
      <alignment vertical="top" wrapText="1"/>
    </xf>
    <xf numFmtId="49" fontId="33"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4" fontId="2" fillId="2" borderId="0" xfId="0" applyNumberFormat="1" applyFont="1" applyFill="1" applyBorder="1"/>
    <xf numFmtId="0" fontId="11" fillId="2" borderId="0" xfId="0" applyFont="1" applyFill="1" applyBorder="1" applyAlignment="1">
      <alignment vertical="center" wrapText="1"/>
    </xf>
    <xf numFmtId="3" fontId="11" fillId="2" borderId="0" xfId="0" applyNumberFormat="1" applyFont="1" applyFill="1" applyAlignment="1">
      <alignment horizontal="center"/>
    </xf>
    <xf numFmtId="3" fontId="11" fillId="0" borderId="0" xfId="0" applyNumberFormat="1" applyFont="1" applyAlignment="1">
      <alignment horizont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3" fontId="9" fillId="3" borderId="0" xfId="1" applyNumberFormat="1" applyFont="1" applyFill="1" applyBorder="1" applyAlignment="1">
      <alignment horizontal="left" vertical="top" wrapText="1"/>
    </xf>
    <xf numFmtId="2" fontId="15" fillId="7" borderId="1" xfId="0" applyNumberFormat="1" applyFont="1" applyFill="1" applyBorder="1" applyAlignment="1">
      <alignment vertical="center"/>
    </xf>
    <xf numFmtId="2" fontId="16" fillId="0" borderId="1" xfId="0" applyNumberFormat="1" applyFont="1" applyBorder="1" applyAlignment="1">
      <alignment vertical="center"/>
    </xf>
    <xf numFmtId="14" fontId="34" fillId="0" borderId="6" xfId="0" applyNumberFormat="1" applyFont="1" applyBorder="1" applyAlignment="1">
      <alignment horizontal="right" vertical="center"/>
    </xf>
    <xf numFmtId="0" fontId="35" fillId="0" borderId="6" xfId="0" applyFont="1" applyBorder="1" applyAlignment="1">
      <alignment horizontal="left" vertical="center"/>
    </xf>
    <xf numFmtId="0" fontId="34" fillId="0" borderId="6" xfId="0" applyFont="1" applyBorder="1" applyAlignment="1">
      <alignment horizontal="left" vertical="center"/>
    </xf>
    <xf numFmtId="0" fontId="36" fillId="0" borderId="6" xfId="0" applyFont="1" applyBorder="1" applyAlignment="1">
      <alignment vertical="center"/>
    </xf>
    <xf numFmtId="0" fontId="34" fillId="0" borderId="6" xfId="0" applyFont="1" applyBorder="1" applyAlignment="1">
      <alignment horizontal="right" vertical="center"/>
    </xf>
    <xf numFmtId="0" fontId="37" fillId="0" borderId="6" xfId="0" applyFont="1" applyBorder="1" applyAlignment="1">
      <alignment vertical="center"/>
    </xf>
    <xf numFmtId="1" fontId="36" fillId="0" borderId="6" xfId="0" applyNumberFormat="1" applyFont="1" applyBorder="1" applyAlignment="1">
      <alignment horizontal="right" vertical="center"/>
    </xf>
    <xf numFmtId="1" fontId="36" fillId="0" borderId="6" xfId="1" applyNumberFormat="1" applyFont="1" applyFill="1" applyBorder="1" applyAlignment="1">
      <alignment vertical="center"/>
    </xf>
    <xf numFmtId="166" fontId="36" fillId="0" borderId="6" xfId="0" applyNumberFormat="1" applyFont="1" applyBorder="1" applyAlignment="1">
      <alignment vertical="center"/>
    </xf>
    <xf numFmtId="14" fontId="34" fillId="0" borderId="1" xfId="0" applyNumberFormat="1" applyFont="1" applyBorder="1" applyAlignment="1">
      <alignment horizontal="right" vertical="center"/>
    </xf>
    <xf numFmtId="0" fontId="35" fillId="0" borderId="1" xfId="0" applyFont="1" applyBorder="1" applyAlignment="1">
      <alignment horizontal="left" vertical="center"/>
    </xf>
    <xf numFmtId="0" fontId="34" fillId="0" borderId="1" xfId="0" applyFont="1" applyBorder="1" applyAlignment="1">
      <alignment horizontal="left" vertical="center"/>
    </xf>
    <xf numFmtId="0" fontId="36" fillId="0" borderId="1" xfId="0" applyFont="1" applyBorder="1" applyAlignment="1">
      <alignment vertical="center"/>
    </xf>
    <xf numFmtId="0" fontId="34" fillId="0" borderId="1" xfId="0" applyFont="1" applyBorder="1" applyAlignment="1">
      <alignment horizontal="right" vertical="center"/>
    </xf>
    <xf numFmtId="0" fontId="37" fillId="0" borderId="1" xfId="0" applyFont="1" applyBorder="1" applyAlignment="1">
      <alignment vertical="center"/>
    </xf>
    <xf numFmtId="1" fontId="36" fillId="0" borderId="1" xfId="0" applyNumberFormat="1" applyFont="1" applyBorder="1" applyAlignment="1">
      <alignment horizontal="right" vertical="center"/>
    </xf>
    <xf numFmtId="1" fontId="36" fillId="0" borderId="1" xfId="1" applyNumberFormat="1" applyFont="1" applyFill="1" applyBorder="1" applyAlignment="1">
      <alignment vertical="center"/>
    </xf>
    <xf numFmtId="166" fontId="36" fillId="0" borderId="1" xfId="0" applyNumberFormat="1" applyFont="1" applyBorder="1" applyAlignment="1">
      <alignment vertical="center"/>
    </xf>
    <xf numFmtId="0" fontId="13" fillId="0" borderId="0" xfId="4" applyFont="1" applyAlignment="1">
      <alignment horizontal="left"/>
    </xf>
    <xf numFmtId="0" fontId="9" fillId="3" borderId="0" xfId="4" applyFont="1" applyFill="1" applyAlignment="1">
      <alignment horizontal="left" vertical="top" wrapText="1"/>
    </xf>
    <xf numFmtId="0" fontId="9" fillId="3" borderId="0" xfId="4" applyFont="1" applyFill="1" applyAlignment="1">
      <alignment vertical="top" wrapText="1"/>
    </xf>
    <xf numFmtId="0" fontId="4" fillId="2" borderId="0" xfId="0" applyFont="1" applyFill="1"/>
    <xf numFmtId="0" fontId="25" fillId="2" borderId="0" xfId="0" applyFont="1" applyFill="1" applyAlignment="1">
      <alignment horizontal="left" vertical="center" wrapText="1"/>
    </xf>
    <xf numFmtId="0" fontId="27" fillId="5" borderId="0" xfId="2" applyFont="1" applyFill="1" applyAlignment="1">
      <alignment horizontal="left" vertical="top"/>
    </xf>
    <xf numFmtId="0" fontId="27" fillId="0" borderId="0" xfId="2" applyFont="1" applyAlignment="1">
      <alignment horizontal="left" vertical="top"/>
    </xf>
    <xf numFmtId="0" fontId="22" fillId="6" borderId="0" xfId="3" applyFont="1" applyFill="1" applyAlignment="1">
      <alignment horizontal="left" vertical="center" wrapText="1"/>
    </xf>
    <xf numFmtId="0" fontId="25" fillId="2" borderId="0" xfId="0" applyFont="1" applyFill="1" applyAlignment="1">
      <alignment horizontal="left" wrapText="1"/>
    </xf>
    <xf numFmtId="0" fontId="26" fillId="2" borderId="0" xfId="0" applyFont="1" applyFill="1" applyAlignment="1">
      <alignment horizontal="left" vertical="center" wrapText="1"/>
    </xf>
    <xf numFmtId="0" fontId="24" fillId="2" borderId="0" xfId="0" applyFont="1" applyFill="1" applyBorder="1" applyAlignment="1">
      <alignment horizontal="left" vertical="center"/>
    </xf>
    <xf numFmtId="0" fontId="22" fillId="6" borderId="0" xfId="3" applyFont="1" applyFill="1" applyBorder="1" applyAlignment="1">
      <alignment horizontal="left" vertical="center" wrapText="1"/>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18" fillId="3" borderId="1" xfId="0" applyFont="1" applyFill="1" applyBorder="1" applyAlignment="1">
      <alignment horizontal="center" vertical="center" wrapText="1"/>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2" fillId="2" borderId="1" xfId="0" applyFont="1" applyFill="1" applyBorder="1" applyAlignment="1"/>
    <xf numFmtId="0" fontId="2" fillId="2" borderId="0" xfId="0" applyFont="1" applyFill="1" applyBorder="1" applyAlignment="1"/>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8" xfId="0" applyFont="1" applyFill="1" applyBorder="1" applyAlignment="1">
      <alignment horizontal="center" vertical="center"/>
    </xf>
    <xf numFmtId="0" fontId="18" fillId="3" borderId="16" xfId="0" applyFont="1" applyFill="1" applyBorder="1" applyAlignment="1">
      <alignment horizontal="center" vertical="center" wrapText="1"/>
    </xf>
    <xf numFmtId="0" fontId="18" fillId="3" borderId="17" xfId="0" applyFont="1" applyFill="1" applyBorder="1" applyAlignment="1">
      <alignment horizontal="center" vertical="center" wrapText="1"/>
    </xf>
    <xf numFmtId="0" fontId="18"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7"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164" fontId="2" fillId="2" borderId="1" xfId="1" applyNumberFormat="1" applyFont="1" applyFill="1" applyBorder="1" applyAlignment="1">
      <alignment horizontal="right"/>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3" fontId="9" fillId="3" borderId="0" xfId="1" applyNumberFormat="1" applyFont="1" applyFill="1" applyBorder="1" applyAlignment="1">
      <alignment horizontal="left" vertical="top" wrapText="1"/>
    </xf>
    <xf numFmtId="0" fontId="19"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27" fillId="2" borderId="0" xfId="2" applyFont="1" applyFill="1" applyAlignment="1">
      <alignment horizontal="left" vertical="top"/>
    </xf>
    <xf numFmtId="0" fontId="8" fillId="0" borderId="40" xfId="0" applyFont="1" applyBorder="1" applyAlignment="1">
      <alignment horizontal="left" vertical="top" wrapText="1"/>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10"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4">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scheme val="none"/>
      </font>
      <numFmt numFmtId="166" formatCode="00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59709-16F8-45C6-8546-D7CADE3316A5}" name="Table_Facility_List_Staging_8_26_2013.accdb_1143" displayName="Table_Facility_List_Staging_8_26_2013.accdb_1143" ref="A7:AE162" headerRowDxfId="62" dataDxfId="60" headerRowBorderDxfId="61" tableBorderDxfId="59">
  <autoFilter ref="A7:AE162" xr:uid="{C6DD3FA1-E06E-473D-8259-7A7A4AEB2BA2}"/>
  <tableColumns count="31">
    <tableColumn id="2" xr3:uid="{00000000-0010-0000-0000-000002000000}" name="Name" dataDxfId="58" totalsRowDxfId="57"/>
    <tableColumn id="3" xr3:uid="{00000000-0010-0000-0000-000003000000}" name="Address" dataDxfId="56" totalsRowDxfId="55"/>
    <tableColumn id="4" xr3:uid="{00000000-0010-0000-0000-000004000000}" name="City" dataDxfId="54" totalsRowDxfId="53"/>
    <tableColumn id="6" xr3:uid="{00000000-0010-0000-0000-000006000000}" name="State" dataDxfId="52"/>
    <tableColumn id="7" xr3:uid="{00000000-0010-0000-0000-000007000000}" name="Zip" dataDxfId="51"/>
    <tableColumn id="9" xr3:uid="{00000000-0010-0000-0000-000009000000}" name="AOR" dataDxfId="50" totalsRowDxfId="49"/>
    <tableColumn id="12" xr3:uid="{00000000-0010-0000-0000-00000C000000}" name="Type Detailed" dataDxfId="48" totalsRowDxfId="47"/>
    <tableColumn id="81" xr3:uid="{00000000-0010-0000-0000-000051000000}" name="Male/Female" dataDxfId="46" totalsRowDxfId="45"/>
    <tableColumn id="43" xr3:uid="{00000000-0010-0000-0000-00002B000000}" name="FY21 ALOS" dataDxfId="44" totalsRowDxfId="43" dataCellStyle="Comma"/>
    <tableColumn id="67" xr3:uid="{00000000-0010-0000-0000-000043000000}" name="Level A" dataDxfId="42" totalsRowDxfId="41"/>
    <tableColumn id="68" xr3:uid="{00000000-0010-0000-0000-000044000000}" name="Level B" dataDxfId="40" totalsRowDxfId="39"/>
    <tableColumn id="69" xr3:uid="{00000000-0010-0000-0000-000045000000}" name="Level C" dataDxfId="38" totalsRowDxfId="37"/>
    <tableColumn id="70" xr3:uid="{00000000-0010-0000-0000-000046000000}" name="Level D" dataDxfId="36" totalsRowDxfId="35"/>
    <tableColumn id="71" xr3:uid="{00000000-0010-0000-0000-000047000000}" name="Male Crim" dataDxfId="34" totalsRowDxfId="33"/>
    <tableColumn id="72" xr3:uid="{00000000-0010-0000-0000-000048000000}" name="Male Non-Crim" dataDxfId="32" totalsRowDxfId="31"/>
    <tableColumn id="73" xr3:uid="{00000000-0010-0000-0000-000049000000}" name="Female Crim" dataDxfId="30" totalsRowDxfId="29"/>
    <tableColumn id="74" xr3:uid="{00000000-0010-0000-0000-00004A000000}" name="Female Non-Crim" dataDxfId="28" totalsRowDxfId="27"/>
    <tableColumn id="75" xr3:uid="{00000000-0010-0000-0000-00004B000000}" name="ICE Threat Level 1" dataDxfId="26" totalsRowDxfId="25"/>
    <tableColumn id="76" xr3:uid="{00000000-0010-0000-0000-00004C000000}" name="ICE Threat Level 2" dataDxfId="24" totalsRowDxfId="23"/>
    <tableColumn id="77" xr3:uid="{00000000-0010-0000-0000-00004D000000}" name="ICE Threat Level 3" dataDxfId="22" totalsRowDxfId="21"/>
    <tableColumn id="78" xr3:uid="{00000000-0010-0000-0000-00004E000000}" name="No ICE Threat Level" dataDxfId="20" totalsRowDxfId="19"/>
    <tableColumn id="79" xr3:uid="{00000000-0010-0000-0000-00004F000000}" name="Mandatory" dataDxfId="18" totalsRowDxfId="17"/>
    <tableColumn id="86" xr3:uid="{00000000-0010-0000-0000-000056000000}" name="Guaranteed Minimum" dataDxfId="16" totalsRowDxfId="15"/>
    <tableColumn id="124" xr3:uid="{00000000-0010-0000-0000-00007C000000}" name="Last Inspection Type" dataDxfId="14" totalsRowDxfId="13"/>
    <tableColumn id="129" xr3:uid="{00000000-0010-0000-0000-000081000000}" name="Last Inspection Standard" dataDxfId="12" totalsRowDxfId="11"/>
    <tableColumn id="93" xr3:uid="{00000000-0010-0000-0000-00005D000000}" name="Last Inspection Rating - Final" dataDxfId="10"/>
    <tableColumn id="95" xr3:uid="{00000000-0010-0000-0000-00005F000000}" name="Last Inspection Date" dataDxfId="9" totalsRowDxfId="8"/>
    <tableColumn id="125" xr3:uid="{00000000-0010-0000-0000-00007D000000}" name="Second to Last Inspection Type" dataDxfId="7" totalsRowDxfId="6"/>
    <tableColumn id="131" xr3:uid="{00000000-0010-0000-0000-000083000000}" name="Second to Last Inspection Standard" dataDxfId="5" totalsRowDxfId="4"/>
    <tableColumn id="5" xr3:uid="{00000000-0010-0000-0000-000005000000}" name="Second to Last Inspection Rating" dataDxfId="3" totalsRowDxfId="2"/>
    <tableColumn id="97" xr3:uid="{00000000-0010-0000-0000-000061000000}"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3" t="s">
        <v>716</v>
      </c>
    </row>
    <row r="2" spans="1:1" ht="51.75" customHeight="1" x14ac:dyDescent="0.25">
      <c r="A2" s="52" t="s">
        <v>57</v>
      </c>
    </row>
    <row r="3" spans="1:1" ht="76.349999999999994" customHeight="1" x14ac:dyDescent="0.25">
      <c r="A3" s="52" t="s">
        <v>720</v>
      </c>
    </row>
    <row r="4" spans="1:1" ht="22.5" customHeight="1" x14ac:dyDescent="0.25">
      <c r="A4" s="52" t="s">
        <v>715</v>
      </c>
    </row>
    <row r="5" spans="1:1" ht="36.75" customHeight="1" x14ac:dyDescent="0.25">
      <c r="A5" s="52" t="s">
        <v>687</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B34F-A2F2-4EA2-824B-58E635807062}">
  <sheetPr>
    <tabColor theme="0"/>
  </sheetPr>
  <dimension ref="A1:BD116"/>
  <sheetViews>
    <sheetView zoomScale="80" zoomScaleNormal="80" workbookViewId="0">
      <selection activeCell="G16" sqref="G16"/>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23"/>
  </cols>
  <sheetData>
    <row r="1" spans="1:56" ht="55.35" customHeight="1" x14ac:dyDescent="0.25">
      <c r="A1" s="216" t="s">
        <v>56</v>
      </c>
      <c r="B1" s="216"/>
      <c r="C1" s="216"/>
      <c r="D1" s="216"/>
      <c r="E1" s="23"/>
      <c r="F1" s="23"/>
      <c r="G1" s="23"/>
      <c r="H1" s="23"/>
      <c r="I1" s="23"/>
      <c r="J1" s="23"/>
      <c r="K1" s="23"/>
      <c r="L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row>
    <row r="2" spans="1:56" ht="55.35" customHeight="1" x14ac:dyDescent="0.25">
      <c r="A2" s="217" t="s">
        <v>57</v>
      </c>
      <c r="B2" s="217"/>
      <c r="C2" s="217"/>
      <c r="D2" s="217"/>
      <c r="E2" s="23"/>
      <c r="F2" s="23"/>
      <c r="G2" s="23"/>
      <c r="H2" s="23"/>
      <c r="I2" s="23"/>
      <c r="J2" s="23"/>
      <c r="K2" s="23"/>
      <c r="L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row>
    <row r="3" spans="1:56" ht="13.35" customHeight="1" x14ac:dyDescent="0.25">
      <c r="A3" s="23"/>
      <c r="B3" s="23"/>
      <c r="C3" s="23"/>
      <c r="D3" s="23"/>
      <c r="E3" s="23"/>
      <c r="F3" s="23"/>
      <c r="G3" s="28"/>
      <c r="H3" s="23"/>
      <c r="I3" s="23"/>
      <c r="J3" s="23"/>
      <c r="K3" s="23"/>
      <c r="L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row>
    <row r="4" spans="1:56" ht="55.35" customHeight="1" x14ac:dyDescent="0.25">
      <c r="A4" s="215" t="s">
        <v>810</v>
      </c>
      <c r="B4" s="215"/>
      <c r="C4" s="215"/>
      <c r="D4" s="215"/>
      <c r="E4" s="72"/>
      <c r="F4" s="72"/>
      <c r="G4" s="72"/>
      <c r="H4" s="72"/>
      <c r="I4" s="72"/>
      <c r="J4" s="23"/>
      <c r="K4" s="23"/>
      <c r="L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row>
    <row r="5" spans="1:56" ht="50.1" customHeight="1" x14ac:dyDescent="0.25">
      <c r="A5" s="218" t="s">
        <v>809</v>
      </c>
      <c r="B5" s="218"/>
      <c r="C5" s="218"/>
      <c r="D5" s="46"/>
      <c r="E5" s="23"/>
      <c r="F5" s="23"/>
      <c r="G5" s="23"/>
      <c r="H5" s="23"/>
      <c r="I5" s="23"/>
      <c r="J5" s="23"/>
      <c r="K5" s="23"/>
      <c r="L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row>
    <row r="6" spans="1:56" x14ac:dyDescent="0.25">
      <c r="A6" s="51" t="s">
        <v>688</v>
      </c>
      <c r="B6" s="51" t="s">
        <v>689</v>
      </c>
      <c r="C6" s="51" t="s">
        <v>60</v>
      </c>
      <c r="D6" s="23"/>
      <c r="E6" s="23"/>
      <c r="F6" s="23"/>
      <c r="G6" s="23"/>
      <c r="H6" s="23"/>
      <c r="I6" s="23"/>
      <c r="J6" s="23"/>
      <c r="K6" s="23"/>
      <c r="L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row>
    <row r="7" spans="1:56" x14ac:dyDescent="0.25">
      <c r="A7" s="47" t="s">
        <v>690</v>
      </c>
      <c r="B7" s="49">
        <v>44493</v>
      </c>
      <c r="C7" s="191">
        <v>864.47773807115721</v>
      </c>
      <c r="D7" s="23"/>
      <c r="E7" s="23"/>
      <c r="F7" s="23"/>
      <c r="G7" s="23"/>
      <c r="H7" s="23"/>
      <c r="I7" s="23"/>
      <c r="J7" s="23"/>
      <c r="K7" s="23"/>
      <c r="L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row>
    <row r="8" spans="1:56" x14ac:dyDescent="0.25">
      <c r="A8" s="47" t="s">
        <v>718</v>
      </c>
      <c r="B8" s="49">
        <v>983</v>
      </c>
      <c r="C8" s="191">
        <v>721.78942014242114</v>
      </c>
      <c r="D8" s="23"/>
      <c r="E8" s="23"/>
      <c r="F8" s="23"/>
      <c r="G8" s="23"/>
      <c r="H8" s="23"/>
      <c r="I8" s="23"/>
      <c r="J8" s="23"/>
      <c r="K8" s="23"/>
      <c r="L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row>
    <row r="9" spans="1:56" x14ac:dyDescent="0.25">
      <c r="A9" s="47" t="s">
        <v>717</v>
      </c>
      <c r="B9" s="49">
        <v>40793</v>
      </c>
      <c r="C9" s="191">
        <v>892.06378545338657</v>
      </c>
      <c r="D9" s="23"/>
      <c r="E9" s="23"/>
      <c r="F9" s="23"/>
      <c r="G9" s="23"/>
      <c r="H9" s="23"/>
      <c r="I9" s="23"/>
      <c r="J9" s="23"/>
      <c r="K9" s="23"/>
      <c r="L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row>
    <row r="10" spans="1:56" x14ac:dyDescent="0.25">
      <c r="A10" s="47" t="s">
        <v>719</v>
      </c>
      <c r="B10" s="49">
        <v>591</v>
      </c>
      <c r="C10" s="191">
        <v>717.51945854483927</v>
      </c>
      <c r="D10" s="46"/>
      <c r="E10" s="23"/>
      <c r="F10" s="23"/>
      <c r="G10" s="23"/>
      <c r="H10" s="23"/>
      <c r="I10" s="23"/>
      <c r="J10" s="23"/>
      <c r="K10" s="23"/>
      <c r="L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row>
    <row r="11" spans="1:56" x14ac:dyDescent="0.25">
      <c r="A11" s="48" t="s">
        <v>1</v>
      </c>
      <c r="B11" s="50">
        <v>86860</v>
      </c>
      <c r="C11" s="190">
        <v>874.81854708726689</v>
      </c>
      <c r="D11" s="23"/>
      <c r="E11" s="23"/>
      <c r="F11" s="23"/>
      <c r="G11" s="23"/>
      <c r="H11" s="23"/>
      <c r="I11" s="23"/>
      <c r="J11" s="23"/>
      <c r="K11" s="23"/>
      <c r="L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row>
    <row r="12" spans="1:56" ht="15.75" customHeight="1" x14ac:dyDescent="0.25">
      <c r="A12" s="219" t="s">
        <v>808</v>
      </c>
      <c r="B12" s="219"/>
      <c r="C12" s="219"/>
      <c r="D12" s="23"/>
      <c r="E12" s="23"/>
      <c r="F12" s="23"/>
      <c r="G12" s="23"/>
      <c r="H12" s="23"/>
      <c r="I12" s="23"/>
      <c r="J12" s="23"/>
      <c r="K12" s="23"/>
      <c r="L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row>
    <row r="13" spans="1:56" ht="15.95" customHeight="1" x14ac:dyDescent="0.25">
      <c r="A13" s="219" t="s">
        <v>807</v>
      </c>
      <c r="B13" s="219"/>
      <c r="C13" s="219"/>
      <c r="D13" s="23"/>
      <c r="E13" s="23"/>
      <c r="F13" s="23"/>
      <c r="G13" s="23"/>
      <c r="H13" s="23"/>
      <c r="I13" s="23"/>
      <c r="J13" s="23"/>
      <c r="K13" s="23"/>
      <c r="L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row>
    <row r="14" spans="1:56" ht="14.45" customHeight="1" x14ac:dyDescent="0.25">
      <c r="A14" s="214"/>
      <c r="B14" s="214"/>
      <c r="C14" s="214"/>
      <c r="D14" s="23"/>
      <c r="E14" s="23"/>
      <c r="F14" s="23"/>
      <c r="G14" s="23"/>
      <c r="H14" s="23"/>
      <c r="I14" s="23"/>
      <c r="J14" s="23"/>
      <c r="K14" s="23"/>
      <c r="L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row>
    <row r="15" spans="1:56" ht="15.95" customHeight="1" x14ac:dyDescent="0.25">
      <c r="A15" s="214"/>
      <c r="B15" s="214"/>
      <c r="C15" s="214"/>
      <c r="D15" s="23"/>
      <c r="E15" s="23"/>
      <c r="F15" s="23"/>
      <c r="G15" s="23"/>
      <c r="H15" s="23"/>
      <c r="I15" s="23"/>
      <c r="J15" s="23"/>
      <c r="K15" s="23"/>
      <c r="L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row>
    <row r="16" spans="1:56" ht="34.35" customHeight="1" thickBot="1" x14ac:dyDescent="0.3">
      <c r="A16" s="214" t="s">
        <v>806</v>
      </c>
      <c r="B16" s="214"/>
      <c r="C16" s="214"/>
      <c r="D16" s="23"/>
      <c r="E16" s="23"/>
      <c r="F16" s="23"/>
      <c r="G16" s="23"/>
      <c r="H16" s="23"/>
      <c r="I16" s="23"/>
      <c r="J16" s="23"/>
      <c r="K16" s="23"/>
      <c r="L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row>
    <row r="17" spans="1:56" ht="31.5" x14ac:dyDescent="0.25">
      <c r="A17" s="61" t="s">
        <v>727</v>
      </c>
      <c r="B17" s="62" t="s">
        <v>689</v>
      </c>
      <c r="C17" s="62" t="s">
        <v>728</v>
      </c>
      <c r="D17" s="23"/>
      <c r="E17" s="23"/>
      <c r="F17" s="23"/>
      <c r="G17" s="23"/>
      <c r="H17" s="23"/>
      <c r="I17" s="23"/>
      <c r="J17" s="23"/>
      <c r="K17" s="23"/>
      <c r="L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row>
    <row r="18" spans="1:56" ht="16.5" thickBot="1" x14ac:dyDescent="0.3">
      <c r="A18" s="63" t="s">
        <v>1</v>
      </c>
      <c r="B18" s="64">
        <v>86860</v>
      </c>
      <c r="C18" s="65">
        <v>874.81854708726689</v>
      </c>
      <c r="D18" s="23"/>
      <c r="E18" s="23"/>
      <c r="F18" s="23"/>
      <c r="G18" s="23"/>
      <c r="H18" s="23"/>
      <c r="I18" s="23"/>
      <c r="J18" s="23"/>
      <c r="K18" s="23"/>
      <c r="L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row>
    <row r="19" spans="1:56" ht="16.5" thickTop="1" x14ac:dyDescent="0.25">
      <c r="A19" s="66" t="s">
        <v>692</v>
      </c>
      <c r="B19" s="67">
        <v>2776</v>
      </c>
      <c r="C19" s="68">
        <v>963.68731988472621</v>
      </c>
      <c r="D19" s="23"/>
      <c r="E19" s="23"/>
      <c r="F19" s="23"/>
      <c r="G19" s="23"/>
      <c r="H19" s="23"/>
      <c r="I19" s="23"/>
      <c r="J19" s="23"/>
      <c r="K19" s="23"/>
      <c r="L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row>
    <row r="20" spans="1:56" x14ac:dyDescent="0.25">
      <c r="A20" s="69" t="s">
        <v>85</v>
      </c>
      <c r="B20" s="70">
        <v>732</v>
      </c>
      <c r="C20" s="71">
        <v>593.59426229508199</v>
      </c>
      <c r="D20" s="23"/>
      <c r="E20" s="23"/>
      <c r="F20" s="23"/>
      <c r="G20" s="23"/>
      <c r="H20" s="23"/>
      <c r="I20" s="23"/>
      <c r="J20" s="23"/>
      <c r="K20" s="23"/>
      <c r="L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row>
    <row r="21" spans="1:56" x14ac:dyDescent="0.25">
      <c r="A21" s="69" t="s">
        <v>691</v>
      </c>
      <c r="B21" s="70">
        <v>581</v>
      </c>
      <c r="C21" s="71">
        <v>693.59380378657488</v>
      </c>
      <c r="D21" s="23"/>
      <c r="E21" s="23"/>
      <c r="F21" s="23"/>
      <c r="G21" s="23"/>
      <c r="H21" s="23"/>
      <c r="I21" s="23"/>
      <c r="J21" s="23"/>
      <c r="K21" s="23"/>
      <c r="L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row>
    <row r="22" spans="1:56" x14ac:dyDescent="0.25">
      <c r="A22" s="69" t="s">
        <v>26</v>
      </c>
      <c r="B22" s="70">
        <v>1463</v>
      </c>
      <c r="C22" s="71">
        <v>1256.1223513328775</v>
      </c>
      <c r="D22" s="23"/>
      <c r="E22" s="23"/>
      <c r="F22" s="23"/>
      <c r="G22" s="23"/>
      <c r="H22" s="23"/>
      <c r="I22" s="23"/>
      <c r="J22" s="23"/>
      <c r="K22" s="23"/>
      <c r="L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row>
    <row r="23" spans="1:56" x14ac:dyDescent="0.25">
      <c r="A23" s="66" t="s">
        <v>693</v>
      </c>
      <c r="B23" s="67">
        <v>2538</v>
      </c>
      <c r="C23" s="68">
        <v>744.86564223798268</v>
      </c>
      <c r="D23" s="23"/>
      <c r="E23" s="23"/>
      <c r="F23" s="23"/>
      <c r="G23" s="23"/>
      <c r="H23" s="23"/>
      <c r="I23" s="23"/>
      <c r="J23" s="23"/>
      <c r="K23" s="23"/>
      <c r="L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row>
    <row r="24" spans="1:56" x14ac:dyDescent="0.25">
      <c r="A24" s="69" t="s">
        <v>85</v>
      </c>
      <c r="B24" s="70">
        <v>1527</v>
      </c>
      <c r="C24" s="71">
        <v>604.99541584806809</v>
      </c>
      <c r="D24" s="23"/>
      <c r="E24" s="23"/>
      <c r="F24" s="23"/>
      <c r="G24" s="23"/>
      <c r="H24" s="23"/>
      <c r="I24" s="23"/>
      <c r="J24" s="23"/>
      <c r="K24" s="23"/>
      <c r="L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row>
    <row r="25" spans="1:56" x14ac:dyDescent="0.25">
      <c r="A25" s="69" t="s">
        <v>691</v>
      </c>
      <c r="B25" s="70">
        <v>110</v>
      </c>
      <c r="C25" s="71">
        <v>743.21818181818185</v>
      </c>
      <c r="D25" s="23"/>
      <c r="E25" s="23"/>
      <c r="F25" s="23"/>
      <c r="G25" s="23"/>
      <c r="H25" s="23"/>
      <c r="I25" s="23"/>
      <c r="J25" s="23"/>
      <c r="K25" s="23"/>
      <c r="L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row>
    <row r="26" spans="1:56" x14ac:dyDescent="0.25">
      <c r="A26" s="69" t="s">
        <v>26</v>
      </c>
      <c r="B26" s="70">
        <v>901</v>
      </c>
      <c r="C26" s="71">
        <v>982.11653718091009</v>
      </c>
      <c r="D26" s="23"/>
      <c r="E26" s="23"/>
      <c r="F26" s="23"/>
      <c r="G26" s="23"/>
      <c r="H26" s="23"/>
      <c r="I26" s="23"/>
      <c r="J26" s="23"/>
      <c r="K26" s="23"/>
      <c r="L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row>
    <row r="27" spans="1:56" x14ac:dyDescent="0.25">
      <c r="A27" s="66" t="s">
        <v>694</v>
      </c>
      <c r="B27" s="67">
        <v>1503</v>
      </c>
      <c r="C27" s="68">
        <v>501.30472388556223</v>
      </c>
      <c r="D27" s="23"/>
      <c r="E27" s="23"/>
      <c r="F27" s="23"/>
      <c r="G27" s="23"/>
      <c r="H27" s="23"/>
      <c r="I27" s="23"/>
      <c r="J27" s="23"/>
      <c r="K27" s="23"/>
      <c r="L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row>
    <row r="28" spans="1:56" x14ac:dyDescent="0.25">
      <c r="A28" s="69" t="s">
        <v>85</v>
      </c>
      <c r="B28" s="70">
        <v>711</v>
      </c>
      <c r="C28" s="71">
        <v>384.81997187060477</v>
      </c>
      <c r="D28" s="23"/>
      <c r="E28" s="23"/>
      <c r="F28" s="23"/>
      <c r="G28" s="23"/>
      <c r="H28" s="23"/>
      <c r="I28" s="23"/>
      <c r="J28" s="23"/>
      <c r="K28" s="23"/>
      <c r="L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row>
    <row r="29" spans="1:56" x14ac:dyDescent="0.25">
      <c r="A29" s="69" t="s">
        <v>691</v>
      </c>
      <c r="B29" s="70">
        <v>641</v>
      </c>
      <c r="C29" s="71">
        <v>544.89547581903275</v>
      </c>
      <c r="D29" s="23"/>
      <c r="E29" s="23"/>
      <c r="F29" s="23"/>
      <c r="G29" s="23"/>
      <c r="H29" s="23"/>
      <c r="I29" s="23"/>
      <c r="J29" s="23"/>
      <c r="K29" s="23"/>
      <c r="L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row>
    <row r="30" spans="1:56" x14ac:dyDescent="0.25">
      <c r="A30" s="69" t="s">
        <v>26</v>
      </c>
      <c r="B30" s="70">
        <v>151</v>
      </c>
      <c r="C30" s="71">
        <v>864.74172185430461</v>
      </c>
      <c r="D30" s="23"/>
      <c r="E30" s="23"/>
      <c r="F30" s="23"/>
      <c r="G30" s="23"/>
      <c r="H30" s="23"/>
      <c r="I30" s="23"/>
      <c r="J30" s="23"/>
      <c r="K30" s="23"/>
      <c r="L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row>
    <row r="31" spans="1:56" x14ac:dyDescent="0.25">
      <c r="A31" s="66" t="s">
        <v>695</v>
      </c>
      <c r="B31" s="67">
        <v>433</v>
      </c>
      <c r="C31" s="68">
        <v>1304.6882217090069</v>
      </c>
      <c r="D31" s="23"/>
      <c r="E31" s="23"/>
      <c r="F31" s="23"/>
      <c r="G31" s="23"/>
      <c r="H31" s="23"/>
      <c r="I31" s="23"/>
      <c r="J31" s="23"/>
      <c r="K31" s="23"/>
      <c r="L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row>
    <row r="32" spans="1:56" x14ac:dyDescent="0.25">
      <c r="A32" s="69" t="s">
        <v>85</v>
      </c>
      <c r="B32" s="70">
        <v>67</v>
      </c>
      <c r="C32" s="71">
        <v>370.07462686567163</v>
      </c>
      <c r="D32" s="23"/>
      <c r="E32" s="23"/>
      <c r="F32" s="23"/>
      <c r="G32" s="23"/>
      <c r="H32" s="23"/>
      <c r="I32" s="23"/>
      <c r="J32" s="23"/>
      <c r="K32" s="23"/>
      <c r="L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row>
    <row r="33" spans="1:56" x14ac:dyDescent="0.25">
      <c r="A33" s="69" t="s">
        <v>691</v>
      </c>
      <c r="B33" s="70">
        <v>10</v>
      </c>
      <c r="C33" s="71">
        <v>661.6</v>
      </c>
      <c r="D33" s="23"/>
      <c r="E33" s="23"/>
      <c r="F33" s="23"/>
      <c r="G33" s="23"/>
      <c r="H33" s="23"/>
      <c r="I33" s="23"/>
      <c r="J33" s="23"/>
      <c r="K33" s="23"/>
      <c r="L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row>
    <row r="34" spans="1:56" x14ac:dyDescent="0.25">
      <c r="A34" s="69" t="s">
        <v>26</v>
      </c>
      <c r="B34" s="70">
        <v>356</v>
      </c>
      <c r="C34" s="71">
        <v>1498.6488764044943</v>
      </c>
      <c r="D34" s="23"/>
      <c r="E34" s="23"/>
      <c r="F34" s="23"/>
      <c r="G34" s="23"/>
      <c r="H34" s="23"/>
      <c r="I34" s="23"/>
      <c r="J34" s="23"/>
      <c r="K34" s="23"/>
      <c r="L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row>
    <row r="35" spans="1:56" x14ac:dyDescent="0.25">
      <c r="A35" s="66" t="s">
        <v>696</v>
      </c>
      <c r="B35" s="67">
        <v>6533</v>
      </c>
      <c r="C35" s="68">
        <v>1018.5943670595439</v>
      </c>
      <c r="D35" s="23"/>
      <c r="E35" s="23"/>
      <c r="F35" s="23"/>
      <c r="G35" s="23"/>
      <c r="H35" s="23"/>
      <c r="I35" s="23"/>
      <c r="J35" s="23"/>
      <c r="K35" s="23"/>
      <c r="L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row>
    <row r="36" spans="1:56" x14ac:dyDescent="0.25">
      <c r="A36" s="69" t="s">
        <v>85</v>
      </c>
      <c r="B36" s="70">
        <v>2155</v>
      </c>
      <c r="C36" s="71">
        <v>613.15591647331792</v>
      </c>
      <c r="D36" s="23"/>
      <c r="E36" s="23"/>
      <c r="F36" s="23"/>
      <c r="G36" s="23"/>
      <c r="H36" s="23"/>
      <c r="I36" s="23"/>
      <c r="J36" s="23"/>
      <c r="K36" s="23"/>
      <c r="L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row>
    <row r="37" spans="1:56" x14ac:dyDescent="0.25">
      <c r="A37" s="69" t="s">
        <v>691</v>
      </c>
      <c r="B37" s="70">
        <v>1843</v>
      </c>
      <c r="C37" s="71">
        <v>962.90016277807922</v>
      </c>
      <c r="D37" s="23"/>
      <c r="E37" s="23"/>
      <c r="F37" s="23"/>
      <c r="G37" s="23"/>
      <c r="H37" s="23"/>
      <c r="I37" s="23"/>
      <c r="J37" s="23"/>
      <c r="K37" s="23"/>
      <c r="L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row>
    <row r="38" spans="1:56" x14ac:dyDescent="0.25">
      <c r="A38" s="69" t="s">
        <v>26</v>
      </c>
      <c r="B38" s="70">
        <v>2535</v>
      </c>
      <c r="C38" s="71">
        <v>1403.7479289940829</v>
      </c>
      <c r="D38" s="23"/>
      <c r="E38" s="23"/>
      <c r="F38" s="23"/>
      <c r="G38" s="23"/>
      <c r="H38" s="23"/>
      <c r="I38" s="23"/>
      <c r="J38" s="23"/>
      <c r="K38" s="23"/>
      <c r="L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row>
    <row r="39" spans="1:56" x14ac:dyDescent="0.25">
      <c r="A39" s="66" t="s">
        <v>697</v>
      </c>
      <c r="B39" s="67">
        <v>986</v>
      </c>
      <c r="C39" s="68">
        <v>712.03549695740367</v>
      </c>
      <c r="D39" s="23"/>
      <c r="E39" s="23"/>
      <c r="F39" s="23"/>
      <c r="G39" s="23"/>
      <c r="H39" s="23"/>
      <c r="I39" s="23"/>
      <c r="J39" s="23"/>
      <c r="K39" s="23"/>
      <c r="L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row>
    <row r="40" spans="1:56" x14ac:dyDescent="0.25">
      <c r="A40" s="69" t="s">
        <v>85</v>
      </c>
      <c r="B40" s="70">
        <v>630</v>
      </c>
      <c r="C40" s="71">
        <v>544.14761904761906</v>
      </c>
      <c r="D40" s="23"/>
      <c r="E40" s="23"/>
      <c r="F40" s="23"/>
      <c r="G40" s="23"/>
      <c r="H40" s="23"/>
      <c r="I40" s="23"/>
      <c r="J40" s="23"/>
      <c r="K40" s="23"/>
      <c r="L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row>
    <row r="41" spans="1:56" x14ac:dyDescent="0.25">
      <c r="A41" s="69" t="s">
        <v>691</v>
      </c>
      <c r="B41" s="70">
        <v>172</v>
      </c>
      <c r="C41" s="71">
        <v>842.55813953488371</v>
      </c>
      <c r="D41" s="23"/>
      <c r="E41" s="23"/>
      <c r="F41" s="23"/>
      <c r="G41" s="23"/>
      <c r="H41" s="23"/>
      <c r="I41" s="23"/>
      <c r="J41" s="23"/>
      <c r="K41" s="23"/>
      <c r="L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row>
    <row r="42" spans="1:56" x14ac:dyDescent="0.25">
      <c r="A42" s="69" t="s">
        <v>26</v>
      </c>
      <c r="B42" s="70">
        <v>184</v>
      </c>
      <c r="C42" s="71">
        <v>1164.858695652174</v>
      </c>
      <c r="D42" s="23"/>
      <c r="E42" s="23"/>
      <c r="F42" s="23"/>
      <c r="G42" s="23"/>
      <c r="H42" s="23"/>
      <c r="I42" s="23"/>
      <c r="J42" s="23"/>
      <c r="K42" s="23"/>
      <c r="L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row>
    <row r="43" spans="1:56" x14ac:dyDescent="0.25">
      <c r="A43" s="66" t="s">
        <v>698</v>
      </c>
      <c r="B43" s="67">
        <v>1422</v>
      </c>
      <c r="C43" s="68">
        <v>1386.6195499296766</v>
      </c>
      <c r="D43" s="23"/>
      <c r="E43" s="23"/>
      <c r="F43" s="23"/>
      <c r="G43" s="23"/>
      <c r="H43" s="23"/>
      <c r="I43" s="23"/>
      <c r="J43" s="23"/>
      <c r="K43" s="23"/>
      <c r="L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row>
    <row r="44" spans="1:56" x14ac:dyDescent="0.25">
      <c r="A44" s="69" t="s">
        <v>85</v>
      </c>
      <c r="B44" s="70">
        <v>172</v>
      </c>
      <c r="C44" s="71">
        <v>509.55813953488371</v>
      </c>
      <c r="D44" s="23"/>
      <c r="E44" s="23"/>
      <c r="F44" s="23"/>
      <c r="G44" s="23"/>
      <c r="H44" s="23"/>
      <c r="I44" s="23"/>
      <c r="J44" s="23"/>
      <c r="K44" s="23"/>
      <c r="L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row>
    <row r="45" spans="1:56" x14ac:dyDescent="0.25">
      <c r="A45" s="69" t="s">
        <v>691</v>
      </c>
      <c r="B45" s="70">
        <v>445</v>
      </c>
      <c r="C45" s="71">
        <v>1040.152808988764</v>
      </c>
      <c r="D45" s="23"/>
      <c r="E45" s="23"/>
      <c r="F45" s="23"/>
      <c r="G45" s="23"/>
      <c r="H45" s="23"/>
      <c r="I45" s="23"/>
      <c r="J45" s="23"/>
      <c r="K45" s="23"/>
      <c r="L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row>
    <row r="46" spans="1:56" x14ac:dyDescent="0.25">
      <c r="A46" s="69" t="s">
        <v>26</v>
      </c>
      <c r="B46" s="70">
        <v>805</v>
      </c>
      <c r="C46" s="71">
        <v>1765.5416149068324</v>
      </c>
      <c r="D46" s="23"/>
      <c r="E46" s="23"/>
      <c r="F46" s="23"/>
      <c r="G46" s="23"/>
      <c r="H46" s="23"/>
      <c r="I46" s="23"/>
      <c r="J46" s="23"/>
      <c r="K46" s="23"/>
      <c r="L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row>
    <row r="47" spans="1:56" x14ac:dyDescent="0.25">
      <c r="A47" s="66" t="s">
        <v>699</v>
      </c>
      <c r="B47" s="67">
        <v>7750</v>
      </c>
      <c r="C47" s="68">
        <v>962.12812903225802</v>
      </c>
      <c r="D47" s="23"/>
      <c r="E47" s="23"/>
      <c r="F47" s="23"/>
      <c r="G47" s="23"/>
      <c r="H47" s="23"/>
      <c r="I47" s="23"/>
      <c r="J47" s="23"/>
      <c r="K47" s="23"/>
      <c r="L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row>
    <row r="48" spans="1:56" x14ac:dyDescent="0.25">
      <c r="A48" s="69" t="s">
        <v>85</v>
      </c>
      <c r="B48" s="70">
        <v>472</v>
      </c>
      <c r="C48" s="71">
        <v>668.65042372881351</v>
      </c>
      <c r="D48" s="23"/>
      <c r="E48" s="23"/>
      <c r="F48" s="23"/>
      <c r="G48" s="23"/>
      <c r="H48" s="23"/>
      <c r="I48" s="23"/>
      <c r="J48" s="23"/>
      <c r="K48" s="23"/>
      <c r="L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row>
    <row r="49" spans="1:56" x14ac:dyDescent="0.25">
      <c r="A49" s="69" t="s">
        <v>691</v>
      </c>
      <c r="B49" s="70">
        <v>4552</v>
      </c>
      <c r="C49" s="71">
        <v>735.20957820738136</v>
      </c>
      <c r="D49" s="23"/>
      <c r="E49" s="23"/>
      <c r="F49" s="23"/>
      <c r="G49" s="23"/>
      <c r="H49" s="23"/>
      <c r="I49" s="23"/>
      <c r="J49" s="23"/>
      <c r="K49" s="23"/>
      <c r="L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row>
    <row r="50" spans="1:56" x14ac:dyDescent="0.25">
      <c r="A50" s="69" t="s">
        <v>26</v>
      </c>
      <c r="B50" s="70">
        <v>2726</v>
      </c>
      <c r="C50" s="71">
        <v>1391.8620689655172</v>
      </c>
      <c r="D50" s="23"/>
      <c r="E50" s="23"/>
      <c r="F50" s="23"/>
      <c r="G50" s="23"/>
      <c r="H50" s="23"/>
      <c r="I50" s="23"/>
      <c r="J50" s="23"/>
      <c r="K50" s="23"/>
      <c r="L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row>
    <row r="51" spans="1:56" x14ac:dyDescent="0.25">
      <c r="A51" s="66" t="s">
        <v>700</v>
      </c>
      <c r="B51" s="67">
        <v>1082</v>
      </c>
      <c r="C51" s="68">
        <v>827.61552680221814</v>
      </c>
      <c r="D51" s="23"/>
      <c r="E51" s="23"/>
      <c r="F51" s="23"/>
      <c r="G51" s="23"/>
      <c r="H51" s="23"/>
      <c r="I51" s="23"/>
      <c r="J51" s="23"/>
      <c r="K51" s="23"/>
      <c r="L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row>
    <row r="52" spans="1:56" x14ac:dyDescent="0.25">
      <c r="A52" s="69" t="s">
        <v>85</v>
      </c>
      <c r="B52" s="70">
        <v>354</v>
      </c>
      <c r="C52" s="71">
        <v>125.68361581920904</v>
      </c>
      <c r="D52" s="23"/>
      <c r="E52" s="23"/>
      <c r="F52" s="23"/>
      <c r="G52" s="23"/>
      <c r="H52" s="23"/>
      <c r="I52" s="23"/>
      <c r="J52" s="23"/>
      <c r="K52" s="23"/>
      <c r="L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row>
    <row r="53" spans="1:56" x14ac:dyDescent="0.25">
      <c r="A53" s="69" t="s">
        <v>691</v>
      </c>
      <c r="B53" s="70">
        <v>114</v>
      </c>
      <c r="C53" s="71">
        <v>849.56140350877195</v>
      </c>
      <c r="D53" s="23"/>
      <c r="E53" s="23"/>
      <c r="F53" s="23"/>
      <c r="G53" s="23"/>
      <c r="H53" s="23"/>
      <c r="I53" s="23"/>
      <c r="J53" s="23"/>
      <c r="K53" s="23"/>
      <c r="L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row>
    <row r="54" spans="1:56" x14ac:dyDescent="0.25">
      <c r="A54" s="69" t="s">
        <v>26</v>
      </c>
      <c r="B54" s="70">
        <v>614</v>
      </c>
      <c r="C54" s="71">
        <v>1228.2377850162866</v>
      </c>
      <c r="D54" s="23"/>
      <c r="E54" s="23"/>
      <c r="F54" s="23"/>
      <c r="G54" s="23"/>
      <c r="H54" s="23"/>
      <c r="I54" s="23"/>
      <c r="J54" s="23"/>
      <c r="K54" s="23"/>
      <c r="L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row>
    <row r="55" spans="1:56" x14ac:dyDescent="0.25">
      <c r="A55" s="66" t="s">
        <v>701</v>
      </c>
      <c r="B55" s="67">
        <v>2637</v>
      </c>
      <c r="C55" s="68">
        <v>654.3488813045127</v>
      </c>
      <c r="D55" s="23"/>
      <c r="E55" s="23"/>
      <c r="F55" s="23"/>
      <c r="G55" s="23"/>
      <c r="H55" s="23"/>
      <c r="I55" s="23"/>
      <c r="J55" s="23"/>
      <c r="K55" s="23"/>
      <c r="L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row>
    <row r="56" spans="1:56" x14ac:dyDescent="0.25">
      <c r="A56" s="69" t="s">
        <v>85</v>
      </c>
      <c r="B56" s="70">
        <v>2013</v>
      </c>
      <c r="C56" s="71">
        <v>505.33532041728762</v>
      </c>
      <c r="D56" s="23"/>
      <c r="E56" s="23"/>
      <c r="F56" s="23"/>
      <c r="G56" s="23"/>
      <c r="H56" s="23"/>
      <c r="I56" s="23"/>
      <c r="J56" s="23"/>
      <c r="K56" s="23"/>
      <c r="L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row>
    <row r="57" spans="1:56" x14ac:dyDescent="0.25">
      <c r="A57" s="69" t="s">
        <v>691</v>
      </c>
      <c r="B57" s="70">
        <v>573</v>
      </c>
      <c r="C57" s="71">
        <v>1066.2129144851658</v>
      </c>
      <c r="D57" s="23"/>
      <c r="E57" s="23"/>
      <c r="F57" s="23"/>
      <c r="G57" s="23"/>
      <c r="H57" s="23"/>
      <c r="I57" s="23"/>
      <c r="J57" s="23"/>
      <c r="K57" s="23"/>
      <c r="L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row>
    <row r="58" spans="1:56" x14ac:dyDescent="0.25">
      <c r="A58" s="69" t="s">
        <v>26</v>
      </c>
      <c r="B58" s="70">
        <v>51</v>
      </c>
      <c r="C58" s="71">
        <v>1908.5882352941176</v>
      </c>
      <c r="D58" s="23"/>
      <c r="E58" s="23"/>
      <c r="F58" s="23"/>
      <c r="G58" s="23"/>
      <c r="H58" s="23"/>
      <c r="I58" s="23"/>
      <c r="J58" s="23"/>
      <c r="K58" s="23"/>
      <c r="L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row>
    <row r="59" spans="1:56" x14ac:dyDescent="0.25">
      <c r="A59" s="66" t="s">
        <v>702</v>
      </c>
      <c r="B59" s="67">
        <v>10281</v>
      </c>
      <c r="C59" s="68">
        <v>943.19842427779395</v>
      </c>
      <c r="D59" s="23"/>
      <c r="E59" s="23"/>
      <c r="F59" s="23"/>
      <c r="G59" s="23"/>
      <c r="H59" s="23"/>
      <c r="I59" s="23"/>
      <c r="J59" s="23"/>
      <c r="K59" s="23"/>
      <c r="L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row>
    <row r="60" spans="1:56" x14ac:dyDescent="0.25">
      <c r="A60" s="69" t="s">
        <v>85</v>
      </c>
      <c r="B60" s="70">
        <v>3632</v>
      </c>
      <c r="C60" s="71">
        <v>624.31057268722464</v>
      </c>
      <c r="D60" s="23"/>
      <c r="E60" s="23"/>
      <c r="F60" s="23"/>
      <c r="G60" s="23"/>
      <c r="H60" s="23"/>
      <c r="I60" s="23"/>
      <c r="J60" s="23"/>
      <c r="K60" s="23"/>
      <c r="L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row>
    <row r="61" spans="1:56" x14ac:dyDescent="0.25">
      <c r="A61" s="69" t="s">
        <v>691</v>
      </c>
      <c r="B61" s="70">
        <v>819</v>
      </c>
      <c r="C61" s="71">
        <v>933.7545787545788</v>
      </c>
      <c r="D61" s="23"/>
      <c r="E61" s="23"/>
      <c r="F61" s="23"/>
      <c r="G61" s="23"/>
      <c r="H61" s="23"/>
      <c r="I61" s="23"/>
      <c r="J61" s="23"/>
      <c r="K61" s="23"/>
      <c r="L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row>
    <row r="62" spans="1:56" x14ac:dyDescent="0.25">
      <c r="A62" s="69" t="s">
        <v>26</v>
      </c>
      <c r="B62" s="70">
        <v>5830</v>
      </c>
      <c r="C62" s="71">
        <v>1143.1873070325901</v>
      </c>
      <c r="D62" s="23"/>
      <c r="E62" s="23"/>
      <c r="F62" s="23"/>
      <c r="G62" s="23"/>
      <c r="H62" s="23"/>
      <c r="I62" s="23"/>
      <c r="J62" s="23"/>
      <c r="K62" s="23"/>
      <c r="L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row>
    <row r="63" spans="1:56" x14ac:dyDescent="0.25">
      <c r="A63" s="66" t="s">
        <v>703</v>
      </c>
      <c r="B63" s="67">
        <v>5613</v>
      </c>
      <c r="C63" s="68">
        <v>450.96543737751648</v>
      </c>
      <c r="D63" s="23"/>
      <c r="E63" s="23"/>
      <c r="F63" s="23"/>
      <c r="G63" s="23"/>
      <c r="H63" s="23"/>
      <c r="I63" s="23"/>
      <c r="J63" s="23"/>
      <c r="K63" s="23"/>
      <c r="L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row>
    <row r="64" spans="1:56" x14ac:dyDescent="0.25">
      <c r="A64" s="69" t="s">
        <v>85</v>
      </c>
      <c r="B64" s="70">
        <v>4120</v>
      </c>
      <c r="C64" s="71">
        <v>403.51165048543692</v>
      </c>
      <c r="D64" s="23"/>
      <c r="E64" s="23"/>
      <c r="F64" s="23"/>
      <c r="G64" s="23"/>
      <c r="H64" s="23"/>
      <c r="I64" s="23"/>
      <c r="J64" s="23"/>
      <c r="K64" s="23"/>
      <c r="L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row>
    <row r="65" spans="1:56" x14ac:dyDescent="0.25">
      <c r="A65" s="69" t="s">
        <v>691</v>
      </c>
      <c r="B65" s="70">
        <v>1369</v>
      </c>
      <c r="C65" s="71">
        <v>572.5902118334551</v>
      </c>
      <c r="D65" s="23"/>
      <c r="E65" s="23"/>
      <c r="F65" s="23"/>
      <c r="G65" s="23"/>
      <c r="H65" s="23"/>
      <c r="I65" s="23"/>
      <c r="J65" s="23"/>
      <c r="K65" s="23"/>
      <c r="L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row>
    <row r="66" spans="1:56" x14ac:dyDescent="0.25">
      <c r="A66" s="69" t="s">
        <v>26</v>
      </c>
      <c r="B66" s="70">
        <v>124</v>
      </c>
      <c r="C66" s="71">
        <v>684.87903225806451</v>
      </c>
      <c r="D66" s="23"/>
      <c r="E66" s="23"/>
      <c r="F66" s="23"/>
      <c r="G66" s="23"/>
      <c r="H66" s="23"/>
      <c r="I66" s="23"/>
      <c r="J66" s="23"/>
      <c r="K66" s="23"/>
      <c r="L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row>
    <row r="67" spans="1:56" x14ac:dyDescent="0.25">
      <c r="A67" s="66" t="s">
        <v>704</v>
      </c>
      <c r="B67" s="67">
        <v>2813</v>
      </c>
      <c r="C67" s="68">
        <v>714.43050124422325</v>
      </c>
      <c r="D67" s="23"/>
      <c r="E67" s="23"/>
      <c r="F67" s="23"/>
      <c r="G67" s="23"/>
      <c r="H67" s="23"/>
      <c r="I67" s="23"/>
      <c r="J67" s="23"/>
      <c r="K67" s="23"/>
      <c r="L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row>
    <row r="68" spans="1:56" x14ac:dyDescent="0.25">
      <c r="A68" s="69" t="s">
        <v>85</v>
      </c>
      <c r="B68" s="70">
        <v>1531</v>
      </c>
      <c r="C68" s="71">
        <v>556.45917700849122</v>
      </c>
      <c r="D68" s="23"/>
      <c r="E68" s="23"/>
      <c r="F68" s="23"/>
      <c r="G68" s="23"/>
      <c r="H68" s="23"/>
      <c r="I68" s="23"/>
      <c r="J68" s="23"/>
      <c r="K68" s="23"/>
      <c r="L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row>
    <row r="69" spans="1:56" x14ac:dyDescent="0.25">
      <c r="A69" s="69" t="s">
        <v>691</v>
      </c>
      <c r="B69" s="70">
        <v>957</v>
      </c>
      <c r="C69" s="71">
        <v>837.43678160919535</v>
      </c>
      <c r="D69" s="23"/>
      <c r="E69" s="23"/>
      <c r="F69" s="23"/>
      <c r="G69" s="23"/>
      <c r="H69" s="23"/>
      <c r="I69" s="23"/>
      <c r="J69" s="23"/>
      <c r="K69" s="23"/>
      <c r="L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row>
    <row r="70" spans="1:56" x14ac:dyDescent="0.25">
      <c r="A70" s="69" t="s">
        <v>26</v>
      </c>
      <c r="B70" s="70">
        <v>325</v>
      </c>
      <c r="C70" s="71">
        <v>1096.3907692307691</v>
      </c>
      <c r="D70" s="23"/>
      <c r="E70" s="23"/>
      <c r="F70" s="23"/>
      <c r="G70" s="23"/>
      <c r="H70" s="23"/>
      <c r="I70" s="23"/>
      <c r="J70" s="23"/>
      <c r="K70" s="23"/>
      <c r="L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row>
    <row r="71" spans="1:56" x14ac:dyDescent="0.25">
      <c r="A71" s="66" t="s">
        <v>705</v>
      </c>
      <c r="B71" s="67">
        <v>3636</v>
      </c>
      <c r="C71" s="68">
        <v>721.74367436743671</v>
      </c>
      <c r="D71" s="23"/>
      <c r="E71" s="23"/>
      <c r="F71" s="23"/>
      <c r="G71" s="23"/>
      <c r="H71" s="23"/>
      <c r="I71" s="23"/>
      <c r="J71" s="23"/>
      <c r="K71" s="23"/>
      <c r="L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row>
    <row r="72" spans="1:56" x14ac:dyDescent="0.25">
      <c r="A72" s="69" t="s">
        <v>85</v>
      </c>
      <c r="B72" s="70">
        <v>1579</v>
      </c>
      <c r="C72" s="71">
        <v>457.8581380620646</v>
      </c>
      <c r="D72" s="23"/>
      <c r="E72" s="23"/>
      <c r="F72" s="23"/>
      <c r="G72" s="23"/>
      <c r="H72" s="23"/>
      <c r="I72" s="23"/>
      <c r="J72" s="23"/>
      <c r="K72" s="23"/>
      <c r="L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row>
    <row r="73" spans="1:56" x14ac:dyDescent="0.25">
      <c r="A73" s="69" t="s">
        <v>691</v>
      </c>
      <c r="B73" s="70">
        <v>442</v>
      </c>
      <c r="C73" s="71">
        <v>630.68325791855204</v>
      </c>
      <c r="D73" s="23"/>
      <c r="E73" s="23"/>
      <c r="F73" s="23"/>
      <c r="G73" s="23"/>
      <c r="H73" s="23"/>
      <c r="I73" s="23"/>
      <c r="J73" s="23"/>
      <c r="K73" s="23"/>
      <c r="L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row>
    <row r="74" spans="1:56" x14ac:dyDescent="0.25">
      <c r="A74" s="69" t="s">
        <v>26</v>
      </c>
      <c r="B74" s="70">
        <v>1615</v>
      </c>
      <c r="C74" s="71">
        <v>1004.6687306501548</v>
      </c>
      <c r="D74" s="23"/>
      <c r="E74" s="23"/>
      <c r="F74" s="23"/>
      <c r="G74" s="23"/>
      <c r="H74" s="23"/>
      <c r="I74" s="23"/>
      <c r="J74" s="23"/>
      <c r="K74" s="23"/>
      <c r="L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row>
    <row r="75" spans="1:56" x14ac:dyDescent="0.25">
      <c r="A75" s="66" t="s">
        <v>706</v>
      </c>
      <c r="B75" s="67">
        <v>6967</v>
      </c>
      <c r="C75" s="68">
        <v>1003.7222620927229</v>
      </c>
      <c r="D75" s="23"/>
      <c r="E75" s="23"/>
      <c r="F75" s="23"/>
      <c r="G75" s="23"/>
      <c r="H75" s="23"/>
      <c r="I75" s="23"/>
      <c r="J75" s="23"/>
      <c r="K75" s="23"/>
      <c r="L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row>
    <row r="76" spans="1:56" x14ac:dyDescent="0.25">
      <c r="A76" s="69" t="s">
        <v>85</v>
      </c>
      <c r="B76" s="70">
        <v>1019</v>
      </c>
      <c r="C76" s="71">
        <v>469.34052993130518</v>
      </c>
      <c r="D76" s="23"/>
      <c r="E76" s="23"/>
      <c r="F76" s="23"/>
      <c r="G76" s="23"/>
      <c r="H76" s="23"/>
      <c r="I76" s="23"/>
      <c r="J76" s="23"/>
      <c r="K76" s="23"/>
      <c r="L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row>
    <row r="77" spans="1:56" x14ac:dyDescent="0.25">
      <c r="A77" s="69" t="s">
        <v>691</v>
      </c>
      <c r="B77" s="70">
        <v>3817</v>
      </c>
      <c r="C77" s="71">
        <v>878.47917212470531</v>
      </c>
      <c r="D77" s="23"/>
      <c r="E77" s="23"/>
      <c r="F77" s="23"/>
      <c r="G77" s="23"/>
      <c r="H77" s="23"/>
      <c r="I77" s="23"/>
      <c r="J77" s="23"/>
      <c r="K77" s="23"/>
      <c r="L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row>
    <row r="78" spans="1:56" x14ac:dyDescent="0.25">
      <c r="A78" s="69" t="s">
        <v>26</v>
      </c>
      <c r="B78" s="70">
        <v>2131</v>
      </c>
      <c r="C78" s="71">
        <v>1483.5851712810886</v>
      </c>
      <c r="D78" s="23"/>
      <c r="E78" s="23"/>
      <c r="F78" s="23"/>
      <c r="G78" s="23"/>
      <c r="H78" s="23"/>
      <c r="I78" s="23"/>
      <c r="J78" s="23"/>
      <c r="K78" s="23"/>
      <c r="L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row>
    <row r="79" spans="1:56" x14ac:dyDescent="0.25">
      <c r="A79" s="66" t="s">
        <v>707</v>
      </c>
      <c r="B79" s="67">
        <v>2059</v>
      </c>
      <c r="C79" s="68">
        <v>671.52598348712968</v>
      </c>
      <c r="D79" s="23"/>
      <c r="E79" s="23"/>
      <c r="F79" s="23"/>
      <c r="G79" s="23"/>
      <c r="H79" s="23"/>
      <c r="I79" s="23"/>
      <c r="J79" s="23"/>
      <c r="K79" s="23"/>
      <c r="L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row>
    <row r="80" spans="1:56" x14ac:dyDescent="0.25">
      <c r="A80" s="69" t="s">
        <v>85</v>
      </c>
      <c r="B80" s="70">
        <v>352</v>
      </c>
      <c r="C80" s="71">
        <v>473.28977272727275</v>
      </c>
      <c r="D80" s="23"/>
      <c r="E80" s="23"/>
      <c r="F80" s="23"/>
      <c r="G80" s="23"/>
      <c r="H80" s="23"/>
      <c r="I80" s="23"/>
      <c r="J80" s="23"/>
      <c r="K80" s="23"/>
      <c r="L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row>
    <row r="81" spans="1:56" x14ac:dyDescent="0.25">
      <c r="A81" s="69" t="s">
        <v>691</v>
      </c>
      <c r="B81" s="70">
        <v>1298</v>
      </c>
      <c r="C81" s="71">
        <v>680.72650231124805</v>
      </c>
      <c r="D81" s="23"/>
      <c r="E81" s="23"/>
      <c r="F81" s="23"/>
      <c r="G81" s="23"/>
      <c r="H81" s="23"/>
      <c r="I81" s="23"/>
      <c r="J81" s="23"/>
      <c r="K81" s="23"/>
      <c r="L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row>
    <row r="82" spans="1:56" x14ac:dyDescent="0.25">
      <c r="A82" s="69" t="s">
        <v>26</v>
      </c>
      <c r="B82" s="70">
        <v>409</v>
      </c>
      <c r="C82" s="71">
        <v>812.93643031784836</v>
      </c>
      <c r="D82" s="23"/>
      <c r="E82" s="23"/>
      <c r="F82" s="23"/>
      <c r="G82" s="23"/>
      <c r="H82" s="23"/>
      <c r="I82" s="23"/>
      <c r="J82" s="23"/>
      <c r="K82" s="23"/>
      <c r="L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row>
    <row r="83" spans="1:56" x14ac:dyDescent="0.25">
      <c r="A83" s="66" t="s">
        <v>708</v>
      </c>
      <c r="B83" s="67">
        <v>1101</v>
      </c>
      <c r="C83" s="68">
        <v>298.73932788374208</v>
      </c>
      <c r="D83" s="23"/>
      <c r="E83" s="23"/>
      <c r="F83" s="23"/>
      <c r="G83" s="23"/>
      <c r="H83" s="23"/>
      <c r="I83" s="23"/>
      <c r="J83" s="23"/>
      <c r="K83" s="23"/>
      <c r="L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row>
    <row r="84" spans="1:56" x14ac:dyDescent="0.25">
      <c r="A84" s="69" t="s">
        <v>85</v>
      </c>
      <c r="B84" s="70">
        <v>858</v>
      </c>
      <c r="C84" s="71">
        <v>198.66317016317015</v>
      </c>
      <c r="D84" s="23"/>
      <c r="E84" s="23"/>
      <c r="F84" s="23"/>
      <c r="G84" s="23"/>
      <c r="H84" s="23"/>
      <c r="I84" s="23"/>
      <c r="J84" s="23"/>
      <c r="K84" s="23"/>
      <c r="L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row>
    <row r="85" spans="1:56" x14ac:dyDescent="0.25">
      <c r="A85" s="69" t="s">
        <v>691</v>
      </c>
      <c r="B85" s="70">
        <v>208</v>
      </c>
      <c r="C85" s="71">
        <v>633.13942307692309</v>
      </c>
      <c r="D85" s="23"/>
      <c r="E85" s="23"/>
      <c r="F85" s="23"/>
      <c r="G85" s="23"/>
      <c r="H85" s="23"/>
      <c r="I85" s="23"/>
      <c r="J85" s="23"/>
      <c r="K85" s="23"/>
      <c r="L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row>
    <row r="86" spans="1:56" x14ac:dyDescent="0.25">
      <c r="A86" s="69" t="s">
        <v>26</v>
      </c>
      <c r="B86" s="70">
        <v>35</v>
      </c>
      <c r="C86" s="71">
        <v>764.74285714285713</v>
      </c>
      <c r="D86" s="23"/>
      <c r="E86" s="23"/>
      <c r="F86" s="23"/>
      <c r="G86" s="23"/>
      <c r="H86" s="23"/>
      <c r="I86" s="23"/>
      <c r="J86" s="23"/>
      <c r="K86" s="23"/>
      <c r="L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row>
    <row r="87" spans="1:56" x14ac:dyDescent="0.25">
      <c r="A87" s="66" t="s">
        <v>709</v>
      </c>
      <c r="B87" s="67">
        <v>3007</v>
      </c>
      <c r="C87" s="68">
        <v>962.99268373794484</v>
      </c>
      <c r="D87" s="23"/>
      <c r="E87" s="23"/>
      <c r="F87" s="23"/>
      <c r="G87" s="23"/>
      <c r="H87" s="23"/>
      <c r="I87" s="23"/>
      <c r="J87" s="23"/>
      <c r="K87" s="23"/>
      <c r="L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row>
    <row r="88" spans="1:56" x14ac:dyDescent="0.25">
      <c r="A88" s="69" t="s">
        <v>85</v>
      </c>
      <c r="B88" s="70">
        <v>241</v>
      </c>
      <c r="C88" s="71">
        <v>584.92946058091286</v>
      </c>
      <c r="D88" s="23"/>
      <c r="E88" s="23"/>
      <c r="F88" s="23"/>
      <c r="G88" s="23"/>
      <c r="H88" s="23"/>
      <c r="I88" s="23"/>
      <c r="J88" s="23"/>
      <c r="K88" s="23"/>
      <c r="L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row>
    <row r="89" spans="1:56" x14ac:dyDescent="0.25">
      <c r="A89" s="69" t="s">
        <v>691</v>
      </c>
      <c r="B89" s="70">
        <v>2231</v>
      </c>
      <c r="C89" s="71">
        <v>932.54011653966836</v>
      </c>
      <c r="D89" s="23"/>
      <c r="E89" s="23"/>
      <c r="F89" s="23"/>
      <c r="G89" s="23"/>
      <c r="H89" s="23"/>
      <c r="I89" s="23"/>
      <c r="J89" s="23"/>
      <c r="K89" s="23"/>
      <c r="L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row>
    <row r="90" spans="1:56" x14ac:dyDescent="0.25">
      <c r="A90" s="69" t="s">
        <v>26</v>
      </c>
      <c r="B90" s="70">
        <v>535</v>
      </c>
      <c r="C90" s="71">
        <v>1260.2878504672897</v>
      </c>
      <c r="D90" s="23"/>
      <c r="E90" s="23"/>
      <c r="F90" s="23"/>
      <c r="G90" s="23"/>
      <c r="H90" s="23"/>
      <c r="I90" s="23"/>
      <c r="J90" s="23"/>
      <c r="K90" s="23"/>
      <c r="L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row>
    <row r="91" spans="1:56" x14ac:dyDescent="0.25">
      <c r="A91" s="66" t="s">
        <v>710</v>
      </c>
      <c r="B91" s="67">
        <v>1638</v>
      </c>
      <c r="C91" s="68">
        <v>497.31379731379729</v>
      </c>
      <c r="D91" s="23"/>
      <c r="E91" s="23"/>
      <c r="F91" s="23"/>
      <c r="G91" s="23"/>
      <c r="H91" s="23"/>
      <c r="I91" s="23"/>
      <c r="J91" s="23"/>
      <c r="K91" s="23"/>
      <c r="L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row>
    <row r="92" spans="1:56" x14ac:dyDescent="0.25">
      <c r="A92" s="69" t="s">
        <v>85</v>
      </c>
      <c r="B92" s="70">
        <v>627</v>
      </c>
      <c r="C92" s="71">
        <v>296.86602870813397</v>
      </c>
      <c r="D92" s="23"/>
      <c r="E92" s="23"/>
      <c r="F92" s="23"/>
      <c r="G92" s="23"/>
      <c r="H92" s="23"/>
      <c r="I92" s="23"/>
      <c r="J92" s="23"/>
      <c r="K92" s="23"/>
      <c r="L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row>
    <row r="93" spans="1:56" x14ac:dyDescent="0.25">
      <c r="A93" s="69" t="s">
        <v>691</v>
      </c>
      <c r="B93" s="70">
        <v>306</v>
      </c>
      <c r="C93" s="71">
        <v>766.6339869281046</v>
      </c>
      <c r="D93" s="23"/>
      <c r="E93" s="23"/>
      <c r="F93" s="23"/>
      <c r="G93" s="23"/>
      <c r="H93" s="23"/>
      <c r="I93" s="23"/>
      <c r="J93" s="23"/>
      <c r="K93" s="23"/>
      <c r="L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row>
    <row r="94" spans="1:56" x14ac:dyDescent="0.25">
      <c r="A94" s="69" t="s">
        <v>26</v>
      </c>
      <c r="B94" s="70">
        <v>705</v>
      </c>
      <c r="C94" s="71">
        <v>558.6879432624113</v>
      </c>
      <c r="D94" s="23"/>
      <c r="E94" s="23"/>
      <c r="F94" s="23"/>
      <c r="G94" s="23"/>
      <c r="H94" s="23"/>
      <c r="I94" s="23"/>
      <c r="J94" s="23"/>
      <c r="K94" s="23"/>
      <c r="L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row>
    <row r="95" spans="1:56" x14ac:dyDescent="0.25">
      <c r="A95" s="66" t="s">
        <v>711</v>
      </c>
      <c r="B95" s="67">
        <v>2668</v>
      </c>
      <c r="C95" s="68">
        <v>911.96439280359823</v>
      </c>
      <c r="D95" s="23"/>
      <c r="E95" s="23"/>
      <c r="F95" s="23"/>
      <c r="G95" s="23"/>
      <c r="H95" s="23"/>
      <c r="I95" s="23"/>
      <c r="J95" s="23"/>
      <c r="K95" s="23"/>
      <c r="L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row>
    <row r="96" spans="1:56" x14ac:dyDescent="0.25">
      <c r="A96" s="69" t="s">
        <v>85</v>
      </c>
      <c r="B96" s="70">
        <v>698</v>
      </c>
      <c r="C96" s="71">
        <v>572.97134670487105</v>
      </c>
      <c r="D96" s="23"/>
      <c r="E96" s="23"/>
      <c r="F96" s="23"/>
      <c r="G96" s="23"/>
      <c r="H96" s="23"/>
      <c r="I96" s="23"/>
      <c r="J96" s="23"/>
      <c r="K96" s="23"/>
      <c r="L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row>
    <row r="97" spans="1:56" x14ac:dyDescent="0.25">
      <c r="A97" s="69" t="s">
        <v>691</v>
      </c>
      <c r="B97" s="70">
        <v>1149</v>
      </c>
      <c r="C97" s="71">
        <v>834.35683202785026</v>
      </c>
      <c r="D97" s="23"/>
      <c r="E97" s="23"/>
      <c r="F97" s="23"/>
      <c r="G97" s="23"/>
      <c r="H97" s="23"/>
      <c r="I97" s="23"/>
      <c r="J97" s="23"/>
      <c r="K97" s="23"/>
      <c r="L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row>
    <row r="98" spans="1:56" x14ac:dyDescent="0.25">
      <c r="A98" s="69" t="s">
        <v>26</v>
      </c>
      <c r="B98" s="70">
        <v>821</v>
      </c>
      <c r="C98" s="71">
        <v>1308.783191230207</v>
      </c>
      <c r="D98" s="23"/>
      <c r="E98" s="23"/>
      <c r="F98" s="23"/>
      <c r="G98" s="23"/>
      <c r="H98" s="23"/>
      <c r="I98" s="23"/>
      <c r="J98" s="23"/>
      <c r="K98" s="23"/>
      <c r="L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row>
    <row r="99" spans="1:56" x14ac:dyDescent="0.25">
      <c r="A99" s="66" t="s">
        <v>712</v>
      </c>
      <c r="B99" s="67">
        <v>10571</v>
      </c>
      <c r="C99" s="68">
        <v>1048.8634944659918</v>
      </c>
      <c r="D99" s="23"/>
      <c r="E99" s="23"/>
      <c r="F99" s="23"/>
      <c r="G99" s="23"/>
      <c r="H99" s="23"/>
      <c r="I99" s="23"/>
      <c r="J99" s="23"/>
      <c r="K99" s="23"/>
      <c r="L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row>
    <row r="100" spans="1:56" x14ac:dyDescent="0.25">
      <c r="A100" s="69" t="s">
        <v>85</v>
      </c>
      <c r="B100" s="70">
        <v>3710</v>
      </c>
      <c r="C100" s="71">
        <v>617.09353099730458</v>
      </c>
      <c r="D100" s="23"/>
      <c r="E100" s="23"/>
      <c r="F100" s="23"/>
      <c r="G100" s="23"/>
      <c r="H100" s="23"/>
      <c r="I100" s="23"/>
      <c r="J100" s="23"/>
      <c r="K100" s="23"/>
      <c r="L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row>
    <row r="101" spans="1:56" x14ac:dyDescent="0.25">
      <c r="A101" s="69" t="s">
        <v>691</v>
      </c>
      <c r="B101" s="70">
        <v>1280</v>
      </c>
      <c r="C101" s="71">
        <v>906.03125</v>
      </c>
      <c r="D101" s="23"/>
      <c r="E101" s="23"/>
      <c r="F101" s="23"/>
      <c r="G101" s="23"/>
      <c r="H101" s="23"/>
      <c r="I101" s="23"/>
      <c r="J101" s="23"/>
      <c r="K101" s="23"/>
      <c r="L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row>
    <row r="102" spans="1:56" x14ac:dyDescent="0.25">
      <c r="A102" s="69" t="s">
        <v>26</v>
      </c>
      <c r="B102" s="70">
        <v>5581</v>
      </c>
      <c r="C102" s="71">
        <v>1368.6434330765096</v>
      </c>
      <c r="D102" s="23"/>
      <c r="E102" s="23"/>
      <c r="F102" s="23"/>
      <c r="G102" s="23"/>
      <c r="H102" s="23"/>
      <c r="I102" s="23"/>
      <c r="J102" s="23"/>
      <c r="K102" s="23"/>
      <c r="L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row>
    <row r="103" spans="1:56" x14ac:dyDescent="0.25">
      <c r="A103" s="66" t="s">
        <v>713</v>
      </c>
      <c r="B103" s="67">
        <v>3839</v>
      </c>
      <c r="C103" s="68">
        <v>942.10497525397238</v>
      </c>
      <c r="D103" s="23"/>
      <c r="E103" s="23"/>
      <c r="F103" s="23"/>
      <c r="G103" s="23"/>
      <c r="H103" s="23"/>
      <c r="I103" s="23"/>
      <c r="J103" s="23"/>
      <c r="K103" s="23"/>
      <c r="L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row>
    <row r="104" spans="1:56" x14ac:dyDescent="0.25">
      <c r="A104" s="69" t="s">
        <v>85</v>
      </c>
      <c r="B104" s="70">
        <v>860</v>
      </c>
      <c r="C104" s="71">
        <v>541.16744186046515</v>
      </c>
      <c r="D104" s="23"/>
      <c r="E104" s="23"/>
      <c r="F104" s="23"/>
      <c r="G104" s="23"/>
      <c r="H104" s="23"/>
      <c r="I104" s="23"/>
      <c r="J104" s="23"/>
      <c r="K104" s="23"/>
      <c r="L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row>
    <row r="105" spans="1:56" x14ac:dyDescent="0.25">
      <c r="A105" s="69" t="s">
        <v>691</v>
      </c>
      <c r="B105" s="70">
        <v>1389</v>
      </c>
      <c r="C105" s="71">
        <v>810.52195824334058</v>
      </c>
      <c r="D105" s="23"/>
      <c r="E105" s="23"/>
      <c r="F105" s="23"/>
      <c r="G105" s="23"/>
      <c r="H105" s="23"/>
      <c r="I105" s="23"/>
      <c r="J105" s="23"/>
      <c r="K105" s="23"/>
      <c r="L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row>
    <row r="106" spans="1:56" x14ac:dyDescent="0.25">
      <c r="A106" s="69" t="s">
        <v>26</v>
      </c>
      <c r="B106" s="70">
        <v>1590</v>
      </c>
      <c r="C106" s="71">
        <v>1273.9132075471698</v>
      </c>
      <c r="D106" s="23"/>
      <c r="E106" s="23"/>
      <c r="F106" s="23"/>
      <c r="G106" s="23"/>
      <c r="H106" s="23"/>
      <c r="I106" s="23"/>
      <c r="J106" s="23"/>
      <c r="K106" s="23"/>
      <c r="L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row>
    <row r="107" spans="1:56" x14ac:dyDescent="0.25">
      <c r="A107" s="66" t="s">
        <v>714</v>
      </c>
      <c r="B107" s="67">
        <v>2221</v>
      </c>
      <c r="C107" s="68">
        <v>1165.4948221521836</v>
      </c>
      <c r="D107" s="23"/>
      <c r="E107" s="23"/>
      <c r="F107" s="23"/>
      <c r="G107" s="23"/>
      <c r="H107" s="23"/>
      <c r="I107" s="23"/>
      <c r="J107" s="23"/>
      <c r="K107" s="23"/>
      <c r="L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row>
    <row r="108" spans="1:56" x14ac:dyDescent="0.25">
      <c r="A108" s="69" t="s">
        <v>85</v>
      </c>
      <c r="B108" s="70">
        <v>320</v>
      </c>
      <c r="C108" s="71">
        <v>608.32187499999998</v>
      </c>
      <c r="D108" s="23"/>
      <c r="E108" s="23"/>
      <c r="F108" s="23"/>
      <c r="G108" s="23"/>
      <c r="H108" s="23"/>
      <c r="I108" s="23"/>
      <c r="J108" s="23"/>
      <c r="K108" s="23"/>
      <c r="L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row>
    <row r="109" spans="1:56" x14ac:dyDescent="0.25">
      <c r="A109" s="69" t="s">
        <v>691</v>
      </c>
      <c r="B109" s="70">
        <v>910</v>
      </c>
      <c r="C109" s="71">
        <v>950.59010989010994</v>
      </c>
      <c r="D109" s="23"/>
      <c r="E109" s="23"/>
      <c r="F109" s="23"/>
      <c r="G109" s="23"/>
      <c r="H109" s="23"/>
      <c r="I109" s="23"/>
      <c r="J109" s="23"/>
      <c r="K109" s="23"/>
      <c r="L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row>
    <row r="110" spans="1:56" x14ac:dyDescent="0.25">
      <c r="A110" s="69" t="s">
        <v>26</v>
      </c>
      <c r="B110" s="70">
        <v>991</v>
      </c>
      <c r="C110" s="71">
        <v>1542.7487386478306</v>
      </c>
      <c r="D110" s="23"/>
      <c r="E110" s="23"/>
      <c r="F110" s="23"/>
      <c r="G110" s="23"/>
      <c r="H110" s="23"/>
      <c r="I110" s="23"/>
      <c r="J110" s="23"/>
      <c r="K110" s="23"/>
      <c r="L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row>
    <row r="111" spans="1:56" x14ac:dyDescent="0.25">
      <c r="A111" s="66" t="s">
        <v>764</v>
      </c>
      <c r="B111" s="67">
        <v>2786</v>
      </c>
      <c r="C111" s="68">
        <v>607.97989949748739</v>
      </c>
      <c r="D111" s="23"/>
      <c r="E111" s="23"/>
      <c r="F111" s="23"/>
      <c r="G111" s="23"/>
      <c r="H111" s="23"/>
      <c r="I111" s="23"/>
      <c r="J111" s="23"/>
      <c r="K111" s="23"/>
      <c r="L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row>
    <row r="112" spans="1:56" x14ac:dyDescent="0.25">
      <c r="A112" s="69" t="s">
        <v>85</v>
      </c>
      <c r="B112" s="70">
        <v>1079</v>
      </c>
      <c r="C112" s="71">
        <v>523.68674698795178</v>
      </c>
      <c r="D112" s="23"/>
      <c r="E112" s="23"/>
      <c r="F112" s="23"/>
      <c r="G112" s="23"/>
      <c r="H112" s="23"/>
      <c r="I112" s="23"/>
      <c r="J112" s="23"/>
      <c r="K112" s="23"/>
      <c r="L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row>
    <row r="113" spans="1:56" x14ac:dyDescent="0.25">
      <c r="A113" s="69" t="s">
        <v>691</v>
      </c>
      <c r="B113" s="70">
        <v>1381</v>
      </c>
      <c r="C113" s="71">
        <v>623.45039826212894</v>
      </c>
      <c r="D113" s="23"/>
      <c r="E113" s="23"/>
      <c r="F113" s="23"/>
      <c r="G113" s="23"/>
      <c r="H113" s="23"/>
      <c r="I113" s="23"/>
      <c r="J113" s="23"/>
      <c r="K113" s="23"/>
      <c r="L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row>
    <row r="114" spans="1:56" x14ac:dyDescent="0.25">
      <c r="A114" s="69" t="s">
        <v>26</v>
      </c>
      <c r="B114" s="70">
        <v>326</v>
      </c>
      <c r="C114" s="71">
        <v>821.43865030674851</v>
      </c>
      <c r="M114"/>
    </row>
    <row r="115" spans="1:56" hidden="1" x14ac:dyDescent="0.25"/>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7"/>
  <sheetViews>
    <sheetView showGridLines="0" zoomScaleNormal="100" zoomScalePageLayoutView="90" workbookViewId="0">
      <selection sqref="A1:D1"/>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216" t="s">
        <v>56</v>
      </c>
      <c r="B1" s="216"/>
      <c r="C1" s="216"/>
      <c r="D1" s="216"/>
      <c r="U1" s="5"/>
    </row>
    <row r="2" spans="1:50" s="1" customFormat="1" ht="45.75" customHeight="1" x14ac:dyDescent="0.2">
      <c r="A2" s="217" t="s">
        <v>57</v>
      </c>
      <c r="B2" s="217"/>
      <c r="C2" s="217"/>
      <c r="D2" s="217"/>
      <c r="E2" s="217"/>
      <c r="F2" s="217"/>
      <c r="G2" s="217"/>
      <c r="H2" s="217"/>
      <c r="I2" s="221"/>
      <c r="J2" s="221"/>
      <c r="K2" s="221"/>
      <c r="L2" s="221"/>
      <c r="M2" s="221"/>
      <c r="N2" s="221"/>
      <c r="O2" s="221"/>
      <c r="P2" s="221"/>
      <c r="Q2" s="57"/>
      <c r="R2" s="57"/>
      <c r="S2" s="57"/>
      <c r="T2" s="57"/>
      <c r="U2" s="57"/>
      <c r="V2" s="56"/>
    </row>
    <row r="3" spans="1:50" ht="31.5" customHeight="1" x14ac:dyDescent="0.25">
      <c r="A3" s="215" t="s">
        <v>770</v>
      </c>
      <c r="B3" s="215"/>
      <c r="C3" s="215"/>
      <c r="D3" s="215"/>
      <c r="E3" s="54"/>
      <c r="F3" s="54"/>
      <c r="G3" s="54"/>
      <c r="H3" s="54"/>
      <c r="I3" s="58"/>
      <c r="J3" s="58"/>
      <c r="K3" s="58"/>
      <c r="L3" s="58"/>
      <c r="M3" s="58"/>
      <c r="N3" s="58"/>
      <c r="O3" s="58"/>
      <c r="P3" s="58"/>
      <c r="Q3" s="58"/>
      <c r="R3" s="58"/>
      <c r="S3" s="58"/>
      <c r="T3" s="58"/>
      <c r="U3" s="58"/>
      <c r="V3" s="54"/>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row>
    <row r="4" spans="1:50" s="8" customFormat="1" ht="30.75" customHeight="1" x14ac:dyDescent="0.2">
      <c r="A4" s="220"/>
      <c r="B4" s="220"/>
      <c r="C4" s="220"/>
      <c r="D4" s="220"/>
      <c r="E4" s="220"/>
      <c r="F4" s="220"/>
      <c r="G4" s="220"/>
      <c r="H4" s="220"/>
      <c r="I4" s="220"/>
      <c r="J4" s="220"/>
      <c r="K4" s="220"/>
      <c r="L4" s="220"/>
      <c r="M4" s="220"/>
      <c r="N4" s="220"/>
      <c r="O4" s="220"/>
      <c r="P4" s="220"/>
      <c r="Q4" s="220"/>
      <c r="R4" s="220"/>
      <c r="S4" s="220"/>
      <c r="T4" s="220"/>
      <c r="U4" s="220"/>
      <c r="V4" s="220"/>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26"/>
      <c r="B6" s="227"/>
      <c r="C6" s="227"/>
      <c r="D6" s="227"/>
      <c r="E6" s="227"/>
      <c r="F6" s="227"/>
      <c r="G6" s="227"/>
      <c r="H6" s="227"/>
      <c r="I6" s="227"/>
      <c r="J6" s="227"/>
      <c r="K6" s="227"/>
      <c r="L6" s="227"/>
      <c r="M6" s="227"/>
      <c r="N6" s="227"/>
      <c r="O6" s="227"/>
      <c r="P6" s="227"/>
      <c r="Q6" s="227"/>
      <c r="R6" s="227"/>
      <c r="S6" s="227"/>
      <c r="T6" s="227"/>
      <c r="U6" s="227"/>
      <c r="V6" s="228"/>
      <c r="W6" s="2"/>
      <c r="X6" s="2"/>
      <c r="Y6" s="2"/>
      <c r="Z6" s="2"/>
    </row>
    <row r="7" spans="1:50" s="8" customFormat="1" ht="16.5" customHeight="1" x14ac:dyDescent="0.2">
      <c r="A7" s="90"/>
      <c r="B7" s="32"/>
      <c r="C7" s="32"/>
      <c r="D7" s="32"/>
      <c r="E7" s="32"/>
      <c r="F7" s="32"/>
      <c r="G7" s="32"/>
      <c r="H7" s="32"/>
      <c r="I7" s="5"/>
      <c r="J7" s="77"/>
      <c r="K7" s="77"/>
      <c r="L7" s="77"/>
      <c r="M7" s="5"/>
      <c r="N7" s="32"/>
      <c r="O7" s="32"/>
      <c r="P7" s="32"/>
      <c r="Q7" s="32"/>
      <c r="R7" s="32"/>
      <c r="S7" s="32"/>
      <c r="T7" s="32"/>
      <c r="U7" s="32"/>
      <c r="V7" s="33"/>
      <c r="W7" s="34"/>
      <c r="X7" s="34"/>
      <c r="Y7" s="34"/>
      <c r="Z7" s="34"/>
    </row>
    <row r="8" spans="1:50" s="79" customFormat="1" ht="30.6" customHeight="1" x14ac:dyDescent="0.2">
      <c r="A8" s="229" t="s">
        <v>767</v>
      </c>
      <c r="B8" s="230"/>
      <c r="C8" s="230"/>
      <c r="D8" s="230"/>
      <c r="E8" s="78"/>
      <c r="F8" s="78"/>
      <c r="G8" s="230" t="s">
        <v>757</v>
      </c>
      <c r="H8" s="230"/>
      <c r="I8" s="230"/>
      <c r="J8" s="230"/>
      <c r="K8" s="230"/>
      <c r="L8" s="91"/>
      <c r="M8" s="230" t="s">
        <v>769</v>
      </c>
      <c r="N8" s="230"/>
      <c r="O8" s="230"/>
      <c r="P8" s="230"/>
      <c r="Q8" s="230"/>
      <c r="R8" s="91"/>
      <c r="S8" s="91"/>
      <c r="T8" s="187"/>
      <c r="U8" s="187"/>
      <c r="V8" s="188"/>
      <c r="W8" s="80"/>
      <c r="X8" s="80"/>
      <c r="Y8" s="80"/>
      <c r="Z8" s="80"/>
    </row>
    <row r="9" spans="1:50" s="8" customFormat="1" ht="28.35" customHeight="1" x14ac:dyDescent="0.2">
      <c r="A9" s="29" t="s">
        <v>753</v>
      </c>
      <c r="B9" s="106" t="s">
        <v>131</v>
      </c>
      <c r="C9" s="106" t="s">
        <v>132</v>
      </c>
      <c r="D9" s="106" t="s">
        <v>1</v>
      </c>
      <c r="E9" s="32"/>
      <c r="F9" s="32"/>
      <c r="G9" s="225" t="s">
        <v>133</v>
      </c>
      <c r="H9" s="225"/>
      <c r="I9" s="86" t="s">
        <v>131</v>
      </c>
      <c r="J9" s="86" t="s">
        <v>132</v>
      </c>
      <c r="K9" s="86" t="s">
        <v>1</v>
      </c>
      <c r="L9" s="5"/>
      <c r="M9" s="225" t="s">
        <v>129</v>
      </c>
      <c r="N9" s="225"/>
      <c r="O9" s="225" t="s">
        <v>130</v>
      </c>
      <c r="P9" s="225"/>
      <c r="Q9" s="225"/>
      <c r="R9" s="32"/>
      <c r="S9" s="32"/>
      <c r="T9" s="32"/>
      <c r="U9" s="40"/>
      <c r="V9" s="38"/>
      <c r="W9" s="34"/>
      <c r="X9" s="34"/>
    </row>
    <row r="10" spans="1:50" s="8" customFormat="1" ht="16.5" customHeight="1" thickBot="1" x14ac:dyDescent="0.25">
      <c r="A10" s="92" t="s">
        <v>1</v>
      </c>
      <c r="B10" s="107">
        <v>200</v>
      </c>
      <c r="C10" s="107">
        <v>13995</v>
      </c>
      <c r="D10" s="107">
        <v>14195</v>
      </c>
      <c r="E10" s="32"/>
      <c r="F10" s="32"/>
      <c r="G10" s="231" t="s">
        <v>777</v>
      </c>
      <c r="H10" s="231"/>
      <c r="I10" s="35">
        <v>249.75471999999999</v>
      </c>
      <c r="J10" s="35">
        <v>294.77848999999998</v>
      </c>
      <c r="K10" s="35">
        <v>292.95413000000002</v>
      </c>
      <c r="L10" s="5"/>
      <c r="M10" s="236" t="s">
        <v>1</v>
      </c>
      <c r="N10" s="236"/>
      <c r="O10" s="239">
        <v>1014</v>
      </c>
      <c r="P10" s="239"/>
      <c r="Q10" s="239"/>
      <c r="R10" s="32"/>
      <c r="S10" s="32"/>
      <c r="T10" s="32"/>
      <c r="U10" s="150"/>
      <c r="V10" s="162"/>
      <c r="W10" s="34"/>
      <c r="X10" s="185"/>
      <c r="Y10" s="146"/>
      <c r="Z10" s="146"/>
      <c r="AA10" s="146"/>
    </row>
    <row r="11" spans="1:50" s="8" customFormat="1" ht="13.35" customHeight="1" thickTop="1" x14ac:dyDescent="0.2">
      <c r="A11" s="93" t="s">
        <v>138</v>
      </c>
      <c r="B11" s="108">
        <v>167</v>
      </c>
      <c r="C11" s="108">
        <v>3062</v>
      </c>
      <c r="D11" s="108">
        <v>3229</v>
      </c>
      <c r="E11" s="32"/>
      <c r="F11" s="32"/>
      <c r="G11" s="232"/>
      <c r="H11" s="232"/>
      <c r="I11" s="85"/>
      <c r="J11" s="85"/>
      <c r="K11" s="85"/>
      <c r="L11" s="5"/>
      <c r="M11" s="237" t="s">
        <v>131</v>
      </c>
      <c r="N11" s="237"/>
      <c r="O11" s="272">
        <v>0</v>
      </c>
      <c r="P11" s="272"/>
      <c r="Q11" s="272"/>
      <c r="R11" s="32"/>
      <c r="S11" s="32"/>
      <c r="T11" s="32"/>
      <c r="U11" s="150"/>
      <c r="V11" s="162"/>
      <c r="W11" s="185"/>
      <c r="X11" s="185"/>
      <c r="Y11" s="146"/>
      <c r="Z11" s="146"/>
      <c r="AA11" s="146"/>
    </row>
    <row r="12" spans="1:50" s="8" customFormat="1" ht="13.35" customHeight="1" x14ac:dyDescent="0.2">
      <c r="A12" s="94" t="s">
        <v>139</v>
      </c>
      <c r="B12" s="109">
        <v>24</v>
      </c>
      <c r="C12" s="109">
        <v>8328</v>
      </c>
      <c r="D12" s="109">
        <v>8352</v>
      </c>
      <c r="E12" s="32"/>
      <c r="F12" s="32"/>
      <c r="G12" s="5"/>
      <c r="H12" s="5"/>
      <c r="I12" s="5"/>
      <c r="J12" s="5"/>
      <c r="K12" s="5"/>
      <c r="L12" s="5"/>
      <c r="M12" s="238" t="s">
        <v>132</v>
      </c>
      <c r="N12" s="238"/>
      <c r="O12" s="268">
        <v>1014</v>
      </c>
      <c r="P12" s="268"/>
      <c r="Q12" s="268"/>
      <c r="R12" s="32"/>
      <c r="S12" s="32"/>
      <c r="T12" s="32"/>
      <c r="U12" s="150"/>
      <c r="V12" s="162"/>
      <c r="W12" s="185"/>
      <c r="X12" s="185"/>
      <c r="Y12" s="146"/>
      <c r="Z12" s="146"/>
      <c r="AA12" s="146"/>
    </row>
    <row r="13" spans="1:50" s="8" customFormat="1" ht="13.35" customHeight="1" x14ac:dyDescent="0.2">
      <c r="A13" s="94" t="s">
        <v>140</v>
      </c>
      <c r="B13" s="109">
        <v>9</v>
      </c>
      <c r="C13" s="109">
        <v>1733</v>
      </c>
      <c r="D13" s="109">
        <v>1742</v>
      </c>
      <c r="E13" s="32"/>
      <c r="F13" s="32"/>
      <c r="G13" s="32"/>
      <c r="H13" s="32"/>
      <c r="I13" s="32"/>
      <c r="J13" s="32"/>
      <c r="K13" s="32"/>
      <c r="L13" s="5"/>
      <c r="M13" s="5"/>
      <c r="N13" s="5"/>
      <c r="O13" s="5"/>
      <c r="P13" s="5"/>
      <c r="Q13" s="5"/>
      <c r="R13" s="32"/>
      <c r="S13" s="32"/>
      <c r="T13" s="32"/>
      <c r="U13" s="150"/>
      <c r="V13" s="162"/>
      <c r="W13" s="185"/>
      <c r="X13" s="185"/>
      <c r="Y13" s="146"/>
      <c r="Z13" s="146"/>
      <c r="AA13" s="146"/>
    </row>
    <row r="14" spans="1:50" s="8" customFormat="1" ht="13.35" customHeight="1" x14ac:dyDescent="0.2">
      <c r="A14" s="94" t="s">
        <v>0</v>
      </c>
      <c r="B14" s="109">
        <v>0</v>
      </c>
      <c r="C14" s="109">
        <v>872</v>
      </c>
      <c r="D14" s="109">
        <v>872</v>
      </c>
      <c r="E14" s="32"/>
      <c r="F14" s="32"/>
      <c r="G14" s="32"/>
      <c r="H14" s="32"/>
      <c r="I14" s="32"/>
      <c r="J14" s="32"/>
      <c r="K14" s="32"/>
      <c r="L14" s="32"/>
      <c r="M14" s="32"/>
      <c r="N14" s="32"/>
      <c r="O14" s="32"/>
      <c r="P14" s="32"/>
      <c r="Q14" s="32"/>
      <c r="R14" s="32"/>
      <c r="S14" s="32"/>
      <c r="T14" s="32"/>
      <c r="U14" s="150"/>
      <c r="V14" s="162"/>
      <c r="W14" s="185"/>
      <c r="X14" s="34"/>
      <c r="Z14" s="146"/>
      <c r="AA14" s="146"/>
    </row>
    <row r="15" spans="1:50" s="8" customFormat="1" ht="16.5" customHeight="1" x14ac:dyDescent="0.2">
      <c r="A15" s="95"/>
      <c r="B15" s="36"/>
      <c r="C15" s="36"/>
      <c r="D15" s="36"/>
      <c r="E15" s="36"/>
      <c r="F15" s="36"/>
      <c r="G15" s="32"/>
      <c r="H15" s="32"/>
      <c r="I15" s="32"/>
      <c r="J15" s="32"/>
      <c r="K15" s="32"/>
      <c r="L15" s="32"/>
      <c r="M15" s="32"/>
      <c r="N15" s="32"/>
      <c r="O15" s="32"/>
      <c r="P15" s="32"/>
      <c r="Q15" s="32"/>
      <c r="R15" s="32"/>
      <c r="S15" s="32"/>
      <c r="T15" s="32"/>
      <c r="U15" s="32"/>
      <c r="V15" s="33"/>
      <c r="W15" s="34"/>
      <c r="X15" s="34"/>
      <c r="Y15" s="34"/>
      <c r="Z15" s="34"/>
    </row>
    <row r="16" spans="1:50" s="8" customFormat="1" ht="16.5" customHeight="1" x14ac:dyDescent="0.2">
      <c r="A16" s="233"/>
      <c r="B16" s="234"/>
      <c r="C16" s="234"/>
      <c r="D16" s="234"/>
      <c r="E16" s="234"/>
      <c r="F16" s="234"/>
      <c r="G16" s="234"/>
      <c r="H16" s="234"/>
      <c r="I16" s="234"/>
      <c r="J16" s="234"/>
      <c r="K16" s="234"/>
      <c r="L16" s="234"/>
      <c r="M16" s="234"/>
      <c r="N16" s="234"/>
      <c r="O16" s="234"/>
      <c r="P16" s="234"/>
      <c r="Q16" s="234"/>
      <c r="R16" s="234"/>
      <c r="S16" s="234"/>
      <c r="T16" s="234"/>
      <c r="U16" s="234"/>
      <c r="V16" s="235"/>
      <c r="W16" s="34"/>
      <c r="X16" s="34"/>
      <c r="Y16" s="34"/>
      <c r="Z16" s="34"/>
    </row>
    <row r="17" spans="1:30" s="8" customFormat="1" ht="16.5" customHeight="1" x14ac:dyDescent="0.2">
      <c r="A17" s="90"/>
      <c r="B17" s="32"/>
      <c r="C17" s="32"/>
      <c r="D17" s="32"/>
      <c r="E17" s="32"/>
      <c r="F17" s="32"/>
      <c r="G17" s="32"/>
      <c r="H17" s="32"/>
      <c r="I17" s="32"/>
      <c r="J17" s="32"/>
      <c r="K17" s="32"/>
      <c r="L17" s="32"/>
      <c r="M17" s="32"/>
      <c r="N17" s="32"/>
      <c r="O17" s="32"/>
      <c r="P17" s="32"/>
      <c r="Q17" s="32"/>
      <c r="R17" s="32"/>
      <c r="S17" s="32"/>
      <c r="T17" s="32"/>
      <c r="U17" s="32"/>
      <c r="V17" s="33"/>
      <c r="W17" s="34"/>
      <c r="X17" s="34"/>
      <c r="Y17" s="34"/>
      <c r="Z17" s="34"/>
    </row>
    <row r="18" spans="1:30" s="9" customFormat="1" ht="27.6" customHeight="1" x14ac:dyDescent="0.2">
      <c r="A18" s="229" t="s">
        <v>768</v>
      </c>
      <c r="B18" s="230"/>
      <c r="C18" s="230"/>
      <c r="D18" s="230"/>
      <c r="E18" s="230"/>
      <c r="F18" s="230"/>
      <c r="G18" s="96"/>
      <c r="H18" s="96"/>
      <c r="I18" s="258" t="s">
        <v>778</v>
      </c>
      <c r="J18" s="258"/>
      <c r="K18" s="258"/>
      <c r="L18" s="258"/>
      <c r="M18" s="258"/>
      <c r="N18" s="258"/>
      <c r="O18" s="258"/>
      <c r="P18" s="258"/>
      <c r="Q18" s="258"/>
      <c r="R18" s="258"/>
      <c r="S18" s="258"/>
      <c r="T18" s="258"/>
      <c r="U18" s="258"/>
      <c r="V18" s="259"/>
      <c r="W18" s="37"/>
      <c r="X18" s="37"/>
      <c r="Y18" s="37"/>
      <c r="Z18" s="37"/>
    </row>
    <row r="19" spans="1:30" s="1" customFormat="1" ht="28.7" customHeight="1" x14ac:dyDescent="0.2">
      <c r="A19" s="106" t="s">
        <v>134</v>
      </c>
      <c r="B19" s="106" t="s">
        <v>89</v>
      </c>
      <c r="C19" s="106" t="s">
        <v>135</v>
      </c>
      <c r="D19" s="106" t="s">
        <v>71</v>
      </c>
      <c r="E19" s="106" t="s">
        <v>136</v>
      </c>
      <c r="F19" s="106" t="s">
        <v>1</v>
      </c>
      <c r="G19" s="6"/>
      <c r="H19" s="6"/>
      <c r="I19" s="106" t="s">
        <v>141</v>
      </c>
      <c r="J19" s="106" t="s">
        <v>142</v>
      </c>
      <c r="K19" s="106" t="s">
        <v>143</v>
      </c>
      <c r="L19" s="106" t="s">
        <v>144</v>
      </c>
      <c r="M19" s="106" t="s">
        <v>145</v>
      </c>
      <c r="N19" s="106" t="s">
        <v>146</v>
      </c>
      <c r="O19" s="106" t="s">
        <v>147</v>
      </c>
      <c r="P19" s="106" t="s">
        <v>148</v>
      </c>
      <c r="Q19" s="106" t="s">
        <v>149</v>
      </c>
      <c r="R19" s="106" t="s">
        <v>150</v>
      </c>
      <c r="S19" s="106" t="s">
        <v>152</v>
      </c>
      <c r="T19" s="106" t="s">
        <v>153</v>
      </c>
      <c r="U19" s="106" t="s">
        <v>154</v>
      </c>
      <c r="V19" s="106" t="s">
        <v>1</v>
      </c>
      <c r="W19" s="39"/>
      <c r="X19" s="39"/>
      <c r="Y19" s="39"/>
      <c r="Z19" s="158"/>
      <c r="AA19" s="153"/>
      <c r="AB19" s="153"/>
      <c r="AC19" s="153"/>
    </row>
    <row r="20" spans="1:30" s="1" customFormat="1" ht="18" customHeight="1" thickBot="1" x14ac:dyDescent="0.25">
      <c r="A20" s="92" t="s">
        <v>1</v>
      </c>
      <c r="B20" s="107">
        <v>9879</v>
      </c>
      <c r="C20" s="112">
        <f>B20/F20</f>
        <v>0.69594927791475869</v>
      </c>
      <c r="D20" s="107">
        <v>4316</v>
      </c>
      <c r="E20" s="112">
        <f>D20/F20</f>
        <v>0.30405072208524131</v>
      </c>
      <c r="F20" s="107">
        <v>14195</v>
      </c>
      <c r="G20" s="6"/>
      <c r="H20" s="6"/>
      <c r="I20" s="30" t="s">
        <v>1</v>
      </c>
      <c r="J20" s="113">
        <v>9196</v>
      </c>
      <c r="K20" s="114">
        <v>8058</v>
      </c>
      <c r="L20" s="113">
        <v>8627</v>
      </c>
      <c r="M20" s="114">
        <v>4140</v>
      </c>
      <c r="N20" s="113">
        <v>0</v>
      </c>
      <c r="O20" s="114">
        <v>0</v>
      </c>
      <c r="P20" s="113">
        <v>0</v>
      </c>
      <c r="Q20" s="114">
        <v>0</v>
      </c>
      <c r="R20" s="113">
        <v>0</v>
      </c>
      <c r="S20" s="113">
        <v>0</v>
      </c>
      <c r="T20" s="114">
        <v>0</v>
      </c>
      <c r="U20" s="113">
        <v>0</v>
      </c>
      <c r="V20" s="118">
        <v>30021</v>
      </c>
      <c r="W20" s="39"/>
      <c r="X20" s="39"/>
      <c r="Y20" s="158"/>
      <c r="Z20" s="158"/>
      <c r="AA20" s="153"/>
      <c r="AB20" s="153"/>
    </row>
    <row r="21" spans="1:30" s="1" customFormat="1" ht="15" customHeight="1" thickTop="1" x14ac:dyDescent="0.2">
      <c r="A21" s="93" t="s">
        <v>75</v>
      </c>
      <c r="B21" s="108">
        <v>7020</v>
      </c>
      <c r="C21" s="110">
        <f t="shared" ref="C21:C23" si="0">B21/F21</f>
        <v>0.92392734930244802</v>
      </c>
      <c r="D21" s="108">
        <v>578</v>
      </c>
      <c r="E21" s="110">
        <f t="shared" ref="E21:E23" si="1">D21/F21</f>
        <v>7.6072650697551994E-2</v>
      </c>
      <c r="F21" s="108">
        <v>7598</v>
      </c>
      <c r="G21" s="6"/>
      <c r="H21" s="6"/>
      <c r="I21" s="31" t="s">
        <v>71</v>
      </c>
      <c r="J21" s="115">
        <v>2390</v>
      </c>
      <c r="K21" s="115">
        <v>2081</v>
      </c>
      <c r="L21" s="115">
        <v>2552</v>
      </c>
      <c r="M21" s="115">
        <v>1260</v>
      </c>
      <c r="N21" s="115">
        <v>0</v>
      </c>
      <c r="O21" s="115">
        <v>0</v>
      </c>
      <c r="P21" s="115">
        <v>0</v>
      </c>
      <c r="Q21" s="115">
        <v>0</v>
      </c>
      <c r="R21" s="115">
        <v>0</v>
      </c>
      <c r="S21" s="115">
        <v>0</v>
      </c>
      <c r="T21" s="115">
        <v>0</v>
      </c>
      <c r="U21" s="115">
        <v>0</v>
      </c>
      <c r="V21" s="117">
        <v>8283</v>
      </c>
      <c r="W21" s="39"/>
      <c r="X21" s="39"/>
      <c r="Y21" s="39"/>
      <c r="Z21" s="186"/>
      <c r="AA21" s="161"/>
      <c r="AB21" s="161"/>
      <c r="AD21" s="161"/>
    </row>
    <row r="22" spans="1:30" s="1" customFormat="1" ht="15" customHeight="1" x14ac:dyDescent="0.2">
      <c r="A22" s="94" t="s">
        <v>108</v>
      </c>
      <c r="B22" s="109">
        <v>2333</v>
      </c>
      <c r="C22" s="111">
        <f t="shared" si="0"/>
        <v>0.91705974842767291</v>
      </c>
      <c r="D22" s="109">
        <v>211</v>
      </c>
      <c r="E22" s="111">
        <f t="shared" si="1"/>
        <v>8.2940251572327039E-2</v>
      </c>
      <c r="F22" s="109">
        <v>2544</v>
      </c>
      <c r="G22" s="6"/>
      <c r="H22" s="6"/>
      <c r="I22" s="73" t="s">
        <v>765</v>
      </c>
      <c r="J22" s="116">
        <v>6806</v>
      </c>
      <c r="K22" s="116">
        <v>5977</v>
      </c>
      <c r="L22" s="116">
        <v>6075</v>
      </c>
      <c r="M22" s="116">
        <v>2880</v>
      </c>
      <c r="N22" s="116">
        <v>0</v>
      </c>
      <c r="O22" s="116">
        <v>0</v>
      </c>
      <c r="P22" s="116">
        <v>0</v>
      </c>
      <c r="Q22" s="116">
        <v>0</v>
      </c>
      <c r="R22" s="116">
        <v>0</v>
      </c>
      <c r="S22" s="116">
        <v>0</v>
      </c>
      <c r="T22" s="116">
        <v>0</v>
      </c>
      <c r="U22" s="116">
        <v>0</v>
      </c>
      <c r="V22" s="182">
        <v>21738</v>
      </c>
      <c r="W22" s="39"/>
      <c r="X22" s="39"/>
      <c r="Y22" s="186"/>
      <c r="Z22" s="186"/>
      <c r="AA22" s="161"/>
      <c r="AB22" s="161"/>
      <c r="AC22" s="161"/>
      <c r="AD22" s="161"/>
    </row>
    <row r="23" spans="1:30" s="1" customFormat="1" ht="15" customHeight="1" x14ac:dyDescent="0.2">
      <c r="A23" s="94" t="s">
        <v>137</v>
      </c>
      <c r="B23" s="109">
        <v>526</v>
      </c>
      <c r="C23" s="111">
        <f t="shared" si="0"/>
        <v>0.12978040957315568</v>
      </c>
      <c r="D23" s="109">
        <v>3527</v>
      </c>
      <c r="E23" s="111">
        <f t="shared" si="1"/>
        <v>0.87021959042684427</v>
      </c>
      <c r="F23" s="109">
        <v>4053</v>
      </c>
      <c r="G23" s="6"/>
      <c r="H23" s="6"/>
      <c r="I23" s="6"/>
      <c r="J23" s="6"/>
      <c r="K23" s="6"/>
      <c r="L23" s="6"/>
      <c r="M23" s="6"/>
      <c r="N23" s="6"/>
      <c r="O23" s="6"/>
      <c r="P23" s="6"/>
      <c r="Q23" s="6"/>
      <c r="R23" s="6"/>
      <c r="S23" s="6"/>
      <c r="T23" s="40"/>
      <c r="U23" s="40"/>
      <c r="V23" s="38"/>
      <c r="W23" s="39"/>
      <c r="X23" s="39"/>
      <c r="Y23" s="186"/>
      <c r="Z23" s="186"/>
      <c r="AA23" s="161"/>
      <c r="AB23" s="161"/>
      <c r="AC23" s="161"/>
      <c r="AD23" s="161"/>
    </row>
    <row r="24" spans="1:30" s="1" customFormat="1" ht="12" x14ac:dyDescent="0.2">
      <c r="A24" s="97"/>
      <c r="B24" s="6"/>
      <c r="C24" s="6"/>
      <c r="D24" s="6"/>
      <c r="E24" s="6"/>
      <c r="F24" s="6"/>
      <c r="G24" s="6"/>
      <c r="H24" s="6"/>
      <c r="I24" s="6"/>
      <c r="J24" s="6"/>
      <c r="K24" s="6"/>
      <c r="L24" s="6"/>
      <c r="M24" s="6"/>
      <c r="N24" s="6"/>
      <c r="O24" s="6"/>
      <c r="P24" s="6"/>
      <c r="Q24" s="6"/>
      <c r="R24" s="6"/>
      <c r="S24" s="6"/>
      <c r="T24" s="40"/>
      <c r="U24" s="40"/>
      <c r="V24" s="38"/>
      <c r="W24" s="39"/>
      <c r="X24" s="39"/>
      <c r="Y24" s="186"/>
      <c r="Z24" s="186"/>
      <c r="AA24" s="161"/>
      <c r="AB24" s="161"/>
      <c r="AC24" s="161"/>
    </row>
    <row r="25" spans="1:30" s="8" customFormat="1" ht="16.5" customHeight="1" x14ac:dyDescent="0.2">
      <c r="A25" s="233"/>
      <c r="B25" s="234"/>
      <c r="C25" s="234"/>
      <c r="D25" s="234"/>
      <c r="E25" s="234"/>
      <c r="F25" s="234"/>
      <c r="G25" s="234"/>
      <c r="H25" s="234"/>
      <c r="I25" s="234"/>
      <c r="J25" s="234"/>
      <c r="K25" s="234"/>
      <c r="L25" s="234"/>
      <c r="M25" s="234"/>
      <c r="N25" s="234"/>
      <c r="O25" s="234"/>
      <c r="P25" s="234"/>
      <c r="Q25" s="234"/>
      <c r="R25" s="234"/>
      <c r="S25" s="234"/>
      <c r="T25" s="234"/>
      <c r="U25" s="234"/>
      <c r="V25" s="235"/>
      <c r="W25" s="34"/>
      <c r="X25" s="34"/>
      <c r="Y25" s="34"/>
      <c r="Z25" s="185"/>
      <c r="AA25" s="146"/>
      <c r="AB25" s="146"/>
      <c r="AC25" s="146"/>
    </row>
    <row r="26" spans="1:30" s="1" customFormat="1" ht="12" x14ac:dyDescent="0.2">
      <c r="A26" s="97"/>
      <c r="B26" s="6"/>
      <c r="C26" s="6"/>
      <c r="D26" s="6"/>
      <c r="E26" s="6"/>
      <c r="F26" s="6"/>
      <c r="G26" s="6"/>
      <c r="H26" s="6"/>
      <c r="I26" s="6"/>
      <c r="J26" s="6"/>
      <c r="K26" s="6"/>
      <c r="L26" s="6"/>
      <c r="M26" s="6"/>
      <c r="N26" s="6"/>
      <c r="O26" s="6"/>
      <c r="P26" s="6"/>
      <c r="Q26" s="6"/>
      <c r="R26" s="6"/>
      <c r="S26" s="6"/>
      <c r="T26" s="40"/>
      <c r="U26" s="40"/>
      <c r="V26" s="38"/>
      <c r="W26" s="39"/>
      <c r="X26" s="39"/>
      <c r="Y26" s="39"/>
      <c r="Z26" s="186"/>
      <c r="AA26" s="161"/>
      <c r="AB26" s="161"/>
      <c r="AC26" s="161"/>
    </row>
    <row r="27" spans="1:30" s="82" customFormat="1" ht="21.6" customHeight="1" x14ac:dyDescent="0.2">
      <c r="A27" s="260" t="s">
        <v>779</v>
      </c>
      <c r="B27" s="261"/>
      <c r="C27" s="261"/>
      <c r="D27" s="261"/>
      <c r="E27" s="261"/>
      <c r="F27" s="74"/>
      <c r="G27" s="81"/>
      <c r="H27" s="261" t="s">
        <v>780</v>
      </c>
      <c r="I27" s="261"/>
      <c r="J27" s="261"/>
      <c r="K27" s="261"/>
      <c r="L27" s="261"/>
      <c r="M27" s="74"/>
      <c r="N27" s="261" t="s">
        <v>781</v>
      </c>
      <c r="O27" s="261"/>
      <c r="P27" s="261"/>
      <c r="Q27" s="261"/>
      <c r="R27" s="261"/>
      <c r="S27" s="74"/>
      <c r="T27" s="81"/>
      <c r="U27" s="81"/>
      <c r="V27" s="83"/>
      <c r="W27" s="84"/>
      <c r="X27" s="84"/>
      <c r="Y27" s="84"/>
      <c r="Z27" s="84"/>
    </row>
    <row r="28" spans="1:30" s="1" customFormat="1" ht="37.5" customHeight="1" x14ac:dyDescent="0.2">
      <c r="A28" s="29" t="s">
        <v>156</v>
      </c>
      <c r="B28" s="106" t="s">
        <v>75</v>
      </c>
      <c r="C28" s="106" t="s">
        <v>108</v>
      </c>
      <c r="D28" s="106" t="s">
        <v>137</v>
      </c>
      <c r="E28" s="106" t="s">
        <v>1</v>
      </c>
      <c r="F28" s="6"/>
      <c r="G28" s="6"/>
      <c r="H28" s="225" t="s">
        <v>156</v>
      </c>
      <c r="I28" s="225"/>
      <c r="J28" s="225" t="s">
        <v>1</v>
      </c>
      <c r="K28" s="225"/>
      <c r="L28" s="225"/>
      <c r="M28" s="40"/>
      <c r="N28" s="245"/>
      <c r="O28" s="246"/>
      <c r="P28" s="245" t="s">
        <v>151</v>
      </c>
      <c r="Q28" s="247"/>
      <c r="R28" s="246"/>
      <c r="S28" s="6"/>
      <c r="T28" s="6"/>
      <c r="U28" s="40"/>
      <c r="V28" s="98"/>
      <c r="W28" s="39"/>
      <c r="X28" s="39"/>
      <c r="Y28" s="39"/>
    </row>
    <row r="29" spans="1:30" s="1" customFormat="1" ht="15" customHeight="1" thickBot="1" x14ac:dyDescent="0.25">
      <c r="A29" s="92" t="s">
        <v>1</v>
      </c>
      <c r="B29" s="119">
        <v>16359</v>
      </c>
      <c r="C29" s="123">
        <v>6172</v>
      </c>
      <c r="D29" s="119">
        <v>7490</v>
      </c>
      <c r="E29" s="121">
        <v>30021</v>
      </c>
      <c r="F29" s="6"/>
      <c r="G29" s="6"/>
      <c r="H29" s="236" t="s">
        <v>1</v>
      </c>
      <c r="I29" s="236"/>
      <c r="J29" s="269">
        <v>10685</v>
      </c>
      <c r="K29" s="270"/>
      <c r="L29" s="271"/>
      <c r="M29" s="40"/>
      <c r="N29" s="248" t="s">
        <v>1</v>
      </c>
      <c r="O29" s="249"/>
      <c r="P29" s="252">
        <v>23918</v>
      </c>
      <c r="Q29" s="253"/>
      <c r="R29" s="254"/>
      <c r="S29" s="6"/>
      <c r="T29" s="6"/>
      <c r="U29" s="150"/>
      <c r="V29" s="98"/>
      <c r="W29" s="39"/>
      <c r="X29" s="39"/>
      <c r="Y29" s="39"/>
    </row>
    <row r="30" spans="1:30" s="1" customFormat="1" ht="15" customHeight="1" thickTop="1" x14ac:dyDescent="0.2">
      <c r="A30" s="93" t="s">
        <v>132</v>
      </c>
      <c r="B30" s="141">
        <v>16359</v>
      </c>
      <c r="C30" s="141">
        <v>6170</v>
      </c>
      <c r="D30" s="141">
        <v>7417</v>
      </c>
      <c r="E30" s="141">
        <v>29946</v>
      </c>
      <c r="F30" s="5"/>
      <c r="G30" s="5"/>
      <c r="H30" s="237" t="s">
        <v>131</v>
      </c>
      <c r="I30" s="237"/>
      <c r="J30" s="262">
        <v>1013</v>
      </c>
      <c r="K30" s="263"/>
      <c r="L30" s="264"/>
      <c r="M30" s="40"/>
      <c r="N30" s="250" t="s">
        <v>754</v>
      </c>
      <c r="O30" s="251"/>
      <c r="P30" s="262">
        <v>219</v>
      </c>
      <c r="Q30" s="263"/>
      <c r="R30" s="264"/>
      <c r="S30" s="6"/>
      <c r="T30" s="6"/>
      <c r="U30" s="150"/>
      <c r="V30" s="98"/>
      <c r="W30" s="39"/>
      <c r="X30" s="39"/>
      <c r="Y30" s="39"/>
    </row>
    <row r="31" spans="1:30" s="1" customFormat="1" ht="12" x14ac:dyDescent="0.2">
      <c r="A31" s="94" t="s">
        <v>131</v>
      </c>
      <c r="B31" s="120">
        <v>0</v>
      </c>
      <c r="C31" s="120">
        <v>2</v>
      </c>
      <c r="D31" s="120">
        <v>73</v>
      </c>
      <c r="E31" s="120">
        <v>75</v>
      </c>
      <c r="F31" s="5"/>
      <c r="G31" s="5"/>
      <c r="H31" s="238" t="s">
        <v>132</v>
      </c>
      <c r="I31" s="238"/>
      <c r="J31" s="265">
        <v>9672</v>
      </c>
      <c r="K31" s="266"/>
      <c r="L31" s="267"/>
      <c r="M31" s="40"/>
      <c r="N31" s="40"/>
      <c r="O31" s="40"/>
      <c r="P31" s="40"/>
      <c r="Q31" s="40"/>
      <c r="R31" s="40"/>
      <c r="S31" s="6"/>
      <c r="T31" s="6"/>
      <c r="U31" s="150"/>
      <c r="V31" s="98"/>
      <c r="W31" s="39"/>
      <c r="X31" s="39"/>
      <c r="Y31" s="39"/>
    </row>
    <row r="32" spans="1:30" s="1" customFormat="1" ht="12" x14ac:dyDescent="0.2">
      <c r="A32" s="97"/>
      <c r="F32" s="5"/>
      <c r="G32" s="5"/>
      <c r="H32" s="5"/>
      <c r="I32" s="6"/>
      <c r="J32" s="6"/>
      <c r="K32" s="5"/>
      <c r="L32" s="40"/>
      <c r="M32" s="40"/>
      <c r="N32" s="40"/>
      <c r="O32" s="40"/>
      <c r="P32" s="40"/>
      <c r="Q32" s="40"/>
      <c r="R32" s="40"/>
      <c r="S32" s="40"/>
      <c r="T32" s="40"/>
      <c r="U32" s="40"/>
      <c r="V32" s="38"/>
      <c r="W32" s="39"/>
      <c r="X32" s="39"/>
      <c r="Y32" s="39"/>
      <c r="Z32" s="39"/>
    </row>
    <row r="33" spans="1:26" s="8" customFormat="1" ht="16.5" customHeight="1" x14ac:dyDescent="0.2">
      <c r="A33" s="233"/>
      <c r="B33" s="234"/>
      <c r="C33" s="234"/>
      <c r="D33" s="234"/>
      <c r="E33" s="234"/>
      <c r="F33" s="234"/>
      <c r="G33" s="234"/>
      <c r="H33" s="234"/>
      <c r="I33" s="234"/>
      <c r="J33" s="234"/>
      <c r="K33" s="234"/>
      <c r="L33" s="234"/>
      <c r="M33" s="234"/>
      <c r="N33" s="234"/>
      <c r="O33" s="234"/>
      <c r="P33" s="234"/>
      <c r="Q33" s="234"/>
      <c r="R33" s="234"/>
      <c r="S33" s="234"/>
      <c r="T33" s="234"/>
      <c r="U33" s="234"/>
      <c r="V33" s="235"/>
      <c r="W33" s="34"/>
      <c r="X33" s="34"/>
      <c r="Y33" s="34"/>
      <c r="Z33" s="34"/>
    </row>
    <row r="34" spans="1:26" s="1" customFormat="1" ht="12" x14ac:dyDescent="0.2">
      <c r="A34" s="97"/>
      <c r="B34" s="6"/>
      <c r="C34" s="6"/>
      <c r="D34" s="6"/>
      <c r="E34" s="6"/>
      <c r="F34" s="5"/>
      <c r="G34" s="5"/>
      <c r="H34" s="5"/>
      <c r="I34" s="145"/>
      <c r="J34" s="6"/>
      <c r="K34" s="5"/>
      <c r="L34" s="40"/>
      <c r="M34" s="40"/>
      <c r="N34" s="40"/>
      <c r="O34" s="40"/>
      <c r="P34" s="40"/>
      <c r="Q34" s="40"/>
      <c r="R34" s="40"/>
      <c r="S34" s="40"/>
      <c r="T34" s="40"/>
      <c r="U34" s="40"/>
      <c r="V34" s="38"/>
      <c r="W34" s="39"/>
      <c r="X34" s="39"/>
      <c r="Y34" s="39"/>
      <c r="Z34" s="39"/>
    </row>
    <row r="35" spans="1:26" s="1" customFormat="1" ht="12" x14ac:dyDescent="0.2">
      <c r="A35" s="97"/>
      <c r="B35" s="6"/>
      <c r="C35" s="6"/>
      <c r="D35" s="6"/>
      <c r="E35" s="6"/>
      <c r="F35" s="5"/>
      <c r="G35" s="5"/>
      <c r="H35" s="5"/>
      <c r="I35" s="149"/>
      <c r="J35" s="149"/>
      <c r="K35" s="148"/>
      <c r="L35" s="151"/>
      <c r="M35" s="151"/>
      <c r="N35" s="151"/>
      <c r="O35" s="151"/>
      <c r="P35" s="151"/>
      <c r="Q35" s="151"/>
      <c r="R35" s="151"/>
      <c r="S35" s="151"/>
      <c r="T35" s="40"/>
      <c r="U35" s="40"/>
      <c r="V35" s="38"/>
      <c r="W35" s="39"/>
      <c r="X35" s="39"/>
      <c r="Y35" s="39"/>
      <c r="Z35" s="39"/>
    </row>
    <row r="36" spans="1:26" s="1" customFormat="1" ht="22.5" customHeight="1" x14ac:dyDescent="0.25">
      <c r="A36" s="229" t="s">
        <v>789</v>
      </c>
      <c r="B36" s="230"/>
      <c r="C36" s="230"/>
      <c r="D36" s="230"/>
      <c r="E36" s="230"/>
      <c r="F36" s="184"/>
      <c r="G36" s="5"/>
      <c r="H36"/>
      <c r="I36"/>
      <c r="J36" s="147"/>
      <c r="K36" s="147"/>
      <c r="L36" s="147"/>
      <c r="M36" s="147"/>
      <c r="N36" s="149"/>
      <c r="O36" s="149"/>
      <c r="P36" s="149"/>
      <c r="Q36" s="149"/>
      <c r="R36" s="149"/>
      <c r="S36" s="149"/>
      <c r="T36" s="151"/>
      <c r="U36" s="40"/>
      <c r="V36" s="38"/>
      <c r="W36" s="39"/>
      <c r="X36" s="39"/>
      <c r="Y36" s="39"/>
      <c r="Z36" s="39"/>
    </row>
    <row r="37" spans="1:26" s="1" customFormat="1" ht="38.450000000000003" customHeight="1" x14ac:dyDescent="0.25">
      <c r="A37" s="99" t="s">
        <v>155</v>
      </c>
      <c r="B37" s="75" t="s">
        <v>75</v>
      </c>
      <c r="C37" s="75" t="s">
        <v>108</v>
      </c>
      <c r="D37" s="75" t="s">
        <v>137</v>
      </c>
      <c r="E37" s="75" t="s">
        <v>1</v>
      </c>
      <c r="F37" s="5"/>
      <c r="G37" s="6"/>
      <c r="H37"/>
      <c r="I37"/>
      <c r="J37"/>
      <c r="K37" s="147"/>
      <c r="L37" s="147"/>
      <c r="M37" s="147"/>
      <c r="N37" s="145"/>
      <c r="O37" s="145"/>
      <c r="P37" s="145"/>
      <c r="Q37" s="145"/>
      <c r="R37" s="150"/>
      <c r="S37" s="150"/>
      <c r="T37" s="150"/>
      <c r="U37" s="89"/>
      <c r="V37" s="98"/>
      <c r="W37" s="39"/>
      <c r="X37" s="39"/>
    </row>
    <row r="38" spans="1:26" s="1" customFormat="1" ht="15.75" customHeight="1" thickBot="1" x14ac:dyDescent="0.3">
      <c r="A38" s="100" t="s">
        <v>1</v>
      </c>
      <c r="B38" s="123">
        <v>3506</v>
      </c>
      <c r="C38" s="126">
        <v>2648</v>
      </c>
      <c r="D38" s="123">
        <v>4531</v>
      </c>
      <c r="E38" s="123">
        <v>10685</v>
      </c>
      <c r="F38" s="5"/>
      <c r="G38" s="6"/>
      <c r="H38"/>
      <c r="I38"/>
      <c r="J38" s="147"/>
      <c r="K38" s="147"/>
      <c r="L38" s="147"/>
      <c r="M38" s="147"/>
      <c r="N38" s="145"/>
      <c r="O38" s="145"/>
      <c r="P38" s="145"/>
      <c r="Q38" s="145"/>
      <c r="R38" s="150"/>
      <c r="S38" s="150"/>
      <c r="T38" s="150"/>
      <c r="U38" s="89"/>
      <c r="V38" s="98"/>
      <c r="W38" s="39"/>
      <c r="X38" s="39"/>
    </row>
    <row r="39" spans="1:26" s="1" customFormat="1" ht="15.75" thickTop="1" x14ac:dyDescent="0.25">
      <c r="A39" s="94" t="s">
        <v>722</v>
      </c>
      <c r="B39" s="124">
        <v>947</v>
      </c>
      <c r="C39" s="124">
        <v>1261</v>
      </c>
      <c r="D39" s="124">
        <v>1238</v>
      </c>
      <c r="E39" s="122">
        <v>3446</v>
      </c>
      <c r="F39" s="5"/>
      <c r="G39" s="6"/>
      <c r="H39"/>
      <c r="I39"/>
      <c r="J39"/>
      <c r="K39" s="147"/>
      <c r="L39" s="147"/>
      <c r="M39" s="147"/>
      <c r="N39" s="145"/>
      <c r="O39" s="145"/>
      <c r="P39" s="145"/>
      <c r="Q39" s="145"/>
      <c r="R39" s="150"/>
      <c r="S39" s="150"/>
      <c r="T39" s="150"/>
      <c r="U39" s="89"/>
      <c r="V39" s="98"/>
      <c r="W39" s="39"/>
      <c r="X39" s="39"/>
    </row>
    <row r="40" spans="1:26" s="1" customFormat="1" x14ac:dyDescent="0.25">
      <c r="A40" s="101" t="s">
        <v>723</v>
      </c>
      <c r="B40" s="163">
        <v>160</v>
      </c>
      <c r="C40" s="163">
        <v>293</v>
      </c>
      <c r="D40" s="163">
        <v>282</v>
      </c>
      <c r="E40" s="164">
        <v>735</v>
      </c>
      <c r="F40" s="5"/>
      <c r="G40" s="6"/>
      <c r="H40"/>
      <c r="I40"/>
      <c r="J40" s="147"/>
      <c r="K40" s="147"/>
      <c r="L40" s="147"/>
      <c r="M40" s="147"/>
      <c r="N40" s="145"/>
      <c r="O40" s="145"/>
      <c r="P40" s="145"/>
      <c r="Q40" s="145"/>
      <c r="R40" s="150"/>
      <c r="S40" s="150"/>
      <c r="T40" s="150"/>
      <c r="U40" s="89"/>
      <c r="V40" s="98"/>
      <c r="W40" s="39"/>
      <c r="X40" s="39"/>
    </row>
    <row r="41" spans="1:26" s="1" customFormat="1" x14ac:dyDescent="0.25">
      <c r="A41" s="101" t="s">
        <v>724</v>
      </c>
      <c r="B41" s="163">
        <v>787</v>
      </c>
      <c r="C41" s="163">
        <v>968</v>
      </c>
      <c r="D41" s="163">
        <v>956</v>
      </c>
      <c r="E41" s="165">
        <v>2711</v>
      </c>
      <c r="F41" s="5"/>
      <c r="G41" s="6"/>
      <c r="H41"/>
      <c r="I41"/>
      <c r="J41" s="147"/>
      <c r="K41" s="147"/>
      <c r="L41" s="147"/>
      <c r="M41" s="147"/>
      <c r="N41" s="181"/>
      <c r="O41" s="181"/>
      <c r="P41" s="181"/>
      <c r="Q41" s="181"/>
      <c r="R41" s="144"/>
      <c r="S41" s="144"/>
      <c r="T41" s="144"/>
      <c r="U41" s="89"/>
      <c r="V41" s="98"/>
      <c r="W41" s="39"/>
      <c r="X41" s="39"/>
    </row>
    <row r="42" spans="1:26" s="1" customFormat="1" x14ac:dyDescent="0.25">
      <c r="A42" s="94" t="s">
        <v>2</v>
      </c>
      <c r="B42" s="125">
        <v>1360</v>
      </c>
      <c r="C42" s="125">
        <v>1085</v>
      </c>
      <c r="D42" s="125">
        <v>1278</v>
      </c>
      <c r="E42" s="88">
        <v>3723</v>
      </c>
      <c r="F42" s="5"/>
      <c r="G42" s="6"/>
      <c r="H42"/>
      <c r="I42"/>
      <c r="J42" s="147"/>
      <c r="K42"/>
      <c r="L42" s="147"/>
      <c r="M42" s="147"/>
      <c r="N42" s="181"/>
      <c r="O42" s="181"/>
      <c r="P42" s="181"/>
      <c r="Q42" s="181"/>
      <c r="R42" s="144"/>
      <c r="S42" s="150"/>
      <c r="T42" s="144"/>
      <c r="U42" s="89"/>
      <c r="V42" s="98"/>
      <c r="W42" s="39"/>
      <c r="X42" s="39"/>
    </row>
    <row r="43" spans="1:26" s="1" customFormat="1" x14ac:dyDescent="0.25">
      <c r="A43" s="94" t="s">
        <v>3</v>
      </c>
      <c r="B43" s="125">
        <v>1159</v>
      </c>
      <c r="C43" s="125">
        <v>262</v>
      </c>
      <c r="D43" s="125">
        <v>811</v>
      </c>
      <c r="E43" s="88">
        <v>2232</v>
      </c>
      <c r="F43" s="5"/>
      <c r="G43" s="6"/>
      <c r="H43"/>
      <c r="I43"/>
      <c r="J43" s="147"/>
      <c r="K43"/>
      <c r="L43"/>
      <c r="M43" s="147"/>
      <c r="N43" s="181"/>
      <c r="O43" s="181"/>
      <c r="P43" s="181"/>
      <c r="Q43" s="181"/>
      <c r="R43" s="144"/>
      <c r="S43" s="144"/>
      <c r="T43" s="144"/>
      <c r="U43" s="89"/>
      <c r="V43" s="98"/>
      <c r="W43" s="39"/>
      <c r="X43" s="39"/>
    </row>
    <row r="44" spans="1:26" s="1" customFormat="1" x14ac:dyDescent="0.25">
      <c r="A44" s="94" t="s">
        <v>725</v>
      </c>
      <c r="B44" s="125">
        <v>40</v>
      </c>
      <c r="C44" s="125">
        <v>40</v>
      </c>
      <c r="D44" s="125">
        <v>1204</v>
      </c>
      <c r="E44" s="88">
        <v>1284</v>
      </c>
      <c r="F44" s="5"/>
      <c r="G44" s="6"/>
      <c r="H44"/>
      <c r="I44"/>
      <c r="J44"/>
      <c r="K44"/>
      <c r="L44" s="147"/>
      <c r="M44" s="147"/>
      <c r="N44" s="181"/>
      <c r="O44" s="181"/>
      <c r="P44" s="181"/>
      <c r="Q44" s="181"/>
      <c r="R44" s="144"/>
      <c r="S44" s="144"/>
      <c r="T44" s="144"/>
      <c r="U44" s="89"/>
      <c r="V44" s="98"/>
      <c r="W44" s="39"/>
      <c r="X44" s="39"/>
    </row>
    <row r="45" spans="1:26" s="1" customFormat="1" ht="12" x14ac:dyDescent="0.2">
      <c r="A45" s="94" t="s">
        <v>726</v>
      </c>
      <c r="B45" s="125">
        <v>0</v>
      </c>
      <c r="C45" s="125">
        <v>0</v>
      </c>
      <c r="D45" s="125">
        <v>0</v>
      </c>
      <c r="E45" s="87">
        <v>0</v>
      </c>
      <c r="F45" s="5"/>
      <c r="G45" s="6"/>
      <c r="H45" s="6"/>
      <c r="I45" s="183"/>
      <c r="J45" s="144"/>
      <c r="K45" s="144"/>
      <c r="L45" s="144"/>
      <c r="M45" s="144"/>
      <c r="N45" s="144"/>
      <c r="O45" s="144"/>
      <c r="P45" s="144"/>
      <c r="Q45" s="144"/>
      <c r="R45" s="40"/>
      <c r="S45" s="40"/>
      <c r="T45" s="40"/>
      <c r="U45" s="89"/>
      <c r="V45" s="98"/>
      <c r="W45" s="39"/>
      <c r="X45" s="39"/>
    </row>
    <row r="46" spans="1:26" s="1" customFormat="1" ht="12" x14ac:dyDescent="0.2">
      <c r="A46" s="97"/>
      <c r="B46" s="6"/>
      <c r="C46" s="6"/>
      <c r="D46" s="6"/>
      <c r="E46" s="5"/>
      <c r="F46" s="5"/>
      <c r="G46" s="5"/>
      <c r="H46" s="6"/>
      <c r="I46" s="6"/>
      <c r="J46" s="5"/>
      <c r="K46" s="40"/>
      <c r="L46" s="40"/>
      <c r="M46" s="150"/>
      <c r="N46" s="150"/>
      <c r="O46" s="40"/>
      <c r="P46" s="40"/>
      <c r="Q46" s="40"/>
      <c r="R46" s="40"/>
      <c r="S46" s="40"/>
      <c r="T46" s="40"/>
      <c r="U46" s="40"/>
      <c r="V46" s="98"/>
      <c r="W46" s="39"/>
      <c r="X46" s="39"/>
      <c r="Y46" s="39"/>
    </row>
    <row r="47" spans="1:26" s="8" customFormat="1" ht="18" customHeight="1" x14ac:dyDescent="0.2">
      <c r="A47" s="243"/>
      <c r="B47" s="223"/>
      <c r="C47" s="223"/>
      <c r="D47" s="223"/>
      <c r="E47" s="223"/>
      <c r="F47" s="223"/>
      <c r="G47" s="223"/>
      <c r="H47" s="223"/>
      <c r="I47" s="223"/>
      <c r="J47" s="223"/>
      <c r="K47" s="223"/>
      <c r="L47" s="223"/>
      <c r="M47" s="223"/>
      <c r="N47" s="223"/>
      <c r="O47" s="223"/>
      <c r="P47" s="223"/>
      <c r="Q47" s="223"/>
      <c r="R47" s="223"/>
      <c r="S47" s="223"/>
      <c r="T47" s="223"/>
      <c r="U47" s="223"/>
      <c r="V47" s="244"/>
      <c r="W47" s="34"/>
      <c r="X47" s="34"/>
      <c r="Y47" s="34"/>
      <c r="Z47" s="34"/>
    </row>
    <row r="48" spans="1:26" s="1" customFormat="1" ht="12" x14ac:dyDescent="0.2">
      <c r="A48" s="97"/>
      <c r="B48" s="6"/>
      <c r="C48" s="6"/>
      <c r="D48" s="6"/>
      <c r="E48" s="6"/>
      <c r="F48" s="5"/>
      <c r="G48" s="5"/>
      <c r="H48" s="5"/>
      <c r="I48" s="6"/>
      <c r="J48" s="6"/>
      <c r="K48" s="5"/>
      <c r="L48" s="40"/>
      <c r="M48" s="40"/>
      <c r="N48" s="40"/>
      <c r="O48" s="40"/>
      <c r="P48" s="40"/>
      <c r="Q48" s="40"/>
      <c r="R48" s="40"/>
      <c r="S48" s="40"/>
      <c r="T48" s="40"/>
      <c r="U48" s="40"/>
      <c r="V48" s="38"/>
      <c r="W48" s="39"/>
      <c r="X48" s="39"/>
      <c r="Y48" s="39"/>
      <c r="Z48" s="39"/>
    </row>
    <row r="49" spans="1:29" s="1" customFormat="1" ht="23.25" customHeight="1" x14ac:dyDescent="0.2">
      <c r="A49" s="255" t="s">
        <v>782</v>
      </c>
      <c r="B49" s="256"/>
      <c r="C49" s="256"/>
      <c r="D49" s="256"/>
      <c r="E49" s="256"/>
      <c r="F49" s="256"/>
      <c r="G49" s="256"/>
      <c r="H49" s="256"/>
      <c r="I49" s="256"/>
      <c r="J49" s="256"/>
      <c r="K49" s="256"/>
      <c r="L49" s="256"/>
      <c r="M49" s="256"/>
      <c r="N49" s="256"/>
      <c r="O49" s="40"/>
      <c r="P49" s="40"/>
      <c r="Q49" s="151"/>
      <c r="R49" s="151"/>
      <c r="S49" s="151"/>
      <c r="T49" s="151"/>
      <c r="U49" s="151"/>
      <c r="V49" s="152"/>
      <c r="W49" s="158"/>
      <c r="X49" s="158"/>
      <c r="Y49" s="158"/>
      <c r="Z49" s="158"/>
      <c r="AA49" s="153"/>
    </row>
    <row r="50" spans="1:29" s="1" customFormat="1" ht="22.5" customHeight="1" x14ac:dyDescent="0.2">
      <c r="A50" s="29" t="s">
        <v>141</v>
      </c>
      <c r="B50" s="106" t="s">
        <v>142</v>
      </c>
      <c r="C50" s="106" t="s">
        <v>143</v>
      </c>
      <c r="D50" s="106" t="s">
        <v>144</v>
      </c>
      <c r="E50" s="106" t="s">
        <v>145</v>
      </c>
      <c r="F50" s="106" t="s">
        <v>146</v>
      </c>
      <c r="G50" s="106" t="s">
        <v>147</v>
      </c>
      <c r="H50" s="106" t="s">
        <v>148</v>
      </c>
      <c r="I50" s="106" t="s">
        <v>149</v>
      </c>
      <c r="J50" s="106" t="s">
        <v>150</v>
      </c>
      <c r="K50" s="106" t="s">
        <v>152</v>
      </c>
      <c r="L50" s="106" t="s">
        <v>153</v>
      </c>
      <c r="M50" s="106" t="s">
        <v>154</v>
      </c>
      <c r="N50" s="106" t="s">
        <v>160</v>
      </c>
      <c r="O50" s="40"/>
      <c r="P50" s="151"/>
      <c r="Q50" s="151"/>
      <c r="R50" s="151"/>
      <c r="S50" s="151"/>
      <c r="T50" s="151"/>
      <c r="U50" s="151"/>
      <c r="V50" s="152"/>
      <c r="W50" s="158"/>
      <c r="X50" s="158"/>
      <c r="Y50" s="158"/>
      <c r="Z50" s="158"/>
      <c r="AA50" s="153"/>
      <c r="AB50" s="153"/>
      <c r="AC50" s="153"/>
    </row>
    <row r="51" spans="1:29" s="1" customFormat="1" ht="12" x14ac:dyDescent="0.2">
      <c r="A51" s="100" t="s">
        <v>157</v>
      </c>
      <c r="B51" s="128">
        <v>6254.0967700000001</v>
      </c>
      <c r="C51" s="129">
        <v>5380.8666700000003</v>
      </c>
      <c r="D51" s="128">
        <v>5110.1290300000001</v>
      </c>
      <c r="E51" s="129">
        <v>4920.75</v>
      </c>
      <c r="F51" s="128">
        <v>0</v>
      </c>
      <c r="G51" s="129">
        <v>0</v>
      </c>
      <c r="H51" s="129">
        <v>0</v>
      </c>
      <c r="I51" s="128">
        <v>0</v>
      </c>
      <c r="J51" s="129">
        <v>0</v>
      </c>
      <c r="K51" s="128">
        <v>0</v>
      </c>
      <c r="L51" s="128">
        <v>0</v>
      </c>
      <c r="M51" s="129">
        <v>0</v>
      </c>
      <c r="N51" s="128">
        <v>5485.6388900000002</v>
      </c>
      <c r="O51" s="40"/>
      <c r="P51" s="144"/>
      <c r="Q51" s="144"/>
      <c r="R51" s="144"/>
      <c r="S51" s="144"/>
      <c r="T51" s="144"/>
      <c r="U51" s="144"/>
      <c r="V51" s="154"/>
      <c r="W51" s="159"/>
      <c r="X51" s="159"/>
      <c r="Y51" s="159"/>
      <c r="Z51" s="159"/>
      <c r="AA51" s="155"/>
    </row>
    <row r="52" spans="1:29" s="1" customFormat="1" ht="12" x14ac:dyDescent="0.2">
      <c r="A52" s="102" t="s">
        <v>75</v>
      </c>
      <c r="B52" s="127">
        <v>928.48387000000002</v>
      </c>
      <c r="C52" s="127">
        <v>756.5</v>
      </c>
      <c r="D52" s="127">
        <v>722.54839000000004</v>
      </c>
      <c r="E52" s="127">
        <v>651.625</v>
      </c>
      <c r="F52" s="127">
        <v>0</v>
      </c>
      <c r="G52" s="127">
        <v>0</v>
      </c>
      <c r="H52" s="127">
        <v>0</v>
      </c>
      <c r="I52" s="127">
        <v>0</v>
      </c>
      <c r="J52" s="127">
        <v>0</v>
      </c>
      <c r="K52" s="127">
        <v>0</v>
      </c>
      <c r="L52" s="127">
        <v>0</v>
      </c>
      <c r="M52" s="127">
        <v>0</v>
      </c>
      <c r="N52" s="127">
        <v>780.58333000000005</v>
      </c>
      <c r="O52" s="40"/>
      <c r="P52" s="144"/>
      <c r="Q52" s="144"/>
      <c r="R52" s="144"/>
      <c r="S52" s="144"/>
      <c r="T52" s="144"/>
      <c r="U52" s="150"/>
      <c r="V52" s="154"/>
      <c r="W52" s="159"/>
      <c r="X52" s="159"/>
      <c r="Y52" s="159"/>
      <c r="Z52" s="159"/>
      <c r="AA52" s="155"/>
      <c r="AB52" s="155"/>
      <c r="AC52" s="155"/>
    </row>
    <row r="53" spans="1:29" s="1" customFormat="1" ht="12" x14ac:dyDescent="0.2">
      <c r="A53" s="103" t="s">
        <v>108</v>
      </c>
      <c r="B53" s="127">
        <v>241.83870999999999</v>
      </c>
      <c r="C53" s="127">
        <v>233.43333000000001</v>
      </c>
      <c r="D53" s="127">
        <v>239.19354999999999</v>
      </c>
      <c r="E53" s="127">
        <v>244.3125</v>
      </c>
      <c r="F53" s="127">
        <v>0</v>
      </c>
      <c r="G53" s="127">
        <v>0</v>
      </c>
      <c r="H53" s="127">
        <v>0</v>
      </c>
      <c r="I53" s="127">
        <v>0</v>
      </c>
      <c r="J53" s="127">
        <v>0</v>
      </c>
      <c r="K53" s="127">
        <v>0</v>
      </c>
      <c r="L53" s="127">
        <v>0</v>
      </c>
      <c r="M53" s="127">
        <v>0</v>
      </c>
      <c r="N53" s="127">
        <v>239.11111</v>
      </c>
      <c r="O53" s="40"/>
      <c r="P53" s="151"/>
      <c r="Q53" s="151"/>
      <c r="R53" s="151"/>
      <c r="S53" s="151"/>
      <c r="T53" s="151"/>
      <c r="U53" s="151"/>
      <c r="V53" s="152"/>
      <c r="W53" s="158"/>
      <c r="X53" s="158"/>
      <c r="Y53" s="158"/>
      <c r="Z53" s="158"/>
      <c r="AA53" s="155"/>
      <c r="AB53" s="155"/>
      <c r="AC53" s="155"/>
    </row>
    <row r="54" spans="1:29" s="41" customFormat="1" ht="12" x14ac:dyDescent="0.2">
      <c r="A54" s="103" t="s">
        <v>137</v>
      </c>
      <c r="B54" s="127">
        <v>5083.7741900000001</v>
      </c>
      <c r="C54" s="127">
        <v>4390.9333299999998</v>
      </c>
      <c r="D54" s="127">
        <v>4148.3870999999999</v>
      </c>
      <c r="E54" s="127">
        <v>4024.8125</v>
      </c>
      <c r="F54" s="127">
        <v>0</v>
      </c>
      <c r="G54" s="127">
        <v>0</v>
      </c>
      <c r="H54" s="127">
        <v>0</v>
      </c>
      <c r="I54" s="127">
        <v>0</v>
      </c>
      <c r="J54" s="127">
        <v>0</v>
      </c>
      <c r="K54" s="127">
        <v>0</v>
      </c>
      <c r="L54" s="127">
        <v>0</v>
      </c>
      <c r="M54" s="127">
        <v>0</v>
      </c>
      <c r="N54" s="127">
        <v>4465.9444400000002</v>
      </c>
      <c r="O54" s="40"/>
      <c r="P54" s="144"/>
      <c r="Q54" s="144"/>
      <c r="R54" s="144"/>
      <c r="S54" s="144"/>
      <c r="T54" s="144"/>
      <c r="U54" s="144"/>
      <c r="V54" s="154"/>
      <c r="W54" s="160"/>
      <c r="X54" s="160"/>
      <c r="Y54" s="160"/>
      <c r="Z54" s="160"/>
      <c r="AA54" s="160"/>
      <c r="AB54" s="160"/>
    </row>
    <row r="55" spans="1:29" s="1" customFormat="1" ht="12" x14ac:dyDescent="0.2">
      <c r="A55" s="100" t="s">
        <v>158</v>
      </c>
      <c r="B55" s="128">
        <v>12494.29032</v>
      </c>
      <c r="C55" s="129">
        <v>11489.43333</v>
      </c>
      <c r="D55" s="128">
        <v>11014.54839</v>
      </c>
      <c r="E55" s="129">
        <v>10466</v>
      </c>
      <c r="F55" s="128">
        <v>0</v>
      </c>
      <c r="G55" s="129">
        <v>0</v>
      </c>
      <c r="H55" s="129">
        <v>0</v>
      </c>
      <c r="I55" s="128">
        <v>0</v>
      </c>
      <c r="J55" s="129">
        <v>0</v>
      </c>
      <c r="K55" s="128">
        <v>0</v>
      </c>
      <c r="L55" s="128">
        <v>0</v>
      </c>
      <c r="M55" s="129">
        <v>0</v>
      </c>
      <c r="N55" s="128">
        <v>11489.93519</v>
      </c>
      <c r="O55" s="40"/>
      <c r="P55" s="144"/>
      <c r="Q55" s="144"/>
      <c r="R55" s="144"/>
      <c r="S55" s="144"/>
      <c r="T55" s="144"/>
      <c r="U55" s="144"/>
      <c r="V55" s="154"/>
      <c r="W55" s="155"/>
      <c r="X55" s="155"/>
      <c r="Y55" s="155"/>
      <c r="Z55" s="155"/>
      <c r="AA55" s="155"/>
      <c r="AB55" s="155"/>
      <c r="AC55" s="155"/>
    </row>
    <row r="56" spans="1:29" s="1" customFormat="1" ht="12" x14ac:dyDescent="0.2">
      <c r="A56" s="102" t="s">
        <v>75</v>
      </c>
      <c r="B56" s="127">
        <v>8974.9354800000001</v>
      </c>
      <c r="C56" s="127">
        <v>8181.73333</v>
      </c>
      <c r="D56" s="127">
        <v>7756.4516100000001</v>
      </c>
      <c r="E56" s="127">
        <v>7377.1875</v>
      </c>
      <c r="F56" s="127">
        <v>0</v>
      </c>
      <c r="G56" s="127">
        <v>0</v>
      </c>
      <c r="H56" s="127">
        <v>0</v>
      </c>
      <c r="I56" s="127">
        <v>0</v>
      </c>
      <c r="J56" s="127">
        <v>0</v>
      </c>
      <c r="K56" s="127">
        <v>0</v>
      </c>
      <c r="L56" s="127">
        <v>0</v>
      </c>
      <c r="M56" s="127">
        <v>0</v>
      </c>
      <c r="N56" s="127">
        <v>8168.14815</v>
      </c>
      <c r="O56" s="40"/>
      <c r="P56" s="144"/>
      <c r="Q56" s="144"/>
      <c r="R56" s="144"/>
      <c r="S56" s="144"/>
      <c r="T56" s="144"/>
      <c r="U56" s="144"/>
      <c r="V56" s="154"/>
      <c r="W56" s="155"/>
      <c r="X56" s="155"/>
      <c r="Y56" s="155"/>
      <c r="Z56" s="155"/>
      <c r="AA56" s="155"/>
      <c r="AB56" s="155"/>
      <c r="AC56" s="161"/>
    </row>
    <row r="57" spans="1:29" s="1" customFormat="1" ht="12" x14ac:dyDescent="0.2">
      <c r="A57" s="103" t="s">
        <v>108</v>
      </c>
      <c r="B57" s="127">
        <v>2798.9032299999999</v>
      </c>
      <c r="C57" s="127">
        <v>2690.5333300000002</v>
      </c>
      <c r="D57" s="127">
        <v>2632.3870999999999</v>
      </c>
      <c r="E57" s="127">
        <v>2517.25</v>
      </c>
      <c r="F57" s="127">
        <v>0</v>
      </c>
      <c r="G57" s="127">
        <v>0</v>
      </c>
      <c r="H57" s="127">
        <v>0</v>
      </c>
      <c r="I57" s="127">
        <v>0</v>
      </c>
      <c r="J57" s="127">
        <v>0</v>
      </c>
      <c r="K57" s="127">
        <v>0</v>
      </c>
      <c r="L57" s="127">
        <v>0</v>
      </c>
      <c r="M57" s="127">
        <v>0</v>
      </c>
      <c r="N57" s="127">
        <v>2679.2777799999999</v>
      </c>
      <c r="O57" s="40"/>
      <c r="P57" s="144"/>
      <c r="Q57" s="144"/>
      <c r="R57" s="144"/>
      <c r="S57" s="144"/>
      <c r="T57" s="150"/>
      <c r="U57" s="144"/>
      <c r="V57" s="154"/>
      <c r="W57" s="155"/>
      <c r="X57" s="155"/>
      <c r="Y57" s="155"/>
      <c r="Z57" s="155"/>
      <c r="AA57" s="155"/>
      <c r="AB57" s="155"/>
      <c r="AC57" s="155"/>
    </row>
    <row r="58" spans="1:29" s="1" customFormat="1" ht="12" x14ac:dyDescent="0.2">
      <c r="A58" s="103" t="s">
        <v>137</v>
      </c>
      <c r="B58" s="127">
        <v>720.45160999999996</v>
      </c>
      <c r="C58" s="127">
        <v>617.16666999999995</v>
      </c>
      <c r="D58" s="127">
        <v>625.70968000000005</v>
      </c>
      <c r="E58" s="127">
        <v>571.5625</v>
      </c>
      <c r="F58" s="127">
        <v>0</v>
      </c>
      <c r="G58" s="127">
        <v>0</v>
      </c>
      <c r="H58" s="127">
        <v>0</v>
      </c>
      <c r="I58" s="127">
        <v>0</v>
      </c>
      <c r="J58" s="127">
        <v>0</v>
      </c>
      <c r="K58" s="127">
        <v>0</v>
      </c>
      <c r="L58" s="127">
        <v>0</v>
      </c>
      <c r="M58" s="127">
        <v>0</v>
      </c>
      <c r="N58" s="127">
        <v>642.50926000000004</v>
      </c>
      <c r="O58" s="40"/>
      <c r="P58" s="144"/>
      <c r="Q58" s="144"/>
      <c r="R58" s="144"/>
      <c r="S58" s="144"/>
      <c r="T58" s="144"/>
      <c r="U58" s="144"/>
      <c r="V58" s="154"/>
      <c r="W58" s="155"/>
      <c r="X58" s="155"/>
      <c r="Y58" s="155"/>
      <c r="Z58" s="161"/>
      <c r="AA58" s="155"/>
      <c r="AB58" s="155"/>
      <c r="AC58" s="155"/>
    </row>
    <row r="59" spans="1:29" s="1" customFormat="1" ht="12" x14ac:dyDescent="0.2">
      <c r="A59" s="100" t="s">
        <v>159</v>
      </c>
      <c r="B59" s="128">
        <v>18748.3871</v>
      </c>
      <c r="C59" s="129">
        <v>16870.3</v>
      </c>
      <c r="D59" s="128">
        <v>16124.67742</v>
      </c>
      <c r="E59" s="129">
        <v>15386.75</v>
      </c>
      <c r="F59" s="128">
        <v>0</v>
      </c>
      <c r="G59" s="129">
        <v>0</v>
      </c>
      <c r="H59" s="129">
        <v>0</v>
      </c>
      <c r="I59" s="128">
        <v>0</v>
      </c>
      <c r="J59" s="129">
        <v>0</v>
      </c>
      <c r="K59" s="128">
        <v>0</v>
      </c>
      <c r="L59" s="128">
        <v>0</v>
      </c>
      <c r="M59" s="129">
        <v>0</v>
      </c>
      <c r="N59" s="128">
        <v>16975.574069999999</v>
      </c>
      <c r="O59" s="40"/>
      <c r="P59" s="144"/>
      <c r="Q59" s="144"/>
      <c r="R59" s="144"/>
      <c r="S59" s="144"/>
      <c r="T59" s="144"/>
      <c r="U59" s="144"/>
      <c r="V59" s="154"/>
      <c r="W59" s="155"/>
      <c r="X59" s="155"/>
      <c r="Y59" s="155"/>
    </row>
    <row r="60" spans="1:29" s="1" customFormat="1" ht="12" x14ac:dyDescent="0.2">
      <c r="A60" s="102" t="s">
        <v>75</v>
      </c>
      <c r="B60" s="127">
        <v>9903.4193500000001</v>
      </c>
      <c r="C60" s="127">
        <v>8938.2333299999991</v>
      </c>
      <c r="D60" s="127">
        <v>8479</v>
      </c>
      <c r="E60" s="127">
        <v>8028.8125</v>
      </c>
      <c r="F60" s="127">
        <v>0</v>
      </c>
      <c r="G60" s="127">
        <v>0</v>
      </c>
      <c r="H60" s="127">
        <v>0</v>
      </c>
      <c r="I60" s="127">
        <v>0</v>
      </c>
      <c r="J60" s="127">
        <v>0</v>
      </c>
      <c r="K60" s="127">
        <v>0</v>
      </c>
      <c r="L60" s="127">
        <v>0</v>
      </c>
      <c r="M60" s="127">
        <v>0</v>
      </c>
      <c r="N60" s="127">
        <v>8948.7314800000004</v>
      </c>
      <c r="O60" s="40"/>
      <c r="P60" s="144"/>
      <c r="Q60" s="144"/>
      <c r="R60" s="144"/>
      <c r="S60" s="144"/>
      <c r="T60" s="144"/>
      <c r="U60" s="144"/>
      <c r="V60" s="154"/>
    </row>
    <row r="61" spans="1:29" s="1" customFormat="1" ht="12" x14ac:dyDescent="0.2">
      <c r="A61" s="103" t="s">
        <v>108</v>
      </c>
      <c r="B61" s="127">
        <v>3040.7419399999999</v>
      </c>
      <c r="C61" s="127">
        <v>2923.9666699999998</v>
      </c>
      <c r="D61" s="127">
        <v>2871.5806499999999</v>
      </c>
      <c r="E61" s="127">
        <v>2761.5625</v>
      </c>
      <c r="F61" s="127">
        <v>0</v>
      </c>
      <c r="G61" s="127">
        <v>0</v>
      </c>
      <c r="H61" s="127">
        <v>0</v>
      </c>
      <c r="I61" s="127">
        <v>0</v>
      </c>
      <c r="J61" s="127">
        <v>0</v>
      </c>
      <c r="K61" s="127">
        <v>0</v>
      </c>
      <c r="L61" s="127">
        <v>0</v>
      </c>
      <c r="M61" s="127">
        <v>0</v>
      </c>
      <c r="N61" s="127">
        <v>2918.3888900000002</v>
      </c>
      <c r="O61" s="40"/>
      <c r="P61" s="144"/>
      <c r="Q61" s="144"/>
      <c r="R61" s="150"/>
      <c r="S61" s="144"/>
      <c r="T61" s="144"/>
      <c r="U61" s="144"/>
      <c r="V61" s="154"/>
    </row>
    <row r="62" spans="1:29" s="1" customFormat="1" ht="12" x14ac:dyDescent="0.2">
      <c r="A62" s="103" t="s">
        <v>137</v>
      </c>
      <c r="B62" s="127">
        <v>5804.2258099999999</v>
      </c>
      <c r="C62" s="127">
        <v>5008.1000000000004</v>
      </c>
      <c r="D62" s="127">
        <v>4774.0967700000001</v>
      </c>
      <c r="E62" s="127">
        <v>4596.375</v>
      </c>
      <c r="F62" s="127">
        <v>0</v>
      </c>
      <c r="G62" s="127">
        <v>0</v>
      </c>
      <c r="H62" s="127">
        <v>0</v>
      </c>
      <c r="I62" s="127">
        <v>0</v>
      </c>
      <c r="J62" s="127">
        <v>0</v>
      </c>
      <c r="K62" s="127">
        <v>0</v>
      </c>
      <c r="L62" s="127">
        <v>0</v>
      </c>
      <c r="M62" s="127">
        <v>0</v>
      </c>
      <c r="N62" s="127">
        <v>5108.4537</v>
      </c>
      <c r="O62" s="40"/>
      <c r="P62" s="144"/>
      <c r="Q62" s="144"/>
      <c r="R62" s="150"/>
      <c r="S62" s="150"/>
      <c r="T62" s="40"/>
      <c r="U62" s="40"/>
      <c r="V62" s="38"/>
    </row>
    <row r="63" spans="1:29" s="1" customFormat="1" ht="12" x14ac:dyDescent="0.2">
      <c r="A63" s="97"/>
      <c r="B63" s="6"/>
      <c r="C63" s="6"/>
      <c r="D63" s="6"/>
      <c r="E63" s="6"/>
      <c r="F63" s="5"/>
      <c r="G63" s="5"/>
      <c r="H63" s="5"/>
      <c r="I63" s="5"/>
      <c r="J63" s="5"/>
      <c r="K63" s="5"/>
      <c r="L63" s="40"/>
      <c r="M63" s="40"/>
      <c r="N63" s="40"/>
      <c r="O63" s="40"/>
      <c r="P63" s="144"/>
      <c r="Q63" s="144"/>
      <c r="R63" s="144"/>
      <c r="S63" s="40"/>
      <c r="T63" s="40"/>
      <c r="U63" s="40"/>
      <c r="V63" s="38"/>
    </row>
    <row r="64" spans="1:29" s="1" customFormat="1" ht="12" customHeight="1" x14ac:dyDescent="0.2">
      <c r="A64" s="222"/>
      <c r="B64" s="223"/>
      <c r="C64" s="223"/>
      <c r="D64" s="223"/>
      <c r="E64" s="223"/>
      <c r="F64" s="223"/>
      <c r="G64" s="223"/>
      <c r="H64" s="223"/>
      <c r="I64" s="223"/>
      <c r="J64" s="223"/>
      <c r="K64" s="223"/>
      <c r="L64" s="223"/>
      <c r="M64" s="223"/>
      <c r="N64" s="223"/>
      <c r="O64" s="223"/>
      <c r="P64" s="223"/>
      <c r="Q64" s="223"/>
      <c r="R64" s="223"/>
      <c r="S64" s="223"/>
      <c r="T64" s="223"/>
      <c r="U64" s="223"/>
      <c r="V64" s="224"/>
    </row>
    <row r="65" spans="1:28" s="1" customFormat="1" ht="12" x14ac:dyDescent="0.2">
      <c r="A65" s="97"/>
      <c r="B65" s="6"/>
      <c r="C65" s="6"/>
      <c r="D65" s="6"/>
      <c r="E65" s="6"/>
      <c r="F65" s="5"/>
      <c r="G65" s="5"/>
      <c r="H65" s="5"/>
      <c r="I65" s="5"/>
      <c r="J65" s="5"/>
      <c r="K65" s="5"/>
      <c r="L65" s="40"/>
      <c r="M65" s="40"/>
      <c r="N65" s="40"/>
      <c r="O65" s="40"/>
      <c r="P65" s="40"/>
      <c r="Q65" s="40"/>
      <c r="R65" s="40"/>
      <c r="S65" s="40"/>
      <c r="T65" s="40"/>
      <c r="U65" s="40"/>
      <c r="V65" s="38"/>
    </row>
    <row r="66" spans="1:28" s="1" customFormat="1" ht="24.75" customHeight="1" x14ac:dyDescent="0.2">
      <c r="A66" s="255" t="s">
        <v>783</v>
      </c>
      <c r="B66" s="256"/>
      <c r="C66" s="256"/>
      <c r="D66" s="256"/>
      <c r="E66" s="256"/>
      <c r="F66" s="256"/>
      <c r="G66" s="256"/>
      <c r="H66" s="256"/>
      <c r="I66" s="256"/>
      <c r="J66" s="256"/>
      <c r="K66" s="256"/>
      <c r="L66" s="256"/>
      <c r="M66" s="256"/>
      <c r="N66" s="256"/>
      <c r="O66" s="40"/>
      <c r="P66" s="40"/>
      <c r="Q66" s="151"/>
      <c r="R66" s="151"/>
      <c r="S66" s="151"/>
      <c r="T66" s="151"/>
      <c r="U66" s="151"/>
      <c r="V66" s="152"/>
      <c r="W66" s="153"/>
      <c r="X66" s="153"/>
      <c r="Y66" s="153"/>
      <c r="Z66" s="153"/>
      <c r="AA66" s="153"/>
    </row>
    <row r="67" spans="1:28" s="1" customFormat="1" ht="12" x14ac:dyDescent="0.2">
      <c r="A67" s="29" t="s">
        <v>141</v>
      </c>
      <c r="B67" s="106" t="s">
        <v>142</v>
      </c>
      <c r="C67" s="106" t="s">
        <v>143</v>
      </c>
      <c r="D67" s="106" t="s">
        <v>144</v>
      </c>
      <c r="E67" s="106" t="s">
        <v>145</v>
      </c>
      <c r="F67" s="106" t="s">
        <v>146</v>
      </c>
      <c r="G67" s="106" t="s">
        <v>147</v>
      </c>
      <c r="H67" s="106" t="s">
        <v>148</v>
      </c>
      <c r="I67" s="106" t="s">
        <v>149</v>
      </c>
      <c r="J67" s="106" t="s">
        <v>150</v>
      </c>
      <c r="K67" s="106" t="s">
        <v>152</v>
      </c>
      <c r="L67" s="106" t="s">
        <v>153</v>
      </c>
      <c r="M67" s="106" t="s">
        <v>154</v>
      </c>
      <c r="N67" s="106" t="s">
        <v>160</v>
      </c>
      <c r="O67" s="40"/>
      <c r="P67" s="151"/>
      <c r="Q67" s="151"/>
      <c r="R67" s="151"/>
      <c r="S67" s="151"/>
      <c r="T67" s="151"/>
      <c r="U67" s="151"/>
      <c r="V67" s="152"/>
      <c r="W67" s="153"/>
      <c r="X67" s="153"/>
      <c r="Y67" s="153"/>
      <c r="Z67" s="153"/>
      <c r="AA67" s="153"/>
      <c r="AB67" s="153"/>
    </row>
    <row r="68" spans="1:28" s="1" customFormat="1" ht="12.75" customHeight="1" x14ac:dyDescent="0.2">
      <c r="A68" s="100" t="s">
        <v>157</v>
      </c>
      <c r="B68" s="130">
        <v>112.99193</v>
      </c>
      <c r="C68" s="131">
        <v>121.32705</v>
      </c>
      <c r="D68" s="130">
        <v>110.90123</v>
      </c>
      <c r="E68" s="131">
        <v>72.962010000000006</v>
      </c>
      <c r="F68" s="130">
        <v>0</v>
      </c>
      <c r="G68" s="131">
        <v>0</v>
      </c>
      <c r="H68" s="131">
        <v>0</v>
      </c>
      <c r="I68" s="130">
        <v>0</v>
      </c>
      <c r="J68" s="131">
        <v>0</v>
      </c>
      <c r="K68" s="130">
        <v>0</v>
      </c>
      <c r="L68" s="130">
        <v>0</v>
      </c>
      <c r="M68" s="131">
        <v>0</v>
      </c>
      <c r="N68" s="130">
        <v>108.36717</v>
      </c>
      <c r="O68" s="40"/>
      <c r="P68" s="40"/>
      <c r="Q68" s="151"/>
      <c r="R68" s="151"/>
      <c r="S68" s="151"/>
      <c r="T68" s="151"/>
      <c r="U68" s="151"/>
      <c r="V68" s="152"/>
      <c r="W68" s="153"/>
      <c r="X68" s="153"/>
      <c r="Y68" s="153"/>
      <c r="Z68" s="153"/>
      <c r="AA68" s="153"/>
    </row>
    <row r="69" spans="1:28" s="1" customFormat="1" ht="12" x14ac:dyDescent="0.2">
      <c r="A69" s="102" t="s">
        <v>75</v>
      </c>
      <c r="B69" s="132">
        <v>88.454319999999996</v>
      </c>
      <c r="C69" s="132">
        <v>91.692750000000004</v>
      </c>
      <c r="D69" s="132">
        <v>71.410529999999994</v>
      </c>
      <c r="E69" s="132">
        <v>49.77525</v>
      </c>
      <c r="F69" s="132">
        <v>0</v>
      </c>
      <c r="G69" s="132">
        <v>0</v>
      </c>
      <c r="H69" s="132">
        <v>0</v>
      </c>
      <c r="I69" s="132">
        <v>0</v>
      </c>
      <c r="J69" s="132">
        <v>0</v>
      </c>
      <c r="K69" s="132">
        <v>0</v>
      </c>
      <c r="L69" s="132">
        <v>0</v>
      </c>
      <c r="M69" s="132">
        <v>0</v>
      </c>
      <c r="N69" s="132">
        <v>78.308700000000002</v>
      </c>
      <c r="O69" s="40"/>
      <c r="P69" s="40"/>
      <c r="Q69" s="40"/>
      <c r="R69" s="40"/>
      <c r="S69" s="40"/>
      <c r="T69" s="40"/>
      <c r="U69" s="40"/>
      <c r="V69" s="38"/>
    </row>
    <row r="70" spans="1:28" s="1" customFormat="1" ht="12" x14ac:dyDescent="0.2">
      <c r="A70" s="103" t="s">
        <v>108</v>
      </c>
      <c r="B70" s="132">
        <v>138.57857000000001</v>
      </c>
      <c r="C70" s="132">
        <v>73.048540000000003</v>
      </c>
      <c r="D70" s="132">
        <v>77.740459999999999</v>
      </c>
      <c r="E70" s="132">
        <v>52.5625</v>
      </c>
      <c r="F70" s="132">
        <v>0</v>
      </c>
      <c r="G70" s="132">
        <v>0</v>
      </c>
      <c r="H70" s="132">
        <v>0</v>
      </c>
      <c r="I70" s="132">
        <v>0</v>
      </c>
      <c r="J70" s="132">
        <v>0</v>
      </c>
      <c r="K70" s="132">
        <v>0</v>
      </c>
      <c r="L70" s="132">
        <v>0</v>
      </c>
      <c r="M70" s="132">
        <v>0</v>
      </c>
      <c r="N70" s="132">
        <v>91</v>
      </c>
      <c r="O70" s="40"/>
      <c r="P70" s="40"/>
      <c r="Q70" s="151"/>
      <c r="R70" s="151"/>
      <c r="S70" s="151"/>
      <c r="T70" s="151"/>
      <c r="U70" s="151"/>
      <c r="V70" s="152"/>
      <c r="W70" s="153"/>
    </row>
    <row r="71" spans="1:28" s="1" customFormat="1" ht="12" x14ac:dyDescent="0.2">
      <c r="A71" s="103" t="s">
        <v>137</v>
      </c>
      <c r="B71" s="132">
        <v>119.79783</v>
      </c>
      <c r="C71" s="132">
        <v>132.30193</v>
      </c>
      <c r="D71" s="132">
        <v>123.485</v>
      </c>
      <c r="E71" s="132">
        <v>83.002790000000005</v>
      </c>
      <c r="F71" s="132">
        <v>0</v>
      </c>
      <c r="G71" s="132">
        <v>0</v>
      </c>
      <c r="H71" s="132">
        <v>0</v>
      </c>
      <c r="I71" s="132">
        <v>0</v>
      </c>
      <c r="J71" s="132">
        <v>0</v>
      </c>
      <c r="K71" s="132">
        <v>0</v>
      </c>
      <c r="L71" s="132">
        <v>0</v>
      </c>
      <c r="M71" s="132">
        <v>0</v>
      </c>
      <c r="N71" s="132">
        <v>118.67349</v>
      </c>
      <c r="O71" s="40"/>
      <c r="P71" s="151"/>
      <c r="Q71" s="151"/>
      <c r="R71" s="151"/>
      <c r="S71" s="151"/>
      <c r="T71" s="151"/>
      <c r="U71" s="151"/>
      <c r="V71" s="152"/>
      <c r="W71" s="153"/>
      <c r="X71" s="153"/>
      <c r="Y71" s="153"/>
      <c r="Z71" s="153"/>
    </row>
    <row r="72" spans="1:28" s="1" customFormat="1" ht="12" x14ac:dyDescent="0.2">
      <c r="A72" s="100" t="s">
        <v>158</v>
      </c>
      <c r="B72" s="130">
        <v>75.897059999999996</v>
      </c>
      <c r="C72" s="131">
        <v>70.208460000000002</v>
      </c>
      <c r="D72" s="130">
        <v>67.540189999999996</v>
      </c>
      <c r="E72" s="131">
        <v>65.824269999999999</v>
      </c>
      <c r="F72" s="130">
        <v>0</v>
      </c>
      <c r="G72" s="131">
        <v>0</v>
      </c>
      <c r="H72" s="131">
        <v>0</v>
      </c>
      <c r="I72" s="130">
        <v>0</v>
      </c>
      <c r="J72" s="131">
        <v>0</v>
      </c>
      <c r="K72" s="130">
        <v>0</v>
      </c>
      <c r="L72" s="130">
        <v>0</v>
      </c>
      <c r="M72" s="131">
        <v>0</v>
      </c>
      <c r="N72" s="130">
        <v>70.750209999999996</v>
      </c>
      <c r="O72" s="40"/>
      <c r="P72" s="151"/>
      <c r="Q72" s="151"/>
      <c r="R72" s="40"/>
      <c r="S72" s="40"/>
      <c r="T72" s="40"/>
      <c r="U72" s="40"/>
      <c r="V72" s="38"/>
    </row>
    <row r="73" spans="1:28" s="1" customFormat="1" ht="12" x14ac:dyDescent="0.2">
      <c r="A73" s="102" t="s">
        <v>75</v>
      </c>
      <c r="B73" s="132">
        <v>78.728740000000002</v>
      </c>
      <c r="C73" s="132">
        <v>76.062610000000006</v>
      </c>
      <c r="D73" s="132">
        <v>74.08587</v>
      </c>
      <c r="E73" s="132">
        <v>70.873699999999999</v>
      </c>
      <c r="F73" s="132">
        <v>0</v>
      </c>
      <c r="G73" s="132">
        <v>0</v>
      </c>
      <c r="H73" s="132">
        <v>0</v>
      </c>
      <c r="I73" s="132">
        <v>0</v>
      </c>
      <c r="J73" s="132">
        <v>0</v>
      </c>
      <c r="K73" s="132">
        <v>0</v>
      </c>
      <c r="L73" s="132">
        <v>0</v>
      </c>
      <c r="M73" s="132">
        <v>0</v>
      </c>
      <c r="N73" s="132">
        <v>75.705340000000007</v>
      </c>
      <c r="O73" s="40"/>
      <c r="P73" s="151"/>
      <c r="Q73" s="151"/>
      <c r="R73" s="151"/>
      <c r="S73" s="151"/>
      <c r="T73" s="151"/>
      <c r="U73" s="40"/>
      <c r="V73" s="38"/>
    </row>
    <row r="74" spans="1:28" s="1" customFormat="1" ht="12" customHeight="1" x14ac:dyDescent="0.2">
      <c r="A74" s="103" t="s">
        <v>108</v>
      </c>
      <c r="B74" s="132">
        <v>65.841470000000001</v>
      </c>
      <c r="C74" s="132">
        <v>53.303379999999997</v>
      </c>
      <c r="D74" s="132">
        <v>51.517220000000002</v>
      </c>
      <c r="E74" s="132">
        <v>55.006149999999998</v>
      </c>
      <c r="F74" s="132">
        <v>0</v>
      </c>
      <c r="G74" s="132">
        <v>0</v>
      </c>
      <c r="H74" s="132">
        <v>0</v>
      </c>
      <c r="I74" s="132">
        <v>0</v>
      </c>
      <c r="J74" s="132">
        <v>0</v>
      </c>
      <c r="K74" s="132">
        <v>0</v>
      </c>
      <c r="L74" s="132">
        <v>0</v>
      </c>
      <c r="M74" s="132">
        <v>0</v>
      </c>
      <c r="N74" s="132">
        <v>57.043190000000003</v>
      </c>
      <c r="O74" s="40"/>
      <c r="P74" s="151"/>
      <c r="Q74" s="40"/>
      <c r="R74" s="40"/>
      <c r="S74" s="40"/>
      <c r="T74" s="40"/>
      <c r="U74" s="40"/>
      <c r="V74" s="38"/>
    </row>
    <row r="75" spans="1:28" s="1" customFormat="1" ht="12" x14ac:dyDescent="0.2">
      <c r="A75" s="103" t="s">
        <v>137</v>
      </c>
      <c r="B75" s="132">
        <v>82.284030000000001</v>
      </c>
      <c r="C75" s="132">
        <v>72.689830000000001</v>
      </c>
      <c r="D75" s="132">
        <v>64.173270000000002</v>
      </c>
      <c r="E75" s="132">
        <v>60.348590000000002</v>
      </c>
      <c r="F75" s="132">
        <v>0</v>
      </c>
      <c r="G75" s="132">
        <v>0</v>
      </c>
      <c r="H75" s="132">
        <v>0</v>
      </c>
      <c r="I75" s="132">
        <v>0</v>
      </c>
      <c r="J75" s="132">
        <v>0</v>
      </c>
      <c r="K75" s="132">
        <v>0</v>
      </c>
      <c r="L75" s="132">
        <v>0</v>
      </c>
      <c r="M75" s="132">
        <v>0</v>
      </c>
      <c r="N75" s="132">
        <v>71.956109999999995</v>
      </c>
      <c r="O75" s="40"/>
      <c r="P75" s="151"/>
      <c r="Q75" s="151"/>
      <c r="R75" s="40"/>
      <c r="S75" s="40"/>
      <c r="T75" s="40"/>
      <c r="U75" s="40"/>
      <c r="V75" s="38"/>
    </row>
    <row r="76" spans="1:28" s="1" customFormat="1" ht="12" x14ac:dyDescent="0.2">
      <c r="A76" s="100" t="s">
        <v>159</v>
      </c>
      <c r="B76" s="130">
        <v>86.553870000000003</v>
      </c>
      <c r="C76" s="131">
        <v>84.657409999999999</v>
      </c>
      <c r="D76" s="130">
        <v>80.544380000000004</v>
      </c>
      <c r="E76" s="131">
        <v>67.951070000000001</v>
      </c>
      <c r="F76" s="130">
        <v>0</v>
      </c>
      <c r="G76" s="131">
        <v>0</v>
      </c>
      <c r="H76" s="131">
        <v>0</v>
      </c>
      <c r="I76" s="130">
        <v>0</v>
      </c>
      <c r="J76" s="131">
        <v>0</v>
      </c>
      <c r="K76" s="130">
        <v>0</v>
      </c>
      <c r="L76" s="130">
        <v>0</v>
      </c>
      <c r="M76" s="131">
        <v>0</v>
      </c>
      <c r="N76" s="130">
        <v>81.700590000000005</v>
      </c>
      <c r="O76" s="40"/>
      <c r="P76" s="40"/>
      <c r="Q76" s="40"/>
      <c r="R76" s="40"/>
      <c r="S76" s="40"/>
      <c r="T76" s="40"/>
      <c r="U76" s="40"/>
      <c r="V76" s="38"/>
    </row>
    <row r="77" spans="1:28" s="1" customFormat="1" ht="12" x14ac:dyDescent="0.2">
      <c r="A77" s="102" t="s">
        <v>75</v>
      </c>
      <c r="B77" s="132">
        <v>79.936239999999998</v>
      </c>
      <c r="C77" s="132">
        <v>77.739559999999997</v>
      </c>
      <c r="D77" s="132">
        <v>73.783420000000007</v>
      </c>
      <c r="E77" s="132">
        <v>67.884439999999998</v>
      </c>
      <c r="F77" s="132">
        <v>0</v>
      </c>
      <c r="G77" s="132">
        <v>0</v>
      </c>
      <c r="H77" s="132">
        <v>0</v>
      </c>
      <c r="I77" s="132">
        <v>0</v>
      </c>
      <c r="J77" s="132">
        <v>0</v>
      </c>
      <c r="K77" s="132">
        <v>0</v>
      </c>
      <c r="L77" s="132">
        <v>0</v>
      </c>
      <c r="M77" s="132">
        <v>0</v>
      </c>
      <c r="N77" s="132">
        <v>76.016469999999998</v>
      </c>
      <c r="O77" s="40"/>
      <c r="P77" s="40"/>
      <c r="Q77" s="40"/>
      <c r="R77" s="40"/>
      <c r="S77" s="40"/>
      <c r="T77" s="40"/>
      <c r="U77" s="40"/>
      <c r="V77" s="38"/>
    </row>
    <row r="78" spans="1:28" s="1" customFormat="1" ht="12" x14ac:dyDescent="0.2">
      <c r="A78" s="103" t="s">
        <v>108</v>
      </c>
      <c r="B78" s="132">
        <v>70.629059999999996</v>
      </c>
      <c r="C78" s="132">
        <v>54.519739999999999</v>
      </c>
      <c r="D78" s="132">
        <v>53.351309999999998</v>
      </c>
      <c r="E78" s="132">
        <v>54.821019999999997</v>
      </c>
      <c r="F78" s="132">
        <v>0</v>
      </c>
      <c r="G78" s="132">
        <v>0</v>
      </c>
      <c r="H78" s="132">
        <v>0</v>
      </c>
      <c r="I78" s="132">
        <v>0</v>
      </c>
      <c r="J78" s="132">
        <v>0</v>
      </c>
      <c r="K78" s="132">
        <v>0</v>
      </c>
      <c r="L78" s="132">
        <v>0</v>
      </c>
      <c r="M78" s="132">
        <v>0</v>
      </c>
      <c r="N78" s="132">
        <v>59.334569999999999</v>
      </c>
      <c r="O78" s="40"/>
      <c r="P78" s="40"/>
      <c r="Q78" s="40"/>
      <c r="R78" s="40"/>
      <c r="S78" s="40"/>
      <c r="T78" s="40"/>
      <c r="U78" s="40"/>
      <c r="V78" s="38"/>
    </row>
    <row r="79" spans="1:28" s="1" customFormat="1" ht="12" x14ac:dyDescent="0.2">
      <c r="A79" s="103" t="s">
        <v>137</v>
      </c>
      <c r="B79" s="132">
        <v>112.33020999999999</v>
      </c>
      <c r="C79" s="132">
        <v>121.72347000000001</v>
      </c>
      <c r="D79" s="132">
        <v>114.04374</v>
      </c>
      <c r="E79" s="132">
        <v>78.275530000000003</v>
      </c>
      <c r="F79" s="132">
        <v>0</v>
      </c>
      <c r="G79" s="132">
        <v>0</v>
      </c>
      <c r="H79" s="132">
        <v>0</v>
      </c>
      <c r="I79" s="132">
        <v>0</v>
      </c>
      <c r="J79" s="132">
        <v>0</v>
      </c>
      <c r="K79" s="132">
        <v>0</v>
      </c>
      <c r="L79" s="132">
        <v>0</v>
      </c>
      <c r="M79" s="132">
        <v>0</v>
      </c>
      <c r="N79" s="132">
        <v>110.0737</v>
      </c>
      <c r="O79" s="40"/>
      <c r="P79" s="40"/>
      <c r="Q79" s="40"/>
      <c r="R79" s="40"/>
      <c r="S79" s="40"/>
      <c r="T79" s="40"/>
      <c r="U79" s="40"/>
      <c r="V79" s="38"/>
    </row>
    <row r="80" spans="1:28" s="1" customFormat="1" ht="12" x14ac:dyDescent="0.2">
      <c r="A80" s="97"/>
      <c r="B80" s="6"/>
      <c r="C80" s="6"/>
      <c r="D80" s="6"/>
      <c r="E80" s="6"/>
      <c r="F80" s="5"/>
      <c r="G80" s="5"/>
      <c r="H80" s="5"/>
      <c r="I80" s="5"/>
      <c r="J80" s="5"/>
      <c r="K80" s="5"/>
      <c r="L80" s="40"/>
      <c r="M80" s="40"/>
      <c r="N80" s="40"/>
      <c r="O80" s="40"/>
      <c r="P80" s="40"/>
      <c r="Q80" s="40"/>
      <c r="R80" s="40"/>
      <c r="S80" s="40"/>
      <c r="T80" s="40"/>
      <c r="U80" s="40"/>
      <c r="V80" s="38"/>
    </row>
    <row r="81" spans="1:26" s="1" customFormat="1" ht="12" x14ac:dyDescent="0.2">
      <c r="A81" s="222"/>
      <c r="B81" s="223"/>
      <c r="C81" s="223"/>
      <c r="D81" s="223"/>
      <c r="E81" s="223"/>
      <c r="F81" s="223"/>
      <c r="G81" s="223"/>
      <c r="H81" s="223"/>
      <c r="I81" s="223"/>
      <c r="J81" s="223"/>
      <c r="K81" s="223"/>
      <c r="L81" s="223"/>
      <c r="M81" s="223"/>
      <c r="N81" s="223"/>
      <c r="O81" s="223"/>
      <c r="P81" s="223"/>
      <c r="Q81" s="223"/>
      <c r="R81" s="223"/>
      <c r="S81" s="223"/>
      <c r="T81" s="223"/>
      <c r="U81" s="223"/>
      <c r="V81" s="224"/>
    </row>
    <row r="82" spans="1:26" s="1" customFormat="1" ht="12" x14ac:dyDescent="0.2">
      <c r="A82" s="97"/>
      <c r="B82" s="6"/>
      <c r="C82" s="6"/>
      <c r="D82" s="6"/>
      <c r="E82" s="6"/>
      <c r="F82" s="5"/>
      <c r="G82" s="5"/>
      <c r="H82" s="5"/>
      <c r="I82" s="5"/>
      <c r="J82" s="5"/>
      <c r="K82" s="5"/>
      <c r="L82" s="40"/>
      <c r="M82" s="40"/>
      <c r="N82" s="40"/>
      <c r="O82" s="40"/>
      <c r="P82" s="40"/>
      <c r="Q82" s="40"/>
      <c r="R82" s="40"/>
      <c r="S82" s="151"/>
      <c r="T82" s="151"/>
      <c r="U82" s="151"/>
      <c r="V82" s="152"/>
    </row>
    <row r="83" spans="1:26" s="8" customFormat="1" ht="24.75" customHeight="1" x14ac:dyDescent="0.2">
      <c r="A83" s="257" t="s">
        <v>784</v>
      </c>
      <c r="B83" s="258"/>
      <c r="C83" s="258"/>
      <c r="D83" s="258"/>
      <c r="E83" s="258"/>
      <c r="F83" s="258"/>
      <c r="G83" s="258"/>
      <c r="H83" s="258"/>
      <c r="I83" s="258"/>
      <c r="J83" s="258"/>
      <c r="K83" s="258"/>
      <c r="L83" s="258"/>
      <c r="M83" s="258"/>
      <c r="N83" s="258"/>
      <c r="O83" s="40"/>
      <c r="P83" s="151"/>
      <c r="Q83" s="151"/>
      <c r="R83" s="151"/>
      <c r="S83" s="151"/>
      <c r="T83" s="151"/>
      <c r="U83" s="151"/>
      <c r="V83" s="152"/>
      <c r="W83" s="157"/>
      <c r="X83" s="157"/>
      <c r="Y83" s="157"/>
      <c r="Z83" s="157"/>
    </row>
    <row r="84" spans="1:26" s="1" customFormat="1" ht="12" x14ac:dyDescent="0.2">
      <c r="A84" s="29" t="s">
        <v>156</v>
      </c>
      <c r="B84" s="106" t="s">
        <v>142</v>
      </c>
      <c r="C84" s="106" t="s">
        <v>143</v>
      </c>
      <c r="D84" s="106" t="s">
        <v>144</v>
      </c>
      <c r="E84" s="106" t="s">
        <v>145</v>
      </c>
      <c r="F84" s="106" t="s">
        <v>146</v>
      </c>
      <c r="G84" s="106" t="s">
        <v>147</v>
      </c>
      <c r="H84" s="106" t="s">
        <v>148</v>
      </c>
      <c r="I84" s="106" t="s">
        <v>149</v>
      </c>
      <c r="J84" s="106" t="s">
        <v>150</v>
      </c>
      <c r="K84" s="106" t="s">
        <v>152</v>
      </c>
      <c r="L84" s="106" t="s">
        <v>153</v>
      </c>
      <c r="M84" s="106" t="s">
        <v>154</v>
      </c>
      <c r="N84" s="106" t="s">
        <v>160</v>
      </c>
      <c r="O84" s="40"/>
      <c r="P84" s="144"/>
      <c r="Q84" s="151"/>
      <c r="R84" s="151"/>
      <c r="S84" s="151"/>
      <c r="T84" s="151"/>
      <c r="U84" s="151"/>
      <c r="V84" s="152"/>
      <c r="W84" s="153"/>
      <c r="X84" s="153"/>
      <c r="Y84" s="153"/>
      <c r="Z84" s="153"/>
    </row>
    <row r="85" spans="1:26" s="1" customFormat="1" ht="12.75" customHeight="1" thickBot="1" x14ac:dyDescent="0.25">
      <c r="A85" s="92" t="s">
        <v>1</v>
      </c>
      <c r="B85" s="133">
        <v>18748.3871</v>
      </c>
      <c r="C85" s="134">
        <v>16870.3</v>
      </c>
      <c r="D85" s="133">
        <v>16124.67742</v>
      </c>
      <c r="E85" s="134">
        <v>15386.75</v>
      </c>
      <c r="F85" s="133">
        <v>0</v>
      </c>
      <c r="G85" s="134">
        <v>0</v>
      </c>
      <c r="H85" s="134">
        <v>0</v>
      </c>
      <c r="I85" s="133">
        <v>0</v>
      </c>
      <c r="J85" s="134">
        <v>0</v>
      </c>
      <c r="K85" s="133">
        <v>0</v>
      </c>
      <c r="L85" s="133">
        <v>0</v>
      </c>
      <c r="M85" s="134">
        <v>0</v>
      </c>
      <c r="N85" s="133">
        <v>16975.574069999999</v>
      </c>
      <c r="O85" s="40"/>
      <c r="P85" s="144"/>
      <c r="Q85" s="144"/>
      <c r="R85" s="144"/>
      <c r="S85" s="144"/>
      <c r="T85" s="150"/>
      <c r="U85" s="144"/>
      <c r="V85" s="154"/>
      <c r="W85" s="155"/>
      <c r="X85" s="155"/>
      <c r="Y85" s="155"/>
      <c r="Z85" s="155"/>
    </row>
    <row r="86" spans="1:26" s="1" customFormat="1" ht="12.75" thickTop="1" x14ac:dyDescent="0.2">
      <c r="A86" s="93" t="s">
        <v>131</v>
      </c>
      <c r="B86" s="135">
        <v>321.25806</v>
      </c>
      <c r="C86" s="135">
        <v>256.86667</v>
      </c>
      <c r="D86" s="135">
        <v>277.16129000000001</v>
      </c>
      <c r="E86" s="135">
        <v>284.875</v>
      </c>
      <c r="F86" s="135">
        <v>0</v>
      </c>
      <c r="G86" s="135">
        <v>0</v>
      </c>
      <c r="H86" s="135">
        <v>0</v>
      </c>
      <c r="I86" s="135">
        <v>0</v>
      </c>
      <c r="J86" s="135">
        <v>0</v>
      </c>
      <c r="K86" s="135">
        <v>0</v>
      </c>
      <c r="L86" s="135">
        <v>0</v>
      </c>
      <c r="M86" s="135">
        <v>0</v>
      </c>
      <c r="N86" s="135">
        <v>285.32407000000001</v>
      </c>
      <c r="O86" s="40"/>
      <c r="P86" s="144"/>
      <c r="Q86" s="144"/>
      <c r="R86" s="144"/>
      <c r="S86" s="144"/>
      <c r="T86" s="144"/>
      <c r="U86" s="144"/>
      <c r="V86" s="154"/>
      <c r="W86" s="155"/>
      <c r="X86" s="155"/>
      <c r="Y86" s="155"/>
      <c r="Z86" s="155"/>
    </row>
    <row r="87" spans="1:26" s="1" customFormat="1" ht="12" x14ac:dyDescent="0.2">
      <c r="A87" s="94" t="s">
        <v>132</v>
      </c>
      <c r="B87" s="136">
        <v>18427.12903</v>
      </c>
      <c r="C87" s="136">
        <v>16613.43333</v>
      </c>
      <c r="D87" s="136">
        <v>15847.51613</v>
      </c>
      <c r="E87" s="136">
        <v>15101.875</v>
      </c>
      <c r="F87" s="136">
        <v>0</v>
      </c>
      <c r="G87" s="136">
        <v>0</v>
      </c>
      <c r="H87" s="136">
        <v>0</v>
      </c>
      <c r="I87" s="136">
        <v>0</v>
      </c>
      <c r="J87" s="136">
        <v>0</v>
      </c>
      <c r="K87" s="136">
        <v>0</v>
      </c>
      <c r="L87" s="136">
        <v>0</v>
      </c>
      <c r="M87" s="136">
        <v>0</v>
      </c>
      <c r="N87" s="136">
        <v>16690.25</v>
      </c>
      <c r="O87" s="40"/>
      <c r="P87" s="144"/>
      <c r="Q87" s="144"/>
      <c r="R87" s="144"/>
      <c r="S87" s="144"/>
      <c r="T87" s="144"/>
      <c r="U87" s="144"/>
      <c r="V87" s="154"/>
      <c r="W87" s="155"/>
      <c r="X87" s="155"/>
      <c r="Y87" s="155"/>
      <c r="Z87" s="155"/>
    </row>
    <row r="88" spans="1:26" s="3" customFormat="1" ht="23.25" customHeight="1" x14ac:dyDescent="0.2">
      <c r="A88" s="97"/>
      <c r="B88" s="6"/>
      <c r="C88" s="6"/>
      <c r="D88" s="6"/>
      <c r="E88" s="6"/>
      <c r="F88" s="5"/>
      <c r="G88" s="5"/>
      <c r="H88" s="5"/>
      <c r="I88" s="5"/>
      <c r="J88" s="5"/>
      <c r="K88" s="5"/>
      <c r="L88" s="40"/>
      <c r="M88" s="40"/>
      <c r="N88" s="40"/>
      <c r="O88" s="40"/>
      <c r="P88" s="144"/>
      <c r="Q88" s="144"/>
      <c r="R88" s="144"/>
      <c r="S88" s="144"/>
      <c r="T88" s="144"/>
      <c r="U88" s="144"/>
      <c r="V88" s="154"/>
      <c r="W88" s="156"/>
      <c r="X88" s="156"/>
      <c r="Y88" s="156"/>
    </row>
    <row r="89" spans="1:26" s="1" customFormat="1" ht="12.75" customHeight="1" x14ac:dyDescent="0.2">
      <c r="A89" s="222"/>
      <c r="B89" s="223"/>
      <c r="C89" s="223"/>
      <c r="D89" s="223"/>
      <c r="E89" s="223"/>
      <c r="F89" s="223"/>
      <c r="G89" s="223"/>
      <c r="H89" s="223"/>
      <c r="I89" s="223"/>
      <c r="J89" s="223"/>
      <c r="K89" s="223"/>
      <c r="L89" s="223"/>
      <c r="M89" s="223"/>
      <c r="N89" s="223"/>
      <c r="O89" s="223"/>
      <c r="P89" s="223"/>
      <c r="Q89" s="223"/>
      <c r="R89" s="223"/>
      <c r="S89" s="223"/>
      <c r="T89" s="223"/>
      <c r="U89" s="223"/>
      <c r="V89" s="224"/>
    </row>
    <row r="90" spans="1:26" s="1" customFormat="1" ht="12.75" customHeight="1" x14ac:dyDescent="0.2">
      <c r="A90" s="97"/>
      <c r="B90" s="6"/>
      <c r="C90" s="6"/>
      <c r="D90" s="6"/>
      <c r="E90" s="6"/>
      <c r="F90" s="5"/>
      <c r="G90" s="5"/>
      <c r="H90" s="5"/>
      <c r="I90" s="5"/>
      <c r="J90" s="5"/>
      <c r="K90" s="5"/>
      <c r="L90" s="40"/>
      <c r="M90" s="40"/>
      <c r="N90" s="40"/>
      <c r="O90" s="40"/>
      <c r="P90" s="40"/>
      <c r="Q90" s="40"/>
      <c r="R90" s="40"/>
      <c r="S90" s="40"/>
      <c r="T90" s="40"/>
      <c r="U90" s="40"/>
      <c r="V90" s="38"/>
    </row>
    <row r="91" spans="1:26" s="8" customFormat="1" ht="24.75" customHeight="1" x14ac:dyDescent="0.2">
      <c r="A91" s="257" t="s">
        <v>785</v>
      </c>
      <c r="B91" s="258"/>
      <c r="C91" s="258"/>
      <c r="D91" s="258"/>
      <c r="E91" s="258"/>
      <c r="F91" s="258"/>
      <c r="G91" s="258"/>
      <c r="H91" s="258"/>
      <c r="I91" s="258"/>
      <c r="J91" s="258"/>
      <c r="K91" s="258"/>
      <c r="L91" s="258"/>
      <c r="M91" s="258"/>
      <c r="N91" s="258"/>
      <c r="O91" s="40"/>
      <c r="P91" s="151"/>
      <c r="Q91" s="151"/>
      <c r="R91" s="151"/>
      <c r="S91" s="151"/>
      <c r="T91" s="151"/>
      <c r="U91" s="151"/>
      <c r="V91" s="152"/>
      <c r="W91" s="157"/>
      <c r="X91" s="157"/>
      <c r="Y91" s="157"/>
      <c r="Z91" s="157"/>
    </row>
    <row r="92" spans="1:26" s="1" customFormat="1" ht="12" x14ac:dyDescent="0.2">
      <c r="A92" s="29" t="s">
        <v>156</v>
      </c>
      <c r="B92" s="106" t="s">
        <v>142</v>
      </c>
      <c r="C92" s="106" t="s">
        <v>143</v>
      </c>
      <c r="D92" s="106" t="s">
        <v>144</v>
      </c>
      <c r="E92" s="106" t="s">
        <v>145</v>
      </c>
      <c r="F92" s="106" t="s">
        <v>146</v>
      </c>
      <c r="G92" s="106" t="s">
        <v>147</v>
      </c>
      <c r="H92" s="106" t="s">
        <v>148</v>
      </c>
      <c r="I92" s="106" t="s">
        <v>149</v>
      </c>
      <c r="J92" s="106" t="s">
        <v>150</v>
      </c>
      <c r="K92" s="106" t="s">
        <v>152</v>
      </c>
      <c r="L92" s="106" t="s">
        <v>153</v>
      </c>
      <c r="M92" s="106" t="s">
        <v>154</v>
      </c>
      <c r="N92" s="106" t="s">
        <v>160</v>
      </c>
      <c r="O92" s="40"/>
      <c r="P92" s="151"/>
      <c r="Q92" s="151"/>
      <c r="R92" s="151"/>
      <c r="S92" s="40"/>
      <c r="T92" s="40"/>
      <c r="U92" s="40"/>
      <c r="V92" s="38"/>
    </row>
    <row r="93" spans="1:26" s="1" customFormat="1" ht="12.75" customHeight="1" thickBot="1" x14ac:dyDescent="0.25">
      <c r="A93" s="92" t="s">
        <v>1</v>
      </c>
      <c r="B93" s="138">
        <v>86.553870000000003</v>
      </c>
      <c r="C93" s="139">
        <v>84.657409999999999</v>
      </c>
      <c r="D93" s="138">
        <v>80.544380000000004</v>
      </c>
      <c r="E93" s="139">
        <v>67.951070000000001</v>
      </c>
      <c r="F93" s="138">
        <v>0</v>
      </c>
      <c r="G93" s="139">
        <v>0</v>
      </c>
      <c r="H93" s="139">
        <v>0</v>
      </c>
      <c r="I93" s="138">
        <v>0</v>
      </c>
      <c r="J93" s="139">
        <v>0</v>
      </c>
      <c r="K93" s="138">
        <v>0</v>
      </c>
      <c r="L93" s="138">
        <v>0</v>
      </c>
      <c r="M93" s="139">
        <v>0</v>
      </c>
      <c r="N93" s="138">
        <v>81.700590000000005</v>
      </c>
      <c r="O93" s="40"/>
      <c r="P93" s="40"/>
      <c r="Q93" s="40"/>
      <c r="R93" s="40"/>
      <c r="S93" s="40"/>
      <c r="T93" s="40"/>
      <c r="U93" s="40"/>
      <c r="V93" s="38"/>
    </row>
    <row r="94" spans="1:26" s="1" customFormat="1" ht="12.75" thickTop="1" x14ac:dyDescent="0.2">
      <c r="A94" s="93" t="s">
        <v>131</v>
      </c>
      <c r="B94" s="140">
        <v>129.11493999999999</v>
      </c>
      <c r="C94" s="140">
        <v>81.1875</v>
      </c>
      <c r="D94" s="140">
        <v>229.34693999999999</v>
      </c>
      <c r="E94" s="140">
        <v>110</v>
      </c>
      <c r="F94" s="140">
        <v>0</v>
      </c>
      <c r="G94" s="140">
        <v>0</v>
      </c>
      <c r="H94" s="140">
        <v>0</v>
      </c>
      <c r="I94" s="140">
        <v>0</v>
      </c>
      <c r="J94" s="140">
        <v>0</v>
      </c>
      <c r="K94" s="140">
        <v>0</v>
      </c>
      <c r="L94" s="140">
        <v>0</v>
      </c>
      <c r="M94" s="140">
        <v>0</v>
      </c>
      <c r="N94" s="140">
        <v>153.25153</v>
      </c>
      <c r="O94" s="40"/>
      <c r="P94" s="40"/>
      <c r="Q94" s="40"/>
      <c r="R94" s="40"/>
      <c r="S94" s="40"/>
      <c r="T94" s="40"/>
      <c r="U94" s="40"/>
      <c r="V94" s="38"/>
    </row>
    <row r="95" spans="1:26" s="1" customFormat="1" ht="12" x14ac:dyDescent="0.2">
      <c r="A95" s="94" t="s">
        <v>132</v>
      </c>
      <c r="B95" s="137">
        <v>86.233360000000005</v>
      </c>
      <c r="C95" s="137">
        <v>84.663719999999998</v>
      </c>
      <c r="D95" s="137">
        <v>79.769030000000001</v>
      </c>
      <c r="E95" s="137">
        <v>67.862139999999997</v>
      </c>
      <c r="F95" s="137">
        <v>0</v>
      </c>
      <c r="G95" s="137">
        <v>0</v>
      </c>
      <c r="H95" s="137">
        <v>0</v>
      </c>
      <c r="I95" s="137">
        <v>0</v>
      </c>
      <c r="J95" s="137">
        <v>0</v>
      </c>
      <c r="K95" s="137">
        <v>0</v>
      </c>
      <c r="L95" s="137">
        <v>0</v>
      </c>
      <c r="M95" s="137">
        <v>0</v>
      </c>
      <c r="N95" s="137">
        <v>81.367069999999998</v>
      </c>
      <c r="O95" s="40"/>
      <c r="P95" s="40"/>
      <c r="Q95" s="40"/>
      <c r="R95" s="40"/>
      <c r="S95" s="40"/>
      <c r="T95" s="40"/>
      <c r="U95" s="40"/>
      <c r="V95" s="38"/>
    </row>
    <row r="96" spans="1:26" s="43" customFormat="1" x14ac:dyDescent="0.25">
      <c r="A96" s="104"/>
      <c r="B96" s="42"/>
      <c r="C96" s="42"/>
      <c r="D96" s="42"/>
      <c r="E96" s="42"/>
      <c r="F96" s="42"/>
      <c r="G96" s="42"/>
      <c r="H96" s="42"/>
      <c r="I96" s="42"/>
      <c r="J96" s="42"/>
      <c r="K96" s="42"/>
      <c r="L96" s="42"/>
      <c r="M96" s="42"/>
      <c r="N96" s="42"/>
      <c r="O96" s="42"/>
      <c r="P96" s="42"/>
      <c r="Q96" s="42"/>
      <c r="R96" s="42"/>
      <c r="S96" s="42"/>
      <c r="T96" s="42"/>
      <c r="U96" s="42"/>
      <c r="V96" s="105"/>
    </row>
    <row r="97" spans="1:22" s="43" customFormat="1" ht="15.75" thickBot="1" x14ac:dyDescent="0.3">
      <c r="A97" s="240"/>
      <c r="B97" s="241"/>
      <c r="C97" s="241"/>
      <c r="D97" s="241"/>
      <c r="E97" s="241"/>
      <c r="F97" s="241"/>
      <c r="G97" s="241"/>
      <c r="H97" s="241"/>
      <c r="I97" s="241"/>
      <c r="J97" s="241"/>
      <c r="K97" s="241"/>
      <c r="L97" s="241"/>
      <c r="M97" s="241"/>
      <c r="N97" s="241"/>
      <c r="O97" s="241"/>
      <c r="P97" s="241"/>
      <c r="Q97" s="241"/>
      <c r="R97" s="241"/>
      <c r="S97" s="241"/>
      <c r="T97" s="241"/>
      <c r="U97" s="241"/>
      <c r="V97" s="242"/>
    </row>
    <row r="98" spans="1:22" s="43" customFormat="1" x14ac:dyDescent="0.25">
      <c r="A98" s="76"/>
    </row>
    <row r="99" spans="1:22" x14ac:dyDescent="0.25">
      <c r="B99" s="142"/>
      <c r="C99" s="142"/>
      <c r="D99" s="142"/>
      <c r="E99" s="142"/>
      <c r="F99" s="142"/>
      <c r="G99" s="142"/>
      <c r="H99" s="142"/>
      <c r="I99" s="142"/>
      <c r="J99" s="142"/>
      <c r="K99" s="142"/>
    </row>
    <row r="100" spans="1:22" x14ac:dyDescent="0.25">
      <c r="B100" s="142"/>
      <c r="C100" s="142"/>
      <c r="D100" s="142"/>
      <c r="E100" s="142"/>
      <c r="F100" s="142"/>
      <c r="G100" s="142"/>
      <c r="H100" s="142"/>
      <c r="I100" s="142"/>
      <c r="J100" s="142"/>
      <c r="K100" s="142"/>
      <c r="L100" s="142"/>
      <c r="M100" s="142"/>
    </row>
    <row r="101" spans="1:22" x14ac:dyDescent="0.25">
      <c r="B101" s="143"/>
      <c r="C101" s="143"/>
      <c r="D101" s="143"/>
      <c r="E101" s="143"/>
      <c r="F101" s="143"/>
      <c r="G101" s="143"/>
      <c r="H101" s="143"/>
      <c r="I101" s="143"/>
      <c r="J101" s="143"/>
      <c r="K101" s="143"/>
      <c r="L101" s="142"/>
      <c r="M101" s="142"/>
    </row>
    <row r="102" spans="1:22" x14ac:dyDescent="0.25">
      <c r="B102" s="143"/>
      <c r="C102" s="143"/>
      <c r="D102" s="143"/>
      <c r="E102" s="143"/>
      <c r="F102" s="143"/>
      <c r="G102" s="143"/>
      <c r="H102" s="143"/>
      <c r="I102" s="143"/>
      <c r="J102" s="143"/>
      <c r="K102" s="143"/>
      <c r="L102" s="143"/>
      <c r="M102" s="143"/>
    </row>
    <row r="103" spans="1:22" x14ac:dyDescent="0.25">
      <c r="B103" s="143"/>
      <c r="C103" s="143"/>
      <c r="D103" s="143"/>
      <c r="E103" s="143"/>
      <c r="F103" s="143"/>
      <c r="G103" s="143"/>
      <c r="H103" s="143"/>
      <c r="I103" s="143"/>
      <c r="J103" s="143"/>
      <c r="K103" s="143"/>
      <c r="L103" s="147"/>
      <c r="M103" s="143"/>
    </row>
    <row r="104" spans="1:22" x14ac:dyDescent="0.25">
      <c r="B104" s="143"/>
      <c r="C104" s="143"/>
      <c r="D104" s="143"/>
      <c r="E104" s="143"/>
      <c r="F104" s="143"/>
      <c r="G104" s="143"/>
      <c r="H104" s="143"/>
      <c r="I104" s="143"/>
      <c r="J104" s="143"/>
      <c r="K104" s="143"/>
      <c r="L104" s="143"/>
    </row>
    <row r="105" spans="1:22" x14ac:dyDescent="0.25">
      <c r="B105" s="143"/>
      <c r="C105" s="143"/>
      <c r="D105" s="143"/>
      <c r="E105" s="143"/>
      <c r="F105" s="143"/>
      <c r="G105" s="143"/>
    </row>
    <row r="106" spans="1:22" x14ac:dyDescent="0.25">
      <c r="B106" s="143"/>
      <c r="C106" s="143"/>
      <c r="E106" s="143"/>
    </row>
    <row r="107" spans="1:22" x14ac:dyDescent="0.25">
      <c r="B107" s="143"/>
      <c r="C107" s="143"/>
    </row>
  </sheetData>
  <sheetProtection sheet="1" objects="1" scenarios="1"/>
  <mergeCells count="54">
    <mergeCell ref="O12:Q12"/>
    <mergeCell ref="M9:N9"/>
    <mergeCell ref="O9:Q9"/>
    <mergeCell ref="M8:Q8"/>
    <mergeCell ref="J29:L29"/>
    <mergeCell ref="O11:Q11"/>
    <mergeCell ref="A49:N49"/>
    <mergeCell ref="I18:V18"/>
    <mergeCell ref="A27:E27"/>
    <mergeCell ref="H27:L27"/>
    <mergeCell ref="N27:R27"/>
    <mergeCell ref="A36:E36"/>
    <mergeCell ref="P30:R30"/>
    <mergeCell ref="J30:L30"/>
    <mergeCell ref="J31:L31"/>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4:V4"/>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BB3A-6DA5-45C0-84E4-D451CCE4E460}">
  <dimension ref="A1:AE162"/>
  <sheetViews>
    <sheetView zoomScale="80" zoomScaleNormal="80" workbookViewId="0">
      <selection sqref="A1:D1"/>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7.85546875" bestFit="1"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16" t="s">
        <v>56</v>
      </c>
      <c r="B1" s="216"/>
      <c r="C1" s="216"/>
      <c r="D1" s="216"/>
      <c r="E1" s="23"/>
      <c r="F1" s="23"/>
      <c r="G1" s="23"/>
      <c r="H1" s="23"/>
      <c r="I1" s="23"/>
      <c r="J1" s="23"/>
      <c r="K1" s="23"/>
      <c r="L1" s="23"/>
      <c r="M1" s="23"/>
      <c r="N1" s="23"/>
      <c r="O1" s="23"/>
      <c r="P1" s="23"/>
      <c r="Q1" s="23"/>
      <c r="R1" s="23"/>
      <c r="S1" s="23"/>
      <c r="T1" s="23"/>
      <c r="U1" s="23"/>
      <c r="V1" s="23"/>
      <c r="W1" s="23"/>
      <c r="X1" s="23"/>
      <c r="Y1" s="23"/>
      <c r="Z1" s="23"/>
      <c r="AA1" s="23"/>
      <c r="AB1" s="23"/>
      <c r="AC1" s="23"/>
      <c r="AD1" s="23"/>
      <c r="AE1" s="23"/>
    </row>
    <row r="2" spans="1:31" s="11" customFormat="1" ht="74.25" customHeight="1" x14ac:dyDescent="0.25">
      <c r="A2" s="217" t="s">
        <v>57</v>
      </c>
      <c r="B2" s="217"/>
      <c r="C2" s="217"/>
      <c r="D2" s="217"/>
      <c r="E2" s="23"/>
      <c r="F2" s="23"/>
      <c r="G2" s="23"/>
      <c r="H2" s="23"/>
      <c r="I2" s="23"/>
      <c r="J2" s="23"/>
      <c r="K2" s="23"/>
      <c r="L2" s="23"/>
      <c r="M2" s="23"/>
      <c r="N2" s="23"/>
      <c r="O2" s="23"/>
      <c r="P2" s="23"/>
      <c r="Q2" s="23"/>
      <c r="R2" s="23"/>
      <c r="S2" s="23"/>
      <c r="T2" s="23"/>
      <c r="U2" s="23"/>
      <c r="V2" s="23"/>
      <c r="W2" s="23"/>
      <c r="X2" s="23"/>
      <c r="Y2" s="23"/>
      <c r="Z2" s="23"/>
      <c r="AA2" s="23"/>
      <c r="AB2" s="23"/>
      <c r="AC2" s="23"/>
      <c r="AD2" s="23"/>
      <c r="AE2" s="23"/>
    </row>
    <row r="3" spans="1:31" s="11" customFormat="1" ht="48.6" customHeight="1" x14ac:dyDescent="0.25">
      <c r="A3" s="215" t="s">
        <v>771</v>
      </c>
      <c r="B3" s="215"/>
      <c r="C3" s="215"/>
      <c r="D3" s="215"/>
      <c r="E3" s="215"/>
      <c r="F3" s="215"/>
      <c r="G3" s="215"/>
      <c r="H3" s="215"/>
      <c r="I3" s="215"/>
      <c r="J3" s="215"/>
      <c r="K3" s="215"/>
      <c r="L3" s="215"/>
      <c r="M3" s="215"/>
      <c r="N3" s="215"/>
      <c r="O3" s="215"/>
      <c r="P3" s="215"/>
      <c r="Q3" s="215"/>
      <c r="R3" s="215"/>
      <c r="S3" s="215"/>
      <c r="T3" s="215"/>
      <c r="U3" s="215"/>
      <c r="V3" s="215"/>
      <c r="W3" s="215"/>
      <c r="X3" s="215"/>
      <c r="Y3" s="215"/>
      <c r="Z3" s="215"/>
      <c r="AA3" s="215"/>
      <c r="AB3" s="215"/>
      <c r="AC3" s="215"/>
      <c r="AD3" s="215"/>
      <c r="AE3" s="215"/>
    </row>
    <row r="4" spans="1:31" s="8" customFormat="1" ht="30.75" customHeight="1" thickBot="1" x14ac:dyDescent="0.25">
      <c r="A4" s="274" t="s">
        <v>786</v>
      </c>
      <c r="B4" s="274"/>
      <c r="C4" s="274"/>
      <c r="D4" s="274"/>
      <c r="E4" s="274"/>
      <c r="F4" s="274"/>
      <c r="G4" s="274"/>
      <c r="H4" s="274"/>
      <c r="I4" s="274"/>
      <c r="J4" s="274"/>
      <c r="K4" s="274"/>
      <c r="L4" s="274"/>
      <c r="M4" s="274"/>
      <c r="N4" s="274"/>
      <c r="O4" s="274"/>
      <c r="P4" s="274"/>
      <c r="Q4" s="274"/>
      <c r="R4" s="274"/>
      <c r="S4" s="274"/>
      <c r="T4" s="274"/>
      <c r="U4" s="274"/>
      <c r="V4" s="274"/>
      <c r="W4" s="213"/>
      <c r="X4" s="213"/>
      <c r="Y4" s="213"/>
      <c r="Z4" s="213"/>
    </row>
    <row r="5" spans="1:31" s="210" customFormat="1" ht="36" customHeight="1" x14ac:dyDescent="0.2">
      <c r="A5" s="44" t="s">
        <v>161</v>
      </c>
      <c r="B5" s="12"/>
      <c r="C5" s="12"/>
      <c r="D5" s="12"/>
      <c r="E5" s="12"/>
      <c r="F5" s="12"/>
      <c r="G5" s="12"/>
      <c r="H5" s="12"/>
      <c r="I5" s="12" t="s">
        <v>162</v>
      </c>
      <c r="J5" s="275" t="s">
        <v>772</v>
      </c>
      <c r="K5" s="275"/>
      <c r="L5" s="275"/>
      <c r="M5" s="275"/>
      <c r="N5" s="276" t="s">
        <v>773</v>
      </c>
      <c r="O5" s="276"/>
      <c r="P5" s="276"/>
      <c r="Q5" s="276"/>
      <c r="R5" s="273" t="s">
        <v>774</v>
      </c>
      <c r="S5" s="273"/>
      <c r="T5" s="273"/>
      <c r="U5" s="273"/>
      <c r="V5" s="25" t="s">
        <v>775</v>
      </c>
      <c r="W5" s="273" t="s">
        <v>163</v>
      </c>
      <c r="X5" s="273"/>
      <c r="Y5" s="273"/>
      <c r="Z5" s="273"/>
      <c r="AA5" s="273"/>
      <c r="AB5" s="273"/>
      <c r="AC5" s="273"/>
      <c r="AD5" s="273"/>
      <c r="AE5" s="273"/>
    </row>
    <row r="6" spans="1:31" s="210" customFormat="1" ht="20.25" customHeight="1" x14ac:dyDescent="0.2">
      <c r="A6" s="45" t="s">
        <v>890</v>
      </c>
      <c r="B6" s="211"/>
      <c r="C6" s="211"/>
      <c r="D6" s="211"/>
      <c r="E6" s="211"/>
      <c r="F6" s="211"/>
      <c r="G6" s="211"/>
      <c r="H6" s="211"/>
      <c r="I6" s="212"/>
      <c r="J6" s="211"/>
      <c r="K6" s="211"/>
      <c r="L6" s="211"/>
      <c r="M6" s="211"/>
      <c r="N6" s="211"/>
      <c r="O6" s="211"/>
      <c r="P6" s="211"/>
      <c r="Q6" s="211"/>
      <c r="R6" s="189"/>
      <c r="S6" s="189"/>
      <c r="T6" s="189"/>
      <c r="U6" s="189"/>
      <c r="V6" s="25"/>
      <c r="W6" s="189"/>
      <c r="X6" s="189"/>
      <c r="Y6" s="189"/>
      <c r="Z6" s="189"/>
      <c r="AA6" s="189"/>
      <c r="AB6" s="189"/>
      <c r="AC6" s="189"/>
      <c r="AD6" s="189"/>
      <c r="AE6" s="189"/>
    </row>
    <row r="7" spans="1:31" s="210" customFormat="1" ht="48" customHeight="1" x14ac:dyDescent="0.25">
      <c r="A7" s="13" t="s">
        <v>164</v>
      </c>
      <c r="B7" s="14" t="s">
        <v>165</v>
      </c>
      <c r="C7" s="14" t="s">
        <v>166</v>
      </c>
      <c r="D7" s="14" t="s">
        <v>167</v>
      </c>
      <c r="E7" s="15" t="s">
        <v>168</v>
      </c>
      <c r="F7" s="14" t="s">
        <v>64</v>
      </c>
      <c r="G7" s="16" t="s">
        <v>169</v>
      </c>
      <c r="H7" s="17" t="s">
        <v>101</v>
      </c>
      <c r="I7" s="18" t="s">
        <v>776</v>
      </c>
      <c r="J7" s="19" t="s">
        <v>170</v>
      </c>
      <c r="K7" s="20" t="s">
        <v>171</v>
      </c>
      <c r="L7" s="21" t="s">
        <v>172</v>
      </c>
      <c r="M7" s="24" t="s">
        <v>173</v>
      </c>
      <c r="N7" s="19" t="s">
        <v>174</v>
      </c>
      <c r="O7" s="20" t="s">
        <v>175</v>
      </c>
      <c r="P7" s="21" t="s">
        <v>176</v>
      </c>
      <c r="Q7" s="22" t="s">
        <v>177</v>
      </c>
      <c r="R7" s="19" t="s">
        <v>178</v>
      </c>
      <c r="S7" s="20" t="s">
        <v>179</v>
      </c>
      <c r="T7" s="21" t="s">
        <v>180</v>
      </c>
      <c r="U7" s="24" t="s">
        <v>181</v>
      </c>
      <c r="V7" s="19" t="s">
        <v>182</v>
      </c>
      <c r="W7" s="20" t="s">
        <v>183</v>
      </c>
      <c r="X7" s="14" t="s">
        <v>184</v>
      </c>
      <c r="Y7" s="14" t="s">
        <v>99</v>
      </c>
      <c r="Z7" s="14" t="s">
        <v>185</v>
      </c>
      <c r="AA7" s="14" t="s">
        <v>95</v>
      </c>
      <c r="AB7" s="14" t="s">
        <v>186</v>
      </c>
      <c r="AC7" s="14" t="s">
        <v>109</v>
      </c>
      <c r="AD7" s="14" t="s">
        <v>187</v>
      </c>
      <c r="AE7" s="27" t="s">
        <v>113</v>
      </c>
    </row>
    <row r="8" spans="1:31" s="210" customFormat="1" ht="12.75" customHeight="1" x14ac:dyDescent="0.2">
      <c r="A8" s="204" t="s">
        <v>199</v>
      </c>
      <c r="B8" s="204" t="s">
        <v>200</v>
      </c>
      <c r="C8" s="204" t="s">
        <v>201</v>
      </c>
      <c r="D8" s="204" t="s">
        <v>202</v>
      </c>
      <c r="E8" s="209">
        <v>31815</v>
      </c>
      <c r="F8" s="204" t="s">
        <v>203</v>
      </c>
      <c r="G8" s="204" t="s">
        <v>192</v>
      </c>
      <c r="H8" s="204" t="s">
        <v>5</v>
      </c>
      <c r="I8" s="208">
        <v>57.3542074363992</v>
      </c>
      <c r="J8" s="207">
        <v>203.19801980198019</v>
      </c>
      <c r="K8" s="207">
        <v>172.01980198019788</v>
      </c>
      <c r="L8" s="207">
        <v>198.77227722772264</v>
      </c>
      <c r="M8" s="207">
        <v>198.86138613861357</v>
      </c>
      <c r="N8" s="207">
        <v>511.29702970297114</v>
      </c>
      <c r="O8" s="207">
        <v>260.67326732673268</v>
      </c>
      <c r="P8" s="207">
        <v>0.19801980198019803</v>
      </c>
      <c r="Q8" s="207">
        <v>0.68316831683168311</v>
      </c>
      <c r="R8" s="207">
        <v>300.35643564356417</v>
      </c>
      <c r="S8" s="207">
        <v>111.94059405940577</v>
      </c>
      <c r="T8" s="207">
        <v>97.534653465346423</v>
      </c>
      <c r="U8" s="207">
        <v>263.019801980198</v>
      </c>
      <c r="V8" s="207">
        <v>602.66336633663002</v>
      </c>
      <c r="W8" s="205">
        <v>1600</v>
      </c>
      <c r="X8" s="204" t="s">
        <v>194</v>
      </c>
      <c r="Y8" s="203" t="s">
        <v>195</v>
      </c>
      <c r="Z8" s="206" t="s">
        <v>198</v>
      </c>
      <c r="AA8" s="205" t="s">
        <v>889</v>
      </c>
      <c r="AB8" s="204" t="s">
        <v>194</v>
      </c>
      <c r="AC8" s="203" t="s">
        <v>195</v>
      </c>
      <c r="AD8" s="202" t="s">
        <v>196</v>
      </c>
      <c r="AE8" s="201">
        <v>43594</v>
      </c>
    </row>
    <row r="9" spans="1:31" ht="15.75" x14ac:dyDescent="0.25">
      <c r="A9" s="204" t="s">
        <v>20</v>
      </c>
      <c r="B9" s="204" t="s">
        <v>204</v>
      </c>
      <c r="C9" s="204" t="s">
        <v>205</v>
      </c>
      <c r="D9" s="204" t="s">
        <v>206</v>
      </c>
      <c r="E9" s="209">
        <v>78061</v>
      </c>
      <c r="F9" s="204" t="s">
        <v>207</v>
      </c>
      <c r="G9" s="204" t="s">
        <v>208</v>
      </c>
      <c r="H9" s="204" t="s">
        <v>193</v>
      </c>
      <c r="I9" s="208">
        <v>90.830429732868794</v>
      </c>
      <c r="J9" s="207">
        <v>409.48514851485152</v>
      </c>
      <c r="K9" s="207">
        <v>73.445544554455438</v>
      </c>
      <c r="L9" s="207">
        <v>107.69306930693065</v>
      </c>
      <c r="M9" s="207">
        <v>65.772277227722768</v>
      </c>
      <c r="N9" s="207">
        <v>241.91089108910882</v>
      </c>
      <c r="O9" s="207">
        <v>414.4851485148514</v>
      </c>
      <c r="P9" s="207">
        <v>0</v>
      </c>
      <c r="Q9" s="207">
        <v>0</v>
      </c>
      <c r="R9" s="207">
        <v>76.643564356435618</v>
      </c>
      <c r="S9" s="207">
        <v>76.356435643564396</v>
      </c>
      <c r="T9" s="207">
        <v>88.891089108910904</v>
      </c>
      <c r="U9" s="207">
        <v>414.5049504950494</v>
      </c>
      <c r="V9" s="207">
        <v>365.89108910891213</v>
      </c>
      <c r="W9" s="205">
        <v>1350</v>
      </c>
      <c r="X9" s="204" t="s">
        <v>194</v>
      </c>
      <c r="Y9" s="203" t="s">
        <v>195</v>
      </c>
      <c r="Z9" s="206" t="s">
        <v>196</v>
      </c>
      <c r="AA9" s="205" t="s">
        <v>882</v>
      </c>
      <c r="AB9" s="204" t="s">
        <v>194</v>
      </c>
      <c r="AC9" s="203" t="s">
        <v>195</v>
      </c>
      <c r="AD9" s="202" t="s">
        <v>196</v>
      </c>
      <c r="AE9" s="201">
        <v>43524</v>
      </c>
    </row>
    <row r="10" spans="1:31" ht="15.75" x14ac:dyDescent="0.25">
      <c r="A10" s="204" t="s">
        <v>226</v>
      </c>
      <c r="B10" s="204" t="s">
        <v>227</v>
      </c>
      <c r="C10" s="204" t="s">
        <v>228</v>
      </c>
      <c r="D10" s="204" t="s">
        <v>217</v>
      </c>
      <c r="E10" s="209">
        <v>71342</v>
      </c>
      <c r="F10" s="204" t="s">
        <v>218</v>
      </c>
      <c r="G10" s="204" t="s">
        <v>192</v>
      </c>
      <c r="H10" s="204" t="s">
        <v>193</v>
      </c>
      <c r="I10" s="208">
        <v>96.127388535031798</v>
      </c>
      <c r="J10" s="207">
        <v>225.24752475247519</v>
      </c>
      <c r="K10" s="207">
        <v>116.86138613861388</v>
      </c>
      <c r="L10" s="207">
        <v>137.64356435643569</v>
      </c>
      <c r="M10" s="207">
        <v>44.217821782178234</v>
      </c>
      <c r="N10" s="207">
        <v>166.97029702970286</v>
      </c>
      <c r="O10" s="207">
        <v>280.62376237623749</v>
      </c>
      <c r="P10" s="207">
        <v>52.227722772277211</v>
      </c>
      <c r="Q10" s="207">
        <v>24.148514851485139</v>
      </c>
      <c r="R10" s="207">
        <v>110.73267326732679</v>
      </c>
      <c r="S10" s="207">
        <v>37.673267326732642</v>
      </c>
      <c r="T10" s="207">
        <v>70.425742574257384</v>
      </c>
      <c r="U10" s="207">
        <v>305.13861386138575</v>
      </c>
      <c r="V10" s="207">
        <v>377.31683168316789</v>
      </c>
      <c r="W10" s="205">
        <v>1170</v>
      </c>
      <c r="X10" s="204" t="s">
        <v>194</v>
      </c>
      <c r="Y10" s="203" t="s">
        <v>195</v>
      </c>
      <c r="Z10" s="206" t="s">
        <v>198</v>
      </c>
      <c r="AA10" s="205" t="s">
        <v>878</v>
      </c>
      <c r="AB10" s="204" t="s">
        <v>194</v>
      </c>
      <c r="AC10" s="203" t="s">
        <v>195</v>
      </c>
      <c r="AD10" s="202" t="s">
        <v>196</v>
      </c>
      <c r="AE10" s="201">
        <v>43734</v>
      </c>
    </row>
    <row r="11" spans="1:31" ht="15.75" x14ac:dyDescent="0.25">
      <c r="A11" s="204" t="s">
        <v>16</v>
      </c>
      <c r="B11" s="204" t="s">
        <v>222</v>
      </c>
      <c r="C11" s="204" t="s">
        <v>37</v>
      </c>
      <c r="D11" s="204" t="s">
        <v>223</v>
      </c>
      <c r="E11" s="209">
        <v>85131</v>
      </c>
      <c r="F11" s="204" t="s">
        <v>224</v>
      </c>
      <c r="G11" s="204" t="s">
        <v>192</v>
      </c>
      <c r="H11" s="204" t="s">
        <v>5</v>
      </c>
      <c r="I11" s="208">
        <v>180.28589108910899</v>
      </c>
      <c r="J11" s="207">
        <v>287.29702970297029</v>
      </c>
      <c r="K11" s="207">
        <v>65.752475247524785</v>
      </c>
      <c r="L11" s="207">
        <v>59.584158415841578</v>
      </c>
      <c r="M11" s="207">
        <v>47.336633663366342</v>
      </c>
      <c r="N11" s="207">
        <v>130.02970297029702</v>
      </c>
      <c r="O11" s="207">
        <v>329.94059405940607</v>
      </c>
      <c r="P11" s="207">
        <v>0</v>
      </c>
      <c r="Q11" s="207">
        <v>0</v>
      </c>
      <c r="R11" s="207">
        <v>51.356435643564339</v>
      </c>
      <c r="S11" s="207">
        <v>29.594059405940587</v>
      </c>
      <c r="T11" s="207">
        <v>47.445544554455452</v>
      </c>
      <c r="U11" s="207">
        <v>331.57425742574276</v>
      </c>
      <c r="V11" s="207">
        <v>229.09900990099021</v>
      </c>
      <c r="W11" s="205">
        <v>1800</v>
      </c>
      <c r="X11" s="204" t="s">
        <v>194</v>
      </c>
      <c r="Y11" s="203" t="s">
        <v>195</v>
      </c>
      <c r="Z11" s="206" t="s">
        <v>196</v>
      </c>
      <c r="AA11" s="205" t="s">
        <v>225</v>
      </c>
      <c r="AB11" s="204" t="s">
        <v>221</v>
      </c>
      <c r="AC11" s="203"/>
      <c r="AD11" s="202"/>
      <c r="AE11" s="201"/>
    </row>
    <row r="12" spans="1:31" ht="15.75" x14ac:dyDescent="0.25">
      <c r="A12" s="204" t="s">
        <v>214</v>
      </c>
      <c r="B12" s="204" t="s">
        <v>215</v>
      </c>
      <c r="C12" s="204" t="s">
        <v>216</v>
      </c>
      <c r="D12" s="204" t="s">
        <v>217</v>
      </c>
      <c r="E12" s="209">
        <v>71483</v>
      </c>
      <c r="F12" s="204" t="s">
        <v>218</v>
      </c>
      <c r="G12" s="204" t="s">
        <v>192</v>
      </c>
      <c r="H12" s="204" t="s">
        <v>5</v>
      </c>
      <c r="I12" s="208">
        <v>92.546798029556697</v>
      </c>
      <c r="J12" s="207">
        <v>189.28712871287124</v>
      </c>
      <c r="K12" s="207">
        <v>78.603960396039554</v>
      </c>
      <c r="L12" s="207">
        <v>113.77227722772265</v>
      </c>
      <c r="M12" s="207">
        <v>73.138613861386133</v>
      </c>
      <c r="N12" s="207">
        <v>195.16831683168297</v>
      </c>
      <c r="O12" s="207">
        <v>259.63366336633669</v>
      </c>
      <c r="P12" s="207">
        <v>0</v>
      </c>
      <c r="Q12" s="207">
        <v>0</v>
      </c>
      <c r="R12" s="207">
        <v>101.46534653465336</v>
      </c>
      <c r="S12" s="207">
        <v>43.079207920792051</v>
      </c>
      <c r="T12" s="207">
        <v>50.247524752475194</v>
      </c>
      <c r="U12" s="207">
        <v>260.00990099009914</v>
      </c>
      <c r="V12" s="207">
        <v>380.32673267326879</v>
      </c>
      <c r="W12" s="205">
        <v>946</v>
      </c>
      <c r="X12" s="204" t="s">
        <v>194</v>
      </c>
      <c r="Y12" s="203" t="s">
        <v>195</v>
      </c>
      <c r="Z12" s="206" t="s">
        <v>196</v>
      </c>
      <c r="AA12" s="205" t="s">
        <v>220</v>
      </c>
      <c r="AB12" s="204" t="s">
        <v>221</v>
      </c>
      <c r="AC12" s="203"/>
      <c r="AD12" s="202"/>
      <c r="AE12" s="201"/>
    </row>
    <row r="13" spans="1:31" ht="15.75" x14ac:dyDescent="0.25">
      <c r="A13" s="204" t="s">
        <v>6</v>
      </c>
      <c r="B13" s="204" t="s">
        <v>188</v>
      </c>
      <c r="C13" s="204" t="s">
        <v>189</v>
      </c>
      <c r="D13" s="204" t="s">
        <v>190</v>
      </c>
      <c r="E13" s="209">
        <v>92301</v>
      </c>
      <c r="F13" s="204" t="s">
        <v>191</v>
      </c>
      <c r="G13" s="204" t="s">
        <v>208</v>
      </c>
      <c r="H13" s="204" t="s">
        <v>193</v>
      </c>
      <c r="I13" s="208">
        <v>204.942592592593</v>
      </c>
      <c r="J13" s="207">
        <v>58.089108910891056</v>
      </c>
      <c r="K13" s="207">
        <v>32.346534653465348</v>
      </c>
      <c r="L13" s="207">
        <v>122.21782178217822</v>
      </c>
      <c r="M13" s="207">
        <v>219.97029702970306</v>
      </c>
      <c r="N13" s="207">
        <v>344.64356435643595</v>
      </c>
      <c r="O13" s="207">
        <v>46.910891089108894</v>
      </c>
      <c r="P13" s="207">
        <v>29.623762376237618</v>
      </c>
      <c r="Q13" s="207">
        <v>11.445544554455447</v>
      </c>
      <c r="R13" s="207">
        <v>256.29702970297046</v>
      </c>
      <c r="S13" s="207">
        <v>84.782178217821738</v>
      </c>
      <c r="T13" s="207">
        <v>33.148514851485118</v>
      </c>
      <c r="U13" s="207">
        <v>58.396039603960368</v>
      </c>
      <c r="V13" s="207">
        <v>275.80198019802003</v>
      </c>
      <c r="W13" s="205">
        <v>1455</v>
      </c>
      <c r="X13" s="204" t="s">
        <v>194</v>
      </c>
      <c r="Y13" s="203" t="s">
        <v>195</v>
      </c>
      <c r="Z13" s="206" t="s">
        <v>196</v>
      </c>
      <c r="AA13" s="205" t="s">
        <v>197</v>
      </c>
      <c r="AB13" s="204" t="s">
        <v>194</v>
      </c>
      <c r="AC13" s="203" t="s">
        <v>195</v>
      </c>
      <c r="AD13" s="202" t="s">
        <v>198</v>
      </c>
      <c r="AE13" s="201">
        <v>43789</v>
      </c>
    </row>
    <row r="14" spans="1:31" ht="15.75" x14ac:dyDescent="0.25">
      <c r="A14" s="204" t="s">
        <v>450</v>
      </c>
      <c r="B14" s="204" t="s">
        <v>451</v>
      </c>
      <c r="C14" s="204" t="s">
        <v>452</v>
      </c>
      <c r="D14" s="204" t="s">
        <v>206</v>
      </c>
      <c r="E14" s="209">
        <v>79501</v>
      </c>
      <c r="F14" s="204" t="s">
        <v>297</v>
      </c>
      <c r="G14" s="204" t="s">
        <v>219</v>
      </c>
      <c r="H14" s="204" t="s">
        <v>5</v>
      </c>
      <c r="I14" s="208">
        <v>38.8498527968597</v>
      </c>
      <c r="J14" s="207">
        <v>111.44554455445548</v>
      </c>
      <c r="K14" s="207">
        <v>119.0198019801981</v>
      </c>
      <c r="L14" s="207">
        <v>107.68316831683174</v>
      </c>
      <c r="M14" s="207">
        <v>90.475247524752419</v>
      </c>
      <c r="N14" s="207">
        <v>280.44554455445569</v>
      </c>
      <c r="O14" s="207">
        <v>139.76237623762373</v>
      </c>
      <c r="P14" s="207">
        <v>2.8019801980198022</v>
      </c>
      <c r="Q14" s="207">
        <v>5.6138613861386153</v>
      </c>
      <c r="R14" s="207">
        <v>151.77227722772261</v>
      </c>
      <c r="S14" s="207">
        <v>69.495049504950458</v>
      </c>
      <c r="T14" s="207">
        <v>60.504950495049506</v>
      </c>
      <c r="U14" s="207">
        <v>146.85148514851477</v>
      </c>
      <c r="V14" s="207">
        <v>241.73267326732682</v>
      </c>
      <c r="W14" s="205">
        <v>750</v>
      </c>
      <c r="X14" s="204" t="s">
        <v>194</v>
      </c>
      <c r="Y14" s="203" t="s">
        <v>887</v>
      </c>
      <c r="Z14" s="206"/>
      <c r="AA14" s="205" t="s">
        <v>881</v>
      </c>
      <c r="AB14" s="204" t="s">
        <v>194</v>
      </c>
      <c r="AC14" s="203" t="s">
        <v>195</v>
      </c>
      <c r="AD14" s="202" t="s">
        <v>367</v>
      </c>
      <c r="AE14" s="201">
        <v>43818</v>
      </c>
    </row>
    <row r="15" spans="1:31" ht="15.75" x14ac:dyDescent="0.25">
      <c r="A15" s="204" t="s">
        <v>258</v>
      </c>
      <c r="B15" s="204" t="s">
        <v>259</v>
      </c>
      <c r="C15" s="204" t="s">
        <v>260</v>
      </c>
      <c r="D15" s="204" t="s">
        <v>206</v>
      </c>
      <c r="E15" s="209">
        <v>77301</v>
      </c>
      <c r="F15" s="204" t="s">
        <v>261</v>
      </c>
      <c r="G15" s="204" t="s">
        <v>208</v>
      </c>
      <c r="H15" s="204" t="s">
        <v>193</v>
      </c>
      <c r="I15" s="208">
        <v>35.206791995148599</v>
      </c>
      <c r="J15" s="207">
        <v>86.445544554455353</v>
      </c>
      <c r="K15" s="207">
        <v>199.6534653465342</v>
      </c>
      <c r="L15" s="207">
        <v>94.990099009900888</v>
      </c>
      <c r="M15" s="207">
        <v>44.80198019801977</v>
      </c>
      <c r="N15" s="207">
        <v>202.4158415841579</v>
      </c>
      <c r="O15" s="207">
        <v>179.78217821782155</v>
      </c>
      <c r="P15" s="207">
        <v>18.049504950495042</v>
      </c>
      <c r="Q15" s="207">
        <v>25.643564356435615</v>
      </c>
      <c r="R15" s="207">
        <v>109.82178217821775</v>
      </c>
      <c r="S15" s="207">
        <v>58.990099009900931</v>
      </c>
      <c r="T15" s="207">
        <v>53.940594059405889</v>
      </c>
      <c r="U15" s="207">
        <v>203.13861386138589</v>
      </c>
      <c r="V15" s="207">
        <v>241.59405940593979</v>
      </c>
      <c r="W15" s="205">
        <v>750</v>
      </c>
      <c r="X15" s="204" t="s">
        <v>194</v>
      </c>
      <c r="Y15" s="203" t="s">
        <v>195</v>
      </c>
      <c r="Z15" s="206" t="s">
        <v>196</v>
      </c>
      <c r="AA15" s="205" t="s">
        <v>262</v>
      </c>
      <c r="AB15" s="204" t="s">
        <v>194</v>
      </c>
      <c r="AC15" s="203" t="s">
        <v>195</v>
      </c>
      <c r="AD15" s="202" t="s">
        <v>196</v>
      </c>
      <c r="AE15" s="201">
        <v>43454</v>
      </c>
    </row>
    <row r="16" spans="1:31" ht="15.75" x14ac:dyDescent="0.25">
      <c r="A16" s="204" t="s">
        <v>8</v>
      </c>
      <c r="B16" s="204" t="s">
        <v>321</v>
      </c>
      <c r="C16" s="204" t="s">
        <v>322</v>
      </c>
      <c r="D16" s="204" t="s">
        <v>312</v>
      </c>
      <c r="E16" s="209">
        <v>33073</v>
      </c>
      <c r="F16" s="204" t="s">
        <v>33</v>
      </c>
      <c r="G16" s="204" t="s">
        <v>208</v>
      </c>
      <c r="H16" s="204" t="s">
        <v>193</v>
      </c>
      <c r="I16" s="208">
        <v>55.671641791044799</v>
      </c>
      <c r="J16" s="207">
        <v>315.92079207920807</v>
      </c>
      <c r="K16" s="207">
        <v>92.366336633663366</v>
      </c>
      <c r="L16" s="207">
        <v>0.29702970297029702</v>
      </c>
      <c r="M16" s="207">
        <v>0.25742574257425743</v>
      </c>
      <c r="N16" s="207">
        <v>89.564356435643575</v>
      </c>
      <c r="O16" s="207">
        <v>261.96039603960406</v>
      </c>
      <c r="P16" s="207">
        <v>6.9405940594059405</v>
      </c>
      <c r="Q16" s="207">
        <v>50.376237623762314</v>
      </c>
      <c r="R16" s="207">
        <v>7.980198019801982</v>
      </c>
      <c r="S16" s="207">
        <v>31.029702970297024</v>
      </c>
      <c r="T16" s="207">
        <v>57.683168316831647</v>
      </c>
      <c r="U16" s="207">
        <v>312.14851485148529</v>
      </c>
      <c r="V16" s="207">
        <v>237.62376237623747</v>
      </c>
      <c r="W16" s="205">
        <v>700</v>
      </c>
      <c r="X16" s="204" t="s">
        <v>194</v>
      </c>
      <c r="Y16" s="203" t="s">
        <v>195</v>
      </c>
      <c r="Z16" s="206" t="s">
        <v>198</v>
      </c>
      <c r="AA16" s="205" t="s">
        <v>889</v>
      </c>
      <c r="AB16" s="204" t="s">
        <v>194</v>
      </c>
      <c r="AC16" s="203" t="s">
        <v>195</v>
      </c>
      <c r="AD16" s="202" t="s">
        <v>196</v>
      </c>
      <c r="AE16" s="201">
        <v>43769</v>
      </c>
    </row>
    <row r="17" spans="1:31" ht="15.75" x14ac:dyDescent="0.25">
      <c r="A17" s="204" t="s">
        <v>230</v>
      </c>
      <c r="B17" s="204" t="s">
        <v>231</v>
      </c>
      <c r="C17" s="204" t="s">
        <v>37</v>
      </c>
      <c r="D17" s="204" t="s">
        <v>223</v>
      </c>
      <c r="E17" s="209">
        <v>85131</v>
      </c>
      <c r="F17" s="204" t="s">
        <v>224</v>
      </c>
      <c r="G17" s="204" t="s">
        <v>192</v>
      </c>
      <c r="H17" s="204" t="s">
        <v>193</v>
      </c>
      <c r="I17" s="208">
        <v>107.44126357354401</v>
      </c>
      <c r="J17" s="207">
        <v>209.16831683168252</v>
      </c>
      <c r="K17" s="207">
        <v>46.178217821782148</v>
      </c>
      <c r="L17" s="207">
        <v>68.534653465346565</v>
      </c>
      <c r="M17" s="207">
        <v>60.00990099009897</v>
      </c>
      <c r="N17" s="207">
        <v>111.58415841584171</v>
      </c>
      <c r="O17" s="207">
        <v>130.72277227722768</v>
      </c>
      <c r="P17" s="207">
        <v>27.871287128712865</v>
      </c>
      <c r="Q17" s="207">
        <v>113.71287128712872</v>
      </c>
      <c r="R17" s="207">
        <v>57.732673267326717</v>
      </c>
      <c r="S17" s="207">
        <v>32.465346534653456</v>
      </c>
      <c r="T17" s="207">
        <v>47.336633663366335</v>
      </c>
      <c r="U17" s="207">
        <v>246.35643564356349</v>
      </c>
      <c r="V17" s="207">
        <v>192.2970297029697</v>
      </c>
      <c r="W17" s="205"/>
      <c r="X17" s="204" t="s">
        <v>194</v>
      </c>
      <c r="Y17" s="203" t="s">
        <v>195</v>
      </c>
      <c r="Z17" s="206" t="s">
        <v>196</v>
      </c>
      <c r="AA17" s="205" t="s">
        <v>232</v>
      </c>
      <c r="AB17" s="204" t="s">
        <v>194</v>
      </c>
      <c r="AC17" s="203" t="s">
        <v>195</v>
      </c>
      <c r="AD17" s="202" t="s">
        <v>196</v>
      </c>
      <c r="AE17" s="201">
        <v>43503</v>
      </c>
    </row>
    <row r="18" spans="1:31" ht="15.75" x14ac:dyDescent="0.25">
      <c r="A18" s="204" t="s">
        <v>248</v>
      </c>
      <c r="B18" s="204" t="s">
        <v>249</v>
      </c>
      <c r="C18" s="204" t="s">
        <v>250</v>
      </c>
      <c r="D18" s="204" t="s">
        <v>206</v>
      </c>
      <c r="E18" s="209">
        <v>78566</v>
      </c>
      <c r="F18" s="204" t="s">
        <v>207</v>
      </c>
      <c r="G18" s="204" t="s">
        <v>251</v>
      </c>
      <c r="H18" s="204" t="s">
        <v>193</v>
      </c>
      <c r="I18" s="208">
        <v>11.7403539309545</v>
      </c>
      <c r="J18" s="207">
        <v>334.70297029702601</v>
      </c>
      <c r="K18" s="207">
        <v>23.445544554455424</v>
      </c>
      <c r="L18" s="207">
        <v>3.5742574257425748</v>
      </c>
      <c r="M18" s="207">
        <v>15.247524752475242</v>
      </c>
      <c r="N18" s="207">
        <v>79.099009900990197</v>
      </c>
      <c r="O18" s="207">
        <v>297.29702970296796</v>
      </c>
      <c r="P18" s="207">
        <v>9.9009900990099011E-3</v>
      </c>
      <c r="Q18" s="207">
        <v>0.56435643564356464</v>
      </c>
      <c r="R18" s="207">
        <v>28.47524752475244</v>
      </c>
      <c r="S18" s="207">
        <v>23.574257425742555</v>
      </c>
      <c r="T18" s="207">
        <v>23.356435643564332</v>
      </c>
      <c r="U18" s="207">
        <v>301.56435643564078</v>
      </c>
      <c r="V18" s="207">
        <v>169.00990099009834</v>
      </c>
      <c r="W18" s="205">
        <v>800</v>
      </c>
      <c r="X18" s="204" t="s">
        <v>194</v>
      </c>
      <c r="Y18" s="203" t="s">
        <v>195</v>
      </c>
      <c r="Z18" s="206" t="s">
        <v>196</v>
      </c>
      <c r="AA18" s="205" t="s">
        <v>252</v>
      </c>
      <c r="AB18" s="204" t="s">
        <v>194</v>
      </c>
      <c r="AC18" s="203" t="s">
        <v>195</v>
      </c>
      <c r="AD18" s="202" t="s">
        <v>196</v>
      </c>
      <c r="AE18" s="201">
        <v>43496</v>
      </c>
    </row>
    <row r="19" spans="1:31" ht="15.75" x14ac:dyDescent="0.25">
      <c r="A19" s="204" t="s">
        <v>44</v>
      </c>
      <c r="B19" s="204" t="s">
        <v>273</v>
      </c>
      <c r="C19" s="204" t="s">
        <v>274</v>
      </c>
      <c r="D19" s="204" t="s">
        <v>202</v>
      </c>
      <c r="E19" s="209">
        <v>31772</v>
      </c>
      <c r="F19" s="204" t="s">
        <v>203</v>
      </c>
      <c r="G19" s="204" t="s">
        <v>219</v>
      </c>
      <c r="H19" s="204" t="s">
        <v>193</v>
      </c>
      <c r="I19" s="208">
        <v>73.1741496598639</v>
      </c>
      <c r="J19" s="207">
        <v>77.663366336633615</v>
      </c>
      <c r="K19" s="207">
        <v>72.099009900990112</v>
      </c>
      <c r="L19" s="207">
        <v>104.6435643564356</v>
      </c>
      <c r="M19" s="207">
        <v>122.23762376237623</v>
      </c>
      <c r="N19" s="207">
        <v>209.9207920792077</v>
      </c>
      <c r="O19" s="207">
        <v>101.63366336633663</v>
      </c>
      <c r="P19" s="207">
        <v>35.891089108910897</v>
      </c>
      <c r="Q19" s="207">
        <v>29.198019801980188</v>
      </c>
      <c r="R19" s="207">
        <v>158.80198019801989</v>
      </c>
      <c r="S19" s="207">
        <v>44.108910891089067</v>
      </c>
      <c r="T19" s="207">
        <v>41.336633663366321</v>
      </c>
      <c r="U19" s="207">
        <v>132.39603960396033</v>
      </c>
      <c r="V19" s="207">
        <v>295.96039603960361</v>
      </c>
      <c r="W19" s="205">
        <v>600</v>
      </c>
      <c r="X19" s="204" t="s">
        <v>194</v>
      </c>
      <c r="Y19" s="203" t="s">
        <v>276</v>
      </c>
      <c r="Z19" s="206" t="s">
        <v>198</v>
      </c>
      <c r="AA19" s="205" t="s">
        <v>888</v>
      </c>
      <c r="AB19" s="204" t="s">
        <v>194</v>
      </c>
      <c r="AC19" s="203" t="s">
        <v>276</v>
      </c>
      <c r="AD19" s="202" t="s">
        <v>196</v>
      </c>
      <c r="AE19" s="201">
        <v>43629</v>
      </c>
    </row>
    <row r="20" spans="1:31" ht="15.75" x14ac:dyDescent="0.25">
      <c r="A20" s="204" t="s">
        <v>242</v>
      </c>
      <c r="B20" s="204" t="s">
        <v>243</v>
      </c>
      <c r="C20" s="204" t="s">
        <v>244</v>
      </c>
      <c r="D20" s="204" t="s">
        <v>245</v>
      </c>
      <c r="E20" s="209">
        <v>98421</v>
      </c>
      <c r="F20" s="204" t="s">
        <v>246</v>
      </c>
      <c r="G20" s="204" t="s">
        <v>208</v>
      </c>
      <c r="H20" s="204" t="s">
        <v>193</v>
      </c>
      <c r="I20" s="208">
        <v>134.463220675944</v>
      </c>
      <c r="J20" s="207">
        <v>65.039603960396065</v>
      </c>
      <c r="K20" s="207">
        <v>59.683168316831654</v>
      </c>
      <c r="L20" s="207">
        <v>93.485148514851488</v>
      </c>
      <c r="M20" s="207">
        <v>144.06930693069299</v>
      </c>
      <c r="N20" s="207">
        <v>266.73267326732662</v>
      </c>
      <c r="O20" s="207">
        <v>67.267326732673325</v>
      </c>
      <c r="P20" s="207">
        <v>19.009900990099005</v>
      </c>
      <c r="Q20" s="207">
        <v>9.2673267326732649</v>
      </c>
      <c r="R20" s="207">
        <v>192.30693069306923</v>
      </c>
      <c r="S20" s="207">
        <v>49.227722772277211</v>
      </c>
      <c r="T20" s="207">
        <v>43.287128712871279</v>
      </c>
      <c r="U20" s="207">
        <v>77.455445544554564</v>
      </c>
      <c r="V20" s="207">
        <v>281.53465346534671</v>
      </c>
      <c r="W20" s="205">
        <v>1181</v>
      </c>
      <c r="X20" s="204" t="s">
        <v>194</v>
      </c>
      <c r="Y20" s="203" t="s">
        <v>195</v>
      </c>
      <c r="Z20" s="206" t="s">
        <v>196</v>
      </c>
      <c r="AA20" s="205" t="s">
        <v>247</v>
      </c>
      <c r="AB20" s="204" t="s">
        <v>194</v>
      </c>
      <c r="AC20" s="203" t="s">
        <v>195</v>
      </c>
      <c r="AD20" s="202" t="s">
        <v>196</v>
      </c>
      <c r="AE20" s="201">
        <v>43209</v>
      </c>
    </row>
    <row r="21" spans="1:31" ht="15.75" x14ac:dyDescent="0.25">
      <c r="A21" s="204" t="s">
        <v>309</v>
      </c>
      <c r="B21" s="204" t="s">
        <v>310</v>
      </c>
      <c r="C21" s="204" t="s">
        <v>311</v>
      </c>
      <c r="D21" s="204" t="s">
        <v>312</v>
      </c>
      <c r="E21" s="209">
        <v>33194</v>
      </c>
      <c r="F21" s="204" t="s">
        <v>33</v>
      </c>
      <c r="G21" s="204" t="s">
        <v>251</v>
      </c>
      <c r="H21" s="204" t="s">
        <v>5</v>
      </c>
      <c r="I21" s="208">
        <v>30.363919129082401</v>
      </c>
      <c r="J21" s="207">
        <v>6.0396039603960432</v>
      </c>
      <c r="K21" s="207">
        <v>7.4257425742574297</v>
      </c>
      <c r="L21" s="207">
        <v>182.22772277227716</v>
      </c>
      <c r="M21" s="207">
        <v>166.46534653465335</v>
      </c>
      <c r="N21" s="207">
        <v>245.11881188118807</v>
      </c>
      <c r="O21" s="207">
        <v>117.03960396039587</v>
      </c>
      <c r="P21" s="207">
        <v>0</v>
      </c>
      <c r="Q21" s="207">
        <v>0</v>
      </c>
      <c r="R21" s="207">
        <v>146.63366336633646</v>
      </c>
      <c r="S21" s="207">
        <v>57.168316831683107</v>
      </c>
      <c r="T21" s="207">
        <v>41.11881188118808</v>
      </c>
      <c r="U21" s="207">
        <v>117.23762376237606</v>
      </c>
      <c r="V21" s="207">
        <v>241.32673267326658</v>
      </c>
      <c r="W21" s="205">
        <v>450</v>
      </c>
      <c r="X21" s="204" t="s">
        <v>194</v>
      </c>
      <c r="Y21" s="203" t="s">
        <v>195</v>
      </c>
      <c r="Z21" s="206" t="s">
        <v>198</v>
      </c>
      <c r="AA21" s="205" t="s">
        <v>298</v>
      </c>
      <c r="AB21" s="204" t="s">
        <v>194</v>
      </c>
      <c r="AC21" s="203" t="s">
        <v>195</v>
      </c>
      <c r="AD21" s="202" t="s">
        <v>196</v>
      </c>
      <c r="AE21" s="201">
        <v>43510</v>
      </c>
    </row>
    <row r="22" spans="1:31" ht="15.75" x14ac:dyDescent="0.25">
      <c r="A22" s="204" t="s">
        <v>29</v>
      </c>
      <c r="B22" s="204" t="s">
        <v>233</v>
      </c>
      <c r="C22" s="204" t="s">
        <v>234</v>
      </c>
      <c r="D22" s="204" t="s">
        <v>235</v>
      </c>
      <c r="E22" s="209">
        <v>39120</v>
      </c>
      <c r="F22" s="204" t="s">
        <v>218</v>
      </c>
      <c r="G22" s="204" t="s">
        <v>192</v>
      </c>
      <c r="H22" s="204" t="s">
        <v>193</v>
      </c>
      <c r="I22" s="208">
        <v>59.328743545610998</v>
      </c>
      <c r="J22" s="207">
        <v>191.05940594059405</v>
      </c>
      <c r="K22" s="207">
        <v>39.198019801980116</v>
      </c>
      <c r="L22" s="207">
        <v>60.396039603960268</v>
      </c>
      <c r="M22" s="207">
        <v>62.524752475247418</v>
      </c>
      <c r="N22" s="207">
        <v>157.09900990099015</v>
      </c>
      <c r="O22" s="207">
        <v>175.40594059405964</v>
      </c>
      <c r="P22" s="207">
        <v>4.0297029702970306</v>
      </c>
      <c r="Q22" s="207">
        <v>16.643564356435625</v>
      </c>
      <c r="R22" s="207">
        <v>79.495049504950416</v>
      </c>
      <c r="S22" s="207">
        <v>36.336633663366271</v>
      </c>
      <c r="T22" s="207">
        <v>44.831683168316744</v>
      </c>
      <c r="U22" s="207">
        <v>192.51485148514857</v>
      </c>
      <c r="V22" s="207">
        <v>316.78217821782266</v>
      </c>
      <c r="W22" s="205">
        <v>1100</v>
      </c>
      <c r="X22" s="204" t="s">
        <v>194</v>
      </c>
      <c r="Y22" s="203" t="s">
        <v>195</v>
      </c>
      <c r="Z22" s="206" t="s">
        <v>196</v>
      </c>
      <c r="AA22" s="205" t="s">
        <v>197</v>
      </c>
      <c r="AB22" s="204" t="s">
        <v>221</v>
      </c>
      <c r="AC22" s="203"/>
      <c r="AD22" s="202"/>
      <c r="AE22" s="201"/>
    </row>
    <row r="23" spans="1:31" ht="15.75" x14ac:dyDescent="0.25">
      <c r="A23" s="204" t="s">
        <v>236</v>
      </c>
      <c r="B23" s="204" t="s">
        <v>237</v>
      </c>
      <c r="C23" s="204" t="s">
        <v>238</v>
      </c>
      <c r="D23" s="204" t="s">
        <v>190</v>
      </c>
      <c r="E23" s="209">
        <v>92154</v>
      </c>
      <c r="F23" s="204" t="s">
        <v>239</v>
      </c>
      <c r="G23" s="204" t="s">
        <v>208</v>
      </c>
      <c r="H23" s="204" t="s">
        <v>193</v>
      </c>
      <c r="I23" s="208">
        <v>115.688202247191</v>
      </c>
      <c r="J23" s="207">
        <v>161.72277227722753</v>
      </c>
      <c r="K23" s="207">
        <v>56.178217821782162</v>
      </c>
      <c r="L23" s="207">
        <v>47.891089108910876</v>
      </c>
      <c r="M23" s="207">
        <v>84.000000000000057</v>
      </c>
      <c r="N23" s="207">
        <v>154.61386138613861</v>
      </c>
      <c r="O23" s="207">
        <v>153.93069306930681</v>
      </c>
      <c r="P23" s="207">
        <v>14.762376237623762</v>
      </c>
      <c r="Q23" s="207">
        <v>26.485148514851492</v>
      </c>
      <c r="R23" s="207">
        <v>95.603960396039639</v>
      </c>
      <c r="S23" s="207">
        <v>32.613861386138623</v>
      </c>
      <c r="T23" s="207">
        <v>39.772277227722775</v>
      </c>
      <c r="U23" s="207">
        <v>181.80198019801969</v>
      </c>
      <c r="V23" s="207">
        <v>205.27722772277224</v>
      </c>
      <c r="W23" s="205">
        <v>750</v>
      </c>
      <c r="X23" s="204" t="s">
        <v>194</v>
      </c>
      <c r="Y23" s="203" t="s">
        <v>195</v>
      </c>
      <c r="Z23" s="206" t="s">
        <v>196</v>
      </c>
      <c r="AA23" s="205" t="s">
        <v>241</v>
      </c>
      <c r="AB23" s="204" t="s">
        <v>194</v>
      </c>
      <c r="AC23" s="203" t="s">
        <v>195</v>
      </c>
      <c r="AD23" s="202" t="s">
        <v>196</v>
      </c>
      <c r="AE23" s="201">
        <v>43490</v>
      </c>
    </row>
    <row r="24" spans="1:31" ht="15.75" x14ac:dyDescent="0.25">
      <c r="A24" s="204" t="s">
        <v>278</v>
      </c>
      <c r="B24" s="204" t="s">
        <v>279</v>
      </c>
      <c r="C24" s="204" t="s">
        <v>280</v>
      </c>
      <c r="D24" s="204" t="s">
        <v>206</v>
      </c>
      <c r="E24" s="209">
        <v>79925</v>
      </c>
      <c r="F24" s="204" t="s">
        <v>257</v>
      </c>
      <c r="G24" s="204" t="s">
        <v>251</v>
      </c>
      <c r="H24" s="204" t="s">
        <v>193</v>
      </c>
      <c r="I24" s="208">
        <v>28.624277456647398</v>
      </c>
      <c r="J24" s="207">
        <v>226.91089108910722</v>
      </c>
      <c r="K24" s="207">
        <v>38.356435643564332</v>
      </c>
      <c r="L24" s="207">
        <v>35.118811881188101</v>
      </c>
      <c r="M24" s="207">
        <v>33.841584158415834</v>
      </c>
      <c r="N24" s="207">
        <v>91.485148514851474</v>
      </c>
      <c r="O24" s="207">
        <v>138.75247524752427</v>
      </c>
      <c r="P24" s="207">
        <v>25.247524752475254</v>
      </c>
      <c r="Q24" s="207">
        <v>78.74257425742573</v>
      </c>
      <c r="R24" s="207">
        <v>66.207920792079165</v>
      </c>
      <c r="S24" s="207">
        <v>22.079207920792079</v>
      </c>
      <c r="T24" s="207">
        <v>27.693069306930692</v>
      </c>
      <c r="U24" s="207">
        <v>218.24752475247462</v>
      </c>
      <c r="V24" s="207">
        <v>187.46534653465358</v>
      </c>
      <c r="W24" s="205">
        <v>600</v>
      </c>
      <c r="X24" s="204" t="s">
        <v>194</v>
      </c>
      <c r="Y24" s="203" t="s">
        <v>195</v>
      </c>
      <c r="Z24" s="206" t="s">
        <v>196</v>
      </c>
      <c r="AA24" s="205" t="s">
        <v>281</v>
      </c>
      <c r="AB24" s="204" t="s">
        <v>194</v>
      </c>
      <c r="AC24" s="203" t="s">
        <v>195</v>
      </c>
      <c r="AD24" s="202" t="s">
        <v>196</v>
      </c>
      <c r="AE24" s="201">
        <v>43447</v>
      </c>
    </row>
    <row r="25" spans="1:31" ht="15.75" x14ac:dyDescent="0.25">
      <c r="A25" s="204" t="s">
        <v>326</v>
      </c>
      <c r="B25" s="204" t="s">
        <v>327</v>
      </c>
      <c r="C25" s="204" t="s">
        <v>328</v>
      </c>
      <c r="D25" s="204" t="s">
        <v>329</v>
      </c>
      <c r="E25" s="209">
        <v>17402</v>
      </c>
      <c r="F25" s="204" t="s">
        <v>330</v>
      </c>
      <c r="G25" s="204" t="s">
        <v>219</v>
      </c>
      <c r="H25" s="204" t="s">
        <v>193</v>
      </c>
      <c r="I25" s="208">
        <v>85.602067183462495</v>
      </c>
      <c r="J25" s="207">
        <v>49.653465346534638</v>
      </c>
      <c r="K25" s="207">
        <v>81.26732673267324</v>
      </c>
      <c r="L25" s="207">
        <v>94.722772277227676</v>
      </c>
      <c r="M25" s="207">
        <v>88.1683168316831</v>
      </c>
      <c r="N25" s="207">
        <v>223.62376237623755</v>
      </c>
      <c r="O25" s="207">
        <v>72.455445544554465</v>
      </c>
      <c r="P25" s="207">
        <v>12.396039603960395</v>
      </c>
      <c r="Q25" s="207">
        <v>5.3366336633663378</v>
      </c>
      <c r="R25" s="207">
        <v>135.08910891089107</v>
      </c>
      <c r="S25" s="207">
        <v>44.574257425742545</v>
      </c>
      <c r="T25" s="207">
        <v>52.673267326732649</v>
      </c>
      <c r="U25" s="207">
        <v>81.47524752475249</v>
      </c>
      <c r="V25" s="207">
        <v>236.3168316831684</v>
      </c>
      <c r="W25" s="205">
        <v>500</v>
      </c>
      <c r="X25" s="204" t="s">
        <v>194</v>
      </c>
      <c r="Y25" s="203" t="s">
        <v>276</v>
      </c>
      <c r="Z25" s="206" t="s">
        <v>196</v>
      </c>
      <c r="AA25" s="205" t="s">
        <v>331</v>
      </c>
      <c r="AB25" s="204" t="s">
        <v>194</v>
      </c>
      <c r="AC25" s="203" t="s">
        <v>276</v>
      </c>
      <c r="AD25" s="202" t="s">
        <v>196</v>
      </c>
      <c r="AE25" s="201">
        <v>43391</v>
      </c>
    </row>
    <row r="26" spans="1:31" ht="15.75" x14ac:dyDescent="0.25">
      <c r="A26" s="204" t="s">
        <v>334</v>
      </c>
      <c r="B26" s="204" t="s">
        <v>222</v>
      </c>
      <c r="C26" s="204" t="s">
        <v>37</v>
      </c>
      <c r="D26" s="204" t="s">
        <v>223</v>
      </c>
      <c r="E26" s="209">
        <v>85131</v>
      </c>
      <c r="F26" s="204" t="s">
        <v>224</v>
      </c>
      <c r="G26" s="204" t="s">
        <v>192</v>
      </c>
      <c r="H26" s="204" t="s">
        <v>5</v>
      </c>
      <c r="I26" s="208">
        <v>83.3819444444444</v>
      </c>
      <c r="J26" s="207">
        <v>123.77227722772273</v>
      </c>
      <c r="K26" s="207">
        <v>53.029702970297024</v>
      </c>
      <c r="L26" s="207">
        <v>58.970297029702955</v>
      </c>
      <c r="M26" s="207">
        <v>76.841584158415785</v>
      </c>
      <c r="N26" s="207">
        <v>153.14851485148506</v>
      </c>
      <c r="O26" s="207">
        <v>159.19801980198022</v>
      </c>
      <c r="P26" s="207">
        <v>0.26732673267326734</v>
      </c>
      <c r="Q26" s="207">
        <v>0</v>
      </c>
      <c r="R26" s="207">
        <v>76.841584158415799</v>
      </c>
      <c r="S26" s="207">
        <v>32.356435643564346</v>
      </c>
      <c r="T26" s="207">
        <v>42.564356435643568</v>
      </c>
      <c r="U26" s="207">
        <v>160.85148514851485</v>
      </c>
      <c r="V26" s="207">
        <v>166.85148514851437</v>
      </c>
      <c r="W26" s="205">
        <v>1800</v>
      </c>
      <c r="X26" s="204" t="s">
        <v>221</v>
      </c>
      <c r="Y26" s="203"/>
      <c r="Z26" s="206"/>
      <c r="AA26" s="205" t="s">
        <v>335</v>
      </c>
      <c r="AB26" s="204" t="s">
        <v>221</v>
      </c>
      <c r="AC26" s="203"/>
      <c r="AD26" s="202"/>
      <c r="AE26" s="201"/>
    </row>
    <row r="27" spans="1:31" ht="15.75" x14ac:dyDescent="0.25">
      <c r="A27" s="204" t="s">
        <v>295</v>
      </c>
      <c r="B27" s="204" t="s">
        <v>296</v>
      </c>
      <c r="C27" s="204" t="s">
        <v>45</v>
      </c>
      <c r="D27" s="204" t="s">
        <v>206</v>
      </c>
      <c r="E27" s="209">
        <v>76009</v>
      </c>
      <c r="F27" s="204" t="s">
        <v>297</v>
      </c>
      <c r="G27" s="204" t="s">
        <v>192</v>
      </c>
      <c r="H27" s="204" t="s">
        <v>193</v>
      </c>
      <c r="I27" s="208">
        <v>15.389029535864999</v>
      </c>
      <c r="J27" s="207">
        <v>117.55445544554485</v>
      </c>
      <c r="K27" s="207">
        <v>75.514851485148583</v>
      </c>
      <c r="L27" s="207">
        <v>66.851485148514925</v>
      </c>
      <c r="M27" s="207">
        <v>50.57425742574263</v>
      </c>
      <c r="N27" s="207">
        <v>178.42574257425659</v>
      </c>
      <c r="O27" s="207">
        <v>107.29702970297052</v>
      </c>
      <c r="P27" s="207">
        <v>7.6930693069306946</v>
      </c>
      <c r="Q27" s="207">
        <v>17.079207920792054</v>
      </c>
      <c r="R27" s="207">
        <v>101.26732673267354</v>
      </c>
      <c r="S27" s="207">
        <v>38.455445544554358</v>
      </c>
      <c r="T27" s="207">
        <v>44.792079207920814</v>
      </c>
      <c r="U27" s="207">
        <v>125.9801980198023</v>
      </c>
      <c r="V27" s="207">
        <v>217.95049504950273</v>
      </c>
      <c r="W27" s="205">
        <v>550</v>
      </c>
      <c r="X27" s="204" t="s">
        <v>194</v>
      </c>
      <c r="Y27" s="203" t="s">
        <v>195</v>
      </c>
      <c r="Z27" s="206" t="s">
        <v>196</v>
      </c>
      <c r="AA27" s="205" t="s">
        <v>298</v>
      </c>
      <c r="AB27" s="204" t="s">
        <v>194</v>
      </c>
      <c r="AC27" s="203" t="s">
        <v>195</v>
      </c>
      <c r="AD27" s="202" t="s">
        <v>196</v>
      </c>
      <c r="AE27" s="201">
        <v>43510</v>
      </c>
    </row>
    <row r="28" spans="1:31" ht="15.75" x14ac:dyDescent="0.25">
      <c r="A28" s="204" t="s">
        <v>18</v>
      </c>
      <c r="B28" s="204" t="s">
        <v>343</v>
      </c>
      <c r="C28" s="204" t="s">
        <v>344</v>
      </c>
      <c r="D28" s="204" t="s">
        <v>312</v>
      </c>
      <c r="E28" s="209">
        <v>33471</v>
      </c>
      <c r="F28" s="204" t="s">
        <v>33</v>
      </c>
      <c r="G28" s="204" t="s">
        <v>219</v>
      </c>
      <c r="H28" s="204" t="s">
        <v>193</v>
      </c>
      <c r="I28" s="208">
        <v>74.264444444444507</v>
      </c>
      <c r="J28" s="207">
        <v>0</v>
      </c>
      <c r="K28" s="207">
        <v>7.4455445544554451</v>
      </c>
      <c r="L28" s="207">
        <v>151.62376237623749</v>
      </c>
      <c r="M28" s="207">
        <v>141.23762376237602</v>
      </c>
      <c r="N28" s="207">
        <v>185.07920792079193</v>
      </c>
      <c r="O28" s="207">
        <v>70.881188118811849</v>
      </c>
      <c r="P28" s="207">
        <v>23.831683168316829</v>
      </c>
      <c r="Q28" s="207">
        <v>20.514851485148512</v>
      </c>
      <c r="R28" s="207">
        <v>116.29702970297025</v>
      </c>
      <c r="S28" s="207">
        <v>55.475247524752469</v>
      </c>
      <c r="T28" s="207">
        <v>37.138613861386105</v>
      </c>
      <c r="U28" s="207">
        <v>91.396039603960375</v>
      </c>
      <c r="V28" s="207">
        <v>195.9999999999998</v>
      </c>
      <c r="W28" s="205"/>
      <c r="X28" s="204" t="s">
        <v>194</v>
      </c>
      <c r="Y28" s="203" t="s">
        <v>324</v>
      </c>
      <c r="Z28" s="206" t="s">
        <v>198</v>
      </c>
      <c r="AA28" s="205" t="s">
        <v>873</v>
      </c>
      <c r="AB28" s="204" t="s">
        <v>194</v>
      </c>
      <c r="AC28" s="203" t="s">
        <v>324</v>
      </c>
      <c r="AD28" s="202" t="s">
        <v>345</v>
      </c>
      <c r="AE28" s="201">
        <v>43538</v>
      </c>
    </row>
    <row r="29" spans="1:31" ht="15.75" x14ac:dyDescent="0.25">
      <c r="A29" s="204" t="s">
        <v>318</v>
      </c>
      <c r="B29" s="204" t="s">
        <v>319</v>
      </c>
      <c r="C29" s="204" t="s">
        <v>320</v>
      </c>
      <c r="D29" s="204" t="s">
        <v>202</v>
      </c>
      <c r="E29" s="209">
        <v>31537</v>
      </c>
      <c r="F29" s="204" t="s">
        <v>203</v>
      </c>
      <c r="G29" s="204" t="s">
        <v>192</v>
      </c>
      <c r="H29" s="204" t="s">
        <v>5</v>
      </c>
      <c r="I29" s="208">
        <v>80.816000000000003</v>
      </c>
      <c r="J29" s="207">
        <v>73.217821782178191</v>
      </c>
      <c r="K29" s="207">
        <v>62.861386138613867</v>
      </c>
      <c r="L29" s="207">
        <v>87.415841584158386</v>
      </c>
      <c r="M29" s="207">
        <v>58.7920792079208</v>
      </c>
      <c r="N29" s="207">
        <v>179.49504950495043</v>
      </c>
      <c r="O29" s="207">
        <v>102.79207920792079</v>
      </c>
      <c r="P29" s="207">
        <v>0</v>
      </c>
      <c r="Q29" s="207">
        <v>0</v>
      </c>
      <c r="R29" s="207">
        <v>72.07920792079203</v>
      </c>
      <c r="S29" s="207">
        <v>52.742574257425751</v>
      </c>
      <c r="T29" s="207">
        <v>53.039603960396057</v>
      </c>
      <c r="U29" s="207">
        <v>104.42574257425743</v>
      </c>
      <c r="V29" s="207">
        <v>110.27722772277224</v>
      </c>
      <c r="W29" s="205">
        <v>544</v>
      </c>
      <c r="X29" s="204" t="s">
        <v>194</v>
      </c>
      <c r="Y29" s="203" t="s">
        <v>195</v>
      </c>
      <c r="Z29" s="206" t="s">
        <v>198</v>
      </c>
      <c r="AA29" s="205" t="s">
        <v>878</v>
      </c>
      <c r="AB29" s="204" t="s">
        <v>194</v>
      </c>
      <c r="AC29" s="203" t="s">
        <v>195</v>
      </c>
      <c r="AD29" s="202" t="s">
        <v>196</v>
      </c>
      <c r="AE29" s="201">
        <v>43622</v>
      </c>
    </row>
    <row r="30" spans="1:31" ht="15.75" x14ac:dyDescent="0.25">
      <c r="A30" s="204" t="s">
        <v>11</v>
      </c>
      <c r="B30" s="204" t="s">
        <v>270</v>
      </c>
      <c r="C30" s="204" t="s">
        <v>271</v>
      </c>
      <c r="D30" s="204" t="s">
        <v>206</v>
      </c>
      <c r="E30" s="209">
        <v>78580</v>
      </c>
      <c r="F30" s="204" t="s">
        <v>207</v>
      </c>
      <c r="G30" s="204" t="s">
        <v>219</v>
      </c>
      <c r="H30" s="204" t="s">
        <v>193</v>
      </c>
      <c r="I30" s="208">
        <v>27.525139664804499</v>
      </c>
      <c r="J30" s="207">
        <v>244.73267326732608</v>
      </c>
      <c r="K30" s="207">
        <v>18.435643564356418</v>
      </c>
      <c r="L30" s="207">
        <v>8.3465346534653495</v>
      </c>
      <c r="M30" s="207">
        <v>5.8019801980198045</v>
      </c>
      <c r="N30" s="207">
        <v>38.782178217821723</v>
      </c>
      <c r="O30" s="207">
        <v>77.772277227722512</v>
      </c>
      <c r="P30" s="207">
        <v>16.168316831683171</v>
      </c>
      <c r="Q30" s="207">
        <v>144.59405940594033</v>
      </c>
      <c r="R30" s="207">
        <v>28.346534653465334</v>
      </c>
      <c r="S30" s="207">
        <v>11.128712871287126</v>
      </c>
      <c r="T30" s="207">
        <v>13.336633663366333</v>
      </c>
      <c r="U30" s="207">
        <v>224.50495049504897</v>
      </c>
      <c r="V30" s="207">
        <v>109.98019801980186</v>
      </c>
      <c r="W30" s="205">
        <v>750</v>
      </c>
      <c r="X30" s="204" t="s">
        <v>194</v>
      </c>
      <c r="Y30" s="203" t="s">
        <v>195</v>
      </c>
      <c r="Z30" s="206" t="s">
        <v>196</v>
      </c>
      <c r="AA30" s="205" t="s">
        <v>272</v>
      </c>
      <c r="AB30" s="204" t="s">
        <v>194</v>
      </c>
      <c r="AC30" s="203" t="s">
        <v>195</v>
      </c>
      <c r="AD30" s="202" t="s">
        <v>196</v>
      </c>
      <c r="AE30" s="201">
        <v>43440</v>
      </c>
    </row>
    <row r="31" spans="1:31" ht="15.75" x14ac:dyDescent="0.25">
      <c r="A31" s="204" t="s">
        <v>291</v>
      </c>
      <c r="B31" s="204" t="s">
        <v>292</v>
      </c>
      <c r="C31" s="204" t="s">
        <v>293</v>
      </c>
      <c r="D31" s="204" t="s">
        <v>190</v>
      </c>
      <c r="E31" s="209">
        <v>92231</v>
      </c>
      <c r="F31" s="204" t="s">
        <v>239</v>
      </c>
      <c r="G31" s="204" t="s">
        <v>208</v>
      </c>
      <c r="H31" s="204" t="s">
        <v>193</v>
      </c>
      <c r="I31" s="208">
        <v>89.32</v>
      </c>
      <c r="J31" s="207">
        <v>220.96039603960369</v>
      </c>
      <c r="K31" s="207">
        <v>9.9801980198019837</v>
      </c>
      <c r="L31" s="207">
        <v>11.03960396039604</v>
      </c>
      <c r="M31" s="207">
        <v>29.277227722772274</v>
      </c>
      <c r="N31" s="207">
        <v>49.752475247524714</v>
      </c>
      <c r="O31" s="207">
        <v>191.39603960396022</v>
      </c>
      <c r="P31" s="207">
        <v>1.5148514851485149</v>
      </c>
      <c r="Q31" s="207">
        <v>28.594059405940587</v>
      </c>
      <c r="R31" s="207">
        <v>37.227722772277218</v>
      </c>
      <c r="S31" s="207">
        <v>7.6633663366336648</v>
      </c>
      <c r="T31" s="207">
        <v>6.3762376237623775</v>
      </c>
      <c r="U31" s="207">
        <v>219.99009900990075</v>
      </c>
      <c r="V31" s="207">
        <v>169.74257425742547</v>
      </c>
      <c r="W31" s="205">
        <v>640</v>
      </c>
      <c r="X31" s="204" t="s">
        <v>194</v>
      </c>
      <c r="Y31" s="203" t="s">
        <v>195</v>
      </c>
      <c r="Z31" s="206" t="s">
        <v>196</v>
      </c>
      <c r="AA31" s="205" t="s">
        <v>294</v>
      </c>
      <c r="AB31" s="204" t="s">
        <v>194</v>
      </c>
      <c r="AC31" s="203" t="s">
        <v>195</v>
      </c>
      <c r="AD31" s="202" t="s">
        <v>196</v>
      </c>
      <c r="AE31" s="201">
        <v>43482</v>
      </c>
    </row>
    <row r="32" spans="1:31" ht="15.75" x14ac:dyDescent="0.25">
      <c r="A32" s="204" t="s">
        <v>337</v>
      </c>
      <c r="B32" s="204" t="s">
        <v>338</v>
      </c>
      <c r="C32" s="204" t="s">
        <v>339</v>
      </c>
      <c r="D32" s="204" t="s">
        <v>340</v>
      </c>
      <c r="E32" s="209">
        <v>14020</v>
      </c>
      <c r="F32" s="204" t="s">
        <v>341</v>
      </c>
      <c r="G32" s="204" t="s">
        <v>251</v>
      </c>
      <c r="H32" s="204" t="s">
        <v>193</v>
      </c>
      <c r="I32" s="208">
        <v>112.03061224489799</v>
      </c>
      <c r="J32" s="207">
        <v>43.316831683168317</v>
      </c>
      <c r="K32" s="207">
        <v>32.51485148514849</v>
      </c>
      <c r="L32" s="207">
        <v>78.168316831683086</v>
      </c>
      <c r="M32" s="207">
        <v>115.32673267326734</v>
      </c>
      <c r="N32" s="207">
        <v>206.86138613861385</v>
      </c>
      <c r="O32" s="207">
        <v>54.366336633663352</v>
      </c>
      <c r="P32" s="207">
        <v>3.7623762376237622</v>
      </c>
      <c r="Q32" s="207">
        <v>4.336633663366336</v>
      </c>
      <c r="R32" s="207">
        <v>156.04950495049499</v>
      </c>
      <c r="S32" s="207">
        <v>33.465346534653456</v>
      </c>
      <c r="T32" s="207">
        <v>21.613861386138613</v>
      </c>
      <c r="U32" s="207">
        <v>58.19801980198018</v>
      </c>
      <c r="V32" s="207">
        <v>228.68316831683174</v>
      </c>
      <c r="W32" s="205">
        <v>400</v>
      </c>
      <c r="X32" s="204" t="s">
        <v>194</v>
      </c>
      <c r="Y32" s="203" t="s">
        <v>195</v>
      </c>
      <c r="Z32" s="206" t="s">
        <v>196</v>
      </c>
      <c r="AA32" s="205" t="s">
        <v>342</v>
      </c>
      <c r="AB32" s="204" t="s">
        <v>194</v>
      </c>
      <c r="AC32" s="203" t="s">
        <v>195</v>
      </c>
      <c r="AD32" s="202" t="s">
        <v>196</v>
      </c>
      <c r="AE32" s="201">
        <v>43181</v>
      </c>
    </row>
    <row r="33" spans="1:31" ht="15.75" x14ac:dyDescent="0.25">
      <c r="A33" s="204" t="s">
        <v>313</v>
      </c>
      <c r="B33" s="204" t="s">
        <v>314</v>
      </c>
      <c r="C33" s="204" t="s">
        <v>46</v>
      </c>
      <c r="D33" s="204" t="s">
        <v>315</v>
      </c>
      <c r="E33" s="209">
        <v>80010</v>
      </c>
      <c r="F33" s="204" t="s">
        <v>316</v>
      </c>
      <c r="G33" s="204" t="s">
        <v>208</v>
      </c>
      <c r="H33" s="204" t="s">
        <v>193</v>
      </c>
      <c r="I33" s="208">
        <v>69.395522388059703</v>
      </c>
      <c r="J33" s="207">
        <v>28.376237623762339</v>
      </c>
      <c r="K33" s="207">
        <v>42.960396039603935</v>
      </c>
      <c r="L33" s="207">
        <v>84.524752475247482</v>
      </c>
      <c r="M33" s="207">
        <v>83.277227722772267</v>
      </c>
      <c r="N33" s="207">
        <v>179.02970297029694</v>
      </c>
      <c r="O33" s="207">
        <v>55.613861386138666</v>
      </c>
      <c r="P33" s="207">
        <v>3.9009900990099009</v>
      </c>
      <c r="Q33" s="207">
        <v>0.59405940594059414</v>
      </c>
      <c r="R33" s="207">
        <v>115.45544554455446</v>
      </c>
      <c r="S33" s="207">
        <v>42.584158415841593</v>
      </c>
      <c r="T33" s="207">
        <v>23.841584158415834</v>
      </c>
      <c r="U33" s="207">
        <v>57.257425742574313</v>
      </c>
      <c r="V33" s="207">
        <v>155.15841584158383</v>
      </c>
      <c r="W33" s="205">
        <v>525</v>
      </c>
      <c r="X33" s="204" t="s">
        <v>194</v>
      </c>
      <c r="Y33" s="203" t="s">
        <v>195</v>
      </c>
      <c r="Z33" s="206" t="s">
        <v>196</v>
      </c>
      <c r="AA33" s="205" t="s">
        <v>317</v>
      </c>
      <c r="AB33" s="204" t="s">
        <v>194</v>
      </c>
      <c r="AC33" s="203" t="s">
        <v>195</v>
      </c>
      <c r="AD33" s="202" t="s">
        <v>196</v>
      </c>
      <c r="AE33" s="201">
        <v>43377</v>
      </c>
    </row>
    <row r="34" spans="1:31" ht="15.75" x14ac:dyDescent="0.25">
      <c r="A34" s="204" t="s">
        <v>22</v>
      </c>
      <c r="B34" s="204" t="s">
        <v>267</v>
      </c>
      <c r="C34" s="204" t="s">
        <v>268</v>
      </c>
      <c r="D34" s="204" t="s">
        <v>217</v>
      </c>
      <c r="E34" s="209">
        <v>71251</v>
      </c>
      <c r="F34" s="204" t="s">
        <v>218</v>
      </c>
      <c r="G34" s="204" t="s">
        <v>192</v>
      </c>
      <c r="H34" s="204" t="s">
        <v>193</v>
      </c>
      <c r="I34" s="208">
        <v>126.73282442748101</v>
      </c>
      <c r="J34" s="207">
        <v>152.38613861386153</v>
      </c>
      <c r="K34" s="207">
        <v>28.980198019801978</v>
      </c>
      <c r="L34" s="207">
        <v>29.653465346534649</v>
      </c>
      <c r="M34" s="207">
        <v>24.316831683168324</v>
      </c>
      <c r="N34" s="207">
        <v>50.326732673267315</v>
      </c>
      <c r="O34" s="207">
        <v>124.79207920792075</v>
      </c>
      <c r="P34" s="207">
        <v>15.336633663366335</v>
      </c>
      <c r="Q34" s="207">
        <v>44.881188118811799</v>
      </c>
      <c r="R34" s="207">
        <v>30.415841584158418</v>
      </c>
      <c r="S34" s="207">
        <v>14.168316831683166</v>
      </c>
      <c r="T34" s="207">
        <v>21.07920792079209</v>
      </c>
      <c r="U34" s="207">
        <v>169.67326732673283</v>
      </c>
      <c r="V34" s="207">
        <v>188.88118811881202</v>
      </c>
      <c r="W34" s="205">
        <v>751</v>
      </c>
      <c r="X34" s="204" t="s">
        <v>194</v>
      </c>
      <c r="Y34" s="203" t="s">
        <v>195</v>
      </c>
      <c r="Z34" s="206" t="s">
        <v>196</v>
      </c>
      <c r="AA34" s="205" t="s">
        <v>269</v>
      </c>
      <c r="AB34" s="204" t="s">
        <v>221</v>
      </c>
      <c r="AC34" s="203"/>
      <c r="AD34" s="202"/>
      <c r="AE34" s="201"/>
    </row>
    <row r="35" spans="1:31" ht="15.75" x14ac:dyDescent="0.25">
      <c r="A35" s="204" t="s">
        <v>43</v>
      </c>
      <c r="B35" s="204" t="s">
        <v>285</v>
      </c>
      <c r="C35" s="204" t="s">
        <v>286</v>
      </c>
      <c r="D35" s="204" t="s">
        <v>217</v>
      </c>
      <c r="E35" s="209">
        <v>70576</v>
      </c>
      <c r="F35" s="204" t="s">
        <v>218</v>
      </c>
      <c r="G35" s="204" t="s">
        <v>192</v>
      </c>
      <c r="H35" s="204" t="s">
        <v>5</v>
      </c>
      <c r="I35" s="208">
        <v>82.524691358024697</v>
      </c>
      <c r="J35" s="207">
        <v>89.128712871287107</v>
      </c>
      <c r="K35" s="207">
        <v>60.138613861386148</v>
      </c>
      <c r="L35" s="207">
        <v>59.435643564356447</v>
      </c>
      <c r="M35" s="207">
        <v>21.99009900990098</v>
      </c>
      <c r="N35" s="207">
        <v>101.91089108910887</v>
      </c>
      <c r="O35" s="207">
        <v>128.54455445544556</v>
      </c>
      <c r="P35" s="207">
        <v>0</v>
      </c>
      <c r="Q35" s="207">
        <v>0.23762376237623761</v>
      </c>
      <c r="R35" s="207">
        <v>49.247524752475229</v>
      </c>
      <c r="S35" s="207">
        <v>15.415841584158413</v>
      </c>
      <c r="T35" s="207">
        <v>36.980198019801975</v>
      </c>
      <c r="U35" s="207">
        <v>129.04950495049502</v>
      </c>
      <c r="V35" s="207">
        <v>164.21782178217802</v>
      </c>
      <c r="W35" s="205"/>
      <c r="X35" s="204" t="s">
        <v>194</v>
      </c>
      <c r="Y35" s="203" t="s">
        <v>195</v>
      </c>
      <c r="Z35" s="206" t="s">
        <v>196</v>
      </c>
      <c r="AA35" s="205" t="s">
        <v>287</v>
      </c>
      <c r="AB35" s="204" t="s">
        <v>194</v>
      </c>
      <c r="AC35" s="203" t="s">
        <v>195</v>
      </c>
      <c r="AD35" s="202" t="s">
        <v>196</v>
      </c>
      <c r="AE35" s="201">
        <v>43216</v>
      </c>
    </row>
    <row r="36" spans="1:31" ht="15.75" x14ac:dyDescent="0.25">
      <c r="A36" s="204" t="s">
        <v>299</v>
      </c>
      <c r="B36" s="204" t="s">
        <v>300</v>
      </c>
      <c r="C36" s="204" t="s">
        <v>301</v>
      </c>
      <c r="D36" s="204" t="s">
        <v>302</v>
      </c>
      <c r="E36" s="209">
        <v>7105</v>
      </c>
      <c r="F36" s="204" t="s">
        <v>303</v>
      </c>
      <c r="G36" s="204" t="s">
        <v>219</v>
      </c>
      <c r="H36" s="204" t="s">
        <v>5</v>
      </c>
      <c r="I36" s="208">
        <v>151.65865384615401</v>
      </c>
      <c r="J36" s="207">
        <v>2.2871287128712874</v>
      </c>
      <c r="K36" s="207">
        <v>2.0495049504950495</v>
      </c>
      <c r="L36" s="207">
        <v>123.62376237623771</v>
      </c>
      <c r="M36" s="207">
        <v>87.861386138613909</v>
      </c>
      <c r="N36" s="207">
        <v>133.90099009900999</v>
      </c>
      <c r="O36" s="207">
        <v>81.920792079207956</v>
      </c>
      <c r="P36" s="207">
        <v>0</v>
      </c>
      <c r="Q36" s="207">
        <v>0</v>
      </c>
      <c r="R36" s="207">
        <v>87.207920792079207</v>
      </c>
      <c r="S36" s="207">
        <v>13.970297029702966</v>
      </c>
      <c r="T36" s="207">
        <v>30.445544554455438</v>
      </c>
      <c r="U36" s="207">
        <v>84.198019801980266</v>
      </c>
      <c r="V36" s="207">
        <v>121.50495049504956</v>
      </c>
      <c r="W36" s="205"/>
      <c r="X36" s="204" t="s">
        <v>194</v>
      </c>
      <c r="Y36" s="203" t="s">
        <v>195</v>
      </c>
      <c r="Z36" s="206" t="s">
        <v>196</v>
      </c>
      <c r="AA36" s="205" t="s">
        <v>846</v>
      </c>
      <c r="AB36" s="204" t="s">
        <v>194</v>
      </c>
      <c r="AC36" s="203" t="s">
        <v>195</v>
      </c>
      <c r="AD36" s="202" t="s">
        <v>196</v>
      </c>
      <c r="AE36" s="201">
        <v>43734</v>
      </c>
    </row>
    <row r="37" spans="1:31" ht="15.75" x14ac:dyDescent="0.25">
      <c r="A37" s="204" t="s">
        <v>253</v>
      </c>
      <c r="B37" s="204" t="s">
        <v>254</v>
      </c>
      <c r="C37" s="204" t="s">
        <v>255</v>
      </c>
      <c r="D37" s="204" t="s">
        <v>256</v>
      </c>
      <c r="E37" s="209">
        <v>88081</v>
      </c>
      <c r="F37" s="204" t="s">
        <v>257</v>
      </c>
      <c r="G37" s="204" t="s">
        <v>192</v>
      </c>
      <c r="H37" s="204" t="s">
        <v>5</v>
      </c>
      <c r="I37" s="208">
        <v>62.7344497607656</v>
      </c>
      <c r="J37" s="207">
        <v>120.69306930693074</v>
      </c>
      <c r="K37" s="207">
        <v>36.871287128712851</v>
      </c>
      <c r="L37" s="207">
        <v>30.237623762376234</v>
      </c>
      <c r="M37" s="207">
        <v>20.287128712871286</v>
      </c>
      <c r="N37" s="207">
        <v>80.871287128712865</v>
      </c>
      <c r="O37" s="207">
        <v>126.96039603960399</v>
      </c>
      <c r="P37" s="207">
        <v>0</v>
      </c>
      <c r="Q37" s="207">
        <v>0.25742574257425743</v>
      </c>
      <c r="R37" s="207">
        <v>43.514851485148505</v>
      </c>
      <c r="S37" s="207">
        <v>19.455445544554447</v>
      </c>
      <c r="T37" s="207">
        <v>17.950495049504944</v>
      </c>
      <c r="U37" s="207">
        <v>127.1683168316832</v>
      </c>
      <c r="V37" s="207">
        <v>146.53465346534634</v>
      </c>
      <c r="W37" s="205">
        <v>500</v>
      </c>
      <c r="X37" s="204" t="s">
        <v>194</v>
      </c>
      <c r="Y37" s="203" t="s">
        <v>195</v>
      </c>
      <c r="Z37" s="206" t="s">
        <v>196</v>
      </c>
      <c r="AA37" s="205" t="s">
        <v>252</v>
      </c>
      <c r="AB37" s="204" t="s">
        <v>194</v>
      </c>
      <c r="AC37" s="203" t="s">
        <v>195</v>
      </c>
      <c r="AD37" s="202" t="s">
        <v>196</v>
      </c>
      <c r="AE37" s="201">
        <v>43496</v>
      </c>
    </row>
    <row r="38" spans="1:31" ht="15.75" x14ac:dyDescent="0.25">
      <c r="A38" s="204" t="s">
        <v>53</v>
      </c>
      <c r="B38" s="204" t="s">
        <v>412</v>
      </c>
      <c r="C38" s="204" t="s">
        <v>413</v>
      </c>
      <c r="D38" s="204" t="s">
        <v>302</v>
      </c>
      <c r="E38" s="209">
        <v>7601</v>
      </c>
      <c r="F38" s="204" t="s">
        <v>379</v>
      </c>
      <c r="G38" s="204" t="s">
        <v>275</v>
      </c>
      <c r="H38" s="204" t="s">
        <v>193</v>
      </c>
      <c r="I38" s="208">
        <v>63.171755725190799</v>
      </c>
      <c r="J38" s="207">
        <v>38.643564356435647</v>
      </c>
      <c r="K38" s="207">
        <v>16.841584158415838</v>
      </c>
      <c r="L38" s="207">
        <v>74.712871287128706</v>
      </c>
      <c r="M38" s="207">
        <v>69.049504950495049</v>
      </c>
      <c r="N38" s="207">
        <v>128.28712871287124</v>
      </c>
      <c r="O38" s="207">
        <v>58.861386138613845</v>
      </c>
      <c r="P38" s="207">
        <v>8.792079207920791</v>
      </c>
      <c r="Q38" s="207">
        <v>3.3069306930693072</v>
      </c>
      <c r="R38" s="207">
        <v>75.930693069306926</v>
      </c>
      <c r="S38" s="207">
        <v>29.287128712871279</v>
      </c>
      <c r="T38" s="207">
        <v>32.663366336633665</v>
      </c>
      <c r="U38" s="207">
        <v>61.366336633663337</v>
      </c>
      <c r="V38" s="207">
        <v>143.37623762376231</v>
      </c>
      <c r="W38" s="205"/>
      <c r="X38" s="204" t="s">
        <v>194</v>
      </c>
      <c r="Y38" s="203" t="s">
        <v>324</v>
      </c>
      <c r="Z38" s="206" t="s">
        <v>345</v>
      </c>
      <c r="AA38" s="205" t="s">
        <v>882</v>
      </c>
      <c r="AB38" s="204" t="s">
        <v>194</v>
      </c>
      <c r="AC38" s="203" t="s">
        <v>324</v>
      </c>
      <c r="AD38" s="202" t="s">
        <v>345</v>
      </c>
      <c r="AE38" s="201">
        <v>43524</v>
      </c>
    </row>
    <row r="39" spans="1:31" ht="15.75" x14ac:dyDescent="0.25">
      <c r="A39" s="204" t="s">
        <v>282</v>
      </c>
      <c r="B39" s="204" t="s">
        <v>283</v>
      </c>
      <c r="C39" s="204" t="s">
        <v>284</v>
      </c>
      <c r="D39" s="204" t="s">
        <v>206</v>
      </c>
      <c r="E39" s="209">
        <v>77032</v>
      </c>
      <c r="F39" s="204" t="s">
        <v>261</v>
      </c>
      <c r="G39" s="204" t="s">
        <v>208</v>
      </c>
      <c r="H39" s="204" t="s">
        <v>193</v>
      </c>
      <c r="I39" s="208">
        <v>42.788051209103799</v>
      </c>
      <c r="J39" s="207">
        <v>73.099009900990012</v>
      </c>
      <c r="K39" s="207">
        <v>67.198019801980195</v>
      </c>
      <c r="L39" s="207">
        <v>34.950495049504923</v>
      </c>
      <c r="M39" s="207">
        <v>23.74257425742573</v>
      </c>
      <c r="N39" s="207">
        <v>80.366336633663266</v>
      </c>
      <c r="O39" s="207">
        <v>98.455445544554422</v>
      </c>
      <c r="P39" s="207">
        <v>6.5841584158415847</v>
      </c>
      <c r="Q39" s="207">
        <v>13.584158415841582</v>
      </c>
      <c r="R39" s="207">
        <v>35.891089108910869</v>
      </c>
      <c r="S39" s="207">
        <v>24.683168316831665</v>
      </c>
      <c r="T39" s="207">
        <v>28.287128712871265</v>
      </c>
      <c r="U39" s="207">
        <v>110.12871287128706</v>
      </c>
      <c r="V39" s="207">
        <v>130.81188118811872</v>
      </c>
      <c r="W39" s="205">
        <v>750</v>
      </c>
      <c r="X39" s="204" t="s">
        <v>194</v>
      </c>
      <c r="Y39" s="203" t="s">
        <v>195</v>
      </c>
      <c r="Z39" s="206" t="s">
        <v>196</v>
      </c>
      <c r="AA39" s="205" t="s">
        <v>213</v>
      </c>
      <c r="AB39" s="204" t="s">
        <v>194</v>
      </c>
      <c r="AC39" s="203" t="s">
        <v>195</v>
      </c>
      <c r="AD39" s="202" t="s">
        <v>196</v>
      </c>
      <c r="AE39" s="201">
        <v>43475</v>
      </c>
    </row>
    <row r="40" spans="1:31" ht="15.75" x14ac:dyDescent="0.25">
      <c r="A40" s="204" t="s">
        <v>389</v>
      </c>
      <c r="B40" s="204" t="s">
        <v>390</v>
      </c>
      <c r="C40" s="204" t="s">
        <v>391</v>
      </c>
      <c r="D40" s="204" t="s">
        <v>312</v>
      </c>
      <c r="E40" s="209">
        <v>32063</v>
      </c>
      <c r="F40" s="204" t="s">
        <v>33</v>
      </c>
      <c r="G40" s="204" t="s">
        <v>219</v>
      </c>
      <c r="H40" s="204" t="s">
        <v>193</v>
      </c>
      <c r="I40" s="208">
        <v>63.248322147651002</v>
      </c>
      <c r="J40" s="207">
        <v>13.475247524752474</v>
      </c>
      <c r="K40" s="207">
        <v>48.336633663366335</v>
      </c>
      <c r="L40" s="207">
        <v>96.524752475247595</v>
      </c>
      <c r="M40" s="207">
        <v>40.356435643564339</v>
      </c>
      <c r="N40" s="207">
        <v>133.60396039603972</v>
      </c>
      <c r="O40" s="207">
        <v>55.683168316831676</v>
      </c>
      <c r="P40" s="207">
        <v>7.0792079207920811</v>
      </c>
      <c r="Q40" s="207">
        <v>2.3267326732673266</v>
      </c>
      <c r="R40" s="207">
        <v>83.158415841584187</v>
      </c>
      <c r="S40" s="207">
        <v>32.990099009900973</v>
      </c>
      <c r="T40" s="207">
        <v>24.108910891089103</v>
      </c>
      <c r="U40" s="207">
        <v>58.435643564356418</v>
      </c>
      <c r="V40" s="207">
        <v>133.51485148514845</v>
      </c>
      <c r="W40" s="205"/>
      <c r="X40" s="204" t="s">
        <v>194</v>
      </c>
      <c r="Y40" s="203" t="s">
        <v>324</v>
      </c>
      <c r="Z40" s="206" t="s">
        <v>345</v>
      </c>
      <c r="AA40" s="205" t="s">
        <v>392</v>
      </c>
      <c r="AB40" s="204" t="s">
        <v>194</v>
      </c>
      <c r="AC40" s="203" t="s">
        <v>324</v>
      </c>
      <c r="AD40" s="202" t="s">
        <v>345</v>
      </c>
      <c r="AE40" s="201">
        <v>43252</v>
      </c>
    </row>
    <row r="41" spans="1:31" ht="15.75" x14ac:dyDescent="0.25">
      <c r="A41" s="204" t="s">
        <v>263</v>
      </c>
      <c r="B41" s="204" t="s">
        <v>264</v>
      </c>
      <c r="C41" s="204" t="s">
        <v>265</v>
      </c>
      <c r="D41" s="204" t="s">
        <v>217</v>
      </c>
      <c r="E41" s="209">
        <v>71202</v>
      </c>
      <c r="F41" s="204" t="s">
        <v>218</v>
      </c>
      <c r="G41" s="204" t="s">
        <v>192</v>
      </c>
      <c r="H41" s="204" t="s">
        <v>5</v>
      </c>
      <c r="I41" s="208">
        <v>57.243735763098002</v>
      </c>
      <c r="J41" s="207">
        <v>129.78217821782175</v>
      </c>
      <c r="K41" s="207">
        <v>26.27722772277226</v>
      </c>
      <c r="L41" s="207">
        <v>19.277227722772256</v>
      </c>
      <c r="M41" s="207">
        <v>8.8712871287128721</v>
      </c>
      <c r="N41" s="207">
        <v>35.198019801980152</v>
      </c>
      <c r="O41" s="207">
        <v>149.0099009900988</v>
      </c>
      <c r="P41" s="207">
        <v>0</v>
      </c>
      <c r="Q41" s="207">
        <v>0</v>
      </c>
      <c r="R41" s="207">
        <v>14.554455445544543</v>
      </c>
      <c r="S41" s="207">
        <v>9.702970297029708</v>
      </c>
      <c r="T41" s="207">
        <v>10.940594059405937</v>
      </c>
      <c r="U41" s="207">
        <v>149.0099009900988</v>
      </c>
      <c r="V41" s="207">
        <v>157.44554455445524</v>
      </c>
      <c r="W41" s="205">
        <v>677</v>
      </c>
      <c r="X41" s="204" t="s">
        <v>194</v>
      </c>
      <c r="Y41" s="203" t="s">
        <v>887</v>
      </c>
      <c r="Z41" s="206"/>
      <c r="AA41" s="205" t="s">
        <v>867</v>
      </c>
      <c r="AB41" s="204" t="s">
        <v>194</v>
      </c>
      <c r="AC41" s="203" t="s">
        <v>195</v>
      </c>
      <c r="AD41" s="202" t="s">
        <v>196</v>
      </c>
      <c r="AE41" s="201">
        <v>43741</v>
      </c>
    </row>
    <row r="42" spans="1:31" ht="15.75" x14ac:dyDescent="0.25">
      <c r="A42" s="204" t="s">
        <v>209</v>
      </c>
      <c r="B42" s="204" t="s">
        <v>886</v>
      </c>
      <c r="C42" s="204" t="s">
        <v>210</v>
      </c>
      <c r="D42" s="204" t="s">
        <v>206</v>
      </c>
      <c r="E42" s="209">
        <v>78017</v>
      </c>
      <c r="F42" s="204" t="s">
        <v>207</v>
      </c>
      <c r="G42" s="204" t="s">
        <v>211</v>
      </c>
      <c r="H42" s="204" t="s">
        <v>193</v>
      </c>
      <c r="I42" s="208">
        <v>57.075931232091698</v>
      </c>
      <c r="J42" s="207">
        <v>172.02970297029677</v>
      </c>
      <c r="K42" s="207">
        <v>5.089108910891091</v>
      </c>
      <c r="L42" s="207">
        <v>0.48514851485148514</v>
      </c>
      <c r="M42" s="207">
        <v>0</v>
      </c>
      <c r="N42" s="207">
        <v>0.14851485148514851</v>
      </c>
      <c r="O42" s="207">
        <v>68.19801980198018</v>
      </c>
      <c r="P42" s="207">
        <v>1.0396039603960396</v>
      </c>
      <c r="Q42" s="207">
        <v>108.21782178217818</v>
      </c>
      <c r="R42" s="207">
        <v>0</v>
      </c>
      <c r="S42" s="207">
        <v>0</v>
      </c>
      <c r="T42" s="207">
        <v>1.1881188118811881</v>
      </c>
      <c r="U42" s="207">
        <v>176.41584158415819</v>
      </c>
      <c r="V42" s="207">
        <v>162.62376237623675</v>
      </c>
      <c r="W42" s="205">
        <v>2400</v>
      </c>
      <c r="X42" s="204" t="s">
        <v>194</v>
      </c>
      <c r="Y42" s="203" t="s">
        <v>212</v>
      </c>
      <c r="Z42" s="206" t="s">
        <v>198</v>
      </c>
      <c r="AA42" s="205" t="s">
        <v>885</v>
      </c>
      <c r="AB42" s="204" t="s">
        <v>194</v>
      </c>
      <c r="AC42" s="203" t="s">
        <v>212</v>
      </c>
      <c r="AD42" s="202" t="s">
        <v>198</v>
      </c>
      <c r="AE42" s="201">
        <v>43839</v>
      </c>
    </row>
    <row r="43" spans="1:31" ht="15.75" x14ac:dyDescent="0.25">
      <c r="A43" s="204" t="s">
        <v>385</v>
      </c>
      <c r="B43" s="204" t="s">
        <v>386</v>
      </c>
      <c r="C43" s="204" t="s">
        <v>387</v>
      </c>
      <c r="D43" s="204" t="s">
        <v>307</v>
      </c>
      <c r="E43" s="209">
        <v>22427</v>
      </c>
      <c r="F43" s="204" t="s">
        <v>308</v>
      </c>
      <c r="G43" s="204" t="s">
        <v>192</v>
      </c>
      <c r="H43" s="204" t="s">
        <v>193</v>
      </c>
      <c r="I43" s="208">
        <v>35.402953586497901</v>
      </c>
      <c r="J43" s="207">
        <v>23.009900990098995</v>
      </c>
      <c r="K43" s="207">
        <v>44.445544554455452</v>
      </c>
      <c r="L43" s="207">
        <v>50.504950495049464</v>
      </c>
      <c r="M43" s="207">
        <v>57.861386138613803</v>
      </c>
      <c r="N43" s="207">
        <v>137.96039603960384</v>
      </c>
      <c r="O43" s="207">
        <v>37.465346534653449</v>
      </c>
      <c r="P43" s="207">
        <v>0.23762376237623767</v>
      </c>
      <c r="Q43" s="207">
        <v>0.15841584158415845</v>
      </c>
      <c r="R43" s="207">
        <v>63.752475247524671</v>
      </c>
      <c r="S43" s="207">
        <v>46.653465346534631</v>
      </c>
      <c r="T43" s="207">
        <v>27.247524752475243</v>
      </c>
      <c r="U43" s="207">
        <v>38.168316831683157</v>
      </c>
      <c r="V43" s="207">
        <v>107.89108910891078</v>
      </c>
      <c r="W43" s="205">
        <v>224</v>
      </c>
      <c r="X43" s="204" t="s">
        <v>194</v>
      </c>
      <c r="Y43" s="203" t="s">
        <v>195</v>
      </c>
      <c r="Z43" s="206" t="s">
        <v>198</v>
      </c>
      <c r="AA43" s="205" t="s">
        <v>865</v>
      </c>
      <c r="AB43" s="204" t="s">
        <v>194</v>
      </c>
      <c r="AC43" s="203" t="s">
        <v>195</v>
      </c>
      <c r="AD43" s="202" t="s">
        <v>196</v>
      </c>
      <c r="AE43" s="201">
        <v>43587</v>
      </c>
    </row>
    <row r="44" spans="1:31" ht="15.75" x14ac:dyDescent="0.25">
      <c r="A44" s="204" t="s">
        <v>348</v>
      </c>
      <c r="B44" s="204" t="s">
        <v>349</v>
      </c>
      <c r="C44" s="204" t="s">
        <v>350</v>
      </c>
      <c r="D44" s="204" t="s">
        <v>217</v>
      </c>
      <c r="E44" s="209">
        <v>71334</v>
      </c>
      <c r="F44" s="204" t="s">
        <v>218</v>
      </c>
      <c r="G44" s="204" t="s">
        <v>192</v>
      </c>
      <c r="H44" s="204" t="s">
        <v>5</v>
      </c>
      <c r="I44" s="208">
        <v>81.517412935323406</v>
      </c>
      <c r="J44" s="207">
        <v>111.5148514851484</v>
      </c>
      <c r="K44" s="207">
        <v>24.554455445544559</v>
      </c>
      <c r="L44" s="207">
        <v>13.445544554455447</v>
      </c>
      <c r="M44" s="207">
        <v>10.485148514851485</v>
      </c>
      <c r="N44" s="207">
        <v>30.851485148514829</v>
      </c>
      <c r="O44" s="207">
        <v>129.148514851485</v>
      </c>
      <c r="P44" s="207">
        <v>0</v>
      </c>
      <c r="Q44" s="207">
        <v>0</v>
      </c>
      <c r="R44" s="207">
        <v>10.950495049504951</v>
      </c>
      <c r="S44" s="207">
        <v>9.653465346534654</v>
      </c>
      <c r="T44" s="207">
        <v>10.247524752475249</v>
      </c>
      <c r="U44" s="207">
        <v>129.148514851485</v>
      </c>
      <c r="V44" s="207">
        <v>124.1980198019801</v>
      </c>
      <c r="W44" s="205">
        <v>361</v>
      </c>
      <c r="X44" s="204" t="s">
        <v>194</v>
      </c>
      <c r="Y44" s="203" t="s">
        <v>324</v>
      </c>
      <c r="Z44" s="206" t="s">
        <v>345</v>
      </c>
      <c r="AA44" s="205" t="s">
        <v>879</v>
      </c>
      <c r="AB44" s="204" t="s">
        <v>194</v>
      </c>
      <c r="AC44" s="203" t="s">
        <v>324</v>
      </c>
      <c r="AD44" s="202" t="s">
        <v>345</v>
      </c>
      <c r="AE44" s="201">
        <v>43762</v>
      </c>
    </row>
    <row r="45" spans="1:31" ht="15.75" x14ac:dyDescent="0.25">
      <c r="A45" s="204" t="s">
        <v>15</v>
      </c>
      <c r="B45" s="204" t="s">
        <v>346</v>
      </c>
      <c r="C45" s="204" t="s">
        <v>347</v>
      </c>
      <c r="D45" s="204" t="s">
        <v>206</v>
      </c>
      <c r="E45" s="209">
        <v>78046</v>
      </c>
      <c r="F45" s="204" t="s">
        <v>207</v>
      </c>
      <c r="G45" s="204" t="s">
        <v>240</v>
      </c>
      <c r="H45" s="204" t="s">
        <v>5</v>
      </c>
      <c r="I45" s="208">
        <v>79.559633027522906</v>
      </c>
      <c r="J45" s="207">
        <v>111.33663366336631</v>
      </c>
      <c r="K45" s="207">
        <v>13.95049504950495</v>
      </c>
      <c r="L45" s="207">
        <v>8.0099009900990108</v>
      </c>
      <c r="M45" s="207">
        <v>25.623762376237618</v>
      </c>
      <c r="N45" s="207">
        <v>52.584158415841571</v>
      </c>
      <c r="O45" s="207">
        <v>106.33663366336633</v>
      </c>
      <c r="P45" s="207">
        <v>0</v>
      </c>
      <c r="Q45" s="207">
        <v>0</v>
      </c>
      <c r="R45" s="207">
        <v>22.475247524752458</v>
      </c>
      <c r="S45" s="207">
        <v>9.405940594059409</v>
      </c>
      <c r="T45" s="207">
        <v>20.702970297029697</v>
      </c>
      <c r="U45" s="207">
        <v>106.33663366336633</v>
      </c>
      <c r="V45" s="207">
        <v>123.28712871287136</v>
      </c>
      <c r="W45" s="205">
        <v>275</v>
      </c>
      <c r="X45" s="204" t="s">
        <v>194</v>
      </c>
      <c r="Y45" s="203" t="s">
        <v>276</v>
      </c>
      <c r="Z45" s="206" t="s">
        <v>196</v>
      </c>
      <c r="AA45" s="205" t="s">
        <v>879</v>
      </c>
      <c r="AB45" s="204" t="s">
        <v>194</v>
      </c>
      <c r="AC45" s="203" t="s">
        <v>276</v>
      </c>
      <c r="AD45" s="202" t="s">
        <v>196</v>
      </c>
      <c r="AE45" s="201">
        <v>43538</v>
      </c>
    </row>
    <row r="46" spans="1:31" ht="15.75" x14ac:dyDescent="0.25">
      <c r="A46" s="204" t="s">
        <v>364</v>
      </c>
      <c r="B46" s="204" t="s">
        <v>365</v>
      </c>
      <c r="C46" s="204" t="s">
        <v>366</v>
      </c>
      <c r="D46" s="204" t="s">
        <v>206</v>
      </c>
      <c r="E46" s="209">
        <v>76642</v>
      </c>
      <c r="F46" s="204" t="s">
        <v>207</v>
      </c>
      <c r="G46" s="204" t="s">
        <v>275</v>
      </c>
      <c r="H46" s="204" t="s">
        <v>5</v>
      </c>
      <c r="I46" s="208">
        <v>76.225609756097597</v>
      </c>
      <c r="J46" s="207">
        <v>93.287128712871237</v>
      </c>
      <c r="K46" s="207">
        <v>19.316831683168321</v>
      </c>
      <c r="L46" s="207">
        <v>14.217821782178214</v>
      </c>
      <c r="M46" s="207">
        <v>7.9306930693069324</v>
      </c>
      <c r="N46" s="207">
        <v>35.574257425742545</v>
      </c>
      <c r="O46" s="207">
        <v>99.089108910890943</v>
      </c>
      <c r="P46" s="207">
        <v>0</v>
      </c>
      <c r="Q46" s="207">
        <v>8.9108910891089105E-2</v>
      </c>
      <c r="R46" s="207">
        <v>8.9603960396039586</v>
      </c>
      <c r="S46" s="207">
        <v>9.2970297029702973</v>
      </c>
      <c r="T46" s="207">
        <v>17.316831683168314</v>
      </c>
      <c r="U46" s="207">
        <v>99.178217821782027</v>
      </c>
      <c r="V46" s="207">
        <v>73.712871287128635</v>
      </c>
      <c r="W46" s="205"/>
      <c r="X46" s="204" t="s">
        <v>194</v>
      </c>
      <c r="Y46" s="203" t="s">
        <v>324</v>
      </c>
      <c r="Z46" s="206" t="s">
        <v>345</v>
      </c>
      <c r="AA46" s="205" t="s">
        <v>866</v>
      </c>
      <c r="AB46" s="204" t="s">
        <v>194</v>
      </c>
      <c r="AC46" s="203" t="s">
        <v>324</v>
      </c>
      <c r="AD46" s="202" t="s">
        <v>345</v>
      </c>
      <c r="AE46" s="201">
        <v>43762</v>
      </c>
    </row>
    <row r="47" spans="1:31" ht="15.75" x14ac:dyDescent="0.25">
      <c r="A47" s="204" t="s">
        <v>414</v>
      </c>
      <c r="B47" s="204" t="s">
        <v>415</v>
      </c>
      <c r="C47" s="204" t="s">
        <v>51</v>
      </c>
      <c r="D47" s="204" t="s">
        <v>416</v>
      </c>
      <c r="E47" s="209">
        <v>89015</v>
      </c>
      <c r="F47" s="204" t="s">
        <v>417</v>
      </c>
      <c r="G47" s="204" t="s">
        <v>275</v>
      </c>
      <c r="H47" s="204" t="s">
        <v>193</v>
      </c>
      <c r="I47" s="208">
        <v>64.131455399060997</v>
      </c>
      <c r="J47" s="207">
        <v>17.485148514851485</v>
      </c>
      <c r="K47" s="207">
        <v>47.861386138613838</v>
      </c>
      <c r="L47" s="207">
        <v>49.663366336633665</v>
      </c>
      <c r="M47" s="207">
        <v>15.198019801980196</v>
      </c>
      <c r="N47" s="207">
        <v>84.029702970297009</v>
      </c>
      <c r="O47" s="207">
        <v>31.039603960396022</v>
      </c>
      <c r="P47" s="207">
        <v>10.683168316831681</v>
      </c>
      <c r="Q47" s="207">
        <v>4.4554455445544559</v>
      </c>
      <c r="R47" s="207">
        <v>45.049504950495027</v>
      </c>
      <c r="S47" s="207">
        <v>29.702970297029704</v>
      </c>
      <c r="T47" s="207">
        <v>19.940594059405939</v>
      </c>
      <c r="U47" s="207">
        <v>35.514851485148519</v>
      </c>
      <c r="V47" s="207">
        <v>98.554455445544491</v>
      </c>
      <c r="W47" s="205"/>
      <c r="X47" s="204" t="s">
        <v>194</v>
      </c>
      <c r="Y47" s="203" t="s">
        <v>324</v>
      </c>
      <c r="Z47" s="206" t="s">
        <v>345</v>
      </c>
      <c r="AA47" s="205" t="s">
        <v>404</v>
      </c>
      <c r="AB47" s="204" t="s">
        <v>194</v>
      </c>
      <c r="AC47" s="203" t="s">
        <v>324</v>
      </c>
      <c r="AD47" s="202" t="s">
        <v>345</v>
      </c>
      <c r="AE47" s="201">
        <v>43300</v>
      </c>
    </row>
    <row r="48" spans="1:31" ht="15.75" x14ac:dyDescent="0.25">
      <c r="A48" s="204" t="s">
        <v>405</v>
      </c>
      <c r="B48" s="204" t="s">
        <v>406</v>
      </c>
      <c r="C48" s="204" t="s">
        <v>25</v>
      </c>
      <c r="D48" s="204" t="s">
        <v>302</v>
      </c>
      <c r="E48" s="209">
        <v>7201</v>
      </c>
      <c r="F48" s="204" t="s">
        <v>303</v>
      </c>
      <c r="G48" s="204" t="s">
        <v>208</v>
      </c>
      <c r="H48" s="204" t="s">
        <v>193</v>
      </c>
      <c r="I48" s="208">
        <v>39.9940828402367</v>
      </c>
      <c r="J48" s="207">
        <v>78.524752475247737</v>
      </c>
      <c r="K48" s="207">
        <v>48.752475247524742</v>
      </c>
      <c r="L48" s="207">
        <v>2.4752475247524752</v>
      </c>
      <c r="M48" s="207">
        <v>6.9306930693069313E-2</v>
      </c>
      <c r="N48" s="207">
        <v>33.99009900990098</v>
      </c>
      <c r="O48" s="207">
        <v>86.198019801980294</v>
      </c>
      <c r="P48" s="207">
        <v>0.90099009900990101</v>
      </c>
      <c r="Q48" s="207">
        <v>8.7326732673267298</v>
      </c>
      <c r="R48" s="207">
        <v>6.7128712871287135</v>
      </c>
      <c r="S48" s="207">
        <v>7.3465346534653477</v>
      </c>
      <c r="T48" s="207">
        <v>20.900990099009903</v>
      </c>
      <c r="U48" s="207">
        <v>94.861386138614023</v>
      </c>
      <c r="V48" s="207">
        <v>71.198019801980308</v>
      </c>
      <c r="W48" s="205">
        <v>285</v>
      </c>
      <c r="X48" s="204" t="s">
        <v>194</v>
      </c>
      <c r="Y48" s="203" t="s">
        <v>195</v>
      </c>
      <c r="Z48" s="206" t="s">
        <v>196</v>
      </c>
      <c r="AA48" s="205" t="s">
        <v>865</v>
      </c>
      <c r="AB48" s="204" t="s">
        <v>194</v>
      </c>
      <c r="AC48" s="203" t="s">
        <v>195</v>
      </c>
      <c r="AD48" s="202" t="s">
        <v>196</v>
      </c>
      <c r="AE48" s="201">
        <v>43741</v>
      </c>
    </row>
    <row r="49" spans="1:31" ht="15.75" x14ac:dyDescent="0.25">
      <c r="A49" s="204" t="s">
        <v>9</v>
      </c>
      <c r="B49" s="204" t="s">
        <v>383</v>
      </c>
      <c r="C49" s="204" t="s">
        <v>34</v>
      </c>
      <c r="D49" s="204" t="s">
        <v>217</v>
      </c>
      <c r="E49" s="209">
        <v>71303</v>
      </c>
      <c r="F49" s="204" t="s">
        <v>218</v>
      </c>
      <c r="G49" s="204" t="s">
        <v>384</v>
      </c>
      <c r="H49" s="204" t="s">
        <v>5</v>
      </c>
      <c r="I49" s="208">
        <v>3.1732484076433098</v>
      </c>
      <c r="J49" s="207">
        <v>36.673267326732208</v>
      </c>
      <c r="K49" s="207">
        <v>21.821782178217571</v>
      </c>
      <c r="L49" s="207">
        <v>36.782178217821354</v>
      </c>
      <c r="M49" s="207">
        <v>34.316831683167898</v>
      </c>
      <c r="N49" s="207">
        <v>83.74257425742644</v>
      </c>
      <c r="O49" s="207">
        <v>45.732673267326362</v>
      </c>
      <c r="P49" s="207">
        <v>4.9504950495049507E-2</v>
      </c>
      <c r="Q49" s="207">
        <v>6.9306930693069313E-2</v>
      </c>
      <c r="R49" s="207">
        <v>47.782178217821496</v>
      </c>
      <c r="S49" s="207">
        <v>17.60396039603944</v>
      </c>
      <c r="T49" s="207">
        <v>18.108910891088946</v>
      </c>
      <c r="U49" s="207">
        <v>46.099009900989756</v>
      </c>
      <c r="V49" s="207">
        <v>128.62376237624039</v>
      </c>
      <c r="W49" s="205"/>
      <c r="X49" s="204" t="s">
        <v>221</v>
      </c>
      <c r="Y49" s="203"/>
      <c r="Z49" s="206"/>
      <c r="AA49" s="205"/>
      <c r="AB49" s="204" t="s">
        <v>221</v>
      </c>
      <c r="AC49" s="203"/>
      <c r="AD49" s="202"/>
      <c r="AE49" s="201"/>
    </row>
    <row r="50" spans="1:31" ht="15.75" x14ac:dyDescent="0.25">
      <c r="A50" s="204" t="s">
        <v>884</v>
      </c>
      <c r="B50" s="204" t="s">
        <v>883</v>
      </c>
      <c r="C50" s="204" t="s">
        <v>359</v>
      </c>
      <c r="D50" s="204" t="s">
        <v>223</v>
      </c>
      <c r="E50" s="209">
        <v>85132</v>
      </c>
      <c r="F50" s="204" t="s">
        <v>224</v>
      </c>
      <c r="G50" s="204" t="s">
        <v>275</v>
      </c>
      <c r="H50" s="204" t="s">
        <v>5</v>
      </c>
      <c r="I50" s="208">
        <v>25.108333333333299</v>
      </c>
      <c r="J50" s="207">
        <v>101.79207920792076</v>
      </c>
      <c r="K50" s="207">
        <v>9.0594059405940595</v>
      </c>
      <c r="L50" s="207">
        <v>8.0396039603960414</v>
      </c>
      <c r="M50" s="207">
        <v>7.1386138613861387</v>
      </c>
      <c r="N50" s="207">
        <v>16.198019801980156</v>
      </c>
      <c r="O50" s="207">
        <v>75.48514851485136</v>
      </c>
      <c r="P50" s="207">
        <v>5.0594059405940603</v>
      </c>
      <c r="Q50" s="207">
        <v>29.287128712871258</v>
      </c>
      <c r="R50" s="207">
        <v>11.396039603960391</v>
      </c>
      <c r="S50" s="207">
        <v>4.2673267326732685</v>
      </c>
      <c r="T50" s="207">
        <v>4.0297029702970297</v>
      </c>
      <c r="U50" s="207">
        <v>106.33663366336636</v>
      </c>
      <c r="V50" s="207">
        <v>18.465346534653413</v>
      </c>
      <c r="W50" s="205"/>
      <c r="X50" s="204" t="s">
        <v>194</v>
      </c>
      <c r="Y50" s="203" t="s">
        <v>276</v>
      </c>
      <c r="Z50" s="206" t="s">
        <v>196</v>
      </c>
      <c r="AA50" s="205" t="s">
        <v>333</v>
      </c>
      <c r="AB50" s="204" t="s">
        <v>194</v>
      </c>
      <c r="AC50" s="203" t="s">
        <v>276</v>
      </c>
      <c r="AD50" s="202" t="s">
        <v>196</v>
      </c>
      <c r="AE50" s="201">
        <v>43342</v>
      </c>
    </row>
    <row r="51" spans="1:31" ht="15.75" x14ac:dyDescent="0.25">
      <c r="A51" s="204" t="s">
        <v>393</v>
      </c>
      <c r="B51" s="204" t="s">
        <v>394</v>
      </c>
      <c r="C51" s="204" t="s">
        <v>395</v>
      </c>
      <c r="D51" s="204" t="s">
        <v>396</v>
      </c>
      <c r="E51" s="209">
        <v>60098</v>
      </c>
      <c r="F51" s="204" t="s">
        <v>40</v>
      </c>
      <c r="G51" s="204" t="s">
        <v>275</v>
      </c>
      <c r="H51" s="204" t="s">
        <v>193</v>
      </c>
      <c r="I51" s="208">
        <v>33.472727272727298</v>
      </c>
      <c r="J51" s="207">
        <v>31.673267326732649</v>
      </c>
      <c r="K51" s="207">
        <v>19.346534653465337</v>
      </c>
      <c r="L51" s="207">
        <v>36.910891089108915</v>
      </c>
      <c r="M51" s="207">
        <v>37.663366336633665</v>
      </c>
      <c r="N51" s="207">
        <v>79.198019801980237</v>
      </c>
      <c r="O51" s="207">
        <v>40.673267326732642</v>
      </c>
      <c r="P51" s="207">
        <v>3.3663366336633667</v>
      </c>
      <c r="Q51" s="207">
        <v>2.3564356435643568</v>
      </c>
      <c r="R51" s="207">
        <v>46.47524752475244</v>
      </c>
      <c r="S51" s="207">
        <v>17.396039603960379</v>
      </c>
      <c r="T51" s="207">
        <v>17.792079207920771</v>
      </c>
      <c r="U51" s="207">
        <v>43.930693069306912</v>
      </c>
      <c r="V51" s="207">
        <v>75.683168316831711</v>
      </c>
      <c r="W51" s="205"/>
      <c r="X51" s="204" t="s">
        <v>194</v>
      </c>
      <c r="Y51" s="203" t="s">
        <v>324</v>
      </c>
      <c r="Z51" s="206" t="s">
        <v>345</v>
      </c>
      <c r="AA51" s="205" t="s">
        <v>866</v>
      </c>
      <c r="AB51" s="204" t="s">
        <v>194</v>
      </c>
      <c r="AC51" s="203" t="s">
        <v>324</v>
      </c>
      <c r="AD51" s="202" t="s">
        <v>345</v>
      </c>
      <c r="AE51" s="201">
        <v>43629</v>
      </c>
    </row>
    <row r="52" spans="1:31" ht="15.75" x14ac:dyDescent="0.25">
      <c r="A52" s="204" t="s">
        <v>441</v>
      </c>
      <c r="B52" s="204" t="s">
        <v>442</v>
      </c>
      <c r="C52" s="204" t="s">
        <v>443</v>
      </c>
      <c r="D52" s="204" t="s">
        <v>444</v>
      </c>
      <c r="E52" s="209">
        <v>49014</v>
      </c>
      <c r="F52" s="204" t="s">
        <v>436</v>
      </c>
      <c r="G52" s="204" t="s">
        <v>219</v>
      </c>
      <c r="H52" s="204" t="s">
        <v>193</v>
      </c>
      <c r="I52" s="208">
        <v>51.899371069182401</v>
      </c>
      <c r="J52" s="207">
        <v>15.970297029702961</v>
      </c>
      <c r="K52" s="207">
        <v>47.247524752475215</v>
      </c>
      <c r="L52" s="207">
        <v>40.514851485148483</v>
      </c>
      <c r="M52" s="207">
        <v>20.178217821782177</v>
      </c>
      <c r="N52" s="207">
        <v>92.277227722772267</v>
      </c>
      <c r="O52" s="207">
        <v>24.019801980198014</v>
      </c>
      <c r="P52" s="207">
        <v>5.6336633663366342</v>
      </c>
      <c r="Q52" s="207">
        <v>1.9801980198019802</v>
      </c>
      <c r="R52" s="207">
        <v>49.980198019801918</v>
      </c>
      <c r="S52" s="207">
        <v>22.316831683168317</v>
      </c>
      <c r="T52" s="207">
        <v>25.683168316831683</v>
      </c>
      <c r="U52" s="207">
        <v>25.930693069306919</v>
      </c>
      <c r="V52" s="207">
        <v>87.792079207920793</v>
      </c>
      <c r="W52" s="205"/>
      <c r="X52" s="204" t="s">
        <v>194</v>
      </c>
      <c r="Y52" s="203" t="s">
        <v>324</v>
      </c>
      <c r="Z52" s="206" t="s">
        <v>345</v>
      </c>
      <c r="AA52" s="205" t="s">
        <v>873</v>
      </c>
      <c r="AB52" s="204" t="s">
        <v>194</v>
      </c>
      <c r="AC52" s="203" t="s">
        <v>324</v>
      </c>
      <c r="AD52" s="202" t="s">
        <v>345</v>
      </c>
      <c r="AE52" s="201">
        <v>43531</v>
      </c>
    </row>
    <row r="53" spans="1:31" ht="15.75" x14ac:dyDescent="0.25">
      <c r="A53" s="195" t="s">
        <v>304</v>
      </c>
      <c r="B53" s="195" t="s">
        <v>305</v>
      </c>
      <c r="C53" s="195" t="s">
        <v>306</v>
      </c>
      <c r="D53" s="195" t="s">
        <v>307</v>
      </c>
      <c r="E53" s="200">
        <v>23901</v>
      </c>
      <c r="F53" s="195" t="s">
        <v>308</v>
      </c>
      <c r="G53" s="195" t="s">
        <v>192</v>
      </c>
      <c r="H53" s="195" t="s">
        <v>5</v>
      </c>
      <c r="I53" s="199">
        <v>295.60810810810801</v>
      </c>
      <c r="J53" s="198">
        <v>15.89108910891089</v>
      </c>
      <c r="K53" s="198">
        <v>25.999999999999996</v>
      </c>
      <c r="L53" s="198">
        <v>33.782178217821787</v>
      </c>
      <c r="M53" s="198">
        <v>47.475247524752483</v>
      </c>
      <c r="N53" s="198">
        <v>100.23762376237624</v>
      </c>
      <c r="O53" s="198">
        <v>22.910891089108908</v>
      </c>
      <c r="P53" s="198">
        <v>0</v>
      </c>
      <c r="Q53" s="198">
        <v>0</v>
      </c>
      <c r="R53" s="198">
        <v>56.792079207920786</v>
      </c>
      <c r="S53" s="198">
        <v>29.821782178217823</v>
      </c>
      <c r="T53" s="198">
        <v>13.623762376237622</v>
      </c>
      <c r="U53" s="198">
        <v>22.910891089108908</v>
      </c>
      <c r="V53" s="198">
        <v>85.841584158415827</v>
      </c>
      <c r="W53" s="196">
        <v>500</v>
      </c>
      <c r="X53" s="195" t="s">
        <v>194</v>
      </c>
      <c r="Y53" s="194" t="s">
        <v>195</v>
      </c>
      <c r="Z53" s="197" t="s">
        <v>198</v>
      </c>
      <c r="AA53" s="196" t="s">
        <v>882</v>
      </c>
      <c r="AB53" s="195" t="s">
        <v>194</v>
      </c>
      <c r="AC53" s="194" t="s">
        <v>195</v>
      </c>
      <c r="AD53" s="193" t="s">
        <v>196</v>
      </c>
      <c r="AE53" s="192">
        <v>43524</v>
      </c>
    </row>
    <row r="54" spans="1:31" ht="15.75" x14ac:dyDescent="0.25">
      <c r="A54" s="204" t="s">
        <v>355</v>
      </c>
      <c r="B54" s="204" t="s">
        <v>356</v>
      </c>
      <c r="C54" s="204" t="s">
        <v>41</v>
      </c>
      <c r="D54" s="204" t="s">
        <v>206</v>
      </c>
      <c r="E54" s="209">
        <v>76837</v>
      </c>
      <c r="F54" s="204" t="s">
        <v>297</v>
      </c>
      <c r="G54" s="204" t="s">
        <v>275</v>
      </c>
      <c r="H54" s="204" t="s">
        <v>5</v>
      </c>
      <c r="I54" s="208">
        <v>84.820809248554895</v>
      </c>
      <c r="J54" s="207">
        <v>27.603960396039607</v>
      </c>
      <c r="K54" s="207">
        <v>30.702970297029719</v>
      </c>
      <c r="L54" s="207">
        <v>28.148514851485139</v>
      </c>
      <c r="M54" s="207">
        <v>30.267326732673272</v>
      </c>
      <c r="N54" s="207">
        <v>79.970297029702962</v>
      </c>
      <c r="O54" s="207">
        <v>36.752475247524757</v>
      </c>
      <c r="P54" s="207">
        <v>0</v>
      </c>
      <c r="Q54" s="207">
        <v>0</v>
      </c>
      <c r="R54" s="207">
        <v>53.524752475247524</v>
      </c>
      <c r="S54" s="207">
        <v>16.574257425742573</v>
      </c>
      <c r="T54" s="207">
        <v>9.8712871287128703</v>
      </c>
      <c r="U54" s="207">
        <v>36.752475247524757</v>
      </c>
      <c r="V54" s="207">
        <v>78.277227722772238</v>
      </c>
      <c r="W54" s="205"/>
      <c r="X54" s="204" t="s">
        <v>194</v>
      </c>
      <c r="Y54" s="203" t="s">
        <v>324</v>
      </c>
      <c r="Z54" s="206" t="s">
        <v>345</v>
      </c>
      <c r="AA54" s="205" t="s">
        <v>262</v>
      </c>
      <c r="AB54" s="204" t="s">
        <v>221</v>
      </c>
      <c r="AC54" s="203"/>
      <c r="AD54" s="202"/>
      <c r="AE54" s="201"/>
    </row>
    <row r="55" spans="1:31" ht="15.75" x14ac:dyDescent="0.25">
      <c r="A55" s="195" t="s">
        <v>401</v>
      </c>
      <c r="B55" s="195" t="s">
        <v>402</v>
      </c>
      <c r="C55" s="195" t="s">
        <v>403</v>
      </c>
      <c r="D55" s="195" t="s">
        <v>50</v>
      </c>
      <c r="E55" s="200">
        <v>35901</v>
      </c>
      <c r="F55" s="195" t="s">
        <v>218</v>
      </c>
      <c r="G55" s="195" t="s">
        <v>275</v>
      </c>
      <c r="H55" s="195" t="s">
        <v>5</v>
      </c>
      <c r="I55" s="199">
        <v>53.983367983367998</v>
      </c>
      <c r="J55" s="198">
        <v>37.465346534653484</v>
      </c>
      <c r="K55" s="198">
        <v>14.643564356435608</v>
      </c>
      <c r="L55" s="198">
        <v>24.415841584158382</v>
      </c>
      <c r="M55" s="198">
        <v>30.990099009900977</v>
      </c>
      <c r="N55" s="198">
        <v>57.217821782178149</v>
      </c>
      <c r="O55" s="198">
        <v>50.297029702970264</v>
      </c>
      <c r="P55" s="198">
        <v>0</v>
      </c>
      <c r="Q55" s="198">
        <v>0</v>
      </c>
      <c r="R55" s="198">
        <v>38.881188118811856</v>
      </c>
      <c r="S55" s="198">
        <v>8.6237623762376252</v>
      </c>
      <c r="T55" s="198">
        <v>9.6237623762376234</v>
      </c>
      <c r="U55" s="198">
        <v>50.386138613861355</v>
      </c>
      <c r="V55" s="198">
        <v>95.475247524752433</v>
      </c>
      <c r="W55" s="196"/>
      <c r="X55" s="195" t="s">
        <v>194</v>
      </c>
      <c r="Y55" s="194" t="s">
        <v>324</v>
      </c>
      <c r="Z55" s="197"/>
      <c r="AA55" s="196" t="s">
        <v>881</v>
      </c>
      <c r="AB55" s="195" t="s">
        <v>194</v>
      </c>
      <c r="AC55" s="194" t="s">
        <v>324</v>
      </c>
      <c r="AD55" s="193" t="s">
        <v>345</v>
      </c>
      <c r="AE55" s="192">
        <v>43664</v>
      </c>
    </row>
    <row r="56" spans="1:31" ht="15.75" x14ac:dyDescent="0.25">
      <c r="A56" s="204" t="s">
        <v>352</v>
      </c>
      <c r="B56" s="204" t="s">
        <v>353</v>
      </c>
      <c r="C56" s="204" t="s">
        <v>354</v>
      </c>
      <c r="D56" s="204" t="s">
        <v>206</v>
      </c>
      <c r="E56" s="209">
        <v>77351</v>
      </c>
      <c r="F56" s="204" t="s">
        <v>261</v>
      </c>
      <c r="G56" s="204" t="s">
        <v>219</v>
      </c>
      <c r="H56" s="204" t="s">
        <v>5</v>
      </c>
      <c r="I56" s="208">
        <v>81.295731707317103</v>
      </c>
      <c r="J56" s="207">
        <v>41.099009900990062</v>
      </c>
      <c r="K56" s="207">
        <v>20.683168316831665</v>
      </c>
      <c r="L56" s="207">
        <v>23.554455445544527</v>
      </c>
      <c r="M56" s="207">
        <v>15.188118811881184</v>
      </c>
      <c r="N56" s="207">
        <v>49.425742574257356</v>
      </c>
      <c r="O56" s="207">
        <v>51.099009900990069</v>
      </c>
      <c r="P56" s="207">
        <v>0</v>
      </c>
      <c r="Q56" s="207">
        <v>0</v>
      </c>
      <c r="R56" s="207">
        <v>22.53465346534653</v>
      </c>
      <c r="S56" s="207">
        <v>15.158415841584157</v>
      </c>
      <c r="T56" s="207">
        <v>11.841584158415841</v>
      </c>
      <c r="U56" s="207">
        <v>50.990099009900959</v>
      </c>
      <c r="V56" s="207">
        <v>82.514851485148654</v>
      </c>
      <c r="W56" s="205">
        <v>350</v>
      </c>
      <c r="X56" s="204" t="s">
        <v>194</v>
      </c>
      <c r="Y56" s="203" t="s">
        <v>324</v>
      </c>
      <c r="Z56" s="206" t="s">
        <v>345</v>
      </c>
      <c r="AA56" s="205" t="s">
        <v>213</v>
      </c>
      <c r="AB56" s="204" t="s">
        <v>194</v>
      </c>
      <c r="AC56" s="203" t="s">
        <v>324</v>
      </c>
      <c r="AD56" s="202" t="s">
        <v>345</v>
      </c>
      <c r="AE56" s="201">
        <v>43475</v>
      </c>
    </row>
    <row r="57" spans="1:31" ht="15.75" x14ac:dyDescent="0.25">
      <c r="A57" s="204" t="s">
        <v>368</v>
      </c>
      <c r="B57" s="204" t="s">
        <v>369</v>
      </c>
      <c r="C57" s="204" t="s">
        <v>370</v>
      </c>
      <c r="D57" s="204" t="s">
        <v>32</v>
      </c>
      <c r="E57" s="209">
        <v>2360</v>
      </c>
      <c r="F57" s="204" t="s">
        <v>371</v>
      </c>
      <c r="G57" s="204" t="s">
        <v>219</v>
      </c>
      <c r="H57" s="204" t="s">
        <v>5</v>
      </c>
      <c r="I57" s="208">
        <v>139.60240963855401</v>
      </c>
      <c r="J57" s="207">
        <v>17.96039603960396</v>
      </c>
      <c r="K57" s="207">
        <v>5.4356435643564351</v>
      </c>
      <c r="L57" s="207">
        <v>36.881188118811878</v>
      </c>
      <c r="M57" s="207">
        <v>36.43564356435644</v>
      </c>
      <c r="N57" s="207">
        <v>52.910891089108901</v>
      </c>
      <c r="O57" s="207">
        <v>43.801980198019812</v>
      </c>
      <c r="P57" s="207">
        <v>0</v>
      </c>
      <c r="Q57" s="207">
        <v>0</v>
      </c>
      <c r="R57" s="207">
        <v>30.405940594059409</v>
      </c>
      <c r="S57" s="207">
        <v>8.6039603960396054</v>
      </c>
      <c r="T57" s="207">
        <v>13.900990099009899</v>
      </c>
      <c r="U57" s="207">
        <v>43.801980198019812</v>
      </c>
      <c r="V57" s="207">
        <v>56.316831683168303</v>
      </c>
      <c r="W57" s="205"/>
      <c r="X57" s="204" t="s">
        <v>194</v>
      </c>
      <c r="Y57" s="203" t="s">
        <v>324</v>
      </c>
      <c r="Z57" s="206" t="s">
        <v>345</v>
      </c>
      <c r="AA57" s="205" t="s">
        <v>277</v>
      </c>
      <c r="AB57" s="204" t="s">
        <v>194</v>
      </c>
      <c r="AC57" s="203" t="s">
        <v>324</v>
      </c>
      <c r="AD57" s="202" t="s">
        <v>345</v>
      </c>
      <c r="AE57" s="201">
        <v>43265</v>
      </c>
    </row>
    <row r="58" spans="1:31" ht="15.75" x14ac:dyDescent="0.25">
      <c r="A58" s="204" t="s">
        <v>460</v>
      </c>
      <c r="B58" s="204" t="s">
        <v>461</v>
      </c>
      <c r="C58" s="204" t="s">
        <v>30</v>
      </c>
      <c r="D58" s="204" t="s">
        <v>435</v>
      </c>
      <c r="E58" s="209">
        <v>45011</v>
      </c>
      <c r="F58" s="204" t="s">
        <v>436</v>
      </c>
      <c r="G58" s="204" t="s">
        <v>219</v>
      </c>
      <c r="H58" s="204" t="s">
        <v>193</v>
      </c>
      <c r="I58" s="208">
        <v>51.204678362573098</v>
      </c>
      <c r="J58" s="207">
        <v>18.950495049504944</v>
      </c>
      <c r="K58" s="207">
        <v>14.227722772277225</v>
      </c>
      <c r="L58" s="207">
        <v>38.67326732673267</v>
      </c>
      <c r="M58" s="207">
        <v>22.14851485148515</v>
      </c>
      <c r="N58" s="207">
        <v>61.782178217821773</v>
      </c>
      <c r="O58" s="207">
        <v>23.871287128712865</v>
      </c>
      <c r="P58" s="207">
        <v>5.6435643564356441</v>
      </c>
      <c r="Q58" s="207">
        <v>2.7029702970297027</v>
      </c>
      <c r="R58" s="207">
        <v>22.514851485148508</v>
      </c>
      <c r="S58" s="207">
        <v>20.396039603960389</v>
      </c>
      <c r="T58" s="207">
        <v>24.514851485148512</v>
      </c>
      <c r="U58" s="207">
        <v>26.574257425742573</v>
      </c>
      <c r="V58" s="207">
        <v>54.267326732673205</v>
      </c>
      <c r="W58" s="205"/>
      <c r="X58" s="204" t="s">
        <v>194</v>
      </c>
      <c r="Y58" s="203" t="s">
        <v>324</v>
      </c>
      <c r="Z58" s="206" t="s">
        <v>345</v>
      </c>
      <c r="AA58" s="205" t="s">
        <v>388</v>
      </c>
      <c r="AB58" s="204" t="s">
        <v>194</v>
      </c>
      <c r="AC58" s="203" t="s">
        <v>324</v>
      </c>
      <c r="AD58" s="202" t="s">
        <v>345</v>
      </c>
      <c r="AE58" s="201">
        <v>43154</v>
      </c>
    </row>
    <row r="59" spans="1:31" ht="15.75" x14ac:dyDescent="0.25">
      <c r="A59" s="204" t="s">
        <v>27</v>
      </c>
      <c r="B59" s="204" t="s">
        <v>880</v>
      </c>
      <c r="C59" s="204" t="s">
        <v>424</v>
      </c>
      <c r="D59" s="204" t="s">
        <v>206</v>
      </c>
      <c r="E59" s="209">
        <v>78118</v>
      </c>
      <c r="F59" s="204" t="s">
        <v>207</v>
      </c>
      <c r="G59" s="204" t="s">
        <v>211</v>
      </c>
      <c r="H59" s="204" t="s">
        <v>5</v>
      </c>
      <c r="I59" s="208">
        <v>14.1550068587106</v>
      </c>
      <c r="J59" s="207">
        <v>91.653465346534617</v>
      </c>
      <c r="K59" s="207">
        <v>0.98019801980198007</v>
      </c>
      <c r="L59" s="207">
        <v>0</v>
      </c>
      <c r="M59" s="207">
        <v>0</v>
      </c>
      <c r="N59" s="207">
        <v>9.9009900990099015E-2</v>
      </c>
      <c r="O59" s="207">
        <v>45.227722772277183</v>
      </c>
      <c r="P59" s="207">
        <v>0</v>
      </c>
      <c r="Q59" s="207">
        <v>47.306930693069233</v>
      </c>
      <c r="R59" s="207">
        <v>0</v>
      </c>
      <c r="S59" s="207">
        <v>0</v>
      </c>
      <c r="T59" s="207">
        <v>9.9009900990099015E-2</v>
      </c>
      <c r="U59" s="207">
        <v>92.534653465346494</v>
      </c>
      <c r="V59" s="207">
        <v>47.950495049504873</v>
      </c>
      <c r="W59" s="205">
        <v>830</v>
      </c>
      <c r="X59" s="204" t="s">
        <v>194</v>
      </c>
      <c r="Y59" s="203" t="s">
        <v>212</v>
      </c>
      <c r="Z59" s="206" t="s">
        <v>198</v>
      </c>
      <c r="AA59" s="205" t="s">
        <v>425</v>
      </c>
      <c r="AB59" s="204" t="s">
        <v>194</v>
      </c>
      <c r="AC59" s="203" t="s">
        <v>212</v>
      </c>
      <c r="AD59" s="202" t="s">
        <v>198</v>
      </c>
      <c r="AE59" s="201">
        <v>43804</v>
      </c>
    </row>
    <row r="60" spans="1:31" ht="15.75" x14ac:dyDescent="0.25">
      <c r="A60" s="204" t="s">
        <v>357</v>
      </c>
      <c r="B60" s="204" t="s">
        <v>358</v>
      </c>
      <c r="C60" s="204" t="s">
        <v>359</v>
      </c>
      <c r="D60" s="204" t="s">
        <v>223</v>
      </c>
      <c r="E60" s="209">
        <v>85132</v>
      </c>
      <c r="F60" s="204" t="s">
        <v>224</v>
      </c>
      <c r="G60" s="204" t="s">
        <v>251</v>
      </c>
      <c r="H60" s="204" t="s">
        <v>5</v>
      </c>
      <c r="I60" s="208">
        <v>15.923504867871999</v>
      </c>
      <c r="J60" s="207">
        <v>50.574257425742566</v>
      </c>
      <c r="K60" s="207">
        <v>13.287128712871278</v>
      </c>
      <c r="L60" s="207">
        <v>13.8217821782178</v>
      </c>
      <c r="M60" s="207">
        <v>14.06930693069304</v>
      </c>
      <c r="N60" s="207">
        <v>40.47524752475239</v>
      </c>
      <c r="O60" s="207">
        <v>50.999999999999943</v>
      </c>
      <c r="P60" s="207">
        <v>2.9702970297029702E-2</v>
      </c>
      <c r="Q60" s="207">
        <v>0.24752475247524761</v>
      </c>
      <c r="R60" s="207">
        <v>18.594059405940534</v>
      </c>
      <c r="S60" s="207">
        <v>8.6831683168316847</v>
      </c>
      <c r="T60" s="207">
        <v>12.524752475247526</v>
      </c>
      <c r="U60" s="207">
        <v>51.950495049504937</v>
      </c>
      <c r="V60" s="207">
        <v>53.663366336633594</v>
      </c>
      <c r="W60" s="205">
        <v>392</v>
      </c>
      <c r="X60" s="204" t="s">
        <v>194</v>
      </c>
      <c r="Y60" s="203" t="s">
        <v>195</v>
      </c>
      <c r="Z60" s="206" t="s">
        <v>196</v>
      </c>
      <c r="AA60" s="205" t="s">
        <v>360</v>
      </c>
      <c r="AB60" s="204" t="s">
        <v>194</v>
      </c>
      <c r="AC60" s="203" t="s">
        <v>195</v>
      </c>
      <c r="AD60" s="202" t="s">
        <v>196</v>
      </c>
      <c r="AE60" s="201">
        <v>43202</v>
      </c>
    </row>
    <row r="61" spans="1:31" ht="15.75" x14ac:dyDescent="0.25">
      <c r="A61" s="204" t="s">
        <v>288</v>
      </c>
      <c r="B61" s="204" t="s">
        <v>289</v>
      </c>
      <c r="C61" s="204" t="s">
        <v>290</v>
      </c>
      <c r="D61" s="204" t="s">
        <v>217</v>
      </c>
      <c r="E61" s="209">
        <v>70515</v>
      </c>
      <c r="F61" s="204" t="s">
        <v>218</v>
      </c>
      <c r="G61" s="204" t="s">
        <v>192</v>
      </c>
      <c r="H61" s="204" t="s">
        <v>193</v>
      </c>
      <c r="I61" s="208">
        <v>18.890625</v>
      </c>
      <c r="J61" s="207">
        <v>52.425742574257399</v>
      </c>
      <c r="K61" s="207">
        <v>8.7821782178217784</v>
      </c>
      <c r="L61" s="207">
        <v>19.564356435643553</v>
      </c>
      <c r="M61" s="207">
        <v>9.5643564356435604</v>
      </c>
      <c r="N61" s="207">
        <v>1.3366336633663367</v>
      </c>
      <c r="O61" s="207">
        <v>0</v>
      </c>
      <c r="P61" s="207">
        <v>30.346534653465319</v>
      </c>
      <c r="Q61" s="207">
        <v>58.65346534653461</v>
      </c>
      <c r="R61" s="207">
        <v>24.673267326732667</v>
      </c>
      <c r="S61" s="207">
        <v>4.4455445544554459</v>
      </c>
      <c r="T61" s="207">
        <v>2.544554455445545</v>
      </c>
      <c r="U61" s="207">
        <v>58.673267326732635</v>
      </c>
      <c r="V61" s="207">
        <v>78.673267326732656</v>
      </c>
      <c r="W61" s="205">
        <v>700</v>
      </c>
      <c r="X61" s="204" t="s">
        <v>194</v>
      </c>
      <c r="Y61" s="203" t="s">
        <v>195</v>
      </c>
      <c r="Z61" s="206" t="s">
        <v>196</v>
      </c>
      <c r="AA61" s="205" t="s">
        <v>269</v>
      </c>
      <c r="AB61" s="204" t="s">
        <v>194</v>
      </c>
      <c r="AC61" s="203" t="s">
        <v>276</v>
      </c>
      <c r="AD61" s="202" t="s">
        <v>196</v>
      </c>
      <c r="AE61" s="201">
        <v>42047</v>
      </c>
    </row>
    <row r="62" spans="1:31" ht="15.75" x14ac:dyDescent="0.25">
      <c r="A62" s="204" t="s">
        <v>485</v>
      </c>
      <c r="B62" s="204" t="s">
        <v>486</v>
      </c>
      <c r="C62" s="204" t="s">
        <v>487</v>
      </c>
      <c r="D62" s="204" t="s">
        <v>488</v>
      </c>
      <c r="E62" s="209">
        <v>3820</v>
      </c>
      <c r="F62" s="204" t="s">
        <v>371</v>
      </c>
      <c r="G62" s="204" t="s">
        <v>219</v>
      </c>
      <c r="H62" s="204" t="s">
        <v>193</v>
      </c>
      <c r="I62" s="208">
        <v>81.325000000000003</v>
      </c>
      <c r="J62" s="207">
        <v>8.1386138613861387</v>
      </c>
      <c r="K62" s="207">
        <v>7.5940594059405937</v>
      </c>
      <c r="L62" s="207">
        <v>35.445544554455438</v>
      </c>
      <c r="M62" s="207">
        <v>37.039603960396043</v>
      </c>
      <c r="N62" s="207">
        <v>44.05940594059404</v>
      </c>
      <c r="O62" s="207">
        <v>40.56435643564356</v>
      </c>
      <c r="P62" s="207">
        <v>0.42574257425742573</v>
      </c>
      <c r="Q62" s="207">
        <v>3.1683168316831685</v>
      </c>
      <c r="R62" s="207">
        <v>24.742574257425748</v>
      </c>
      <c r="S62" s="207">
        <v>9.9009900990099009</v>
      </c>
      <c r="T62" s="207">
        <v>9.8415841584158414</v>
      </c>
      <c r="U62" s="207">
        <v>43.732673267326739</v>
      </c>
      <c r="V62" s="207">
        <v>45.811881188118782</v>
      </c>
      <c r="W62" s="205"/>
      <c r="X62" s="204" t="s">
        <v>194</v>
      </c>
      <c r="Y62" s="203" t="s">
        <v>276</v>
      </c>
      <c r="Z62" s="206" t="s">
        <v>196</v>
      </c>
      <c r="AA62" s="205" t="s">
        <v>281</v>
      </c>
      <c r="AB62" s="204" t="s">
        <v>194</v>
      </c>
      <c r="AC62" s="203" t="s">
        <v>276</v>
      </c>
      <c r="AD62" s="202" t="s">
        <v>196</v>
      </c>
      <c r="AE62" s="201">
        <v>43447</v>
      </c>
    </row>
    <row r="63" spans="1:31" ht="15.75" x14ac:dyDescent="0.25">
      <c r="A63" s="204" t="s">
        <v>437</v>
      </c>
      <c r="B63" s="204" t="s">
        <v>438</v>
      </c>
      <c r="C63" s="204" t="s">
        <v>439</v>
      </c>
      <c r="D63" s="204" t="s">
        <v>396</v>
      </c>
      <c r="E63" s="209">
        <v>62992</v>
      </c>
      <c r="F63" s="204" t="s">
        <v>40</v>
      </c>
      <c r="G63" s="204" t="s">
        <v>219</v>
      </c>
      <c r="H63" s="204" t="s">
        <v>193</v>
      </c>
      <c r="I63" s="208">
        <v>35.598484848484901</v>
      </c>
      <c r="J63" s="207">
        <v>23.930693069306912</v>
      </c>
      <c r="K63" s="207">
        <v>10.336633663366333</v>
      </c>
      <c r="L63" s="207">
        <v>27.693069306930671</v>
      </c>
      <c r="M63" s="207">
        <v>25.801980198019791</v>
      </c>
      <c r="N63" s="207">
        <v>55.099009900990083</v>
      </c>
      <c r="O63" s="207">
        <v>27.475247524752451</v>
      </c>
      <c r="P63" s="207">
        <v>3.3861386138613865</v>
      </c>
      <c r="Q63" s="207">
        <v>1.8019801980198022</v>
      </c>
      <c r="R63" s="207">
        <v>26.970297029702959</v>
      </c>
      <c r="S63" s="207">
        <v>16.96039603960395</v>
      </c>
      <c r="T63" s="207">
        <v>14.485148514851483</v>
      </c>
      <c r="U63" s="207">
        <v>29.346534653465319</v>
      </c>
      <c r="V63" s="207">
        <v>56.673267326732635</v>
      </c>
      <c r="W63" s="205"/>
      <c r="X63" s="204" t="s">
        <v>194</v>
      </c>
      <c r="Y63" s="203" t="s">
        <v>195</v>
      </c>
      <c r="Z63" s="206" t="s">
        <v>196</v>
      </c>
      <c r="AA63" s="205" t="s">
        <v>879</v>
      </c>
      <c r="AB63" s="204" t="s">
        <v>194</v>
      </c>
      <c r="AC63" s="203" t="s">
        <v>195</v>
      </c>
      <c r="AD63" s="202" t="s">
        <v>196</v>
      </c>
      <c r="AE63" s="201">
        <v>43538</v>
      </c>
    </row>
    <row r="64" spans="1:31" ht="15.75" x14ac:dyDescent="0.25">
      <c r="A64" s="204" t="s">
        <v>36</v>
      </c>
      <c r="B64" s="204" t="s">
        <v>407</v>
      </c>
      <c r="C64" s="204" t="s">
        <v>408</v>
      </c>
      <c r="D64" s="204" t="s">
        <v>409</v>
      </c>
      <c r="E64" s="209">
        <v>74447</v>
      </c>
      <c r="F64" s="204" t="s">
        <v>297</v>
      </c>
      <c r="G64" s="204" t="s">
        <v>219</v>
      </c>
      <c r="H64" s="204" t="s">
        <v>5</v>
      </c>
      <c r="I64" s="208">
        <v>87.124137931034497</v>
      </c>
      <c r="J64" s="207">
        <v>38.188118811881203</v>
      </c>
      <c r="K64" s="207">
        <v>14.247524752475247</v>
      </c>
      <c r="L64" s="207">
        <v>16.336633663366335</v>
      </c>
      <c r="M64" s="207">
        <v>18.970297029702973</v>
      </c>
      <c r="N64" s="207">
        <v>44.099009900990083</v>
      </c>
      <c r="O64" s="207">
        <v>43.643564356435668</v>
      </c>
      <c r="P64" s="207">
        <v>0</v>
      </c>
      <c r="Q64" s="207">
        <v>0</v>
      </c>
      <c r="R64" s="207">
        <v>31.415841584158418</v>
      </c>
      <c r="S64" s="207">
        <v>7.8910891089108919</v>
      </c>
      <c r="T64" s="207">
        <v>4.8415841584158423</v>
      </c>
      <c r="U64" s="207">
        <v>43.594059405940619</v>
      </c>
      <c r="V64" s="207">
        <v>76.970297029702962</v>
      </c>
      <c r="W64" s="205"/>
      <c r="X64" s="204" t="s">
        <v>194</v>
      </c>
      <c r="Y64" s="203" t="s">
        <v>195</v>
      </c>
      <c r="Z64" s="206" t="s">
        <v>196</v>
      </c>
      <c r="AA64" s="205" t="s">
        <v>866</v>
      </c>
      <c r="AB64" s="204" t="s">
        <v>194</v>
      </c>
      <c r="AC64" s="203" t="s">
        <v>195</v>
      </c>
      <c r="AD64" s="202" t="s">
        <v>196</v>
      </c>
      <c r="AE64" s="201">
        <v>43727</v>
      </c>
    </row>
    <row r="65" spans="1:31" ht="15.75" x14ac:dyDescent="0.25">
      <c r="A65" s="195" t="s">
        <v>376</v>
      </c>
      <c r="B65" s="195" t="s">
        <v>377</v>
      </c>
      <c r="C65" s="195" t="s">
        <v>378</v>
      </c>
      <c r="D65" s="195" t="s">
        <v>302</v>
      </c>
      <c r="E65" s="200">
        <v>7032</v>
      </c>
      <c r="F65" s="195" t="s">
        <v>379</v>
      </c>
      <c r="G65" s="195" t="s">
        <v>219</v>
      </c>
      <c r="H65" s="195" t="s">
        <v>193</v>
      </c>
      <c r="I65" s="199">
        <v>102.81914893617</v>
      </c>
      <c r="J65" s="198">
        <v>2.4950495049504955</v>
      </c>
      <c r="K65" s="198">
        <v>7.1980198019801982</v>
      </c>
      <c r="L65" s="198">
        <v>42.445544554455445</v>
      </c>
      <c r="M65" s="198">
        <v>35.316831683168303</v>
      </c>
      <c r="N65" s="198">
        <v>66.158415841584159</v>
      </c>
      <c r="O65" s="198">
        <v>21.297029702970303</v>
      </c>
      <c r="P65" s="198">
        <v>0</v>
      </c>
      <c r="Q65" s="198">
        <v>0</v>
      </c>
      <c r="R65" s="198">
        <v>37.871287128712858</v>
      </c>
      <c r="S65" s="198">
        <v>16.871287128712872</v>
      </c>
      <c r="T65" s="198">
        <v>11.772277227722769</v>
      </c>
      <c r="U65" s="198">
        <v>20.940594059405946</v>
      </c>
      <c r="V65" s="198">
        <v>49.188118811881175</v>
      </c>
      <c r="W65" s="196"/>
      <c r="X65" s="195" t="s">
        <v>194</v>
      </c>
      <c r="Y65" s="194" t="s">
        <v>276</v>
      </c>
      <c r="Z65" s="197" t="s">
        <v>196</v>
      </c>
      <c r="AA65" s="196" t="s">
        <v>878</v>
      </c>
      <c r="AB65" s="195" t="s">
        <v>194</v>
      </c>
      <c r="AC65" s="194" t="s">
        <v>276</v>
      </c>
      <c r="AD65" s="193" t="s">
        <v>196</v>
      </c>
      <c r="AE65" s="192">
        <v>43594</v>
      </c>
    </row>
    <row r="66" spans="1:31" ht="15.75" x14ac:dyDescent="0.25">
      <c r="A66" s="204" t="s">
        <v>35</v>
      </c>
      <c r="B66" s="204" t="s">
        <v>421</v>
      </c>
      <c r="C66" s="204" t="s">
        <v>422</v>
      </c>
      <c r="D66" s="204" t="s">
        <v>416</v>
      </c>
      <c r="E66" s="209">
        <v>89060</v>
      </c>
      <c r="F66" s="204" t="s">
        <v>417</v>
      </c>
      <c r="G66" s="204" t="s">
        <v>275</v>
      </c>
      <c r="H66" s="204" t="s">
        <v>193</v>
      </c>
      <c r="I66" s="208">
        <v>46.748691099476403</v>
      </c>
      <c r="J66" s="207">
        <v>24.811881188118821</v>
      </c>
      <c r="K66" s="207">
        <v>16.950495049504951</v>
      </c>
      <c r="L66" s="207">
        <v>22.297029702970299</v>
      </c>
      <c r="M66" s="207">
        <v>18.762376237623762</v>
      </c>
      <c r="N66" s="207">
        <v>48.52475247524751</v>
      </c>
      <c r="O66" s="207">
        <v>17.633663366336641</v>
      </c>
      <c r="P66" s="207">
        <v>5.2376237623762387</v>
      </c>
      <c r="Q66" s="207">
        <v>11.425742574257425</v>
      </c>
      <c r="R66" s="207">
        <v>27.029702970297034</v>
      </c>
      <c r="S66" s="207">
        <v>17.376237623762371</v>
      </c>
      <c r="T66" s="207">
        <v>9.3564356435643568</v>
      </c>
      <c r="U66" s="207">
        <v>29.059405940594068</v>
      </c>
      <c r="V66" s="207">
        <v>61.227722772277126</v>
      </c>
      <c r="W66" s="205"/>
      <c r="X66" s="204" t="s">
        <v>194</v>
      </c>
      <c r="Y66" s="203" t="s">
        <v>276</v>
      </c>
      <c r="Z66" s="206" t="s">
        <v>196</v>
      </c>
      <c r="AA66" s="205" t="s">
        <v>423</v>
      </c>
      <c r="AB66" s="204" t="s">
        <v>194</v>
      </c>
      <c r="AC66" s="203" t="s">
        <v>276</v>
      </c>
      <c r="AD66" s="202" t="s">
        <v>196</v>
      </c>
      <c r="AE66" s="201">
        <v>43307</v>
      </c>
    </row>
    <row r="67" spans="1:31" ht="15.75" x14ac:dyDescent="0.25">
      <c r="A67" s="204" t="s">
        <v>503</v>
      </c>
      <c r="B67" s="204" t="s">
        <v>504</v>
      </c>
      <c r="C67" s="204" t="s">
        <v>505</v>
      </c>
      <c r="D67" s="204" t="s">
        <v>329</v>
      </c>
      <c r="E67" s="209">
        <v>17745</v>
      </c>
      <c r="F67" s="204" t="s">
        <v>330</v>
      </c>
      <c r="G67" s="204" t="s">
        <v>275</v>
      </c>
      <c r="H67" s="204" t="s">
        <v>5</v>
      </c>
      <c r="I67" s="208">
        <v>34.831932773109202</v>
      </c>
      <c r="J67" s="207">
        <v>1.6336633663366338</v>
      </c>
      <c r="K67" s="207">
        <v>27.75247524752475</v>
      </c>
      <c r="L67" s="207">
        <v>27.336633663366324</v>
      </c>
      <c r="M67" s="207">
        <v>25.039603960396033</v>
      </c>
      <c r="N67" s="207">
        <v>80.712871287128635</v>
      </c>
      <c r="O67" s="207">
        <v>4.9504950495049507E-2</v>
      </c>
      <c r="P67" s="207">
        <v>1</v>
      </c>
      <c r="Q67" s="207">
        <v>0</v>
      </c>
      <c r="R67" s="207">
        <v>54.702970297029658</v>
      </c>
      <c r="S67" s="207">
        <v>24.495049504950494</v>
      </c>
      <c r="T67" s="207">
        <v>1.8514851485148516</v>
      </c>
      <c r="U67" s="207">
        <v>0.71287128712871284</v>
      </c>
      <c r="V67" s="207">
        <v>75.247524752475172</v>
      </c>
      <c r="W67" s="205"/>
      <c r="X67" s="204" t="s">
        <v>194</v>
      </c>
      <c r="Y67" s="203" t="s">
        <v>324</v>
      </c>
      <c r="Z67" s="206" t="s">
        <v>345</v>
      </c>
      <c r="AA67" s="205" t="s">
        <v>229</v>
      </c>
      <c r="AB67" s="204" t="s">
        <v>194</v>
      </c>
      <c r="AC67" s="203" t="s">
        <v>324</v>
      </c>
      <c r="AD67" s="202" t="s">
        <v>345</v>
      </c>
      <c r="AE67" s="201">
        <v>43412</v>
      </c>
    </row>
    <row r="68" spans="1:31" ht="15.75" x14ac:dyDescent="0.25">
      <c r="A68" s="204" t="s">
        <v>877</v>
      </c>
      <c r="B68" s="204" t="s">
        <v>876</v>
      </c>
      <c r="C68" s="204" t="s">
        <v>875</v>
      </c>
      <c r="D68" s="204" t="s">
        <v>190</v>
      </c>
      <c r="E68" s="209">
        <v>93250</v>
      </c>
      <c r="F68" s="204" t="s">
        <v>363</v>
      </c>
      <c r="G68" s="204" t="s">
        <v>208</v>
      </c>
      <c r="H68" s="204" t="s">
        <v>193</v>
      </c>
      <c r="I68" s="208">
        <v>31.827868852459002</v>
      </c>
      <c r="J68" s="207">
        <v>4.0396039603960396</v>
      </c>
      <c r="K68" s="207">
        <v>10.633663366336634</v>
      </c>
      <c r="L68" s="207">
        <v>19.89108910891089</v>
      </c>
      <c r="M68" s="207">
        <v>43.99009900990098</v>
      </c>
      <c r="N68" s="207">
        <v>74.128712871287121</v>
      </c>
      <c r="O68" s="207">
        <v>4.4257425742574261</v>
      </c>
      <c r="P68" s="207">
        <v>0</v>
      </c>
      <c r="Q68" s="207">
        <v>0</v>
      </c>
      <c r="R68" s="207">
        <v>61.029702970296981</v>
      </c>
      <c r="S68" s="207">
        <v>7.9702970297029712</v>
      </c>
      <c r="T68" s="207">
        <v>5.1287128712871288</v>
      </c>
      <c r="U68" s="207">
        <v>4.4257425742574261</v>
      </c>
      <c r="V68" s="207">
        <v>57.287128712871251</v>
      </c>
      <c r="W68" s="205">
        <v>560</v>
      </c>
      <c r="X68" s="204" t="s">
        <v>194</v>
      </c>
      <c r="Y68" s="203" t="s">
        <v>195</v>
      </c>
      <c r="Z68" s="206" t="s">
        <v>367</v>
      </c>
      <c r="AA68" s="205" t="s">
        <v>874</v>
      </c>
      <c r="AB68" s="204" t="s">
        <v>221</v>
      </c>
      <c r="AC68" s="203"/>
      <c r="AD68" s="202"/>
      <c r="AE68" s="201"/>
    </row>
    <row r="69" spans="1:31" ht="15.75" x14ac:dyDescent="0.25">
      <c r="A69" s="195" t="s">
        <v>17</v>
      </c>
      <c r="B69" s="195" t="s">
        <v>399</v>
      </c>
      <c r="C69" s="195" t="s">
        <v>347</v>
      </c>
      <c r="D69" s="195" t="s">
        <v>206</v>
      </c>
      <c r="E69" s="200">
        <v>78041</v>
      </c>
      <c r="F69" s="195" t="s">
        <v>207</v>
      </c>
      <c r="G69" s="195" t="s">
        <v>192</v>
      </c>
      <c r="H69" s="195" t="s">
        <v>193</v>
      </c>
      <c r="I69" s="199">
        <v>76.598591549295804</v>
      </c>
      <c r="J69" s="198">
        <v>39.663366336633651</v>
      </c>
      <c r="K69" s="198">
        <v>4.7425742574257432</v>
      </c>
      <c r="L69" s="198">
        <v>14.247524752475247</v>
      </c>
      <c r="M69" s="198">
        <v>18.574257425742562</v>
      </c>
      <c r="N69" s="198">
        <v>11.524752475247526</v>
      </c>
      <c r="O69" s="198">
        <v>4.4059405940594063</v>
      </c>
      <c r="P69" s="198">
        <v>18.445544554455441</v>
      </c>
      <c r="Q69" s="198">
        <v>42.851485148514847</v>
      </c>
      <c r="R69" s="198">
        <v>12.207920792079207</v>
      </c>
      <c r="S69" s="198">
        <v>9.8811881188118793</v>
      </c>
      <c r="T69" s="198">
        <v>7.752475247524754</v>
      </c>
      <c r="U69" s="198">
        <v>47.386138613861419</v>
      </c>
      <c r="V69" s="198">
        <v>52.247524752475236</v>
      </c>
      <c r="W69" s="196"/>
      <c r="X69" s="195" t="s">
        <v>194</v>
      </c>
      <c r="Y69" s="194" t="s">
        <v>324</v>
      </c>
      <c r="Z69" s="197" t="s">
        <v>345</v>
      </c>
      <c r="AA69" s="196" t="s">
        <v>400</v>
      </c>
      <c r="AB69" s="195" t="s">
        <v>194</v>
      </c>
      <c r="AC69" s="194" t="s">
        <v>324</v>
      </c>
      <c r="AD69" s="193" t="s">
        <v>345</v>
      </c>
      <c r="AE69" s="192">
        <v>43258</v>
      </c>
    </row>
    <row r="70" spans="1:31" ht="15.75" x14ac:dyDescent="0.25">
      <c r="A70" s="204" t="s">
        <v>462</v>
      </c>
      <c r="B70" s="204" t="s">
        <v>463</v>
      </c>
      <c r="C70" s="204" t="s">
        <v>464</v>
      </c>
      <c r="D70" s="204" t="s">
        <v>440</v>
      </c>
      <c r="E70" s="209">
        <v>53039</v>
      </c>
      <c r="F70" s="204" t="s">
        <v>40</v>
      </c>
      <c r="G70" s="204" t="s">
        <v>275</v>
      </c>
      <c r="H70" s="204" t="s">
        <v>193</v>
      </c>
      <c r="I70" s="208">
        <v>31.482758620689701</v>
      </c>
      <c r="J70" s="207">
        <v>7.2772277227722793</v>
      </c>
      <c r="K70" s="207">
        <v>5.1980198019802</v>
      </c>
      <c r="L70" s="207">
        <v>27.910891089108887</v>
      </c>
      <c r="M70" s="207">
        <v>34</v>
      </c>
      <c r="N70" s="207">
        <v>57.019801980197997</v>
      </c>
      <c r="O70" s="207">
        <v>12.36633663366336</v>
      </c>
      <c r="P70" s="207">
        <v>4.8712871287128721</v>
      </c>
      <c r="Q70" s="207">
        <v>0.12871287128712872</v>
      </c>
      <c r="R70" s="207">
        <v>29.42574257425742</v>
      </c>
      <c r="S70" s="207">
        <v>19.039603960396022</v>
      </c>
      <c r="T70" s="207">
        <v>13.46534653465346</v>
      </c>
      <c r="U70" s="207">
        <v>12.455445544554449</v>
      </c>
      <c r="V70" s="207">
        <v>44.247524752475229</v>
      </c>
      <c r="W70" s="205"/>
      <c r="X70" s="204" t="s">
        <v>194</v>
      </c>
      <c r="Y70" s="203" t="s">
        <v>324</v>
      </c>
      <c r="Z70" s="206" t="s">
        <v>345</v>
      </c>
      <c r="AA70" s="205" t="s">
        <v>465</v>
      </c>
      <c r="AB70" s="204" t="s">
        <v>194</v>
      </c>
      <c r="AC70" s="203" t="s">
        <v>324</v>
      </c>
      <c r="AD70" s="202" t="s">
        <v>345</v>
      </c>
      <c r="AE70" s="201">
        <v>43209</v>
      </c>
    </row>
    <row r="71" spans="1:31" ht="15.75" x14ac:dyDescent="0.25">
      <c r="A71" s="204" t="s">
        <v>526</v>
      </c>
      <c r="B71" s="204" t="s">
        <v>527</v>
      </c>
      <c r="C71" s="204" t="s">
        <v>528</v>
      </c>
      <c r="D71" s="204" t="s">
        <v>374</v>
      </c>
      <c r="E71" s="209">
        <v>56201</v>
      </c>
      <c r="F71" s="204" t="s">
        <v>375</v>
      </c>
      <c r="G71" s="204" t="s">
        <v>219</v>
      </c>
      <c r="H71" s="204" t="s">
        <v>193</v>
      </c>
      <c r="I71" s="208">
        <v>59.193181818181799</v>
      </c>
      <c r="J71" s="207">
        <v>4.1782178217821784</v>
      </c>
      <c r="K71" s="207">
        <v>10.227722772277227</v>
      </c>
      <c r="L71" s="207">
        <v>43.049504950495042</v>
      </c>
      <c r="M71" s="207">
        <v>16.594059405940591</v>
      </c>
      <c r="N71" s="207">
        <v>46.712871287128699</v>
      </c>
      <c r="O71" s="207">
        <v>14.495049504950497</v>
      </c>
      <c r="P71" s="207">
        <v>10.099009900990101</v>
      </c>
      <c r="Q71" s="207">
        <v>2.7425742574257432</v>
      </c>
      <c r="R71" s="207">
        <v>31.594059405940587</v>
      </c>
      <c r="S71" s="207">
        <v>11.049504950495049</v>
      </c>
      <c r="T71" s="207">
        <v>14.168316831683169</v>
      </c>
      <c r="U71" s="207">
        <v>17.237623762376234</v>
      </c>
      <c r="V71" s="207">
        <v>51.356435643564367</v>
      </c>
      <c r="W71" s="205"/>
      <c r="X71" s="204" t="s">
        <v>194</v>
      </c>
      <c r="Y71" s="203" t="s">
        <v>324</v>
      </c>
      <c r="Z71" s="206" t="s">
        <v>345</v>
      </c>
      <c r="AA71" s="205" t="s">
        <v>496</v>
      </c>
      <c r="AB71" s="204" t="s">
        <v>194</v>
      </c>
      <c r="AC71" s="203" t="s">
        <v>324</v>
      </c>
      <c r="AD71" s="202" t="s">
        <v>345</v>
      </c>
      <c r="AE71" s="201">
        <v>43440</v>
      </c>
    </row>
    <row r="72" spans="1:31" ht="15.75" x14ac:dyDescent="0.25">
      <c r="A72" s="204" t="s">
        <v>21</v>
      </c>
      <c r="B72" s="204" t="s">
        <v>372</v>
      </c>
      <c r="C72" s="204" t="s">
        <v>373</v>
      </c>
      <c r="D72" s="204" t="s">
        <v>374</v>
      </c>
      <c r="E72" s="209">
        <v>55330</v>
      </c>
      <c r="F72" s="204" t="s">
        <v>375</v>
      </c>
      <c r="G72" s="204" t="s">
        <v>219</v>
      </c>
      <c r="H72" s="204" t="s">
        <v>193</v>
      </c>
      <c r="I72" s="208">
        <v>131.52873563218401</v>
      </c>
      <c r="J72" s="207">
        <v>4.3465346534653477</v>
      </c>
      <c r="K72" s="207">
        <v>9.811881188118809</v>
      </c>
      <c r="L72" s="207">
        <v>46.821782178217809</v>
      </c>
      <c r="M72" s="207">
        <v>12.663366336633665</v>
      </c>
      <c r="N72" s="207">
        <v>48.722772277227719</v>
      </c>
      <c r="O72" s="207">
        <v>18.742574257425737</v>
      </c>
      <c r="P72" s="207">
        <v>4.7524752475247523</v>
      </c>
      <c r="Q72" s="207">
        <v>1.4257425742574257</v>
      </c>
      <c r="R72" s="207">
        <v>38.306930693069305</v>
      </c>
      <c r="S72" s="207">
        <v>8.7227722772277243</v>
      </c>
      <c r="T72" s="207">
        <v>6.4455445544554477</v>
      </c>
      <c r="U72" s="207">
        <v>20.16831683168316</v>
      </c>
      <c r="V72" s="207">
        <v>56.346534653465348</v>
      </c>
      <c r="W72" s="205"/>
      <c r="X72" s="204" t="s">
        <v>194</v>
      </c>
      <c r="Y72" s="203" t="s">
        <v>324</v>
      </c>
      <c r="Z72" s="206" t="s">
        <v>345</v>
      </c>
      <c r="AA72" s="205" t="s">
        <v>336</v>
      </c>
      <c r="AB72" s="204" t="s">
        <v>194</v>
      </c>
      <c r="AC72" s="203" t="s">
        <v>324</v>
      </c>
      <c r="AD72" s="202" t="s">
        <v>345</v>
      </c>
      <c r="AE72" s="201">
        <v>43420</v>
      </c>
    </row>
    <row r="73" spans="1:31" ht="15.75" x14ac:dyDescent="0.25">
      <c r="A73" s="204" t="s">
        <v>490</v>
      </c>
      <c r="B73" s="204" t="s">
        <v>491</v>
      </c>
      <c r="C73" s="204" t="s">
        <v>422</v>
      </c>
      <c r="D73" s="204" t="s">
        <v>416</v>
      </c>
      <c r="E73" s="209">
        <v>89060</v>
      </c>
      <c r="F73" s="204" t="s">
        <v>417</v>
      </c>
      <c r="G73" s="204" t="s">
        <v>219</v>
      </c>
      <c r="H73" s="204" t="s">
        <v>193</v>
      </c>
      <c r="I73" s="208">
        <v>28.756218905472601</v>
      </c>
      <c r="J73" s="207">
        <v>12.762376237623759</v>
      </c>
      <c r="K73" s="207">
        <v>8.0495049504950522</v>
      </c>
      <c r="L73" s="207">
        <v>25.821782178217809</v>
      </c>
      <c r="M73" s="207">
        <v>25.405940594059398</v>
      </c>
      <c r="N73" s="207">
        <v>57.485148514851389</v>
      </c>
      <c r="O73" s="207">
        <v>14.554455445544551</v>
      </c>
      <c r="P73" s="207">
        <v>0</v>
      </c>
      <c r="Q73" s="207">
        <v>0</v>
      </c>
      <c r="R73" s="207">
        <v>35.099009900990062</v>
      </c>
      <c r="S73" s="207">
        <v>11.336633663366339</v>
      </c>
      <c r="T73" s="207">
        <v>11.039603960396043</v>
      </c>
      <c r="U73" s="207">
        <v>14.56435643564356</v>
      </c>
      <c r="V73" s="207">
        <v>48.74257425742568</v>
      </c>
      <c r="W73" s="205"/>
      <c r="X73" s="204" t="s">
        <v>194</v>
      </c>
      <c r="Y73" s="203" t="s">
        <v>324</v>
      </c>
      <c r="Z73" s="206" t="s">
        <v>345</v>
      </c>
      <c r="AA73" s="205" t="s">
        <v>470</v>
      </c>
      <c r="AB73" s="204" t="s">
        <v>194</v>
      </c>
      <c r="AC73" s="203" t="s">
        <v>324</v>
      </c>
      <c r="AD73" s="202" t="s">
        <v>367</v>
      </c>
      <c r="AE73" s="201">
        <v>43616</v>
      </c>
    </row>
    <row r="74" spans="1:31" ht="15.75" x14ac:dyDescent="0.25">
      <c r="A74" s="195" t="s">
        <v>7</v>
      </c>
      <c r="B74" s="195" t="s">
        <v>468</v>
      </c>
      <c r="C74" s="195" t="s">
        <v>469</v>
      </c>
      <c r="D74" s="195" t="s">
        <v>217</v>
      </c>
      <c r="E74" s="200">
        <v>70655</v>
      </c>
      <c r="F74" s="195" t="s">
        <v>218</v>
      </c>
      <c r="G74" s="195" t="s">
        <v>219</v>
      </c>
      <c r="H74" s="195" t="s">
        <v>5</v>
      </c>
      <c r="I74" s="199">
        <v>27.209876543209901</v>
      </c>
      <c r="J74" s="198">
        <v>45.079207920792108</v>
      </c>
      <c r="K74" s="198">
        <v>20.702970297029701</v>
      </c>
      <c r="L74" s="198">
        <v>4.1287128712871288</v>
      </c>
      <c r="M74" s="198">
        <v>0</v>
      </c>
      <c r="N74" s="198">
        <v>11.168316831683166</v>
      </c>
      <c r="O74" s="198">
        <v>58.742574257425751</v>
      </c>
      <c r="P74" s="198">
        <v>0</v>
      </c>
      <c r="Q74" s="198">
        <v>0</v>
      </c>
      <c r="R74" s="198">
        <v>4.4257425742574252</v>
      </c>
      <c r="S74" s="198">
        <v>2.326732673267327</v>
      </c>
      <c r="T74" s="198">
        <v>4.4158415841584162</v>
      </c>
      <c r="U74" s="198">
        <v>58.742574257425751</v>
      </c>
      <c r="V74" s="198">
        <v>58.435643564356468</v>
      </c>
      <c r="W74" s="196">
        <v>100</v>
      </c>
      <c r="X74" s="195" t="s">
        <v>194</v>
      </c>
      <c r="Y74" s="194" t="s">
        <v>195</v>
      </c>
      <c r="Z74" s="197" t="s">
        <v>196</v>
      </c>
      <c r="AA74" s="196" t="s">
        <v>470</v>
      </c>
      <c r="AB74" s="195" t="s">
        <v>194</v>
      </c>
      <c r="AC74" s="194" t="s">
        <v>195</v>
      </c>
      <c r="AD74" s="193" t="s">
        <v>351</v>
      </c>
      <c r="AE74" s="192">
        <v>43510</v>
      </c>
    </row>
    <row r="75" spans="1:31" ht="15.75" x14ac:dyDescent="0.25">
      <c r="A75" s="204" t="s">
        <v>456</v>
      </c>
      <c r="B75" s="204" t="s">
        <v>457</v>
      </c>
      <c r="C75" s="204" t="s">
        <v>458</v>
      </c>
      <c r="D75" s="204" t="s">
        <v>459</v>
      </c>
      <c r="E75" s="209">
        <v>41005</v>
      </c>
      <c r="F75" s="204" t="s">
        <v>40</v>
      </c>
      <c r="G75" s="204" t="s">
        <v>275</v>
      </c>
      <c r="H75" s="204" t="s">
        <v>193</v>
      </c>
      <c r="I75" s="208">
        <v>49.219354838709698</v>
      </c>
      <c r="J75" s="207">
        <v>13.306930693069303</v>
      </c>
      <c r="K75" s="207">
        <v>7.3069306930693081</v>
      </c>
      <c r="L75" s="207">
        <v>24.891089108910887</v>
      </c>
      <c r="M75" s="207">
        <v>22.21782178217822</v>
      </c>
      <c r="N75" s="207">
        <v>46.386138613861377</v>
      </c>
      <c r="O75" s="207">
        <v>21.118811881188105</v>
      </c>
      <c r="P75" s="207">
        <v>0</v>
      </c>
      <c r="Q75" s="207">
        <v>0.21782178217821782</v>
      </c>
      <c r="R75" s="207">
        <v>26.495049504950497</v>
      </c>
      <c r="S75" s="207">
        <v>11.247524752475247</v>
      </c>
      <c r="T75" s="207">
        <v>8.643564356435645</v>
      </c>
      <c r="U75" s="207">
        <v>21.336633663366321</v>
      </c>
      <c r="V75" s="207">
        <v>38.861386138613838</v>
      </c>
      <c r="W75" s="205"/>
      <c r="X75" s="204" t="s">
        <v>194</v>
      </c>
      <c r="Y75" s="203" t="s">
        <v>324</v>
      </c>
      <c r="Z75" s="206" t="s">
        <v>345</v>
      </c>
      <c r="AA75" s="205" t="s">
        <v>873</v>
      </c>
      <c r="AB75" s="204" t="s">
        <v>194</v>
      </c>
      <c r="AC75" s="203" t="s">
        <v>324</v>
      </c>
      <c r="AD75" s="202" t="s">
        <v>345</v>
      </c>
      <c r="AE75" s="201">
        <v>43531</v>
      </c>
    </row>
    <row r="76" spans="1:31" ht="15.75" x14ac:dyDescent="0.25">
      <c r="A76" s="204" t="s">
        <v>479</v>
      </c>
      <c r="B76" s="204" t="s">
        <v>480</v>
      </c>
      <c r="C76" s="204" t="s">
        <v>481</v>
      </c>
      <c r="D76" s="204" t="s">
        <v>312</v>
      </c>
      <c r="E76" s="209">
        <v>32327</v>
      </c>
      <c r="F76" s="204" t="s">
        <v>33</v>
      </c>
      <c r="G76" s="204" t="s">
        <v>219</v>
      </c>
      <c r="H76" s="204" t="s">
        <v>5</v>
      </c>
      <c r="I76" s="208">
        <v>52.576158940397299</v>
      </c>
      <c r="J76" s="207">
        <v>1.6336633663366338</v>
      </c>
      <c r="K76" s="207">
        <v>5.6336633663366351</v>
      </c>
      <c r="L76" s="207">
        <v>31.19801980198018</v>
      </c>
      <c r="M76" s="207">
        <v>28.683168316831679</v>
      </c>
      <c r="N76" s="207">
        <v>56.158415841584159</v>
      </c>
      <c r="O76" s="207">
        <v>10.990099009900987</v>
      </c>
      <c r="P76" s="207">
        <v>0</v>
      </c>
      <c r="Q76" s="207">
        <v>0</v>
      </c>
      <c r="R76" s="207">
        <v>41.009900990098998</v>
      </c>
      <c r="S76" s="207">
        <v>9.4653465346534666</v>
      </c>
      <c r="T76" s="207">
        <v>4.6930693069306937</v>
      </c>
      <c r="U76" s="207">
        <v>11.980198019801977</v>
      </c>
      <c r="V76" s="207">
        <v>58.623762376237615</v>
      </c>
      <c r="W76" s="205"/>
      <c r="X76" s="204" t="s">
        <v>194</v>
      </c>
      <c r="Y76" s="203" t="s">
        <v>324</v>
      </c>
      <c r="Z76" s="206" t="s">
        <v>198</v>
      </c>
      <c r="AA76" s="205" t="s">
        <v>872</v>
      </c>
      <c r="AB76" s="204" t="s">
        <v>194</v>
      </c>
      <c r="AC76" s="203" t="s">
        <v>324</v>
      </c>
      <c r="AD76" s="202" t="s">
        <v>345</v>
      </c>
      <c r="AE76" s="201">
        <v>43756</v>
      </c>
    </row>
    <row r="77" spans="1:31" ht="15.75" x14ac:dyDescent="0.25">
      <c r="A77" s="204" t="s">
        <v>19</v>
      </c>
      <c r="B77" s="204" t="s">
        <v>332</v>
      </c>
      <c r="C77" s="204" t="s">
        <v>39</v>
      </c>
      <c r="D77" s="204" t="s">
        <v>206</v>
      </c>
      <c r="E77" s="209">
        <v>76574</v>
      </c>
      <c r="F77" s="204" t="s">
        <v>207</v>
      </c>
      <c r="G77" s="204" t="s">
        <v>211</v>
      </c>
      <c r="H77" s="204" t="s">
        <v>10</v>
      </c>
      <c r="I77" s="208">
        <v>69.575342465753394</v>
      </c>
      <c r="J77" s="207">
        <v>65.683168316831598</v>
      </c>
      <c r="K77" s="207">
        <v>7.9207920792079209E-2</v>
      </c>
      <c r="L77" s="207">
        <v>0</v>
      </c>
      <c r="M77" s="207">
        <v>0.19801980198019803</v>
      </c>
      <c r="N77" s="207">
        <v>0</v>
      </c>
      <c r="O77" s="207">
        <v>0</v>
      </c>
      <c r="P77" s="207">
        <v>1.7524752475247525</v>
      </c>
      <c r="Q77" s="207">
        <v>64.207920792079122</v>
      </c>
      <c r="R77" s="207">
        <v>0</v>
      </c>
      <c r="S77" s="207">
        <v>0</v>
      </c>
      <c r="T77" s="207">
        <v>1.7524752475247525</v>
      </c>
      <c r="U77" s="207">
        <v>64.207920792079122</v>
      </c>
      <c r="V77" s="207">
        <v>42.910891089108894</v>
      </c>
      <c r="W77" s="205">
        <v>461</v>
      </c>
      <c r="X77" s="204" t="s">
        <v>194</v>
      </c>
      <c r="Y77" s="203" t="s">
        <v>212</v>
      </c>
      <c r="Z77" s="206" t="s">
        <v>198</v>
      </c>
      <c r="AA77" s="205" t="s">
        <v>333</v>
      </c>
      <c r="AB77" s="204" t="s">
        <v>221</v>
      </c>
      <c r="AC77" s="203"/>
      <c r="AD77" s="202"/>
      <c r="AE77" s="201"/>
    </row>
    <row r="78" spans="1:31" ht="15.75" x14ac:dyDescent="0.25">
      <c r="A78" s="204" t="s">
        <v>31</v>
      </c>
      <c r="B78" s="204" t="s">
        <v>466</v>
      </c>
      <c r="C78" s="204" t="s">
        <v>467</v>
      </c>
      <c r="D78" s="204" t="s">
        <v>340</v>
      </c>
      <c r="E78" s="209">
        <v>10924</v>
      </c>
      <c r="F78" s="204" t="s">
        <v>379</v>
      </c>
      <c r="G78" s="204" t="s">
        <v>219</v>
      </c>
      <c r="H78" s="204" t="s">
        <v>193</v>
      </c>
      <c r="I78" s="208">
        <v>88.976190476190496</v>
      </c>
      <c r="J78" s="207">
        <v>8</v>
      </c>
      <c r="K78" s="207">
        <v>13.91089108910891</v>
      </c>
      <c r="L78" s="207">
        <v>23.861386138613859</v>
      </c>
      <c r="M78" s="207">
        <v>15.821782178217816</v>
      </c>
      <c r="N78" s="207">
        <v>38.821782178217816</v>
      </c>
      <c r="O78" s="207">
        <v>22.386138613861384</v>
      </c>
      <c r="P78" s="207">
        <v>0.18811881188118812</v>
      </c>
      <c r="Q78" s="207">
        <v>0.19801980198019803</v>
      </c>
      <c r="R78" s="207">
        <v>14.495049504950494</v>
      </c>
      <c r="S78" s="207">
        <v>11.594059405940593</v>
      </c>
      <c r="T78" s="207">
        <v>12.920792079207922</v>
      </c>
      <c r="U78" s="207">
        <v>22.584158415841582</v>
      </c>
      <c r="V78" s="207">
        <v>35.425742574257406</v>
      </c>
      <c r="W78" s="205"/>
      <c r="X78" s="204" t="s">
        <v>194</v>
      </c>
      <c r="Y78" s="203" t="s">
        <v>324</v>
      </c>
      <c r="Z78" s="206" t="s">
        <v>345</v>
      </c>
      <c r="AA78" s="205" t="s">
        <v>465</v>
      </c>
      <c r="AB78" s="204" t="s">
        <v>194</v>
      </c>
      <c r="AC78" s="203" t="s">
        <v>324</v>
      </c>
      <c r="AD78" s="202" t="s">
        <v>345</v>
      </c>
      <c r="AE78" s="201">
        <v>43209</v>
      </c>
    </row>
    <row r="79" spans="1:31" ht="15.75" x14ac:dyDescent="0.25">
      <c r="A79" s="204" t="s">
        <v>537</v>
      </c>
      <c r="B79" s="204" t="s">
        <v>538</v>
      </c>
      <c r="C79" s="204" t="s">
        <v>12</v>
      </c>
      <c r="D79" s="204" t="s">
        <v>539</v>
      </c>
      <c r="E79" s="209">
        <v>47834</v>
      </c>
      <c r="F79" s="204" t="s">
        <v>40</v>
      </c>
      <c r="G79" s="204" t="s">
        <v>275</v>
      </c>
      <c r="H79" s="204" t="s">
        <v>5</v>
      </c>
      <c r="I79" s="208">
        <v>17.955223880597</v>
      </c>
      <c r="J79" s="207">
        <v>24.306930693069248</v>
      </c>
      <c r="K79" s="207">
        <v>9.1089108910891099</v>
      </c>
      <c r="L79" s="207">
        <v>16.960396039603928</v>
      </c>
      <c r="M79" s="207">
        <v>10.999999999999995</v>
      </c>
      <c r="N79" s="207">
        <v>30.45544554455439</v>
      </c>
      <c r="O79" s="207">
        <v>27.633663366336581</v>
      </c>
      <c r="P79" s="207">
        <v>1.8217821782178218</v>
      </c>
      <c r="Q79" s="207">
        <v>1.4653465346534653</v>
      </c>
      <c r="R79" s="207">
        <v>13.019801980198007</v>
      </c>
      <c r="S79" s="207">
        <v>6.1980198019802009</v>
      </c>
      <c r="T79" s="207">
        <v>13.059405940594038</v>
      </c>
      <c r="U79" s="207">
        <v>29.099009900990048</v>
      </c>
      <c r="V79" s="207">
        <v>37.653465346534595</v>
      </c>
      <c r="W79" s="205"/>
      <c r="X79" s="204" t="s">
        <v>194</v>
      </c>
      <c r="Y79" s="203" t="s">
        <v>276</v>
      </c>
      <c r="Z79" s="206" t="s">
        <v>196</v>
      </c>
      <c r="AA79" s="205" t="s">
        <v>864</v>
      </c>
      <c r="AB79" s="204" t="s">
        <v>194</v>
      </c>
      <c r="AC79" s="203" t="s">
        <v>276</v>
      </c>
      <c r="AD79" s="202" t="s">
        <v>196</v>
      </c>
      <c r="AE79" s="201">
        <v>43616</v>
      </c>
    </row>
    <row r="80" spans="1:31" ht="15.75" x14ac:dyDescent="0.25">
      <c r="A80" s="204" t="s">
        <v>499</v>
      </c>
      <c r="B80" s="204" t="s">
        <v>500</v>
      </c>
      <c r="C80" s="204" t="s">
        <v>501</v>
      </c>
      <c r="D80" s="204" t="s">
        <v>502</v>
      </c>
      <c r="E80" s="209">
        <v>66845</v>
      </c>
      <c r="F80" s="204" t="s">
        <v>40</v>
      </c>
      <c r="G80" s="204" t="s">
        <v>219</v>
      </c>
      <c r="H80" s="204" t="s">
        <v>193</v>
      </c>
      <c r="I80" s="208">
        <v>35.134408602150501</v>
      </c>
      <c r="J80" s="207">
        <v>6.7128712871287135</v>
      </c>
      <c r="K80" s="207">
        <v>19.950495049504941</v>
      </c>
      <c r="L80" s="207">
        <v>24.722772277227712</v>
      </c>
      <c r="M80" s="207">
        <v>8.8415841584158397</v>
      </c>
      <c r="N80" s="207">
        <v>44.039603960396029</v>
      </c>
      <c r="O80" s="207">
        <v>14.524752475247515</v>
      </c>
      <c r="P80" s="207">
        <v>0.50495049504950495</v>
      </c>
      <c r="Q80" s="207">
        <v>1.1584158415841583</v>
      </c>
      <c r="R80" s="207">
        <v>21.108910891089106</v>
      </c>
      <c r="S80" s="207">
        <v>9.9405940594059405</v>
      </c>
      <c r="T80" s="207">
        <v>13.495049504950487</v>
      </c>
      <c r="U80" s="207">
        <v>15.683168316831674</v>
      </c>
      <c r="V80" s="207">
        <v>41.970297029702962</v>
      </c>
      <c r="W80" s="205"/>
      <c r="X80" s="204" t="s">
        <v>194</v>
      </c>
      <c r="Y80" s="203" t="s">
        <v>324</v>
      </c>
      <c r="Z80" s="206" t="s">
        <v>345</v>
      </c>
      <c r="AA80" s="205" t="s">
        <v>496</v>
      </c>
      <c r="AB80" s="204" t="s">
        <v>194</v>
      </c>
      <c r="AC80" s="203" t="s">
        <v>324</v>
      </c>
      <c r="AD80" s="202" t="s">
        <v>345</v>
      </c>
      <c r="AE80" s="201">
        <v>43293</v>
      </c>
    </row>
    <row r="81" spans="1:31" ht="15.75" x14ac:dyDescent="0.25">
      <c r="A81" s="204" t="s">
        <v>534</v>
      </c>
      <c r="B81" s="204" t="s">
        <v>535</v>
      </c>
      <c r="C81" s="204" t="s">
        <v>536</v>
      </c>
      <c r="D81" s="204" t="s">
        <v>374</v>
      </c>
      <c r="E81" s="209">
        <v>56007</v>
      </c>
      <c r="F81" s="204" t="s">
        <v>375</v>
      </c>
      <c r="G81" s="204" t="s">
        <v>219</v>
      </c>
      <c r="H81" s="204" t="s">
        <v>5</v>
      </c>
      <c r="I81" s="208">
        <v>81.153846153846203</v>
      </c>
      <c r="J81" s="207">
        <v>3.9801980198019811</v>
      </c>
      <c r="K81" s="207">
        <v>10.10891089108911</v>
      </c>
      <c r="L81" s="207">
        <v>29.534653465346526</v>
      </c>
      <c r="M81" s="207">
        <v>15.990099009900989</v>
      </c>
      <c r="N81" s="207">
        <v>44.336633663366328</v>
      </c>
      <c r="O81" s="207">
        <v>15.277227722772276</v>
      </c>
      <c r="P81" s="207">
        <v>0</v>
      </c>
      <c r="Q81" s="207">
        <v>0</v>
      </c>
      <c r="R81" s="207">
        <v>30.237623762376227</v>
      </c>
      <c r="S81" s="207">
        <v>8.9900990099009928</v>
      </c>
      <c r="T81" s="207">
        <v>5.1089108910891099</v>
      </c>
      <c r="U81" s="207">
        <v>15.277227722772276</v>
      </c>
      <c r="V81" s="207">
        <v>41.881188118811878</v>
      </c>
      <c r="W81" s="205"/>
      <c r="X81" s="204" t="s">
        <v>194</v>
      </c>
      <c r="Y81" s="203" t="s">
        <v>324</v>
      </c>
      <c r="Z81" s="206" t="s">
        <v>345</v>
      </c>
      <c r="AA81" s="205" t="s">
        <v>871</v>
      </c>
      <c r="AB81" s="204" t="s">
        <v>194</v>
      </c>
      <c r="AC81" s="203" t="s">
        <v>324</v>
      </c>
      <c r="AD81" s="202" t="s">
        <v>345</v>
      </c>
      <c r="AE81" s="201">
        <v>43573</v>
      </c>
    </row>
    <row r="82" spans="1:31" ht="15.75" x14ac:dyDescent="0.25">
      <c r="A82" s="204" t="s">
        <v>523</v>
      </c>
      <c r="B82" s="204" t="s">
        <v>524</v>
      </c>
      <c r="C82" s="204" t="s">
        <v>525</v>
      </c>
      <c r="D82" s="204" t="s">
        <v>223</v>
      </c>
      <c r="E82" s="209">
        <v>85349</v>
      </c>
      <c r="F82" s="204" t="s">
        <v>239</v>
      </c>
      <c r="G82" s="204" t="s">
        <v>219</v>
      </c>
      <c r="H82" s="204" t="s">
        <v>193</v>
      </c>
      <c r="I82" s="208">
        <v>19.593548387096799</v>
      </c>
      <c r="J82" s="207">
        <v>19.643564356435633</v>
      </c>
      <c r="K82" s="207">
        <v>12.871287128712861</v>
      </c>
      <c r="L82" s="207">
        <v>12.108910891089112</v>
      </c>
      <c r="M82" s="207">
        <v>14.524752475247524</v>
      </c>
      <c r="N82" s="207">
        <v>30.504950495049467</v>
      </c>
      <c r="O82" s="207">
        <v>24.663366336633633</v>
      </c>
      <c r="P82" s="207">
        <v>1.7524752475247525</v>
      </c>
      <c r="Q82" s="207">
        <v>2.2277227722772275</v>
      </c>
      <c r="R82" s="207">
        <v>17.227722772277222</v>
      </c>
      <c r="S82" s="207">
        <v>6.3663366336633693</v>
      </c>
      <c r="T82" s="207">
        <v>7.8019801980198054</v>
      </c>
      <c r="U82" s="207">
        <v>27.752475247524721</v>
      </c>
      <c r="V82" s="207">
        <v>32.564356435643504</v>
      </c>
      <c r="W82" s="205">
        <v>100</v>
      </c>
      <c r="X82" s="204" t="s">
        <v>194</v>
      </c>
      <c r="Y82" s="203" t="s">
        <v>324</v>
      </c>
      <c r="Z82" s="206" t="s">
        <v>345</v>
      </c>
      <c r="AA82" s="205" t="s">
        <v>388</v>
      </c>
      <c r="AB82" s="204" t="s">
        <v>194</v>
      </c>
      <c r="AC82" s="203" t="s">
        <v>324</v>
      </c>
      <c r="AD82" s="202" t="s">
        <v>345</v>
      </c>
      <c r="AE82" s="201">
        <v>43223</v>
      </c>
    </row>
    <row r="83" spans="1:31" ht="15.75" x14ac:dyDescent="0.25">
      <c r="A83" s="195" t="s">
        <v>28</v>
      </c>
      <c r="B83" s="195" t="s">
        <v>475</v>
      </c>
      <c r="C83" s="195" t="s">
        <v>347</v>
      </c>
      <c r="D83" s="195" t="s">
        <v>206</v>
      </c>
      <c r="E83" s="200">
        <v>78046</v>
      </c>
      <c r="F83" s="195" t="s">
        <v>207</v>
      </c>
      <c r="G83" s="195" t="s">
        <v>192</v>
      </c>
      <c r="H83" s="195" t="s">
        <v>193</v>
      </c>
      <c r="I83" s="199">
        <v>17.664092664092699</v>
      </c>
      <c r="J83" s="198">
        <v>39.118811881188059</v>
      </c>
      <c r="K83" s="198">
        <v>8.2970297029703008</v>
      </c>
      <c r="L83" s="198">
        <v>3.2673267326732685</v>
      </c>
      <c r="M83" s="198">
        <v>8.3861386138613874</v>
      </c>
      <c r="N83" s="198">
        <v>11.851485148514845</v>
      </c>
      <c r="O83" s="198">
        <v>13.693069306930694</v>
      </c>
      <c r="P83" s="198">
        <v>6.7722772277227765</v>
      </c>
      <c r="Q83" s="198">
        <v>26.752475247524718</v>
      </c>
      <c r="R83" s="198">
        <v>7.7623762376237648</v>
      </c>
      <c r="S83" s="198">
        <v>4.2277227722772297</v>
      </c>
      <c r="T83" s="198">
        <v>6.6336633663366369</v>
      </c>
      <c r="U83" s="198">
        <v>40.445544554455381</v>
      </c>
      <c r="V83" s="198">
        <v>41.227722772277154</v>
      </c>
      <c r="W83" s="196"/>
      <c r="X83" s="195" t="s">
        <v>194</v>
      </c>
      <c r="Y83" s="194" t="s">
        <v>195</v>
      </c>
      <c r="Z83" s="197" t="s">
        <v>196</v>
      </c>
      <c r="AA83" s="196" t="s">
        <v>232</v>
      </c>
      <c r="AB83" s="195" t="s">
        <v>194</v>
      </c>
      <c r="AC83" s="194" t="s">
        <v>195</v>
      </c>
      <c r="AD83" s="193" t="s">
        <v>196</v>
      </c>
      <c r="AE83" s="192">
        <v>43503</v>
      </c>
    </row>
    <row r="84" spans="1:31" ht="15.75" x14ac:dyDescent="0.25">
      <c r="A84" s="204" t="s">
        <v>397</v>
      </c>
      <c r="B84" s="204" t="s">
        <v>398</v>
      </c>
      <c r="C84" s="204" t="s">
        <v>320</v>
      </c>
      <c r="D84" s="204" t="s">
        <v>202</v>
      </c>
      <c r="E84" s="209">
        <v>31537</v>
      </c>
      <c r="F84" s="204" t="s">
        <v>203</v>
      </c>
      <c r="G84" s="204" t="s">
        <v>192</v>
      </c>
      <c r="H84" s="204" t="s">
        <v>5</v>
      </c>
      <c r="I84" s="208">
        <v>32.182098765432102</v>
      </c>
      <c r="J84" s="207">
        <v>5.6831683168316847</v>
      </c>
      <c r="K84" s="207">
        <v>11.782178217821777</v>
      </c>
      <c r="L84" s="207">
        <v>18.069306930693052</v>
      </c>
      <c r="M84" s="207">
        <v>16.158415841584148</v>
      </c>
      <c r="N84" s="207">
        <v>41.653465346534645</v>
      </c>
      <c r="O84" s="207">
        <v>10.039603960396038</v>
      </c>
      <c r="P84" s="207">
        <v>0</v>
      </c>
      <c r="Q84" s="207">
        <v>0</v>
      </c>
      <c r="R84" s="207">
        <v>23.504950495049446</v>
      </c>
      <c r="S84" s="207">
        <v>11.613861386138607</v>
      </c>
      <c r="T84" s="207">
        <v>6.435643564356436</v>
      </c>
      <c r="U84" s="207">
        <v>10.138613861386139</v>
      </c>
      <c r="V84" s="207">
        <v>32.465346534653399</v>
      </c>
      <c r="W84" s="205"/>
      <c r="X84" s="204" t="s">
        <v>194</v>
      </c>
      <c r="Y84" s="203" t="s">
        <v>195</v>
      </c>
      <c r="Z84" s="206" t="s">
        <v>198</v>
      </c>
      <c r="AA84" s="205" t="s">
        <v>846</v>
      </c>
      <c r="AB84" s="204" t="s">
        <v>194</v>
      </c>
      <c r="AC84" s="203" t="s">
        <v>195</v>
      </c>
      <c r="AD84" s="202" t="s">
        <v>196</v>
      </c>
      <c r="AE84" s="201">
        <v>43622</v>
      </c>
    </row>
    <row r="85" spans="1:31" ht="15.75" x14ac:dyDescent="0.25">
      <c r="A85" s="204" t="s">
        <v>418</v>
      </c>
      <c r="B85" s="204" t="s">
        <v>419</v>
      </c>
      <c r="C85" s="204" t="s">
        <v>420</v>
      </c>
      <c r="D85" s="204" t="s">
        <v>329</v>
      </c>
      <c r="E85" s="209">
        <v>18428</v>
      </c>
      <c r="F85" s="204" t="s">
        <v>330</v>
      </c>
      <c r="G85" s="204" t="s">
        <v>219</v>
      </c>
      <c r="H85" s="204" t="s">
        <v>5</v>
      </c>
      <c r="I85" s="208">
        <v>62</v>
      </c>
      <c r="J85" s="207">
        <v>8.9504950495049496</v>
      </c>
      <c r="K85" s="207">
        <v>9.8811881188118811</v>
      </c>
      <c r="L85" s="207">
        <v>19.465346534653463</v>
      </c>
      <c r="M85" s="207">
        <v>11.851485148514852</v>
      </c>
      <c r="N85" s="207">
        <v>32.21782178217822</v>
      </c>
      <c r="O85" s="207">
        <v>17.930693069306926</v>
      </c>
      <c r="P85" s="207">
        <v>0</v>
      </c>
      <c r="Q85" s="207">
        <v>0</v>
      </c>
      <c r="R85" s="207">
        <v>17.633663366336634</v>
      </c>
      <c r="S85" s="207">
        <v>4.4158415841584162</v>
      </c>
      <c r="T85" s="207">
        <v>8.4851485148514847</v>
      </c>
      <c r="U85" s="207">
        <v>19.613861386138609</v>
      </c>
      <c r="V85" s="207">
        <v>27.999999999999993</v>
      </c>
      <c r="W85" s="205"/>
      <c r="X85" s="204" t="s">
        <v>194</v>
      </c>
      <c r="Y85" s="203" t="s">
        <v>276</v>
      </c>
      <c r="Z85" s="206" t="s">
        <v>196</v>
      </c>
      <c r="AA85" s="205" t="s">
        <v>287</v>
      </c>
      <c r="AB85" s="204" t="s">
        <v>194</v>
      </c>
      <c r="AC85" s="203" t="s">
        <v>276</v>
      </c>
      <c r="AD85" s="202" t="s">
        <v>196</v>
      </c>
      <c r="AE85" s="201">
        <v>43146</v>
      </c>
    </row>
    <row r="86" spans="1:31" ht="15.75" x14ac:dyDescent="0.25">
      <c r="A86" s="195" t="s">
        <v>870</v>
      </c>
      <c r="B86" s="195" t="s">
        <v>869</v>
      </c>
      <c r="C86" s="195" t="s">
        <v>260</v>
      </c>
      <c r="D86" s="195" t="s">
        <v>206</v>
      </c>
      <c r="E86" s="200">
        <v>77301</v>
      </c>
      <c r="F86" s="195" t="s">
        <v>261</v>
      </c>
      <c r="G86" s="195" t="s">
        <v>219</v>
      </c>
      <c r="H86" s="195" t="s">
        <v>193</v>
      </c>
      <c r="I86" s="199">
        <v>116.16814159291999</v>
      </c>
      <c r="J86" s="198">
        <v>28.247524752475226</v>
      </c>
      <c r="K86" s="198">
        <v>9.2079207920792072</v>
      </c>
      <c r="L86" s="198">
        <v>3.3564356435643563</v>
      </c>
      <c r="M86" s="198">
        <v>8.0297029702970306</v>
      </c>
      <c r="N86" s="198">
        <v>20.623762376237622</v>
      </c>
      <c r="O86" s="198">
        <v>28.217821782178198</v>
      </c>
      <c r="P86" s="198">
        <v>0</v>
      </c>
      <c r="Q86" s="198">
        <v>0</v>
      </c>
      <c r="R86" s="198">
        <v>11.009900990099011</v>
      </c>
      <c r="S86" s="198">
        <v>2.3069306930693076</v>
      </c>
      <c r="T86" s="198">
        <v>7.3069306930693072</v>
      </c>
      <c r="U86" s="198">
        <v>28.217821782178198</v>
      </c>
      <c r="V86" s="198">
        <v>40.702970297029673</v>
      </c>
      <c r="W86" s="196"/>
      <c r="X86" s="195" t="s">
        <v>221</v>
      </c>
      <c r="Y86" s="194"/>
      <c r="Z86" s="197"/>
      <c r="AA86" s="196" t="s">
        <v>335</v>
      </c>
      <c r="AB86" s="195" t="s">
        <v>221</v>
      </c>
      <c r="AC86" s="194"/>
      <c r="AD86" s="193"/>
      <c r="AE86" s="192"/>
    </row>
    <row r="87" spans="1:31" ht="15.75" x14ac:dyDescent="0.25">
      <c r="A87" s="204" t="s">
        <v>55</v>
      </c>
      <c r="B87" s="204" t="s">
        <v>361</v>
      </c>
      <c r="C87" s="204" t="s">
        <v>362</v>
      </c>
      <c r="D87" s="204" t="s">
        <v>190</v>
      </c>
      <c r="E87" s="209">
        <v>93301</v>
      </c>
      <c r="F87" s="204" t="s">
        <v>363</v>
      </c>
      <c r="G87" s="204" t="s">
        <v>208</v>
      </c>
      <c r="H87" s="204" t="s">
        <v>193</v>
      </c>
      <c r="I87" s="208">
        <v>293.61111111111097</v>
      </c>
      <c r="J87" s="207">
        <v>0</v>
      </c>
      <c r="K87" s="207">
        <v>15.76237623762376</v>
      </c>
      <c r="L87" s="207">
        <v>14.584158415841582</v>
      </c>
      <c r="M87" s="207">
        <v>17.425742574257427</v>
      </c>
      <c r="N87" s="207">
        <v>46.772277227722775</v>
      </c>
      <c r="O87" s="207">
        <v>1</v>
      </c>
      <c r="P87" s="207">
        <v>0</v>
      </c>
      <c r="Q87" s="207">
        <v>0</v>
      </c>
      <c r="R87" s="207">
        <v>42.227722772277225</v>
      </c>
      <c r="S87" s="207">
        <v>2.5445544554455446</v>
      </c>
      <c r="T87" s="207">
        <v>2</v>
      </c>
      <c r="U87" s="207">
        <v>1</v>
      </c>
      <c r="V87" s="207">
        <v>42.277227722772281</v>
      </c>
      <c r="W87" s="205">
        <v>320</v>
      </c>
      <c r="X87" s="204" t="s">
        <v>194</v>
      </c>
      <c r="Y87" s="203" t="s">
        <v>195</v>
      </c>
      <c r="Z87" s="206" t="s">
        <v>196</v>
      </c>
      <c r="AA87" s="205" t="s">
        <v>868</v>
      </c>
      <c r="AB87" s="204" t="s">
        <v>194</v>
      </c>
      <c r="AC87" s="203" t="s">
        <v>195</v>
      </c>
      <c r="AD87" s="202" t="s">
        <v>196</v>
      </c>
      <c r="AE87" s="201">
        <v>43643</v>
      </c>
    </row>
    <row r="88" spans="1:31" ht="15.75" x14ac:dyDescent="0.25">
      <c r="A88" s="204" t="s">
        <v>13</v>
      </c>
      <c r="B88" s="204" t="s">
        <v>358</v>
      </c>
      <c r="C88" s="204" t="s">
        <v>359</v>
      </c>
      <c r="D88" s="204" t="s">
        <v>223</v>
      </c>
      <c r="E88" s="209">
        <v>85232</v>
      </c>
      <c r="F88" s="204" t="s">
        <v>224</v>
      </c>
      <c r="G88" s="204" t="s">
        <v>384</v>
      </c>
      <c r="H88" s="204" t="s">
        <v>5</v>
      </c>
      <c r="I88" s="208">
        <v>1.78087797619048</v>
      </c>
      <c r="J88" s="207">
        <v>16.148514851484912</v>
      </c>
      <c r="K88" s="207">
        <v>13.663366336633475</v>
      </c>
      <c r="L88" s="207">
        <v>8.2970297029702937</v>
      </c>
      <c r="M88" s="207">
        <v>8.8019801980197911</v>
      </c>
      <c r="N88" s="207">
        <v>24.217821782177595</v>
      </c>
      <c r="O88" s="207">
        <v>18.643564356435292</v>
      </c>
      <c r="P88" s="207">
        <v>1.128712871287129</v>
      </c>
      <c r="Q88" s="207">
        <v>2.9207920792079229</v>
      </c>
      <c r="R88" s="207">
        <v>13.792079207920658</v>
      </c>
      <c r="S88" s="207">
        <v>5.6336633663366378</v>
      </c>
      <c r="T88" s="207">
        <v>5.3168316831683207</v>
      </c>
      <c r="U88" s="207">
        <v>22.168316831682645</v>
      </c>
      <c r="V88" s="207">
        <v>26.811881188118196</v>
      </c>
      <c r="W88" s="205"/>
      <c r="X88" s="204" t="s">
        <v>221</v>
      </c>
      <c r="Y88" s="203"/>
      <c r="Z88" s="206"/>
      <c r="AA88" s="205"/>
      <c r="AB88" s="204" t="s">
        <v>221</v>
      </c>
      <c r="AC88" s="203"/>
      <c r="AD88" s="202"/>
      <c r="AE88" s="201"/>
    </row>
    <row r="89" spans="1:31" ht="15.75" x14ac:dyDescent="0.25">
      <c r="A89" s="195" t="s">
        <v>453</v>
      </c>
      <c r="B89" s="195" t="s">
        <v>454</v>
      </c>
      <c r="C89" s="195" t="s">
        <v>455</v>
      </c>
      <c r="D89" s="195" t="s">
        <v>396</v>
      </c>
      <c r="E89" s="200">
        <v>60901</v>
      </c>
      <c r="F89" s="195" t="s">
        <v>40</v>
      </c>
      <c r="G89" s="195" t="s">
        <v>275</v>
      </c>
      <c r="H89" s="195" t="s">
        <v>5</v>
      </c>
      <c r="I89" s="199">
        <v>67.785714285714306</v>
      </c>
      <c r="J89" s="198">
        <v>10.475247524752474</v>
      </c>
      <c r="K89" s="198">
        <v>6.6237623762376243</v>
      </c>
      <c r="L89" s="198">
        <v>14.128712871287124</v>
      </c>
      <c r="M89" s="198">
        <v>14.861386138613858</v>
      </c>
      <c r="N89" s="198">
        <v>32.405940594059402</v>
      </c>
      <c r="O89" s="198">
        <v>13.683168316831679</v>
      </c>
      <c r="P89" s="198">
        <v>0</v>
      </c>
      <c r="Q89" s="198">
        <v>0</v>
      </c>
      <c r="R89" s="198">
        <v>22.297029702970288</v>
      </c>
      <c r="S89" s="198">
        <v>6.3663366336633667</v>
      </c>
      <c r="T89" s="198">
        <v>3.7029702970297036</v>
      </c>
      <c r="U89" s="198">
        <v>13.722772277227719</v>
      </c>
      <c r="V89" s="198">
        <v>33.603960396039582</v>
      </c>
      <c r="W89" s="196"/>
      <c r="X89" s="195" t="s">
        <v>194</v>
      </c>
      <c r="Y89" s="194" t="s">
        <v>324</v>
      </c>
      <c r="Z89" s="197" t="s">
        <v>345</v>
      </c>
      <c r="AA89" s="196" t="s">
        <v>360</v>
      </c>
      <c r="AB89" s="195" t="s">
        <v>194</v>
      </c>
      <c r="AC89" s="194" t="s">
        <v>324</v>
      </c>
      <c r="AD89" s="193" t="s">
        <v>345</v>
      </c>
      <c r="AE89" s="192">
        <v>43202</v>
      </c>
    </row>
    <row r="90" spans="1:31" ht="15.75" x14ac:dyDescent="0.25">
      <c r="A90" s="195" t="s">
        <v>410</v>
      </c>
      <c r="B90" s="195" t="s">
        <v>411</v>
      </c>
      <c r="C90" s="195" t="s">
        <v>46</v>
      </c>
      <c r="D90" s="195" t="s">
        <v>315</v>
      </c>
      <c r="E90" s="200">
        <v>80010</v>
      </c>
      <c r="F90" s="195" t="s">
        <v>316</v>
      </c>
      <c r="G90" s="195" t="s">
        <v>208</v>
      </c>
      <c r="H90" s="195" t="s">
        <v>193</v>
      </c>
      <c r="I90" s="199">
        <v>82.045454545454504</v>
      </c>
      <c r="J90" s="198">
        <v>2.2376237623762378</v>
      </c>
      <c r="K90" s="198">
        <v>6.2772277227722784</v>
      </c>
      <c r="L90" s="198">
        <v>19.415841584158414</v>
      </c>
      <c r="M90" s="198">
        <v>15.544554455445544</v>
      </c>
      <c r="N90" s="198">
        <v>30.326732673267323</v>
      </c>
      <c r="O90" s="198">
        <v>2.1980198019801982</v>
      </c>
      <c r="P90" s="198">
        <v>9.2376237623762378</v>
      </c>
      <c r="Q90" s="198">
        <v>1.7128712871287128</v>
      </c>
      <c r="R90" s="198">
        <v>26.118811881188115</v>
      </c>
      <c r="S90" s="198">
        <v>9.0495049504950487</v>
      </c>
      <c r="T90" s="198">
        <v>4.3960396039603964</v>
      </c>
      <c r="U90" s="198">
        <v>3.9108910891089117</v>
      </c>
      <c r="V90" s="198">
        <v>30.198019801980177</v>
      </c>
      <c r="W90" s="196">
        <v>432</v>
      </c>
      <c r="X90" s="195" t="s">
        <v>194</v>
      </c>
      <c r="Y90" s="194" t="s">
        <v>195</v>
      </c>
      <c r="Z90" s="197" t="s">
        <v>196</v>
      </c>
      <c r="AA90" s="196" t="s">
        <v>317</v>
      </c>
      <c r="AB90" s="195" t="s">
        <v>221</v>
      </c>
      <c r="AC90" s="194"/>
      <c r="AD90" s="193"/>
      <c r="AE90" s="192"/>
    </row>
    <row r="91" spans="1:31" ht="15.75" x14ac:dyDescent="0.25">
      <c r="A91" s="195" t="s">
        <v>482</v>
      </c>
      <c r="B91" s="195" t="s">
        <v>483</v>
      </c>
      <c r="C91" s="195" t="s">
        <v>484</v>
      </c>
      <c r="D91" s="195" t="s">
        <v>206</v>
      </c>
      <c r="E91" s="200">
        <v>79521</v>
      </c>
      <c r="F91" s="195" t="s">
        <v>297</v>
      </c>
      <c r="G91" s="195" t="s">
        <v>275</v>
      </c>
      <c r="H91" s="195" t="s">
        <v>193</v>
      </c>
      <c r="I91" s="199">
        <v>26.703125</v>
      </c>
      <c r="J91" s="198">
        <v>14.485148514851481</v>
      </c>
      <c r="K91" s="198">
        <v>8.980198019801982</v>
      </c>
      <c r="L91" s="198">
        <v>11.019801980198016</v>
      </c>
      <c r="M91" s="198">
        <v>6.9405940594059405</v>
      </c>
      <c r="N91" s="198">
        <v>16.67326732673266</v>
      </c>
      <c r="O91" s="198">
        <v>12.297029702970292</v>
      </c>
      <c r="P91" s="198">
        <v>6.8217821782178225</v>
      </c>
      <c r="Q91" s="198">
        <v>5.6336633663366342</v>
      </c>
      <c r="R91" s="198">
        <v>11.059405940594058</v>
      </c>
      <c r="S91" s="198">
        <v>5.732673267326736</v>
      </c>
      <c r="T91" s="198">
        <v>6.5643564356435666</v>
      </c>
      <c r="U91" s="198">
        <v>18.069306930693074</v>
      </c>
      <c r="V91" s="198">
        <v>22.772277227722739</v>
      </c>
      <c r="W91" s="196"/>
      <c r="X91" s="195" t="s">
        <v>194</v>
      </c>
      <c r="Y91" s="194" t="s">
        <v>324</v>
      </c>
      <c r="Z91" s="197" t="s">
        <v>198</v>
      </c>
      <c r="AA91" s="196" t="s">
        <v>867</v>
      </c>
      <c r="AB91" s="195" t="s">
        <v>194</v>
      </c>
      <c r="AC91" s="194" t="s">
        <v>324</v>
      </c>
      <c r="AD91" s="193" t="s">
        <v>345</v>
      </c>
      <c r="AE91" s="192">
        <v>43685</v>
      </c>
    </row>
    <row r="92" spans="1:31" ht="15.75" x14ac:dyDescent="0.25">
      <c r="A92" s="195" t="s">
        <v>476</v>
      </c>
      <c r="B92" s="195" t="s">
        <v>477</v>
      </c>
      <c r="C92" s="195" t="s">
        <v>478</v>
      </c>
      <c r="D92" s="195" t="s">
        <v>409</v>
      </c>
      <c r="E92" s="200">
        <v>74647</v>
      </c>
      <c r="F92" s="195" t="s">
        <v>297</v>
      </c>
      <c r="G92" s="195" t="s">
        <v>219</v>
      </c>
      <c r="H92" s="195" t="s">
        <v>10</v>
      </c>
      <c r="I92" s="199">
        <v>32.102857142857097</v>
      </c>
      <c r="J92" s="198">
        <v>19.27722772277226</v>
      </c>
      <c r="K92" s="198">
        <v>6.5445544554455459</v>
      </c>
      <c r="L92" s="198">
        <v>6.7920792079207919</v>
      </c>
      <c r="M92" s="198">
        <v>7.7029702970297036</v>
      </c>
      <c r="N92" s="198">
        <v>19.603960396039579</v>
      </c>
      <c r="O92" s="198">
        <v>9.4653465346534524</v>
      </c>
      <c r="P92" s="198">
        <v>2.9504950495049505</v>
      </c>
      <c r="Q92" s="198">
        <v>8.2970297029702955</v>
      </c>
      <c r="R92" s="198">
        <v>14.504950495049503</v>
      </c>
      <c r="S92" s="198">
        <v>5.2376237623762387</v>
      </c>
      <c r="T92" s="198">
        <v>2.7821782178217829</v>
      </c>
      <c r="U92" s="198">
        <v>17.792079207920782</v>
      </c>
      <c r="V92" s="198">
        <v>33.287128712871272</v>
      </c>
      <c r="W92" s="196"/>
      <c r="X92" s="195" t="s">
        <v>194</v>
      </c>
      <c r="Y92" s="194" t="s">
        <v>195</v>
      </c>
      <c r="Z92" s="197" t="s">
        <v>196</v>
      </c>
      <c r="AA92" s="196" t="s">
        <v>864</v>
      </c>
      <c r="AB92" s="195" t="s">
        <v>194</v>
      </c>
      <c r="AC92" s="194" t="s">
        <v>195</v>
      </c>
      <c r="AD92" s="193" t="s">
        <v>196</v>
      </c>
      <c r="AE92" s="192">
        <v>43762</v>
      </c>
    </row>
    <row r="93" spans="1:31" ht="15.75" x14ac:dyDescent="0.25">
      <c r="A93" s="195" t="s">
        <v>510</v>
      </c>
      <c r="B93" s="195" t="s">
        <v>511</v>
      </c>
      <c r="C93" s="195" t="s">
        <v>512</v>
      </c>
      <c r="D93" s="195" t="s">
        <v>513</v>
      </c>
      <c r="E93" s="200">
        <v>50627</v>
      </c>
      <c r="F93" s="195" t="s">
        <v>375</v>
      </c>
      <c r="G93" s="195" t="s">
        <v>219</v>
      </c>
      <c r="H93" s="195" t="s">
        <v>193</v>
      </c>
      <c r="I93" s="199">
        <v>42.637681159420303</v>
      </c>
      <c r="J93" s="198">
        <v>4.3069306930693081</v>
      </c>
      <c r="K93" s="198">
        <v>10.475247524752476</v>
      </c>
      <c r="L93" s="198">
        <v>10.584158415841582</v>
      </c>
      <c r="M93" s="198">
        <v>11.633663366336634</v>
      </c>
      <c r="N93" s="198">
        <v>30.841584158415838</v>
      </c>
      <c r="O93" s="198">
        <v>6.1188118811881198</v>
      </c>
      <c r="P93" s="198">
        <v>1.9801980198019802E-2</v>
      </c>
      <c r="Q93" s="198">
        <v>1.9801980198019802E-2</v>
      </c>
      <c r="R93" s="198">
        <v>17.574257425742573</v>
      </c>
      <c r="S93" s="198">
        <v>6.7524752475247531</v>
      </c>
      <c r="T93" s="198">
        <v>6.534653465346536</v>
      </c>
      <c r="U93" s="198">
        <v>6.1386138613861396</v>
      </c>
      <c r="V93" s="198">
        <v>27.900990099009885</v>
      </c>
      <c r="W93" s="196"/>
      <c r="X93" s="195" t="s">
        <v>194</v>
      </c>
      <c r="Y93" s="194" t="s">
        <v>324</v>
      </c>
      <c r="Z93" s="197" t="s">
        <v>345</v>
      </c>
      <c r="AA93" s="196" t="s">
        <v>514</v>
      </c>
      <c r="AB93" s="195" t="s">
        <v>194</v>
      </c>
      <c r="AC93" s="194" t="s">
        <v>324</v>
      </c>
      <c r="AD93" s="193" t="s">
        <v>345</v>
      </c>
      <c r="AE93" s="192">
        <v>43356</v>
      </c>
    </row>
    <row r="94" spans="1:31" ht="15.75" x14ac:dyDescent="0.25">
      <c r="A94" s="195" t="s">
        <v>380</v>
      </c>
      <c r="B94" s="195" t="s">
        <v>381</v>
      </c>
      <c r="C94" s="195" t="s">
        <v>382</v>
      </c>
      <c r="D94" s="195" t="s">
        <v>256</v>
      </c>
      <c r="E94" s="200">
        <v>87016</v>
      </c>
      <c r="F94" s="195" t="s">
        <v>257</v>
      </c>
      <c r="G94" s="195" t="s">
        <v>219</v>
      </c>
      <c r="H94" s="195" t="s">
        <v>5</v>
      </c>
      <c r="I94" s="199">
        <v>145</v>
      </c>
      <c r="J94" s="198">
        <v>18.28712871287129</v>
      </c>
      <c r="K94" s="198">
        <v>7.8118811881188117</v>
      </c>
      <c r="L94" s="198">
        <v>5.8316831683168315</v>
      </c>
      <c r="M94" s="198">
        <v>4.0594059405940603</v>
      </c>
      <c r="N94" s="198">
        <v>19.475247524752472</v>
      </c>
      <c r="O94" s="198">
        <v>16.514851485148519</v>
      </c>
      <c r="P94" s="198">
        <v>0</v>
      </c>
      <c r="Q94" s="198">
        <v>0</v>
      </c>
      <c r="R94" s="198">
        <v>7.4356435643564369</v>
      </c>
      <c r="S94" s="198">
        <v>4.9009900990099009</v>
      </c>
      <c r="T94" s="198">
        <v>7.1386138613861378</v>
      </c>
      <c r="U94" s="198">
        <v>16.514851485148519</v>
      </c>
      <c r="V94" s="198">
        <v>32.297029702970292</v>
      </c>
      <c r="W94" s="196">
        <v>714</v>
      </c>
      <c r="X94" s="195" t="s">
        <v>194</v>
      </c>
      <c r="Y94" s="194" t="s">
        <v>195</v>
      </c>
      <c r="Z94" s="197" t="s">
        <v>196</v>
      </c>
      <c r="AA94" s="196" t="s">
        <v>866</v>
      </c>
      <c r="AB94" s="195" t="s">
        <v>194</v>
      </c>
      <c r="AC94" s="194" t="s">
        <v>195</v>
      </c>
      <c r="AD94" s="193" t="s">
        <v>196</v>
      </c>
      <c r="AE94" s="192">
        <v>43790</v>
      </c>
    </row>
    <row r="95" spans="1:31" ht="15.75" x14ac:dyDescent="0.25">
      <c r="A95" s="204" t="s">
        <v>14</v>
      </c>
      <c r="B95" s="204" t="s">
        <v>520</v>
      </c>
      <c r="C95" s="204" t="s">
        <v>521</v>
      </c>
      <c r="D95" s="204" t="s">
        <v>435</v>
      </c>
      <c r="E95" s="209">
        <v>44883</v>
      </c>
      <c r="F95" s="204" t="s">
        <v>436</v>
      </c>
      <c r="G95" s="204" t="s">
        <v>219</v>
      </c>
      <c r="H95" s="204" t="s">
        <v>193</v>
      </c>
      <c r="I95" s="208">
        <v>55.2340425531915</v>
      </c>
      <c r="J95" s="207">
        <v>9.6336633663366324</v>
      </c>
      <c r="K95" s="207">
        <v>5.0891089108910901</v>
      </c>
      <c r="L95" s="207">
        <v>10.099009900990097</v>
      </c>
      <c r="M95" s="207">
        <v>7.6930693069306937</v>
      </c>
      <c r="N95" s="207">
        <v>19.702970297029701</v>
      </c>
      <c r="O95" s="207">
        <v>12.811881188118813</v>
      </c>
      <c r="P95" s="207">
        <v>0</v>
      </c>
      <c r="Q95" s="207">
        <v>0</v>
      </c>
      <c r="R95" s="207">
        <v>6.3069306930693063</v>
      </c>
      <c r="S95" s="207">
        <v>7.0297029702970297</v>
      </c>
      <c r="T95" s="207">
        <v>6.3663366336633667</v>
      </c>
      <c r="U95" s="207">
        <v>12.811881188118813</v>
      </c>
      <c r="V95" s="207">
        <v>21.940594059405939</v>
      </c>
      <c r="W95" s="205"/>
      <c r="X95" s="204" t="s">
        <v>194</v>
      </c>
      <c r="Y95" s="203" t="s">
        <v>324</v>
      </c>
      <c r="Z95" s="206" t="s">
        <v>351</v>
      </c>
      <c r="AA95" s="205" t="s">
        <v>266</v>
      </c>
      <c r="AB95" s="204" t="s">
        <v>194</v>
      </c>
      <c r="AC95" s="203" t="s">
        <v>324</v>
      </c>
      <c r="AD95" s="202" t="s">
        <v>345</v>
      </c>
      <c r="AE95" s="201">
        <v>43377</v>
      </c>
    </row>
    <row r="96" spans="1:31" ht="15.75" x14ac:dyDescent="0.25">
      <c r="A96" s="195" t="s">
        <v>429</v>
      </c>
      <c r="B96" s="195" t="s">
        <v>430</v>
      </c>
      <c r="C96" s="195" t="s">
        <v>431</v>
      </c>
      <c r="D96" s="195" t="s">
        <v>206</v>
      </c>
      <c r="E96" s="200">
        <v>76031</v>
      </c>
      <c r="F96" s="195" t="s">
        <v>297</v>
      </c>
      <c r="G96" s="195" t="s">
        <v>219</v>
      </c>
      <c r="H96" s="195" t="s">
        <v>5</v>
      </c>
      <c r="I96" s="199">
        <v>69.838709677419402</v>
      </c>
      <c r="J96" s="198">
        <v>13.990099009900987</v>
      </c>
      <c r="K96" s="198">
        <v>7.6534653465346558</v>
      </c>
      <c r="L96" s="198">
        <v>6.3861386138613891</v>
      </c>
      <c r="M96" s="198">
        <v>4.326732673267327</v>
      </c>
      <c r="N96" s="198">
        <v>21.633663366336634</v>
      </c>
      <c r="O96" s="198">
        <v>10.722772277227723</v>
      </c>
      <c r="P96" s="198">
        <v>0</v>
      </c>
      <c r="Q96" s="198">
        <v>0</v>
      </c>
      <c r="R96" s="198">
        <v>10.118811881188119</v>
      </c>
      <c r="S96" s="198">
        <v>5.1089108910891099</v>
      </c>
      <c r="T96" s="198">
        <v>6.4059405940594081</v>
      </c>
      <c r="U96" s="198">
        <v>10.722772277227723</v>
      </c>
      <c r="V96" s="198">
        <v>17.029702970297024</v>
      </c>
      <c r="W96" s="196"/>
      <c r="X96" s="195" t="s">
        <v>194</v>
      </c>
      <c r="Y96" s="194" t="s">
        <v>195</v>
      </c>
      <c r="Z96" s="197" t="s">
        <v>196</v>
      </c>
      <c r="AA96" s="196" t="s">
        <v>865</v>
      </c>
      <c r="AB96" s="195" t="s">
        <v>194</v>
      </c>
      <c r="AC96" s="194" t="s">
        <v>195</v>
      </c>
      <c r="AD96" s="193" t="s">
        <v>196</v>
      </c>
      <c r="AE96" s="192">
        <v>43699</v>
      </c>
    </row>
    <row r="97" spans="1:31" ht="15.75" x14ac:dyDescent="0.25">
      <c r="A97" s="195" t="s">
        <v>554</v>
      </c>
      <c r="B97" s="195" t="s">
        <v>555</v>
      </c>
      <c r="C97" s="195" t="s">
        <v>556</v>
      </c>
      <c r="D97" s="195" t="s">
        <v>513</v>
      </c>
      <c r="E97" s="200">
        <v>50313</v>
      </c>
      <c r="F97" s="195" t="s">
        <v>375</v>
      </c>
      <c r="G97" s="195" t="s">
        <v>275</v>
      </c>
      <c r="H97" s="195" t="s">
        <v>193</v>
      </c>
      <c r="I97" s="199">
        <v>42.5342465753425</v>
      </c>
      <c r="J97" s="198">
        <v>10.75247524752475</v>
      </c>
      <c r="K97" s="198">
        <v>9.633663366336636</v>
      </c>
      <c r="L97" s="198">
        <v>5.8316831683168333</v>
      </c>
      <c r="M97" s="198">
        <v>4.8910891089108919</v>
      </c>
      <c r="N97" s="198">
        <v>20.247524752475247</v>
      </c>
      <c r="O97" s="198">
        <v>8.9009900990099009</v>
      </c>
      <c r="P97" s="198">
        <v>1.584158415841584</v>
      </c>
      <c r="Q97" s="198">
        <v>0.37623762376237624</v>
      </c>
      <c r="R97" s="198">
        <v>7.5049504950495072</v>
      </c>
      <c r="S97" s="198">
        <v>7.0495049504950504</v>
      </c>
      <c r="T97" s="198">
        <v>7.2772277227722784</v>
      </c>
      <c r="U97" s="198">
        <v>9.2772277227722775</v>
      </c>
      <c r="V97" s="198">
        <v>19.693069306930678</v>
      </c>
      <c r="W97" s="196"/>
      <c r="X97" s="195" t="s">
        <v>194</v>
      </c>
      <c r="Y97" s="194" t="s">
        <v>324</v>
      </c>
      <c r="Z97" s="197" t="s">
        <v>345</v>
      </c>
      <c r="AA97" s="196" t="s">
        <v>489</v>
      </c>
      <c r="AB97" s="195" t="s">
        <v>194</v>
      </c>
      <c r="AC97" s="194" t="s">
        <v>324</v>
      </c>
      <c r="AD97" s="193" t="s">
        <v>345</v>
      </c>
      <c r="AE97" s="192">
        <v>43314</v>
      </c>
    </row>
    <row r="98" spans="1:31" ht="15.75" x14ac:dyDescent="0.25">
      <c r="A98" s="195" t="s">
        <v>49</v>
      </c>
      <c r="B98" s="195" t="s">
        <v>540</v>
      </c>
      <c r="C98" s="195" t="s">
        <v>541</v>
      </c>
      <c r="D98" s="195" t="s">
        <v>435</v>
      </c>
      <c r="E98" s="200">
        <v>44024</v>
      </c>
      <c r="F98" s="195" t="s">
        <v>436</v>
      </c>
      <c r="G98" s="195" t="s">
        <v>275</v>
      </c>
      <c r="H98" s="195" t="s">
        <v>193</v>
      </c>
      <c r="I98" s="199">
        <v>98.957446808510596</v>
      </c>
      <c r="J98" s="198">
        <v>6.9801980198019811</v>
      </c>
      <c r="K98" s="198">
        <v>5.7326732673267315</v>
      </c>
      <c r="L98" s="198">
        <v>11.039603960396038</v>
      </c>
      <c r="M98" s="198">
        <v>6.3861386138613874</v>
      </c>
      <c r="N98" s="198">
        <v>18.445544554455445</v>
      </c>
      <c r="O98" s="198">
        <v>9.9801980198019802</v>
      </c>
      <c r="P98" s="198">
        <v>0.95049504950495045</v>
      </c>
      <c r="Q98" s="198">
        <v>0.76237623762376239</v>
      </c>
      <c r="R98" s="198">
        <v>6.8613861386138622</v>
      </c>
      <c r="S98" s="198">
        <v>6.4752475247524748</v>
      </c>
      <c r="T98" s="198">
        <v>6.0594059405940603</v>
      </c>
      <c r="U98" s="198">
        <v>10.742574257425741</v>
      </c>
      <c r="V98" s="198">
        <v>17.42574257425742</v>
      </c>
      <c r="W98" s="196"/>
      <c r="X98" s="195" t="s">
        <v>194</v>
      </c>
      <c r="Y98" s="194" t="s">
        <v>324</v>
      </c>
      <c r="Z98" s="197" t="s">
        <v>345</v>
      </c>
      <c r="AA98" s="196" t="s">
        <v>220</v>
      </c>
      <c r="AB98" s="195" t="s">
        <v>194</v>
      </c>
      <c r="AC98" s="194" t="s">
        <v>324</v>
      </c>
      <c r="AD98" s="193" t="s">
        <v>351</v>
      </c>
      <c r="AE98" s="192">
        <v>43433</v>
      </c>
    </row>
    <row r="99" spans="1:31" ht="15.75" x14ac:dyDescent="0.25">
      <c r="A99" s="195" t="s">
        <v>515</v>
      </c>
      <c r="B99" s="195" t="s">
        <v>516</v>
      </c>
      <c r="C99" s="195" t="s">
        <v>517</v>
      </c>
      <c r="D99" s="195" t="s">
        <v>444</v>
      </c>
      <c r="E99" s="200">
        <v>48060</v>
      </c>
      <c r="F99" s="195" t="s">
        <v>436</v>
      </c>
      <c r="G99" s="195" t="s">
        <v>219</v>
      </c>
      <c r="H99" s="195" t="s">
        <v>5</v>
      </c>
      <c r="I99" s="199">
        <v>56.209302325581397</v>
      </c>
      <c r="J99" s="198">
        <v>3.5346534653465356</v>
      </c>
      <c r="K99" s="198">
        <v>10.23762376237624</v>
      </c>
      <c r="L99" s="198">
        <v>10.702970297029703</v>
      </c>
      <c r="M99" s="198">
        <v>4.4257425742574252</v>
      </c>
      <c r="N99" s="198">
        <v>19.099009900990101</v>
      </c>
      <c r="O99" s="198">
        <v>9.8019801980198</v>
      </c>
      <c r="P99" s="198">
        <v>0</v>
      </c>
      <c r="Q99" s="198">
        <v>0</v>
      </c>
      <c r="R99" s="198">
        <v>11.920792079207922</v>
      </c>
      <c r="S99" s="198">
        <v>5.2178217821782189</v>
      </c>
      <c r="T99" s="198">
        <v>2.2871287128712874</v>
      </c>
      <c r="U99" s="198">
        <v>9.4752475247524721</v>
      </c>
      <c r="V99" s="198">
        <v>22.306930693069301</v>
      </c>
      <c r="W99" s="196"/>
      <c r="X99" s="195" t="s">
        <v>194</v>
      </c>
      <c r="Y99" s="194" t="s">
        <v>276</v>
      </c>
      <c r="Z99" s="197" t="s">
        <v>196</v>
      </c>
      <c r="AA99" s="196" t="s">
        <v>866</v>
      </c>
      <c r="AB99" s="195" t="s">
        <v>194</v>
      </c>
      <c r="AC99" s="194" t="s">
        <v>276</v>
      </c>
      <c r="AD99" s="193" t="s">
        <v>196</v>
      </c>
      <c r="AE99" s="192">
        <v>43769</v>
      </c>
    </row>
    <row r="100" spans="1:31" ht="15.75" x14ac:dyDescent="0.25">
      <c r="A100" s="195" t="s">
        <v>492</v>
      </c>
      <c r="B100" s="195" t="s">
        <v>493</v>
      </c>
      <c r="C100" s="195" t="s">
        <v>494</v>
      </c>
      <c r="D100" s="195" t="s">
        <v>495</v>
      </c>
      <c r="E100" s="200">
        <v>68801</v>
      </c>
      <c r="F100" s="195" t="s">
        <v>375</v>
      </c>
      <c r="G100" s="195" t="s">
        <v>219</v>
      </c>
      <c r="H100" s="195" t="s">
        <v>193</v>
      </c>
      <c r="I100" s="199">
        <v>54.462962962962997</v>
      </c>
      <c r="J100" s="198">
        <v>3.6138613861386135</v>
      </c>
      <c r="K100" s="198">
        <v>5.0990099009901</v>
      </c>
      <c r="L100" s="198">
        <v>7.4158415841584189</v>
      </c>
      <c r="M100" s="198">
        <v>9.9504950495049496</v>
      </c>
      <c r="N100" s="198">
        <v>19.732673267326728</v>
      </c>
      <c r="O100" s="198">
        <v>3.04950495049505</v>
      </c>
      <c r="P100" s="198">
        <v>2.6435643564356432</v>
      </c>
      <c r="Q100" s="198">
        <v>0.65346534653465349</v>
      </c>
      <c r="R100" s="198">
        <v>7.7821782178217829</v>
      </c>
      <c r="S100" s="198">
        <v>10.643564356435643</v>
      </c>
      <c r="T100" s="198">
        <v>4.1287128712871288</v>
      </c>
      <c r="U100" s="198">
        <v>3.5247524752475248</v>
      </c>
      <c r="V100" s="198">
        <v>19.257425742574249</v>
      </c>
      <c r="W100" s="196"/>
      <c r="X100" s="195" t="s">
        <v>194</v>
      </c>
      <c r="Y100" s="194" t="s">
        <v>324</v>
      </c>
      <c r="Z100" s="197" t="s">
        <v>198</v>
      </c>
      <c r="AA100" s="196" t="s">
        <v>865</v>
      </c>
      <c r="AB100" s="195" t="s">
        <v>194</v>
      </c>
      <c r="AC100" s="194" t="s">
        <v>324</v>
      </c>
      <c r="AD100" s="193" t="s">
        <v>345</v>
      </c>
      <c r="AE100" s="192">
        <v>43657</v>
      </c>
    </row>
    <row r="101" spans="1:31" ht="15.75" x14ac:dyDescent="0.25">
      <c r="A101" s="204" t="s">
        <v>426</v>
      </c>
      <c r="B101" s="204" t="s">
        <v>427</v>
      </c>
      <c r="C101" s="204" t="s">
        <v>428</v>
      </c>
      <c r="D101" s="204" t="s">
        <v>190</v>
      </c>
      <c r="E101" s="209">
        <v>95901</v>
      </c>
      <c r="F101" s="204" t="s">
        <v>363</v>
      </c>
      <c r="G101" s="204" t="s">
        <v>219</v>
      </c>
      <c r="H101" s="204" t="s">
        <v>193</v>
      </c>
      <c r="I101" s="208">
        <v>220.777777777778</v>
      </c>
      <c r="J101" s="207">
        <v>0.90099009900990101</v>
      </c>
      <c r="K101" s="207">
        <v>3.0594059405940595</v>
      </c>
      <c r="L101" s="207">
        <v>4.0594059405940595</v>
      </c>
      <c r="M101" s="207">
        <v>17.237623762376238</v>
      </c>
      <c r="N101" s="207">
        <v>24.356435643564357</v>
      </c>
      <c r="O101" s="207">
        <v>0.90099009900990101</v>
      </c>
      <c r="P101" s="207">
        <v>0</v>
      </c>
      <c r="Q101" s="207">
        <v>0</v>
      </c>
      <c r="R101" s="207">
        <v>20.277227722772281</v>
      </c>
      <c r="S101" s="207">
        <v>2.1683168316831685</v>
      </c>
      <c r="T101" s="207">
        <v>1.9108910891089108</v>
      </c>
      <c r="U101" s="207">
        <v>0.90099009900990101</v>
      </c>
      <c r="V101" s="207">
        <v>21.178217821782184</v>
      </c>
      <c r="W101" s="205">
        <v>150</v>
      </c>
      <c r="X101" s="204" t="s">
        <v>194</v>
      </c>
      <c r="Y101" s="203" t="s">
        <v>324</v>
      </c>
      <c r="Z101" s="206" t="s">
        <v>345</v>
      </c>
      <c r="AA101" s="205" t="s">
        <v>336</v>
      </c>
      <c r="AB101" s="204" t="s">
        <v>194</v>
      </c>
      <c r="AC101" s="203" t="s">
        <v>324</v>
      </c>
      <c r="AD101" s="202" t="s">
        <v>345</v>
      </c>
      <c r="AE101" s="201">
        <v>43420</v>
      </c>
    </row>
    <row r="102" spans="1:31" ht="15.75" x14ac:dyDescent="0.25">
      <c r="A102" s="195" t="s">
        <v>432</v>
      </c>
      <c r="B102" s="195" t="s">
        <v>433</v>
      </c>
      <c r="C102" s="195" t="s">
        <v>434</v>
      </c>
      <c r="D102" s="195" t="s">
        <v>32</v>
      </c>
      <c r="E102" s="200">
        <v>2747</v>
      </c>
      <c r="F102" s="195" t="s">
        <v>371</v>
      </c>
      <c r="G102" s="195" t="s">
        <v>219</v>
      </c>
      <c r="H102" s="195" t="s">
        <v>193</v>
      </c>
      <c r="I102" s="199">
        <v>315.75</v>
      </c>
      <c r="J102" s="198">
        <v>0.38613861386138615</v>
      </c>
      <c r="K102" s="198">
        <v>1</v>
      </c>
      <c r="L102" s="198">
        <v>3.7920792079207919</v>
      </c>
      <c r="M102" s="198">
        <v>18.633663366336634</v>
      </c>
      <c r="N102" s="198">
        <v>19.168316831683171</v>
      </c>
      <c r="O102" s="198">
        <v>4.6435643564356441</v>
      </c>
      <c r="P102" s="198">
        <v>0</v>
      </c>
      <c r="Q102" s="198">
        <v>0</v>
      </c>
      <c r="R102" s="198">
        <v>16.188118811881189</v>
      </c>
      <c r="S102" s="198">
        <v>0.39603960396039606</v>
      </c>
      <c r="T102" s="198">
        <v>2.5841584158415842</v>
      </c>
      <c r="U102" s="198">
        <v>4.6435643564356441</v>
      </c>
      <c r="V102" s="198">
        <v>17.950495049504948</v>
      </c>
      <c r="W102" s="196"/>
      <c r="X102" s="195" t="s">
        <v>194</v>
      </c>
      <c r="Y102" s="194" t="s">
        <v>276</v>
      </c>
      <c r="Z102" s="197" t="s">
        <v>196</v>
      </c>
      <c r="AA102" s="196" t="s">
        <v>247</v>
      </c>
      <c r="AB102" s="195" t="s">
        <v>194</v>
      </c>
      <c r="AC102" s="194" t="s">
        <v>276</v>
      </c>
      <c r="AD102" s="193" t="s">
        <v>196</v>
      </c>
      <c r="AE102" s="192">
        <v>43230</v>
      </c>
    </row>
    <row r="103" spans="1:31" ht="15.75" x14ac:dyDescent="0.25">
      <c r="A103" s="204" t="s">
        <v>529</v>
      </c>
      <c r="B103" s="204" t="s">
        <v>530</v>
      </c>
      <c r="C103" s="204" t="s">
        <v>531</v>
      </c>
      <c r="D103" s="204" t="s">
        <v>532</v>
      </c>
      <c r="E103" s="209">
        <v>65084</v>
      </c>
      <c r="F103" s="204" t="s">
        <v>40</v>
      </c>
      <c r="G103" s="204" t="s">
        <v>219</v>
      </c>
      <c r="H103" s="204" t="s">
        <v>5</v>
      </c>
      <c r="I103" s="208">
        <v>28.6388888888889</v>
      </c>
      <c r="J103" s="207">
        <v>3.9801980198019811</v>
      </c>
      <c r="K103" s="207">
        <v>6.089108910891091</v>
      </c>
      <c r="L103" s="207">
        <v>8.8712871287128703</v>
      </c>
      <c r="M103" s="207">
        <v>3.9702970297029707</v>
      </c>
      <c r="N103" s="207">
        <v>13.970297029702971</v>
      </c>
      <c r="O103" s="207">
        <v>7.7821782178217855</v>
      </c>
      <c r="P103" s="207">
        <v>0.65346534653465349</v>
      </c>
      <c r="Q103" s="207">
        <v>0.50495049504950495</v>
      </c>
      <c r="R103" s="207">
        <v>5.3069306930693072</v>
      </c>
      <c r="S103" s="207">
        <v>5.4653465346534666</v>
      </c>
      <c r="T103" s="207">
        <v>3.8514851485148514</v>
      </c>
      <c r="U103" s="207">
        <v>8.28712871287129</v>
      </c>
      <c r="V103" s="207">
        <v>15.277227722772274</v>
      </c>
      <c r="W103" s="205"/>
      <c r="X103" s="204" t="s">
        <v>194</v>
      </c>
      <c r="Y103" s="203" t="s">
        <v>324</v>
      </c>
      <c r="Z103" s="206" t="s">
        <v>345</v>
      </c>
      <c r="AA103" s="205" t="s">
        <v>533</v>
      </c>
      <c r="AB103" s="204" t="s">
        <v>194</v>
      </c>
      <c r="AC103" s="203" t="s">
        <v>324</v>
      </c>
      <c r="AD103" s="202" t="s">
        <v>345</v>
      </c>
      <c r="AE103" s="201">
        <v>43440</v>
      </c>
    </row>
    <row r="104" spans="1:31" ht="15.75" x14ac:dyDescent="0.25">
      <c r="A104" s="195" t="s">
        <v>471</v>
      </c>
      <c r="B104" s="195" t="s">
        <v>472</v>
      </c>
      <c r="C104" s="195" t="s">
        <v>473</v>
      </c>
      <c r="D104" s="195" t="s">
        <v>474</v>
      </c>
      <c r="E104" s="200">
        <v>2863</v>
      </c>
      <c r="F104" s="195" t="s">
        <v>371</v>
      </c>
      <c r="G104" s="195" t="s">
        <v>275</v>
      </c>
      <c r="H104" s="195" t="s">
        <v>5</v>
      </c>
      <c r="I104" s="199">
        <v>78.454545454545496</v>
      </c>
      <c r="J104" s="198">
        <v>0.19801980198019803</v>
      </c>
      <c r="K104" s="198">
        <v>0.12871287128712872</v>
      </c>
      <c r="L104" s="198">
        <v>5.0990099009901009</v>
      </c>
      <c r="M104" s="198">
        <v>17.396039603960393</v>
      </c>
      <c r="N104" s="198">
        <v>17.584158415841582</v>
      </c>
      <c r="O104" s="198">
        <v>5.2376237623762387</v>
      </c>
      <c r="P104" s="198">
        <v>0</v>
      </c>
      <c r="Q104" s="198">
        <v>0</v>
      </c>
      <c r="R104" s="198">
        <v>14.039603960396041</v>
      </c>
      <c r="S104" s="198">
        <v>1.5841584158415842</v>
      </c>
      <c r="T104" s="198">
        <v>1.9603960396039606</v>
      </c>
      <c r="U104" s="198">
        <v>5.2376237623762387</v>
      </c>
      <c r="V104" s="198">
        <v>17.346534653465344</v>
      </c>
      <c r="W104" s="196"/>
      <c r="X104" s="195" t="s">
        <v>194</v>
      </c>
      <c r="Y104" s="194" t="s">
        <v>324</v>
      </c>
      <c r="Z104" s="197" t="s">
        <v>345</v>
      </c>
      <c r="AA104" s="196" t="s">
        <v>360</v>
      </c>
      <c r="AB104" s="195" t="s">
        <v>194</v>
      </c>
      <c r="AC104" s="194" t="s">
        <v>324</v>
      </c>
      <c r="AD104" s="193" t="s">
        <v>367</v>
      </c>
      <c r="AE104" s="192">
        <v>42670</v>
      </c>
    </row>
    <row r="105" spans="1:31" ht="15.75" x14ac:dyDescent="0.25">
      <c r="A105" s="195" t="s">
        <v>445</v>
      </c>
      <c r="B105" s="195" t="s">
        <v>446</v>
      </c>
      <c r="C105" s="195" t="s">
        <v>447</v>
      </c>
      <c r="D105" s="195" t="s">
        <v>42</v>
      </c>
      <c r="E105" s="200">
        <v>21863</v>
      </c>
      <c r="F105" s="195" t="s">
        <v>448</v>
      </c>
      <c r="G105" s="195" t="s">
        <v>219</v>
      </c>
      <c r="H105" s="195" t="s">
        <v>193</v>
      </c>
      <c r="I105" s="199">
        <v>65.25</v>
      </c>
      <c r="J105" s="198">
        <v>0.93069306930693063</v>
      </c>
      <c r="K105" s="198">
        <v>1.1782178217821782</v>
      </c>
      <c r="L105" s="198">
        <v>3.1287128712871288</v>
      </c>
      <c r="M105" s="198">
        <v>16.950495049504951</v>
      </c>
      <c r="N105" s="198">
        <v>15.148514851485148</v>
      </c>
      <c r="O105" s="198">
        <v>4.9306930693069297</v>
      </c>
      <c r="P105" s="198">
        <v>1.1782178217821782</v>
      </c>
      <c r="Q105" s="198">
        <v>0.93069306930693063</v>
      </c>
      <c r="R105" s="198">
        <v>10.93069306930693</v>
      </c>
      <c r="S105" s="198">
        <v>4.4851485148514847</v>
      </c>
      <c r="T105" s="198">
        <v>0.91089108910891081</v>
      </c>
      <c r="U105" s="198">
        <v>5.8613861386138604</v>
      </c>
      <c r="V105" s="198">
        <v>14.059405940594059</v>
      </c>
      <c r="W105" s="196"/>
      <c r="X105" s="195" t="s">
        <v>194</v>
      </c>
      <c r="Y105" s="194" t="s">
        <v>324</v>
      </c>
      <c r="Z105" s="197" t="s">
        <v>345</v>
      </c>
      <c r="AA105" s="196" t="s">
        <v>449</v>
      </c>
      <c r="AB105" s="195" t="s">
        <v>194</v>
      </c>
      <c r="AC105" s="194" t="s">
        <v>324</v>
      </c>
      <c r="AD105" s="193" t="s">
        <v>345</v>
      </c>
      <c r="AE105" s="192">
        <v>43328</v>
      </c>
    </row>
    <row r="106" spans="1:31" ht="15.75" x14ac:dyDescent="0.25">
      <c r="A106" s="195" t="s">
        <v>623</v>
      </c>
      <c r="B106" s="195" t="s">
        <v>624</v>
      </c>
      <c r="C106" s="195" t="s">
        <v>625</v>
      </c>
      <c r="D106" s="195" t="s">
        <v>626</v>
      </c>
      <c r="E106" s="200">
        <v>96910</v>
      </c>
      <c r="F106" s="195" t="s">
        <v>363</v>
      </c>
      <c r="G106" s="195" t="s">
        <v>275</v>
      </c>
      <c r="H106" s="195" t="s">
        <v>193</v>
      </c>
      <c r="I106" s="199">
        <v>213.5</v>
      </c>
      <c r="J106" s="198">
        <v>0</v>
      </c>
      <c r="K106" s="198">
        <v>4.3762376237623757</v>
      </c>
      <c r="L106" s="198">
        <v>10.04950495049505</v>
      </c>
      <c r="M106" s="198">
        <v>7.3564356435643568</v>
      </c>
      <c r="N106" s="198">
        <v>21.633663366336638</v>
      </c>
      <c r="O106" s="198">
        <v>0.14851485148514851</v>
      </c>
      <c r="P106" s="198">
        <v>0</v>
      </c>
      <c r="Q106" s="198">
        <v>0</v>
      </c>
      <c r="R106" s="198">
        <v>15.920792079207919</v>
      </c>
      <c r="S106" s="198">
        <v>2.7128712871287126</v>
      </c>
      <c r="T106" s="198">
        <v>3</v>
      </c>
      <c r="U106" s="198">
        <v>0.14851485148514851</v>
      </c>
      <c r="V106" s="198">
        <v>20.683168316831686</v>
      </c>
      <c r="W106" s="196"/>
      <c r="X106" s="195" t="s">
        <v>221</v>
      </c>
      <c r="Y106" s="194"/>
      <c r="Z106" s="197"/>
      <c r="AA106" s="196"/>
      <c r="AB106" s="195" t="s">
        <v>221</v>
      </c>
      <c r="AC106" s="194"/>
      <c r="AD106" s="193"/>
      <c r="AE106" s="192"/>
    </row>
    <row r="107" spans="1:31" ht="15.75" x14ac:dyDescent="0.25">
      <c r="A107" s="195" t="s">
        <v>573</v>
      </c>
      <c r="B107" s="195" t="s">
        <v>574</v>
      </c>
      <c r="C107" s="195" t="s">
        <v>575</v>
      </c>
      <c r="D107" s="195" t="s">
        <v>32</v>
      </c>
      <c r="E107" s="200">
        <v>1301</v>
      </c>
      <c r="F107" s="195" t="s">
        <v>371</v>
      </c>
      <c r="G107" s="195" t="s">
        <v>275</v>
      </c>
      <c r="H107" s="195" t="s">
        <v>5</v>
      </c>
      <c r="I107" s="199">
        <v>82.961538461538495</v>
      </c>
      <c r="J107" s="198">
        <v>0</v>
      </c>
      <c r="K107" s="198">
        <v>0.62376237623762376</v>
      </c>
      <c r="L107" s="198">
        <v>4.8316831683168324</v>
      </c>
      <c r="M107" s="198">
        <v>16.198019801980198</v>
      </c>
      <c r="N107" s="198">
        <v>16.49504950495049</v>
      </c>
      <c r="O107" s="198">
        <v>5.1584158415841577</v>
      </c>
      <c r="P107" s="198">
        <v>0</v>
      </c>
      <c r="Q107" s="198">
        <v>0</v>
      </c>
      <c r="R107" s="198">
        <v>13.96039603960396</v>
      </c>
      <c r="S107" s="198">
        <v>1.1782178217821784</v>
      </c>
      <c r="T107" s="198">
        <v>1.3564356435643563</v>
      </c>
      <c r="U107" s="198">
        <v>5.1584158415841577</v>
      </c>
      <c r="V107" s="198">
        <v>17.237623762376234</v>
      </c>
      <c r="W107" s="196"/>
      <c r="X107" s="195" t="s">
        <v>194</v>
      </c>
      <c r="Y107" s="194" t="s">
        <v>324</v>
      </c>
      <c r="Z107" s="197" t="s">
        <v>345</v>
      </c>
      <c r="AA107" s="196" t="s">
        <v>388</v>
      </c>
      <c r="AB107" s="195" t="s">
        <v>194</v>
      </c>
      <c r="AC107" s="194" t="s">
        <v>324</v>
      </c>
      <c r="AD107" s="193" t="s">
        <v>345</v>
      </c>
      <c r="AE107" s="192">
        <v>43209</v>
      </c>
    </row>
    <row r="108" spans="1:31" ht="15.75" x14ac:dyDescent="0.25">
      <c r="A108" s="195" t="s">
        <v>23</v>
      </c>
      <c r="B108" s="195" t="s">
        <v>568</v>
      </c>
      <c r="C108" s="195" t="s">
        <v>569</v>
      </c>
      <c r="D108" s="195" t="s">
        <v>532</v>
      </c>
      <c r="E108" s="200">
        <v>63361</v>
      </c>
      <c r="F108" s="195" t="s">
        <v>40</v>
      </c>
      <c r="G108" s="195" t="s">
        <v>219</v>
      </c>
      <c r="H108" s="195" t="s">
        <v>193</v>
      </c>
      <c r="I108" s="199">
        <v>54.24</v>
      </c>
      <c r="J108" s="198">
        <v>1.7029702970297029</v>
      </c>
      <c r="K108" s="198">
        <v>2.7425742574257428</v>
      </c>
      <c r="L108" s="198">
        <v>7.3267326732673279</v>
      </c>
      <c r="M108" s="198">
        <v>9.1584158415841586</v>
      </c>
      <c r="N108" s="198">
        <v>16.237623762376234</v>
      </c>
      <c r="O108" s="198">
        <v>3.891089108910891</v>
      </c>
      <c r="P108" s="198">
        <v>0.34653465346534651</v>
      </c>
      <c r="Q108" s="198">
        <v>0.45544554455445541</v>
      </c>
      <c r="R108" s="198">
        <v>12.336633663366333</v>
      </c>
      <c r="S108" s="198">
        <v>2.613861386138614</v>
      </c>
      <c r="T108" s="198">
        <v>1.6336633663366338</v>
      </c>
      <c r="U108" s="198">
        <v>4.3465346534653468</v>
      </c>
      <c r="V108" s="198">
        <v>13.227722772277227</v>
      </c>
      <c r="W108" s="196"/>
      <c r="X108" s="195" t="s">
        <v>194</v>
      </c>
      <c r="Y108" s="194" t="s">
        <v>324</v>
      </c>
      <c r="Z108" s="197" t="s">
        <v>345</v>
      </c>
      <c r="AA108" s="196" t="s">
        <v>269</v>
      </c>
      <c r="AB108" s="195" t="s">
        <v>194</v>
      </c>
      <c r="AC108" s="194" t="s">
        <v>324</v>
      </c>
      <c r="AD108" s="193" t="s">
        <v>345</v>
      </c>
      <c r="AE108" s="192">
        <v>42957</v>
      </c>
    </row>
    <row r="109" spans="1:31" ht="15.75" x14ac:dyDescent="0.25">
      <c r="A109" s="195" t="s">
        <v>570</v>
      </c>
      <c r="B109" s="195" t="s">
        <v>571</v>
      </c>
      <c r="C109" s="195" t="s">
        <v>572</v>
      </c>
      <c r="D109" s="195" t="s">
        <v>202</v>
      </c>
      <c r="E109" s="200">
        <v>30250</v>
      </c>
      <c r="F109" s="195" t="s">
        <v>203</v>
      </c>
      <c r="G109" s="195" t="s">
        <v>240</v>
      </c>
      <c r="H109" s="195" t="s">
        <v>193</v>
      </c>
      <c r="I109" s="199">
        <v>8.1708542713567809</v>
      </c>
      <c r="J109" s="198">
        <v>3.752475247524754</v>
      </c>
      <c r="K109" s="198">
        <v>3.6039603960396054</v>
      </c>
      <c r="L109" s="198">
        <v>7.5940594059405973</v>
      </c>
      <c r="M109" s="198">
        <v>3.7722772277227739</v>
      </c>
      <c r="N109" s="198">
        <v>12.603960396039582</v>
      </c>
      <c r="O109" s="198">
        <v>6.1188118811881225</v>
      </c>
      <c r="P109" s="198">
        <v>0</v>
      </c>
      <c r="Q109" s="198">
        <v>0</v>
      </c>
      <c r="R109" s="198">
        <v>5.5841584158415856</v>
      </c>
      <c r="S109" s="198">
        <v>3.8514851485148527</v>
      </c>
      <c r="T109" s="198">
        <v>3.1683168316831694</v>
      </c>
      <c r="U109" s="198">
        <v>6.1188118811881225</v>
      </c>
      <c r="V109" s="198">
        <v>15.722772277227673</v>
      </c>
      <c r="W109" s="196"/>
      <c r="X109" s="195" t="s">
        <v>194</v>
      </c>
      <c r="Y109" s="194" t="s">
        <v>324</v>
      </c>
      <c r="Z109" s="197" t="s">
        <v>345</v>
      </c>
      <c r="AA109" s="196" t="s">
        <v>470</v>
      </c>
      <c r="AB109" s="195" t="s">
        <v>221</v>
      </c>
      <c r="AC109" s="194"/>
      <c r="AD109" s="193"/>
      <c r="AE109" s="192"/>
    </row>
    <row r="110" spans="1:31" ht="15.75" x14ac:dyDescent="0.25">
      <c r="A110" s="195" t="s">
        <v>595</v>
      </c>
      <c r="B110" s="195" t="s">
        <v>596</v>
      </c>
      <c r="C110" s="195" t="s">
        <v>597</v>
      </c>
      <c r="D110" s="195" t="s">
        <v>495</v>
      </c>
      <c r="E110" s="200">
        <v>68102</v>
      </c>
      <c r="F110" s="195" t="s">
        <v>375</v>
      </c>
      <c r="G110" s="195" t="s">
        <v>219</v>
      </c>
      <c r="H110" s="195" t="s">
        <v>193</v>
      </c>
      <c r="I110" s="199">
        <v>13.7289719626168</v>
      </c>
      <c r="J110" s="198">
        <v>1.0495049504950495</v>
      </c>
      <c r="K110" s="198">
        <v>2.9405940594059414</v>
      </c>
      <c r="L110" s="198">
        <v>6.9900990099009928</v>
      </c>
      <c r="M110" s="198">
        <v>7.1881188118811901</v>
      </c>
      <c r="N110" s="198">
        <v>12.554455445544544</v>
      </c>
      <c r="O110" s="198">
        <v>1.2376237623762378</v>
      </c>
      <c r="P110" s="198">
        <v>4</v>
      </c>
      <c r="Q110" s="198">
        <v>0.37623762376237629</v>
      </c>
      <c r="R110" s="198">
        <v>10.118811881188117</v>
      </c>
      <c r="S110" s="198">
        <v>3.5940594059405946</v>
      </c>
      <c r="T110" s="198">
        <v>2.8613861386138617</v>
      </c>
      <c r="U110" s="198">
        <v>1.5940594059405944</v>
      </c>
      <c r="V110" s="198">
        <v>15.920792079207905</v>
      </c>
      <c r="W110" s="196"/>
      <c r="X110" s="195" t="s">
        <v>194</v>
      </c>
      <c r="Y110" s="194" t="s">
        <v>276</v>
      </c>
      <c r="Z110" s="197" t="s">
        <v>196</v>
      </c>
      <c r="AA110" s="196" t="s">
        <v>272</v>
      </c>
      <c r="AB110" s="195" t="s">
        <v>194</v>
      </c>
      <c r="AC110" s="194" t="s">
        <v>276</v>
      </c>
      <c r="AD110" s="193" t="s">
        <v>196</v>
      </c>
      <c r="AE110" s="192">
        <v>43398</v>
      </c>
    </row>
    <row r="111" spans="1:31" ht="15.75" x14ac:dyDescent="0.25">
      <c r="A111" s="195" t="s">
        <v>549</v>
      </c>
      <c r="B111" s="195" t="s">
        <v>550</v>
      </c>
      <c r="C111" s="195" t="s">
        <v>551</v>
      </c>
      <c r="D111" s="195" t="s">
        <v>552</v>
      </c>
      <c r="E111" s="200">
        <v>96819</v>
      </c>
      <c r="F111" s="195" t="s">
        <v>363</v>
      </c>
      <c r="G111" s="195" t="s">
        <v>553</v>
      </c>
      <c r="H111" s="195" t="s">
        <v>193</v>
      </c>
      <c r="I111" s="199">
        <v>138.083333333333</v>
      </c>
      <c r="J111" s="198">
        <v>0.82178217821782185</v>
      </c>
      <c r="K111" s="198">
        <v>6.1287128712871297</v>
      </c>
      <c r="L111" s="198">
        <v>8.7128712871287117</v>
      </c>
      <c r="M111" s="198">
        <v>2.1584158415841586</v>
      </c>
      <c r="N111" s="198">
        <v>15</v>
      </c>
      <c r="O111" s="198">
        <v>1.2772277227722773</v>
      </c>
      <c r="P111" s="198">
        <v>1.4158415841584158</v>
      </c>
      <c r="Q111" s="198">
        <v>0.12871287128712872</v>
      </c>
      <c r="R111" s="198">
        <v>7.0495049504950495</v>
      </c>
      <c r="S111" s="198">
        <v>7.0495049504950504</v>
      </c>
      <c r="T111" s="198">
        <v>2.3168316831683171</v>
      </c>
      <c r="U111" s="198">
        <v>1.4059405940594061</v>
      </c>
      <c r="V111" s="198">
        <v>14.356435643564355</v>
      </c>
      <c r="W111" s="196"/>
      <c r="X111" s="195" t="s">
        <v>221</v>
      </c>
      <c r="Y111" s="194"/>
      <c r="Z111" s="197"/>
      <c r="AA111" s="196"/>
      <c r="AB111" s="195" t="s">
        <v>221</v>
      </c>
      <c r="AC111" s="194"/>
      <c r="AD111" s="193"/>
      <c r="AE111" s="192"/>
    </row>
    <row r="112" spans="1:31" ht="15.75" x14ac:dyDescent="0.25">
      <c r="A112" s="195" t="s">
        <v>627</v>
      </c>
      <c r="B112" s="195" t="s">
        <v>628</v>
      </c>
      <c r="C112" s="195" t="s">
        <v>629</v>
      </c>
      <c r="D112" s="195" t="s">
        <v>495</v>
      </c>
      <c r="E112" s="200">
        <v>68949</v>
      </c>
      <c r="F112" s="195" t="s">
        <v>375</v>
      </c>
      <c r="G112" s="195" t="s">
        <v>275</v>
      </c>
      <c r="H112" s="195" t="s">
        <v>193</v>
      </c>
      <c r="I112" s="199">
        <v>42.904761904761898</v>
      </c>
      <c r="J112" s="198">
        <v>2.5148514851485149</v>
      </c>
      <c r="K112" s="198">
        <v>2.9900990099009901</v>
      </c>
      <c r="L112" s="198">
        <v>4.8811881188118811</v>
      </c>
      <c r="M112" s="198">
        <v>5.990099009900991</v>
      </c>
      <c r="N112" s="198">
        <v>14.178217821782178</v>
      </c>
      <c r="O112" s="198">
        <v>2.0198019801980198</v>
      </c>
      <c r="P112" s="198">
        <v>0.17821782178217821</v>
      </c>
      <c r="Q112" s="198">
        <v>0</v>
      </c>
      <c r="R112" s="198">
        <v>4.0099009900990108</v>
      </c>
      <c r="S112" s="198">
        <v>7.1881188118811892</v>
      </c>
      <c r="T112" s="198">
        <v>3.158415841584159</v>
      </c>
      <c r="U112" s="198">
        <v>2.0198019801980198</v>
      </c>
      <c r="V112" s="198">
        <v>9.5445544554455406</v>
      </c>
      <c r="W112" s="196"/>
      <c r="X112" s="195" t="s">
        <v>194</v>
      </c>
      <c r="Y112" s="194" t="s">
        <v>324</v>
      </c>
      <c r="Z112" s="197" t="s">
        <v>345</v>
      </c>
      <c r="AA112" s="196" t="s">
        <v>404</v>
      </c>
      <c r="AB112" s="195" t="s">
        <v>579</v>
      </c>
      <c r="AC112" s="194" t="s">
        <v>324</v>
      </c>
      <c r="AD112" s="193" t="s">
        <v>345</v>
      </c>
      <c r="AE112" s="192">
        <v>43371</v>
      </c>
    </row>
    <row r="113" spans="1:31" ht="15.75" x14ac:dyDescent="0.25">
      <c r="A113" s="204" t="s">
        <v>506</v>
      </c>
      <c r="B113" s="204" t="s">
        <v>507</v>
      </c>
      <c r="C113" s="204" t="s">
        <v>508</v>
      </c>
      <c r="D113" s="204" t="s">
        <v>42</v>
      </c>
      <c r="E113" s="209">
        <v>20794</v>
      </c>
      <c r="F113" s="204" t="s">
        <v>448</v>
      </c>
      <c r="G113" s="204" t="s">
        <v>219</v>
      </c>
      <c r="H113" s="204" t="s">
        <v>5</v>
      </c>
      <c r="I113" s="208">
        <v>99.181818181818201</v>
      </c>
      <c r="J113" s="207">
        <v>0</v>
      </c>
      <c r="K113" s="207">
        <v>0</v>
      </c>
      <c r="L113" s="207">
        <v>4.881188118811882</v>
      </c>
      <c r="M113" s="207">
        <v>11.247524752475245</v>
      </c>
      <c r="N113" s="207">
        <v>15.069306930693067</v>
      </c>
      <c r="O113" s="207">
        <v>1.0594059405940595</v>
      </c>
      <c r="P113" s="207">
        <v>0</v>
      </c>
      <c r="Q113" s="207">
        <v>0</v>
      </c>
      <c r="R113" s="207">
        <v>11.673267326732672</v>
      </c>
      <c r="S113" s="207">
        <v>2.3960396039603964</v>
      </c>
      <c r="T113" s="207">
        <v>0</v>
      </c>
      <c r="U113" s="207">
        <v>2.0594059405940595</v>
      </c>
      <c r="V113" s="207">
        <v>12.613861386138613</v>
      </c>
      <c r="W113" s="205"/>
      <c r="X113" s="204" t="s">
        <v>194</v>
      </c>
      <c r="Y113" s="203" t="s">
        <v>195</v>
      </c>
      <c r="Z113" s="206" t="s">
        <v>196</v>
      </c>
      <c r="AA113" s="205" t="s">
        <v>333</v>
      </c>
      <c r="AB113" s="204" t="s">
        <v>194</v>
      </c>
      <c r="AC113" s="203" t="s">
        <v>195</v>
      </c>
      <c r="AD113" s="202" t="s">
        <v>509</v>
      </c>
      <c r="AE113" s="201">
        <v>43433</v>
      </c>
    </row>
    <row r="114" spans="1:31" ht="15.75" x14ac:dyDescent="0.25">
      <c r="A114" s="195" t="s">
        <v>38</v>
      </c>
      <c r="B114" s="195" t="s">
        <v>518</v>
      </c>
      <c r="C114" s="195" t="s">
        <v>519</v>
      </c>
      <c r="D114" s="195" t="s">
        <v>329</v>
      </c>
      <c r="E114" s="200">
        <v>19533</v>
      </c>
      <c r="F114" s="195" t="s">
        <v>330</v>
      </c>
      <c r="G114" s="195" t="s">
        <v>211</v>
      </c>
      <c r="H114" s="195" t="s">
        <v>193</v>
      </c>
      <c r="I114" s="199">
        <v>20.2842105263158</v>
      </c>
      <c r="J114" s="198">
        <v>13.158415841584128</v>
      </c>
      <c r="K114" s="198">
        <v>2.9702970297029712</v>
      </c>
      <c r="L114" s="198">
        <v>0</v>
      </c>
      <c r="M114" s="198">
        <v>0</v>
      </c>
      <c r="N114" s="198">
        <v>5.9405940594059403E-2</v>
      </c>
      <c r="O114" s="198">
        <v>7.2178217821782207</v>
      </c>
      <c r="P114" s="198">
        <v>0</v>
      </c>
      <c r="Q114" s="198">
        <v>8.8514851485148505</v>
      </c>
      <c r="R114" s="198">
        <v>0</v>
      </c>
      <c r="S114" s="198">
        <v>0</v>
      </c>
      <c r="T114" s="198">
        <v>5.9405940594059403E-2</v>
      </c>
      <c r="U114" s="198">
        <v>16.069306930693031</v>
      </c>
      <c r="V114" s="198">
        <v>16.128712871287089</v>
      </c>
      <c r="W114" s="196">
        <v>84</v>
      </c>
      <c r="X114" s="195" t="s">
        <v>194</v>
      </c>
      <c r="Y114" s="194" t="s">
        <v>212</v>
      </c>
      <c r="Z114" s="197" t="s">
        <v>198</v>
      </c>
      <c r="AA114" s="196" t="s">
        <v>262</v>
      </c>
      <c r="AB114" s="195" t="s">
        <v>194</v>
      </c>
      <c r="AC114" s="194" t="s">
        <v>212</v>
      </c>
      <c r="AD114" s="193" t="s">
        <v>198</v>
      </c>
      <c r="AE114" s="192">
        <v>43783</v>
      </c>
    </row>
    <row r="115" spans="1:31" ht="15.75" x14ac:dyDescent="0.25">
      <c r="A115" s="195" t="s">
        <v>588</v>
      </c>
      <c r="B115" s="195" t="s">
        <v>589</v>
      </c>
      <c r="C115" s="195" t="s">
        <v>590</v>
      </c>
      <c r="D115" s="195" t="s">
        <v>416</v>
      </c>
      <c r="E115" s="200">
        <v>89512</v>
      </c>
      <c r="F115" s="195" t="s">
        <v>417</v>
      </c>
      <c r="G115" s="195" t="s">
        <v>275</v>
      </c>
      <c r="H115" s="195" t="s">
        <v>193</v>
      </c>
      <c r="I115" s="199">
        <v>17.7222222222222</v>
      </c>
      <c r="J115" s="198">
        <v>0.61386138613861385</v>
      </c>
      <c r="K115" s="198">
        <v>1.4851485148514851</v>
      </c>
      <c r="L115" s="198">
        <v>4.0891089108910901</v>
      </c>
      <c r="M115" s="198">
        <v>6.28712871287129</v>
      </c>
      <c r="N115" s="198">
        <v>9.9207920792079225</v>
      </c>
      <c r="O115" s="198">
        <v>2.1089108910891086</v>
      </c>
      <c r="P115" s="198">
        <v>0.22772277227722773</v>
      </c>
      <c r="Q115" s="198">
        <v>0.21782178217821782</v>
      </c>
      <c r="R115" s="198">
        <v>7.277227722772281</v>
      </c>
      <c r="S115" s="198">
        <v>1.6831683168316836</v>
      </c>
      <c r="T115" s="198">
        <v>1.2079207920792079</v>
      </c>
      <c r="U115" s="198">
        <v>2.3069306930693068</v>
      </c>
      <c r="V115" s="198">
        <v>9.7722772277227747</v>
      </c>
      <c r="W115" s="196"/>
      <c r="X115" s="195" t="s">
        <v>194</v>
      </c>
      <c r="Y115" s="194" t="s">
        <v>324</v>
      </c>
      <c r="Z115" s="197" t="s">
        <v>345</v>
      </c>
      <c r="AA115" s="196" t="s">
        <v>864</v>
      </c>
      <c r="AB115" s="195" t="s">
        <v>194</v>
      </c>
      <c r="AC115" s="194" t="s">
        <v>324</v>
      </c>
      <c r="AD115" s="193" t="s">
        <v>345</v>
      </c>
      <c r="AE115" s="192">
        <v>43342</v>
      </c>
    </row>
    <row r="116" spans="1:31" ht="15.75" x14ac:dyDescent="0.25">
      <c r="A116" s="195" t="s">
        <v>561</v>
      </c>
      <c r="B116" s="195" t="s">
        <v>562</v>
      </c>
      <c r="C116" s="195" t="s">
        <v>563</v>
      </c>
      <c r="D116" s="195" t="s">
        <v>444</v>
      </c>
      <c r="E116" s="200">
        <v>49783</v>
      </c>
      <c r="F116" s="195" t="s">
        <v>436</v>
      </c>
      <c r="G116" s="195" t="s">
        <v>219</v>
      </c>
      <c r="H116" s="195" t="s">
        <v>193</v>
      </c>
      <c r="I116" s="199">
        <v>202.642857142857</v>
      </c>
      <c r="J116" s="198">
        <v>1.8118811881188117</v>
      </c>
      <c r="K116" s="198">
        <v>1.1584158415841586</v>
      </c>
      <c r="L116" s="198">
        <v>6.2376237623762378</v>
      </c>
      <c r="M116" s="198">
        <v>2.2574257425742572</v>
      </c>
      <c r="N116" s="198">
        <v>9.0792079207920793</v>
      </c>
      <c r="O116" s="198">
        <v>1.386138613861386</v>
      </c>
      <c r="P116" s="198">
        <v>1</v>
      </c>
      <c r="Q116" s="198">
        <v>0</v>
      </c>
      <c r="R116" s="198">
        <v>7.1683168316831676</v>
      </c>
      <c r="S116" s="198">
        <v>2.5346534653465351</v>
      </c>
      <c r="T116" s="198">
        <v>0.37623762376237624</v>
      </c>
      <c r="U116" s="198">
        <v>1.386138613861386</v>
      </c>
      <c r="V116" s="198">
        <v>11.128712871287128</v>
      </c>
      <c r="W116" s="196"/>
      <c r="X116" s="195" t="s">
        <v>194</v>
      </c>
      <c r="Y116" s="194" t="s">
        <v>324</v>
      </c>
      <c r="Z116" s="197" t="s">
        <v>345</v>
      </c>
      <c r="AA116" s="196" t="s">
        <v>564</v>
      </c>
      <c r="AB116" s="195" t="s">
        <v>194</v>
      </c>
      <c r="AC116" s="194" t="s">
        <v>324</v>
      </c>
      <c r="AD116" s="193" t="s">
        <v>345</v>
      </c>
      <c r="AE116" s="192">
        <v>42803</v>
      </c>
    </row>
    <row r="117" spans="1:31" ht="15.75" x14ac:dyDescent="0.25">
      <c r="A117" s="195" t="s">
        <v>24</v>
      </c>
      <c r="B117" s="195" t="s">
        <v>497</v>
      </c>
      <c r="C117" s="195" t="s">
        <v>498</v>
      </c>
      <c r="D117" s="195" t="s">
        <v>444</v>
      </c>
      <c r="E117" s="200">
        <v>48161</v>
      </c>
      <c r="F117" s="195" t="s">
        <v>436</v>
      </c>
      <c r="G117" s="195" t="s">
        <v>219</v>
      </c>
      <c r="H117" s="195" t="s">
        <v>5</v>
      </c>
      <c r="I117" s="199">
        <v>43.179487179487197</v>
      </c>
      <c r="J117" s="198">
        <v>1.7524752475247527</v>
      </c>
      <c r="K117" s="198">
        <v>7.5049504950495063</v>
      </c>
      <c r="L117" s="198">
        <v>1.6633663366336635</v>
      </c>
      <c r="M117" s="198">
        <v>0.13861386138613863</v>
      </c>
      <c r="N117" s="198">
        <v>6.7722772277227739</v>
      </c>
      <c r="O117" s="198">
        <v>4.2871287128712874</v>
      </c>
      <c r="P117" s="198">
        <v>0</v>
      </c>
      <c r="Q117" s="198">
        <v>0</v>
      </c>
      <c r="R117" s="198">
        <v>1.504950495049505</v>
      </c>
      <c r="S117" s="198">
        <v>3.8415841584158419</v>
      </c>
      <c r="T117" s="198">
        <v>1.4257425742574259</v>
      </c>
      <c r="U117" s="198">
        <v>4.2871287128712874</v>
      </c>
      <c r="V117" s="198">
        <v>10.227722772277229</v>
      </c>
      <c r="W117" s="196"/>
      <c r="X117" s="195" t="s">
        <v>194</v>
      </c>
      <c r="Y117" s="194" t="s">
        <v>324</v>
      </c>
      <c r="Z117" s="197" t="s">
        <v>345</v>
      </c>
      <c r="AA117" s="196" t="s">
        <v>449</v>
      </c>
      <c r="AB117" s="195" t="s">
        <v>194</v>
      </c>
      <c r="AC117" s="194" t="s">
        <v>324</v>
      </c>
      <c r="AD117" s="193" t="s">
        <v>345</v>
      </c>
      <c r="AE117" s="192">
        <v>43328</v>
      </c>
    </row>
    <row r="118" spans="1:31" ht="15.75" x14ac:dyDescent="0.25">
      <c r="A118" s="195" t="s">
        <v>546</v>
      </c>
      <c r="B118" s="195" t="s">
        <v>547</v>
      </c>
      <c r="C118" s="195" t="s">
        <v>548</v>
      </c>
      <c r="D118" s="195" t="s">
        <v>329</v>
      </c>
      <c r="E118" s="200">
        <v>15931</v>
      </c>
      <c r="F118" s="195" t="s">
        <v>330</v>
      </c>
      <c r="G118" s="195" t="s">
        <v>275</v>
      </c>
      <c r="H118" s="195" t="s">
        <v>5</v>
      </c>
      <c r="I118" s="199">
        <v>82.5208333333333</v>
      </c>
      <c r="J118" s="198">
        <v>0.28712871287128711</v>
      </c>
      <c r="K118" s="198">
        <v>2.7029702970297032</v>
      </c>
      <c r="L118" s="198">
        <v>6.970297029702972</v>
      </c>
      <c r="M118" s="198">
        <v>0.6633663366336634</v>
      </c>
      <c r="N118" s="198">
        <v>7.1980198019802</v>
      </c>
      <c r="O118" s="198">
        <v>3.1188118811881185</v>
      </c>
      <c r="P118" s="198">
        <v>0.30693069306930693</v>
      </c>
      <c r="Q118" s="198">
        <v>0</v>
      </c>
      <c r="R118" s="198">
        <v>4.3366336633663378</v>
      </c>
      <c r="S118" s="198">
        <v>2.7425742574257423</v>
      </c>
      <c r="T118" s="198">
        <v>0.18811881188118812</v>
      </c>
      <c r="U118" s="198">
        <v>3.3564356435643563</v>
      </c>
      <c r="V118" s="198">
        <v>6.960396039603963</v>
      </c>
      <c r="W118" s="196"/>
      <c r="X118" s="195" t="s">
        <v>194</v>
      </c>
      <c r="Y118" s="194" t="s">
        <v>324</v>
      </c>
      <c r="Z118" s="197" t="s">
        <v>345</v>
      </c>
      <c r="AA118" s="196" t="s">
        <v>269</v>
      </c>
      <c r="AB118" s="195" t="s">
        <v>194</v>
      </c>
      <c r="AC118" s="194" t="s">
        <v>324</v>
      </c>
      <c r="AD118" s="193" t="s">
        <v>345</v>
      </c>
      <c r="AE118" s="192">
        <v>43412</v>
      </c>
    </row>
    <row r="119" spans="1:31" ht="15.75" x14ac:dyDescent="0.25">
      <c r="A119" s="195" t="s">
        <v>863</v>
      </c>
      <c r="B119" s="195" t="s">
        <v>862</v>
      </c>
      <c r="C119" s="195" t="s">
        <v>861</v>
      </c>
      <c r="D119" s="195" t="s">
        <v>206</v>
      </c>
      <c r="E119" s="200">
        <v>76040</v>
      </c>
      <c r="F119" s="195" t="s">
        <v>297</v>
      </c>
      <c r="G119" s="195" t="s">
        <v>219</v>
      </c>
      <c r="H119" s="195" t="s">
        <v>193</v>
      </c>
      <c r="I119" s="199">
        <v>1.32838038632987</v>
      </c>
      <c r="J119" s="198">
        <v>6.7821782178217873</v>
      </c>
      <c r="K119" s="198">
        <v>1.0495049504950502</v>
      </c>
      <c r="L119" s="198">
        <v>0.65346534653465382</v>
      </c>
      <c r="M119" s="198">
        <v>0.62376237623762398</v>
      </c>
      <c r="N119" s="198">
        <v>4.2673267326732702</v>
      </c>
      <c r="O119" s="198">
        <v>3.9702970297029734</v>
      </c>
      <c r="P119" s="198">
        <v>0.17821782178217827</v>
      </c>
      <c r="Q119" s="198">
        <v>0.69306930693069346</v>
      </c>
      <c r="R119" s="198">
        <v>2.0594059405940608</v>
      </c>
      <c r="S119" s="198">
        <v>1.0099009900990106</v>
      </c>
      <c r="T119" s="198">
        <v>1.3762376237623772</v>
      </c>
      <c r="U119" s="198">
        <v>4.6633663366336666</v>
      </c>
      <c r="V119" s="198">
        <v>4.4455445544554486</v>
      </c>
      <c r="W119" s="196"/>
      <c r="X119" s="195" t="s">
        <v>579</v>
      </c>
      <c r="Y119" s="194" t="s">
        <v>324</v>
      </c>
      <c r="Z119" s="197" t="s">
        <v>345</v>
      </c>
      <c r="AA119" s="196" t="s">
        <v>847</v>
      </c>
      <c r="AB119" s="195" t="s">
        <v>579</v>
      </c>
      <c r="AC119" s="194" t="s">
        <v>324</v>
      </c>
      <c r="AD119" s="193" t="s">
        <v>345</v>
      </c>
      <c r="AE119" s="192">
        <v>42613</v>
      </c>
    </row>
    <row r="120" spans="1:31" ht="15.75" x14ac:dyDescent="0.25">
      <c r="A120" s="195" t="s">
        <v>591</v>
      </c>
      <c r="B120" s="195" t="s">
        <v>592</v>
      </c>
      <c r="C120" s="195" t="s">
        <v>593</v>
      </c>
      <c r="D120" s="195" t="s">
        <v>532</v>
      </c>
      <c r="E120" s="200">
        <v>65721</v>
      </c>
      <c r="F120" s="195" t="s">
        <v>40</v>
      </c>
      <c r="G120" s="195" t="s">
        <v>219</v>
      </c>
      <c r="H120" s="195" t="s">
        <v>5</v>
      </c>
      <c r="I120" s="199">
        <v>20.108108108108102</v>
      </c>
      <c r="J120" s="198">
        <v>3.1386138613861387</v>
      </c>
      <c r="K120" s="198">
        <v>1.8712871287128712</v>
      </c>
      <c r="L120" s="198">
        <v>2.4653465346534653</v>
      </c>
      <c r="M120" s="198">
        <v>1.3267326732673268</v>
      </c>
      <c r="N120" s="198">
        <v>4.5445544554455459</v>
      </c>
      <c r="O120" s="198">
        <v>3.6435643564356441</v>
      </c>
      <c r="P120" s="198">
        <v>0.61386138613861385</v>
      </c>
      <c r="Q120" s="198">
        <v>0</v>
      </c>
      <c r="R120" s="198">
        <v>1.6534653465346534</v>
      </c>
      <c r="S120" s="198">
        <v>1.8217821782178218</v>
      </c>
      <c r="T120" s="198">
        <v>1.4851485148514854</v>
      </c>
      <c r="U120" s="198">
        <v>3.8415841584158423</v>
      </c>
      <c r="V120" s="198">
        <v>6.6831683168316838</v>
      </c>
      <c r="W120" s="196"/>
      <c r="X120" s="195" t="s">
        <v>194</v>
      </c>
      <c r="Y120" s="194" t="s">
        <v>324</v>
      </c>
      <c r="Z120" s="197" t="s">
        <v>345</v>
      </c>
      <c r="AA120" s="196" t="s">
        <v>594</v>
      </c>
      <c r="AB120" s="195" t="s">
        <v>194</v>
      </c>
      <c r="AC120" s="194" t="s">
        <v>324</v>
      </c>
      <c r="AD120" s="193" t="s">
        <v>345</v>
      </c>
      <c r="AE120" s="192">
        <v>43160</v>
      </c>
    </row>
    <row r="121" spans="1:31" ht="15.75" x14ac:dyDescent="0.25">
      <c r="A121" s="195" t="s">
        <v>860</v>
      </c>
      <c r="B121" s="195" t="s">
        <v>859</v>
      </c>
      <c r="C121" s="195" t="s">
        <v>858</v>
      </c>
      <c r="D121" s="195" t="s">
        <v>206</v>
      </c>
      <c r="E121" s="200">
        <v>76021</v>
      </c>
      <c r="F121" s="195" t="s">
        <v>297</v>
      </c>
      <c r="G121" s="195" t="s">
        <v>219</v>
      </c>
      <c r="H121" s="195" t="s">
        <v>193</v>
      </c>
      <c r="I121" s="199">
        <v>1.2549342105263199</v>
      </c>
      <c r="J121" s="198">
        <v>6.2376237623762423</v>
      </c>
      <c r="K121" s="198">
        <v>0.51485148514851509</v>
      </c>
      <c r="L121" s="198">
        <v>0.31683168316831689</v>
      </c>
      <c r="M121" s="198">
        <v>0.37623762376237635</v>
      </c>
      <c r="N121" s="198">
        <v>3.1782178217821806</v>
      </c>
      <c r="O121" s="198">
        <v>3.6435643564356464</v>
      </c>
      <c r="P121" s="198">
        <v>0.16831683168316833</v>
      </c>
      <c r="Q121" s="198">
        <v>0.45544554455445574</v>
      </c>
      <c r="R121" s="198">
        <v>1.485148514851486</v>
      </c>
      <c r="S121" s="198">
        <v>0.7326732673267331</v>
      </c>
      <c r="T121" s="198">
        <v>1.0792079207920799</v>
      </c>
      <c r="U121" s="198">
        <v>4.1485148514851513</v>
      </c>
      <c r="V121" s="198">
        <v>3.0297029702970319</v>
      </c>
      <c r="W121" s="196"/>
      <c r="X121" s="195" t="s">
        <v>579</v>
      </c>
      <c r="Y121" s="194" t="s">
        <v>324</v>
      </c>
      <c r="Z121" s="197" t="s">
        <v>345</v>
      </c>
      <c r="AA121" s="196" t="s">
        <v>847</v>
      </c>
      <c r="AB121" s="195" t="s">
        <v>579</v>
      </c>
      <c r="AC121" s="194" t="s">
        <v>324</v>
      </c>
      <c r="AD121" s="193" t="s">
        <v>345</v>
      </c>
      <c r="AE121" s="192">
        <v>42580</v>
      </c>
    </row>
    <row r="122" spans="1:31" ht="15.75" x14ac:dyDescent="0.25">
      <c r="A122" s="195" t="s">
        <v>557</v>
      </c>
      <c r="B122" s="195" t="s">
        <v>558</v>
      </c>
      <c r="C122" s="195" t="s">
        <v>559</v>
      </c>
      <c r="D122" s="195" t="s">
        <v>435</v>
      </c>
      <c r="E122" s="200">
        <v>43338</v>
      </c>
      <c r="F122" s="195" t="s">
        <v>436</v>
      </c>
      <c r="G122" s="195" t="s">
        <v>219</v>
      </c>
      <c r="H122" s="195" t="s">
        <v>193</v>
      </c>
      <c r="I122" s="199">
        <v>53.357142857142897</v>
      </c>
      <c r="J122" s="198">
        <v>1.7920792079207921</v>
      </c>
      <c r="K122" s="198">
        <v>1.4851485148514851</v>
      </c>
      <c r="L122" s="198">
        <v>1.8316831683168315</v>
      </c>
      <c r="M122" s="198">
        <v>2.1782178217821784</v>
      </c>
      <c r="N122" s="198">
        <v>5.217821782178218</v>
      </c>
      <c r="O122" s="198">
        <v>2.0693069306930694</v>
      </c>
      <c r="P122" s="198">
        <v>0</v>
      </c>
      <c r="Q122" s="198">
        <v>0</v>
      </c>
      <c r="R122" s="198">
        <v>2.831683168316832</v>
      </c>
      <c r="S122" s="198">
        <v>0.78217821782178221</v>
      </c>
      <c r="T122" s="198">
        <v>1.6039603960396041</v>
      </c>
      <c r="U122" s="198">
        <v>2.0693069306930694</v>
      </c>
      <c r="V122" s="198">
        <v>7.0792079207920793</v>
      </c>
      <c r="W122" s="196"/>
      <c r="X122" s="195" t="s">
        <v>194</v>
      </c>
      <c r="Y122" s="194" t="s">
        <v>324</v>
      </c>
      <c r="Z122" s="197" t="s">
        <v>345</v>
      </c>
      <c r="AA122" s="196" t="s">
        <v>560</v>
      </c>
      <c r="AB122" s="195" t="s">
        <v>194</v>
      </c>
      <c r="AC122" s="194" t="s">
        <v>324</v>
      </c>
      <c r="AD122" s="193" t="s">
        <v>345</v>
      </c>
      <c r="AE122" s="192">
        <v>42411</v>
      </c>
    </row>
    <row r="123" spans="1:31" ht="15.75" x14ac:dyDescent="0.25">
      <c r="A123" s="204" t="s">
        <v>857</v>
      </c>
      <c r="B123" s="204" t="s">
        <v>856</v>
      </c>
      <c r="C123" s="204" t="s">
        <v>189</v>
      </c>
      <c r="D123" s="204" t="s">
        <v>190</v>
      </c>
      <c r="E123" s="209">
        <v>92301</v>
      </c>
      <c r="F123" s="204" t="s">
        <v>191</v>
      </c>
      <c r="G123" s="204" t="s">
        <v>208</v>
      </c>
      <c r="H123" s="204" t="s">
        <v>193</v>
      </c>
      <c r="I123" s="208">
        <v>12.294117647058799</v>
      </c>
      <c r="J123" s="207">
        <v>0.95049504950495045</v>
      </c>
      <c r="K123" s="207">
        <v>0.91089108910891081</v>
      </c>
      <c r="L123" s="207">
        <v>2.3069306930693072</v>
      </c>
      <c r="M123" s="207">
        <v>2.6138613861386144</v>
      </c>
      <c r="N123" s="207">
        <v>5.9207920792079225</v>
      </c>
      <c r="O123" s="207">
        <v>0.86138613861386149</v>
      </c>
      <c r="P123" s="207">
        <v>0</v>
      </c>
      <c r="Q123" s="207">
        <v>0</v>
      </c>
      <c r="R123" s="207">
        <v>2.6732673267326739</v>
      </c>
      <c r="S123" s="207">
        <v>1.2376237623762376</v>
      </c>
      <c r="T123" s="207">
        <v>2.0099009900990099</v>
      </c>
      <c r="U123" s="207">
        <v>0.86138613861386149</v>
      </c>
      <c r="V123" s="207">
        <v>6.7821782178217838</v>
      </c>
      <c r="W123" s="205">
        <v>120</v>
      </c>
      <c r="X123" s="204" t="s">
        <v>221</v>
      </c>
      <c r="Y123" s="203"/>
      <c r="Z123" s="206"/>
      <c r="AA123" s="205"/>
      <c r="AB123" s="204" t="s">
        <v>221</v>
      </c>
      <c r="AC123" s="203"/>
      <c r="AD123" s="202"/>
      <c r="AE123" s="201"/>
    </row>
    <row r="124" spans="1:31" ht="15.75" x14ac:dyDescent="0.25">
      <c r="A124" s="195" t="s">
        <v>542</v>
      </c>
      <c r="B124" s="195" t="s">
        <v>543</v>
      </c>
      <c r="C124" s="195" t="s">
        <v>544</v>
      </c>
      <c r="D124" s="195" t="s">
        <v>545</v>
      </c>
      <c r="E124" s="200">
        <v>27253</v>
      </c>
      <c r="F124" s="195" t="s">
        <v>203</v>
      </c>
      <c r="G124" s="195" t="s">
        <v>219</v>
      </c>
      <c r="H124" s="195" t="s">
        <v>193</v>
      </c>
      <c r="I124" s="199">
        <v>2.1094674556212998</v>
      </c>
      <c r="J124" s="198">
        <v>1.3762376237623772</v>
      </c>
      <c r="K124" s="198">
        <v>1.5346534653465356</v>
      </c>
      <c r="L124" s="198">
        <v>1.811881188118813</v>
      </c>
      <c r="M124" s="198">
        <v>2.0000000000000013</v>
      </c>
      <c r="N124" s="198">
        <v>5.7623762376237666</v>
      </c>
      <c r="O124" s="198">
        <v>0.85148514851485191</v>
      </c>
      <c r="P124" s="198">
        <v>0.10891089108910891</v>
      </c>
      <c r="Q124" s="198">
        <v>0</v>
      </c>
      <c r="R124" s="198">
        <v>2.7227722772277247</v>
      </c>
      <c r="S124" s="198">
        <v>1.702970297029704</v>
      </c>
      <c r="T124" s="198">
        <v>1.4158415841584169</v>
      </c>
      <c r="U124" s="198">
        <v>0.88118811881188164</v>
      </c>
      <c r="V124" s="198">
        <v>3.9306930693069337</v>
      </c>
      <c r="W124" s="196">
        <v>50</v>
      </c>
      <c r="X124" s="195" t="s">
        <v>194</v>
      </c>
      <c r="Y124" s="194" t="s">
        <v>324</v>
      </c>
      <c r="Z124" s="197" t="s">
        <v>345</v>
      </c>
      <c r="AA124" s="196" t="s">
        <v>269</v>
      </c>
      <c r="AB124" s="195" t="s">
        <v>194</v>
      </c>
      <c r="AC124" s="194" t="s">
        <v>324</v>
      </c>
      <c r="AD124" s="193" t="s">
        <v>367</v>
      </c>
      <c r="AE124" s="192">
        <v>43454</v>
      </c>
    </row>
    <row r="125" spans="1:31" ht="15.75" x14ac:dyDescent="0.25">
      <c r="A125" s="195" t="s">
        <v>855</v>
      </c>
      <c r="B125" s="195" t="s">
        <v>854</v>
      </c>
      <c r="C125" s="195" t="s">
        <v>853</v>
      </c>
      <c r="D125" s="195" t="s">
        <v>340</v>
      </c>
      <c r="E125" s="200">
        <v>12901</v>
      </c>
      <c r="F125" s="195" t="s">
        <v>341</v>
      </c>
      <c r="G125" s="195" t="s">
        <v>275</v>
      </c>
      <c r="H125" s="195" t="s">
        <v>193</v>
      </c>
      <c r="I125" s="199">
        <v>17.170212765957402</v>
      </c>
      <c r="J125" s="198">
        <v>5.4554455445544576</v>
      </c>
      <c r="K125" s="198">
        <v>0.66336633663366351</v>
      </c>
      <c r="L125" s="198">
        <v>4.9504950495049507E-2</v>
      </c>
      <c r="M125" s="198">
        <v>0.38613861386138615</v>
      </c>
      <c r="N125" s="198">
        <v>0.18811881188118812</v>
      </c>
      <c r="O125" s="198">
        <v>4.633663366336636</v>
      </c>
      <c r="P125" s="198">
        <v>0.41584158415841577</v>
      </c>
      <c r="Q125" s="198">
        <v>1.3168316831683167</v>
      </c>
      <c r="R125" s="198">
        <v>0.17821782178217821</v>
      </c>
      <c r="S125" s="198">
        <v>0</v>
      </c>
      <c r="T125" s="198">
        <v>0.42574257425742568</v>
      </c>
      <c r="U125" s="198">
        <v>5.9504950495049531</v>
      </c>
      <c r="V125" s="198">
        <v>2.3960396039603964</v>
      </c>
      <c r="W125" s="196"/>
      <c r="X125" s="195" t="s">
        <v>194</v>
      </c>
      <c r="Y125" s="194" t="s">
        <v>324</v>
      </c>
      <c r="Z125" s="197" t="s">
        <v>345</v>
      </c>
      <c r="AA125" s="196" t="s">
        <v>852</v>
      </c>
      <c r="AB125" s="195" t="s">
        <v>194</v>
      </c>
      <c r="AC125" s="194" t="s">
        <v>324</v>
      </c>
      <c r="AD125" s="193" t="s">
        <v>345</v>
      </c>
      <c r="AE125" s="192">
        <v>43139</v>
      </c>
    </row>
    <row r="126" spans="1:31" ht="15.75" x14ac:dyDescent="0.25">
      <c r="A126" s="204" t="s">
        <v>604</v>
      </c>
      <c r="B126" s="204" t="s">
        <v>605</v>
      </c>
      <c r="C126" s="204" t="s">
        <v>606</v>
      </c>
      <c r="D126" s="204" t="s">
        <v>206</v>
      </c>
      <c r="E126" s="209">
        <v>75202</v>
      </c>
      <c r="F126" s="204" t="s">
        <v>297</v>
      </c>
      <c r="G126" s="204" t="s">
        <v>275</v>
      </c>
      <c r="H126" s="204" t="s">
        <v>193</v>
      </c>
      <c r="I126" s="208">
        <v>1.2339181286549701</v>
      </c>
      <c r="J126" s="207">
        <v>6.3465346534653513</v>
      </c>
      <c r="K126" s="207">
        <v>0</v>
      </c>
      <c r="L126" s="207">
        <v>1.9801980198019802E-2</v>
      </c>
      <c r="M126" s="207">
        <v>9.9009900990099011E-3</v>
      </c>
      <c r="N126" s="207">
        <v>3.0495049504950518</v>
      </c>
      <c r="O126" s="207">
        <v>2.8811881188118833</v>
      </c>
      <c r="P126" s="207">
        <v>0.18811881188118812</v>
      </c>
      <c r="Q126" s="207">
        <v>0.25742574257425749</v>
      </c>
      <c r="R126" s="207">
        <v>0.96039603960396103</v>
      </c>
      <c r="S126" s="207">
        <v>0.80198019801980247</v>
      </c>
      <c r="T126" s="207">
        <v>1.4653465346534664</v>
      </c>
      <c r="U126" s="207">
        <v>3.1485148514851509</v>
      </c>
      <c r="V126" s="207">
        <v>2.4455445544554473</v>
      </c>
      <c r="W126" s="205"/>
      <c r="X126" s="204" t="s">
        <v>579</v>
      </c>
      <c r="Y126" s="203" t="s">
        <v>324</v>
      </c>
      <c r="Z126" s="206" t="s">
        <v>345</v>
      </c>
      <c r="AA126" s="205" t="s">
        <v>607</v>
      </c>
      <c r="AB126" s="204" t="s">
        <v>221</v>
      </c>
      <c r="AC126" s="203"/>
      <c r="AD126" s="202"/>
      <c r="AE126" s="201"/>
    </row>
    <row r="127" spans="1:31" ht="15.75" x14ac:dyDescent="0.25">
      <c r="A127" s="204" t="s">
        <v>659</v>
      </c>
      <c r="B127" s="204" t="s">
        <v>660</v>
      </c>
      <c r="C127" s="204" t="s">
        <v>622</v>
      </c>
      <c r="D127" s="204" t="s">
        <v>340</v>
      </c>
      <c r="E127" s="209">
        <v>12180</v>
      </c>
      <c r="F127" s="204" t="s">
        <v>341</v>
      </c>
      <c r="G127" s="204" t="s">
        <v>275</v>
      </c>
      <c r="H127" s="204" t="s">
        <v>193</v>
      </c>
      <c r="I127" s="208">
        <v>7.2608695652173898</v>
      </c>
      <c r="J127" s="207">
        <v>2.5742574257425748</v>
      </c>
      <c r="K127" s="207">
        <v>1.217821782178218</v>
      </c>
      <c r="L127" s="207">
        <v>0.86138613861386149</v>
      </c>
      <c r="M127" s="207">
        <v>1.7128712871287131</v>
      </c>
      <c r="N127" s="207">
        <v>0.35643564356435642</v>
      </c>
      <c r="O127" s="207">
        <v>0.94059405940594076</v>
      </c>
      <c r="P127" s="207">
        <v>3.7920792079207915</v>
      </c>
      <c r="Q127" s="207">
        <v>1.2772277227722773</v>
      </c>
      <c r="R127" s="207">
        <v>2.782178217821782</v>
      </c>
      <c r="S127" s="207">
        <v>9.9009900990099011E-3</v>
      </c>
      <c r="T127" s="207">
        <v>1.3564356435643565</v>
      </c>
      <c r="U127" s="207">
        <v>2.217821782178218</v>
      </c>
      <c r="V127" s="207">
        <v>5.4851485148514856</v>
      </c>
      <c r="W127" s="205"/>
      <c r="X127" s="204" t="s">
        <v>221</v>
      </c>
      <c r="Y127" s="203"/>
      <c r="Z127" s="206"/>
      <c r="AA127" s="205"/>
      <c r="AB127" s="204" t="s">
        <v>221</v>
      </c>
      <c r="AC127" s="203"/>
      <c r="AD127" s="202"/>
      <c r="AE127" s="201"/>
    </row>
    <row r="128" spans="1:31" ht="15.75" x14ac:dyDescent="0.25">
      <c r="A128" s="195" t="s">
        <v>576</v>
      </c>
      <c r="B128" s="195" t="s">
        <v>577</v>
      </c>
      <c r="C128" s="195" t="s">
        <v>578</v>
      </c>
      <c r="D128" s="195" t="s">
        <v>315</v>
      </c>
      <c r="E128" s="200">
        <v>80814</v>
      </c>
      <c r="F128" s="195" t="s">
        <v>316</v>
      </c>
      <c r="G128" s="195" t="s">
        <v>219</v>
      </c>
      <c r="H128" s="195" t="s">
        <v>193</v>
      </c>
      <c r="I128" s="199">
        <v>20.5675675675676</v>
      </c>
      <c r="J128" s="198">
        <v>0.76237623762376239</v>
      </c>
      <c r="K128" s="198">
        <v>1.495049504950495</v>
      </c>
      <c r="L128" s="198">
        <v>2.2574257425742581</v>
      </c>
      <c r="M128" s="198">
        <v>1.8019801980198018</v>
      </c>
      <c r="N128" s="198">
        <v>4.752475247524754</v>
      </c>
      <c r="O128" s="198">
        <v>1.4851485148514851</v>
      </c>
      <c r="P128" s="198">
        <v>7.9207920792079209E-2</v>
      </c>
      <c r="Q128" s="198">
        <v>0</v>
      </c>
      <c r="R128" s="198">
        <v>1.2475247524752475</v>
      </c>
      <c r="S128" s="198">
        <v>2.5346534653465351</v>
      </c>
      <c r="T128" s="198">
        <v>1.0495049504950495</v>
      </c>
      <c r="U128" s="198">
        <v>1.4851485148514851</v>
      </c>
      <c r="V128" s="198">
        <v>3.4752475247524766</v>
      </c>
      <c r="W128" s="196"/>
      <c r="X128" s="195" t="s">
        <v>194</v>
      </c>
      <c r="Y128" s="194" t="s">
        <v>324</v>
      </c>
      <c r="Z128" s="197" t="s">
        <v>522</v>
      </c>
      <c r="AA128" s="196" t="s">
        <v>323</v>
      </c>
      <c r="AB128" s="195" t="s">
        <v>579</v>
      </c>
      <c r="AC128" s="194" t="s">
        <v>324</v>
      </c>
      <c r="AD128" s="193" t="s">
        <v>345</v>
      </c>
      <c r="AE128" s="192">
        <v>43371</v>
      </c>
    </row>
    <row r="129" spans="1:31" ht="15.75" x14ac:dyDescent="0.25">
      <c r="A129" s="195" t="s">
        <v>585</v>
      </c>
      <c r="B129" s="195" t="s">
        <v>586</v>
      </c>
      <c r="C129" s="195" t="s">
        <v>587</v>
      </c>
      <c r="D129" s="195" t="s">
        <v>374</v>
      </c>
      <c r="E129" s="200">
        <v>55318</v>
      </c>
      <c r="F129" s="195" t="s">
        <v>375</v>
      </c>
      <c r="G129" s="195" t="s">
        <v>219</v>
      </c>
      <c r="H129" s="195" t="s">
        <v>193</v>
      </c>
      <c r="I129" s="199">
        <v>31.6111111111111</v>
      </c>
      <c r="J129" s="198">
        <v>8.9108910891089105E-2</v>
      </c>
      <c r="K129" s="198">
        <v>1.8811881188118813</v>
      </c>
      <c r="L129" s="198">
        <v>3.6534653465346532</v>
      </c>
      <c r="M129" s="198">
        <v>0.28712871287128716</v>
      </c>
      <c r="N129" s="198">
        <v>5.6435643564356432</v>
      </c>
      <c r="O129" s="198">
        <v>0.24752475247524755</v>
      </c>
      <c r="P129" s="198">
        <v>1.9801980198019802E-2</v>
      </c>
      <c r="Q129" s="198">
        <v>0</v>
      </c>
      <c r="R129" s="198">
        <v>4.8316831683168324</v>
      </c>
      <c r="S129" s="198">
        <v>0.81188118811881183</v>
      </c>
      <c r="T129" s="198">
        <v>1.9801980198019802E-2</v>
      </c>
      <c r="U129" s="198">
        <v>0.24752475247524755</v>
      </c>
      <c r="V129" s="198">
        <v>5.6633663366336631</v>
      </c>
      <c r="W129" s="196"/>
      <c r="X129" s="195" t="s">
        <v>194</v>
      </c>
      <c r="Y129" s="194" t="s">
        <v>324</v>
      </c>
      <c r="Z129" s="197" t="s">
        <v>345</v>
      </c>
      <c r="AA129" s="196" t="s">
        <v>470</v>
      </c>
      <c r="AB129" s="195" t="s">
        <v>194</v>
      </c>
      <c r="AC129" s="194" t="s">
        <v>324</v>
      </c>
      <c r="AD129" s="193" t="s">
        <v>345</v>
      </c>
      <c r="AE129" s="192">
        <v>43055</v>
      </c>
    </row>
    <row r="130" spans="1:31" ht="15.75" x14ac:dyDescent="0.25">
      <c r="A130" s="195" t="s">
        <v>600</v>
      </c>
      <c r="B130" s="195" t="s">
        <v>601</v>
      </c>
      <c r="C130" s="195" t="s">
        <v>602</v>
      </c>
      <c r="D130" s="195" t="s">
        <v>312</v>
      </c>
      <c r="E130" s="200">
        <v>34112</v>
      </c>
      <c r="F130" s="195" t="s">
        <v>33</v>
      </c>
      <c r="G130" s="195" t="s">
        <v>219</v>
      </c>
      <c r="H130" s="195" t="s">
        <v>193</v>
      </c>
      <c r="I130" s="199">
        <v>3.1153846153846199</v>
      </c>
      <c r="J130" s="198">
        <v>1.7227722772277234</v>
      </c>
      <c r="K130" s="198">
        <v>0.94059405940594099</v>
      </c>
      <c r="L130" s="198">
        <v>2.0594059405940608</v>
      </c>
      <c r="M130" s="198">
        <v>0.86138613861386171</v>
      </c>
      <c r="N130" s="198">
        <v>3.356435643564359</v>
      </c>
      <c r="O130" s="198">
        <v>1.9702970297029712</v>
      </c>
      <c r="P130" s="198">
        <v>0.22772277227722773</v>
      </c>
      <c r="Q130" s="198">
        <v>2.9702970297029702E-2</v>
      </c>
      <c r="R130" s="198">
        <v>0.64356435643564369</v>
      </c>
      <c r="S130" s="198">
        <v>1.1881188118811887</v>
      </c>
      <c r="T130" s="198">
        <v>1.7623762376237635</v>
      </c>
      <c r="U130" s="198">
        <v>1.990099009900991</v>
      </c>
      <c r="V130" s="198">
        <v>2.6336633663366351</v>
      </c>
      <c r="W130" s="196"/>
      <c r="X130" s="195" t="s">
        <v>194</v>
      </c>
      <c r="Y130" s="194" t="s">
        <v>324</v>
      </c>
      <c r="Z130" s="197" t="s">
        <v>367</v>
      </c>
      <c r="AA130" s="196" t="s">
        <v>603</v>
      </c>
      <c r="AB130" s="195" t="s">
        <v>579</v>
      </c>
      <c r="AC130" s="194" t="s">
        <v>324</v>
      </c>
      <c r="AD130" s="193" t="s">
        <v>345</v>
      </c>
      <c r="AE130" s="192">
        <v>43364</v>
      </c>
    </row>
    <row r="131" spans="1:31" ht="15.75" x14ac:dyDescent="0.25">
      <c r="A131" s="204" t="s">
        <v>611</v>
      </c>
      <c r="B131" s="204" t="s">
        <v>851</v>
      </c>
      <c r="C131" s="204" t="s">
        <v>612</v>
      </c>
      <c r="D131" s="204" t="s">
        <v>583</v>
      </c>
      <c r="E131" s="209">
        <v>84737</v>
      </c>
      <c r="F131" s="204" t="s">
        <v>417</v>
      </c>
      <c r="G131" s="204" t="s">
        <v>275</v>
      </c>
      <c r="H131" s="204" t="s">
        <v>193</v>
      </c>
      <c r="I131" s="208">
        <v>6.6338028169014098</v>
      </c>
      <c r="J131" s="207">
        <v>0.32673267326732675</v>
      </c>
      <c r="K131" s="207">
        <v>2.8217821782178234</v>
      </c>
      <c r="L131" s="207">
        <v>2.1188118811881194</v>
      </c>
      <c r="M131" s="207">
        <v>3.9603960396039604E-2</v>
      </c>
      <c r="N131" s="207">
        <v>2.9108910891089121</v>
      </c>
      <c r="O131" s="207">
        <v>2.2376237623762383</v>
      </c>
      <c r="P131" s="207">
        <v>0</v>
      </c>
      <c r="Q131" s="207">
        <v>0.15841584158415842</v>
      </c>
      <c r="R131" s="207">
        <v>0.42574257425742573</v>
      </c>
      <c r="S131" s="207">
        <v>1.3168316831683171</v>
      </c>
      <c r="T131" s="207">
        <v>1.3465346534653466</v>
      </c>
      <c r="U131" s="207">
        <v>2.2178217821782189</v>
      </c>
      <c r="V131" s="207">
        <v>4.4950495049504964</v>
      </c>
      <c r="W131" s="205"/>
      <c r="X131" s="204" t="s">
        <v>579</v>
      </c>
      <c r="Y131" s="203" t="s">
        <v>324</v>
      </c>
      <c r="Z131" s="206" t="s">
        <v>345</v>
      </c>
      <c r="AA131" s="205" t="s">
        <v>613</v>
      </c>
      <c r="AB131" s="204" t="s">
        <v>579</v>
      </c>
      <c r="AC131" s="203" t="s">
        <v>324</v>
      </c>
      <c r="AD131" s="202" t="s">
        <v>345</v>
      </c>
      <c r="AE131" s="201">
        <v>42978</v>
      </c>
    </row>
    <row r="132" spans="1:31" ht="15.75" x14ac:dyDescent="0.25">
      <c r="A132" s="195" t="s">
        <v>598</v>
      </c>
      <c r="B132" s="195" t="s">
        <v>599</v>
      </c>
      <c r="C132" s="195" t="s">
        <v>238</v>
      </c>
      <c r="D132" s="195" t="s">
        <v>190</v>
      </c>
      <c r="E132" s="200">
        <v>92154</v>
      </c>
      <c r="F132" s="195" t="s">
        <v>239</v>
      </c>
      <c r="G132" s="195" t="s">
        <v>0</v>
      </c>
      <c r="H132" s="195" t="s">
        <v>193</v>
      </c>
      <c r="I132" s="199">
        <v>1.7008547008546999</v>
      </c>
      <c r="J132" s="198">
        <v>4.9504950495049522</v>
      </c>
      <c r="K132" s="198">
        <v>0.1386138613861386</v>
      </c>
      <c r="L132" s="198">
        <v>2.9702970297029702E-2</v>
      </c>
      <c r="M132" s="198">
        <v>3.9603960396039604E-2</v>
      </c>
      <c r="N132" s="198">
        <v>1.2079207920792079</v>
      </c>
      <c r="O132" s="198">
        <v>2.4653465346534662</v>
      </c>
      <c r="P132" s="198">
        <v>0</v>
      </c>
      <c r="Q132" s="198">
        <v>1.4851485148514854</v>
      </c>
      <c r="R132" s="198">
        <v>5.9405940594059403E-2</v>
      </c>
      <c r="S132" s="198">
        <v>0</v>
      </c>
      <c r="T132" s="198">
        <v>1.1287128712871288</v>
      </c>
      <c r="U132" s="198">
        <v>3.970297029702972</v>
      </c>
      <c r="V132" s="198">
        <v>1.8811881188118815</v>
      </c>
      <c r="W132" s="196"/>
      <c r="X132" s="195" t="s">
        <v>221</v>
      </c>
      <c r="Y132" s="194"/>
      <c r="Z132" s="197"/>
      <c r="AA132" s="196"/>
      <c r="AB132" s="195" t="s">
        <v>221</v>
      </c>
      <c r="AC132" s="194"/>
      <c r="AD132" s="193"/>
      <c r="AE132" s="192"/>
    </row>
    <row r="133" spans="1:31" ht="15.75" x14ac:dyDescent="0.25">
      <c r="A133" s="195" t="s">
        <v>565</v>
      </c>
      <c r="B133" s="195" t="s">
        <v>566</v>
      </c>
      <c r="C133" s="195" t="s">
        <v>567</v>
      </c>
      <c r="D133" s="195" t="s">
        <v>206</v>
      </c>
      <c r="E133" s="200">
        <v>78380</v>
      </c>
      <c r="F133" s="195" t="s">
        <v>261</v>
      </c>
      <c r="G133" s="195" t="s">
        <v>275</v>
      </c>
      <c r="H133" s="195" t="s">
        <v>5</v>
      </c>
      <c r="I133" s="199">
        <v>2.16091954022989</v>
      </c>
      <c r="J133" s="198">
        <v>0.23762376237623761</v>
      </c>
      <c r="K133" s="198">
        <v>3.5346534653465373</v>
      </c>
      <c r="L133" s="198">
        <v>6.9306930693069313E-2</v>
      </c>
      <c r="M133" s="198">
        <v>2.9702970297029702E-2</v>
      </c>
      <c r="N133" s="198">
        <v>2.14851485148515</v>
      </c>
      <c r="O133" s="198">
        <v>1.7227722772277239</v>
      </c>
      <c r="P133" s="198">
        <v>0</v>
      </c>
      <c r="Q133" s="198">
        <v>0</v>
      </c>
      <c r="R133" s="198">
        <v>1.2475247524752482</v>
      </c>
      <c r="S133" s="198">
        <v>0.70297029702970315</v>
      </c>
      <c r="T133" s="198">
        <v>0.23762376237623764</v>
      </c>
      <c r="U133" s="198">
        <v>1.6831683168316842</v>
      </c>
      <c r="V133" s="198">
        <v>2.9900990099009923</v>
      </c>
      <c r="W133" s="196"/>
      <c r="X133" s="195" t="s">
        <v>194</v>
      </c>
      <c r="Y133" s="194" t="s">
        <v>276</v>
      </c>
      <c r="Z133" s="197" t="s">
        <v>196</v>
      </c>
      <c r="AA133" s="196" t="s">
        <v>213</v>
      </c>
      <c r="AB133" s="195" t="s">
        <v>194</v>
      </c>
      <c r="AC133" s="194" t="s">
        <v>276</v>
      </c>
      <c r="AD133" s="193" t="s">
        <v>196</v>
      </c>
      <c r="AE133" s="192">
        <v>43475</v>
      </c>
    </row>
    <row r="134" spans="1:31" ht="15.75" x14ac:dyDescent="0.25">
      <c r="A134" s="195" t="s">
        <v>52</v>
      </c>
      <c r="B134" s="195" t="s">
        <v>614</v>
      </c>
      <c r="C134" s="195" t="s">
        <v>615</v>
      </c>
      <c r="D134" s="195" t="s">
        <v>616</v>
      </c>
      <c r="E134" s="200">
        <v>939</v>
      </c>
      <c r="F134" s="195" t="s">
        <v>33</v>
      </c>
      <c r="G134" s="195" t="s">
        <v>553</v>
      </c>
      <c r="H134" s="195" t="s">
        <v>193</v>
      </c>
      <c r="I134" s="199">
        <v>11.6</v>
      </c>
      <c r="J134" s="198">
        <v>0</v>
      </c>
      <c r="K134" s="198">
        <v>0.8910891089108911</v>
      </c>
      <c r="L134" s="198">
        <v>2.3564356435643572</v>
      </c>
      <c r="M134" s="198">
        <v>0.38613861386138615</v>
      </c>
      <c r="N134" s="198">
        <v>3.3564356435643576</v>
      </c>
      <c r="O134" s="198">
        <v>0.2772277227722772</v>
      </c>
      <c r="P134" s="198">
        <v>0</v>
      </c>
      <c r="Q134" s="198">
        <v>0</v>
      </c>
      <c r="R134" s="198">
        <v>2.9306930693069315</v>
      </c>
      <c r="S134" s="198">
        <v>0.41584158415841588</v>
      </c>
      <c r="T134" s="198">
        <v>9.9009900990099011E-3</v>
      </c>
      <c r="U134" s="198">
        <v>0.2772277227722772</v>
      </c>
      <c r="V134" s="198">
        <v>2.4455445544554459</v>
      </c>
      <c r="W134" s="196"/>
      <c r="X134" s="195" t="s">
        <v>194</v>
      </c>
      <c r="Y134" s="194" t="s">
        <v>324</v>
      </c>
      <c r="Z134" s="197" t="s">
        <v>325</v>
      </c>
      <c r="AA134" s="196" t="s">
        <v>617</v>
      </c>
      <c r="AB134" s="195" t="s">
        <v>194</v>
      </c>
      <c r="AC134" s="194" t="s">
        <v>324</v>
      </c>
      <c r="AD134" s="193" t="s">
        <v>325</v>
      </c>
      <c r="AE134" s="192">
        <v>39241</v>
      </c>
    </row>
    <row r="135" spans="1:31" ht="15.75" x14ac:dyDescent="0.25">
      <c r="A135" s="195" t="s">
        <v>630</v>
      </c>
      <c r="B135" s="195" t="s">
        <v>631</v>
      </c>
      <c r="C135" s="195" t="s">
        <v>632</v>
      </c>
      <c r="D135" s="195" t="s">
        <v>513</v>
      </c>
      <c r="E135" s="200">
        <v>52401</v>
      </c>
      <c r="F135" s="195" t="s">
        <v>375</v>
      </c>
      <c r="G135" s="195" t="s">
        <v>275</v>
      </c>
      <c r="H135" s="195" t="s">
        <v>193</v>
      </c>
      <c r="I135" s="199">
        <v>14.961538461538501</v>
      </c>
      <c r="J135" s="198">
        <v>0.49504950495049505</v>
      </c>
      <c r="K135" s="198">
        <v>2.8514851485148522</v>
      </c>
      <c r="L135" s="198">
        <v>0</v>
      </c>
      <c r="M135" s="198">
        <v>1.9801980198019802E-2</v>
      </c>
      <c r="N135" s="198">
        <v>1.7227722772277234</v>
      </c>
      <c r="O135" s="198">
        <v>0.65346534653465349</v>
      </c>
      <c r="P135" s="198">
        <v>0.91089108910891103</v>
      </c>
      <c r="Q135" s="198">
        <v>7.9207920792079209E-2</v>
      </c>
      <c r="R135" s="198">
        <v>0.69306930693069313</v>
      </c>
      <c r="S135" s="198">
        <v>1.6534653465346536</v>
      </c>
      <c r="T135" s="198">
        <v>0.28712871287128716</v>
      </c>
      <c r="U135" s="198">
        <v>0.73267326732673266</v>
      </c>
      <c r="V135" s="198">
        <v>1.8613861386138617</v>
      </c>
      <c r="W135" s="196"/>
      <c r="X135" s="195" t="s">
        <v>194</v>
      </c>
      <c r="Y135" s="194" t="s">
        <v>324</v>
      </c>
      <c r="Z135" s="197" t="s">
        <v>345</v>
      </c>
      <c r="AA135" s="196" t="s">
        <v>633</v>
      </c>
      <c r="AB135" s="195" t="s">
        <v>194</v>
      </c>
      <c r="AC135" s="194" t="s">
        <v>324</v>
      </c>
      <c r="AD135" s="193" t="s">
        <v>345</v>
      </c>
      <c r="AE135" s="192">
        <v>43041</v>
      </c>
    </row>
    <row r="136" spans="1:31" ht="15.75" x14ac:dyDescent="0.25">
      <c r="A136" s="195" t="s">
        <v>651</v>
      </c>
      <c r="B136" s="195" t="s">
        <v>652</v>
      </c>
      <c r="C136" s="195" t="s">
        <v>653</v>
      </c>
      <c r="D136" s="195" t="s">
        <v>245</v>
      </c>
      <c r="E136" s="200">
        <v>98632</v>
      </c>
      <c r="F136" s="195" t="s">
        <v>246</v>
      </c>
      <c r="G136" s="195" t="s">
        <v>654</v>
      </c>
      <c r="H136" s="195" t="s">
        <v>193</v>
      </c>
      <c r="I136" s="199">
        <v>277</v>
      </c>
      <c r="J136" s="198">
        <v>0</v>
      </c>
      <c r="K136" s="198">
        <v>0</v>
      </c>
      <c r="L136" s="198">
        <v>1.7128712871287128</v>
      </c>
      <c r="M136" s="198">
        <v>1.4356435643564356</v>
      </c>
      <c r="N136" s="198">
        <v>2.7128712871287126</v>
      </c>
      <c r="O136" s="198">
        <v>0.43564356435643564</v>
      </c>
      <c r="P136" s="198">
        <v>0</v>
      </c>
      <c r="Q136" s="198">
        <v>0</v>
      </c>
      <c r="R136" s="198">
        <v>1.7128712871287128</v>
      </c>
      <c r="S136" s="198">
        <v>0</v>
      </c>
      <c r="T136" s="198">
        <v>1</v>
      </c>
      <c r="U136" s="198">
        <v>0.43564356435643564</v>
      </c>
      <c r="V136" s="198">
        <v>0.43564356435643564</v>
      </c>
      <c r="W136" s="196"/>
      <c r="X136" s="195" t="s">
        <v>194</v>
      </c>
      <c r="Y136" s="194" t="s">
        <v>655</v>
      </c>
      <c r="Z136" s="197" t="s">
        <v>198</v>
      </c>
      <c r="AA136" s="196" t="s">
        <v>489</v>
      </c>
      <c r="AB136" s="195" t="s">
        <v>221</v>
      </c>
      <c r="AC136" s="194"/>
      <c r="AD136" s="193"/>
      <c r="AE136" s="192"/>
    </row>
    <row r="137" spans="1:31" ht="15.75" x14ac:dyDescent="0.25">
      <c r="A137" s="195" t="s">
        <v>618</v>
      </c>
      <c r="B137" s="195" t="s">
        <v>619</v>
      </c>
      <c r="C137" s="195" t="s">
        <v>620</v>
      </c>
      <c r="D137" s="195" t="s">
        <v>621</v>
      </c>
      <c r="E137" s="200">
        <v>96950</v>
      </c>
      <c r="F137" s="195" t="s">
        <v>363</v>
      </c>
      <c r="G137" s="195" t="s">
        <v>275</v>
      </c>
      <c r="H137" s="195" t="s">
        <v>193</v>
      </c>
      <c r="I137" s="199">
        <v>145.80000000000001</v>
      </c>
      <c r="J137" s="198">
        <v>0</v>
      </c>
      <c r="K137" s="198">
        <v>1.0792079207920793</v>
      </c>
      <c r="L137" s="198">
        <v>0.73267326732673266</v>
      </c>
      <c r="M137" s="198">
        <v>0.87128712871287128</v>
      </c>
      <c r="N137" s="198">
        <v>2.386138613861386</v>
      </c>
      <c r="O137" s="198">
        <v>0</v>
      </c>
      <c r="P137" s="198">
        <v>0</v>
      </c>
      <c r="Q137" s="198">
        <v>0.29702970297029702</v>
      </c>
      <c r="R137" s="198">
        <v>1.9009900990099009</v>
      </c>
      <c r="S137" s="198">
        <v>0.48514851485148514</v>
      </c>
      <c r="T137" s="198">
        <v>0</v>
      </c>
      <c r="U137" s="198">
        <v>0.29702970297029702</v>
      </c>
      <c r="V137" s="198">
        <v>2.6831683168316833</v>
      </c>
      <c r="W137" s="196"/>
      <c r="X137" s="195" t="s">
        <v>221</v>
      </c>
      <c r="Y137" s="194"/>
      <c r="Z137" s="197"/>
      <c r="AA137" s="196"/>
      <c r="AB137" s="195" t="s">
        <v>221</v>
      </c>
      <c r="AC137" s="194"/>
      <c r="AD137" s="193"/>
      <c r="AE137" s="192"/>
    </row>
    <row r="138" spans="1:31" ht="15.75" x14ac:dyDescent="0.25">
      <c r="A138" s="195" t="s">
        <v>647</v>
      </c>
      <c r="B138" s="195" t="s">
        <v>648</v>
      </c>
      <c r="C138" s="195" t="s">
        <v>649</v>
      </c>
      <c r="D138" s="195" t="s">
        <v>513</v>
      </c>
      <c r="E138" s="200">
        <v>51501</v>
      </c>
      <c r="F138" s="195" t="s">
        <v>375</v>
      </c>
      <c r="G138" s="195" t="s">
        <v>275</v>
      </c>
      <c r="H138" s="195" t="s">
        <v>193</v>
      </c>
      <c r="I138" s="199">
        <v>14.8571428571429</v>
      </c>
      <c r="J138" s="198">
        <v>2.9702970297029702E-2</v>
      </c>
      <c r="K138" s="198">
        <v>5.9405940594059403E-2</v>
      </c>
      <c r="L138" s="198">
        <v>1.9207920792079212</v>
      </c>
      <c r="M138" s="198">
        <v>0.61386138613861385</v>
      </c>
      <c r="N138" s="198">
        <v>2.3861386138613865</v>
      </c>
      <c r="O138" s="198">
        <v>0.23762376237623764</v>
      </c>
      <c r="P138" s="198">
        <v>0</v>
      </c>
      <c r="Q138" s="198">
        <v>0</v>
      </c>
      <c r="R138" s="198">
        <v>0.198019801980198</v>
      </c>
      <c r="S138" s="198">
        <v>0.71287128712871284</v>
      </c>
      <c r="T138" s="198">
        <v>1.4752475247524752</v>
      </c>
      <c r="U138" s="198">
        <v>0.23762376237623764</v>
      </c>
      <c r="V138" s="198">
        <v>1.3762376237623766</v>
      </c>
      <c r="W138" s="196"/>
      <c r="X138" s="195" t="s">
        <v>194</v>
      </c>
      <c r="Y138" s="194" t="s">
        <v>324</v>
      </c>
      <c r="Z138" s="197" t="s">
        <v>345</v>
      </c>
      <c r="AA138" s="196" t="s">
        <v>650</v>
      </c>
      <c r="AB138" s="195" t="s">
        <v>194</v>
      </c>
      <c r="AC138" s="194" t="s">
        <v>324</v>
      </c>
      <c r="AD138" s="193" t="s">
        <v>345</v>
      </c>
      <c r="AE138" s="192">
        <v>42838</v>
      </c>
    </row>
    <row r="139" spans="1:31" ht="15.75" x14ac:dyDescent="0.25">
      <c r="A139" s="195" t="s">
        <v>634</v>
      </c>
      <c r="B139" s="195" t="s">
        <v>635</v>
      </c>
      <c r="C139" s="195" t="s">
        <v>636</v>
      </c>
      <c r="D139" s="195" t="s">
        <v>637</v>
      </c>
      <c r="E139" s="200">
        <v>25309</v>
      </c>
      <c r="F139" s="195" t="s">
        <v>330</v>
      </c>
      <c r="G139" s="195" t="s">
        <v>275</v>
      </c>
      <c r="H139" s="195" t="s">
        <v>193</v>
      </c>
      <c r="I139" s="199">
        <v>6.6857142857142904</v>
      </c>
      <c r="J139" s="198">
        <v>0.26732673267326734</v>
      </c>
      <c r="K139" s="198">
        <v>0.75247524752475248</v>
      </c>
      <c r="L139" s="198">
        <v>1.0990099009900991</v>
      </c>
      <c r="M139" s="198">
        <v>0.22772277227722776</v>
      </c>
      <c r="N139" s="198">
        <v>1.6534653465346543</v>
      </c>
      <c r="O139" s="198">
        <v>0.69306930693069302</v>
      </c>
      <c r="P139" s="198">
        <v>0</v>
      </c>
      <c r="Q139" s="198">
        <v>0</v>
      </c>
      <c r="R139" s="198">
        <v>1.3366336633663374</v>
      </c>
      <c r="S139" s="198">
        <v>7.9207920792079209E-2</v>
      </c>
      <c r="T139" s="198">
        <v>0.23762376237623761</v>
      </c>
      <c r="U139" s="198">
        <v>0.69306930693069302</v>
      </c>
      <c r="V139" s="198">
        <v>1.8514851485148522</v>
      </c>
      <c r="W139" s="196"/>
      <c r="X139" s="195" t="s">
        <v>579</v>
      </c>
      <c r="Y139" s="194" t="s">
        <v>324</v>
      </c>
      <c r="Z139" s="197" t="s">
        <v>345</v>
      </c>
      <c r="AA139" s="196" t="s">
        <v>638</v>
      </c>
      <c r="AB139" s="195" t="s">
        <v>579</v>
      </c>
      <c r="AC139" s="194" t="s">
        <v>324</v>
      </c>
      <c r="AD139" s="193" t="s">
        <v>345</v>
      </c>
      <c r="AE139" s="192">
        <v>42996</v>
      </c>
    </row>
    <row r="140" spans="1:31" ht="15.75" x14ac:dyDescent="0.25">
      <c r="A140" s="195" t="s">
        <v>850</v>
      </c>
      <c r="B140" s="195" t="s">
        <v>849</v>
      </c>
      <c r="C140" s="195" t="s">
        <v>848</v>
      </c>
      <c r="D140" s="195" t="s">
        <v>409</v>
      </c>
      <c r="E140" s="200">
        <v>73075</v>
      </c>
      <c r="F140" s="195" t="s">
        <v>297</v>
      </c>
      <c r="G140" s="195" t="s">
        <v>219</v>
      </c>
      <c r="H140" s="195" t="s">
        <v>193</v>
      </c>
      <c r="I140" s="199">
        <v>1.4255319148936201</v>
      </c>
      <c r="J140" s="198">
        <v>0.84158415841584211</v>
      </c>
      <c r="K140" s="198">
        <v>0.81188118811881216</v>
      </c>
      <c r="L140" s="198">
        <v>0.39603960396039617</v>
      </c>
      <c r="M140" s="198">
        <v>0.21782178217821785</v>
      </c>
      <c r="N140" s="198">
        <v>0.9405940594059411</v>
      </c>
      <c r="O140" s="198">
        <v>1.267326732673268</v>
      </c>
      <c r="P140" s="198">
        <v>1.9801980198019802E-2</v>
      </c>
      <c r="Q140" s="198">
        <v>3.9603960396039604E-2</v>
      </c>
      <c r="R140" s="198">
        <v>0.31683168316831689</v>
      </c>
      <c r="S140" s="198">
        <v>0.23762376237623764</v>
      </c>
      <c r="T140" s="198">
        <v>0.40594059405940608</v>
      </c>
      <c r="U140" s="198">
        <v>1.3069306930693076</v>
      </c>
      <c r="V140" s="198">
        <v>0.74257425742574301</v>
      </c>
      <c r="W140" s="196"/>
      <c r="X140" s="195" t="s">
        <v>579</v>
      </c>
      <c r="Y140" s="194" t="s">
        <v>324</v>
      </c>
      <c r="Z140" s="197" t="s">
        <v>345</v>
      </c>
      <c r="AA140" s="196" t="s">
        <v>847</v>
      </c>
      <c r="AB140" s="195" t="s">
        <v>579</v>
      </c>
      <c r="AC140" s="194" t="s">
        <v>324</v>
      </c>
      <c r="AD140" s="193" t="s">
        <v>345</v>
      </c>
      <c r="AE140" s="192">
        <v>42566</v>
      </c>
    </row>
    <row r="141" spans="1:31" ht="15.75" x14ac:dyDescent="0.25">
      <c r="A141" s="195" t="s">
        <v>669</v>
      </c>
      <c r="B141" s="195" t="s">
        <v>670</v>
      </c>
      <c r="C141" s="195" t="s">
        <v>671</v>
      </c>
      <c r="D141" s="195" t="s">
        <v>206</v>
      </c>
      <c r="E141" s="200">
        <v>78562</v>
      </c>
      <c r="F141" s="195" t="s">
        <v>207</v>
      </c>
      <c r="G141" s="195" t="s">
        <v>275</v>
      </c>
      <c r="H141" s="195" t="s">
        <v>193</v>
      </c>
      <c r="I141" s="199">
        <v>1.45</v>
      </c>
      <c r="J141" s="198">
        <v>1.3861386138613865</v>
      </c>
      <c r="K141" s="198">
        <v>0.26732673267326734</v>
      </c>
      <c r="L141" s="198">
        <v>9.9009900990099001E-2</v>
      </c>
      <c r="M141" s="198">
        <v>0.12871287128712872</v>
      </c>
      <c r="N141" s="198">
        <v>1.8712871287128721</v>
      </c>
      <c r="O141" s="198">
        <v>0</v>
      </c>
      <c r="P141" s="198">
        <v>9.9009900990099011E-3</v>
      </c>
      <c r="Q141" s="198">
        <v>0</v>
      </c>
      <c r="R141" s="198">
        <v>0.6435643564356438</v>
      </c>
      <c r="S141" s="198">
        <v>1.217821782178218</v>
      </c>
      <c r="T141" s="198">
        <v>1.9801980198019802E-2</v>
      </c>
      <c r="U141" s="198">
        <v>0</v>
      </c>
      <c r="V141" s="198">
        <v>1.8514851485148522</v>
      </c>
      <c r="W141" s="196"/>
      <c r="X141" s="195" t="s">
        <v>194</v>
      </c>
      <c r="Y141" s="194" t="s">
        <v>324</v>
      </c>
      <c r="Z141" s="197" t="s">
        <v>345</v>
      </c>
      <c r="AA141" s="196" t="s">
        <v>846</v>
      </c>
      <c r="AB141" s="195" t="s">
        <v>194</v>
      </c>
      <c r="AC141" s="194" t="s">
        <v>324</v>
      </c>
      <c r="AD141" s="193" t="s">
        <v>345</v>
      </c>
      <c r="AE141" s="192">
        <v>43714</v>
      </c>
    </row>
    <row r="142" spans="1:31" ht="15.75" x14ac:dyDescent="0.25">
      <c r="A142" s="195" t="s">
        <v>640</v>
      </c>
      <c r="B142" s="195" t="s">
        <v>641</v>
      </c>
      <c r="C142" s="195" t="s">
        <v>642</v>
      </c>
      <c r="D142" s="195" t="s">
        <v>643</v>
      </c>
      <c r="E142" s="200">
        <v>83318</v>
      </c>
      <c r="F142" s="195" t="s">
        <v>417</v>
      </c>
      <c r="G142" s="195" t="s">
        <v>219</v>
      </c>
      <c r="H142" s="195" t="s">
        <v>193</v>
      </c>
      <c r="I142" s="199">
        <v>3.1960784313725501</v>
      </c>
      <c r="J142" s="198">
        <v>0.42574257425742579</v>
      </c>
      <c r="K142" s="198">
        <v>0.87128712871287139</v>
      </c>
      <c r="L142" s="198">
        <v>0.48514851485148519</v>
      </c>
      <c r="M142" s="198">
        <v>3.9603960396039604E-2</v>
      </c>
      <c r="N142" s="198">
        <v>1.267326732673268</v>
      </c>
      <c r="O142" s="198">
        <v>0.47524752475247528</v>
      </c>
      <c r="P142" s="198">
        <v>7.9207920792079209E-2</v>
      </c>
      <c r="Q142" s="198">
        <v>0</v>
      </c>
      <c r="R142" s="198">
        <v>0.45544554455445546</v>
      </c>
      <c r="S142" s="198">
        <v>0.29702970297029707</v>
      </c>
      <c r="T142" s="198">
        <v>0.59405940594059414</v>
      </c>
      <c r="U142" s="198">
        <v>0.47524752475247528</v>
      </c>
      <c r="V142" s="198">
        <v>0.91089108910891126</v>
      </c>
      <c r="W142" s="196"/>
      <c r="X142" s="195" t="s">
        <v>579</v>
      </c>
      <c r="Y142" s="194" t="s">
        <v>324</v>
      </c>
      <c r="Z142" s="197" t="s">
        <v>345</v>
      </c>
      <c r="AA142" s="196" t="s">
        <v>644</v>
      </c>
      <c r="AB142" s="195" t="s">
        <v>579</v>
      </c>
      <c r="AC142" s="194" t="s">
        <v>324</v>
      </c>
      <c r="AD142" s="193" t="s">
        <v>345</v>
      </c>
      <c r="AE142" s="192">
        <v>42983</v>
      </c>
    </row>
    <row r="143" spans="1:31" ht="15.75" x14ac:dyDescent="0.25">
      <c r="A143" s="195" t="s">
        <v>48</v>
      </c>
      <c r="B143" s="195" t="s">
        <v>608</v>
      </c>
      <c r="C143" s="195" t="s">
        <v>609</v>
      </c>
      <c r="D143" s="195" t="s">
        <v>312</v>
      </c>
      <c r="E143" s="200">
        <v>33762</v>
      </c>
      <c r="F143" s="195" t="s">
        <v>33</v>
      </c>
      <c r="G143" s="195" t="s">
        <v>275</v>
      </c>
      <c r="H143" s="195" t="s">
        <v>193</v>
      </c>
      <c r="I143" s="199">
        <v>1.4462809917355399</v>
      </c>
      <c r="J143" s="198">
        <v>0.14851485148514851</v>
      </c>
      <c r="K143" s="198">
        <v>0.70297029702970337</v>
      </c>
      <c r="L143" s="198">
        <v>0.62376237623762409</v>
      </c>
      <c r="M143" s="198">
        <v>0.28712871287128716</v>
      </c>
      <c r="N143" s="198">
        <v>1.0000000000000007</v>
      </c>
      <c r="O143" s="198">
        <v>0.69306930693069346</v>
      </c>
      <c r="P143" s="198">
        <v>0</v>
      </c>
      <c r="Q143" s="198">
        <v>6.9306930693069299E-2</v>
      </c>
      <c r="R143" s="198">
        <v>0.27722772277227725</v>
      </c>
      <c r="S143" s="198">
        <v>0.34653465346534662</v>
      </c>
      <c r="T143" s="198">
        <v>0.36633663366336644</v>
      </c>
      <c r="U143" s="198">
        <v>0.77227722772277274</v>
      </c>
      <c r="V143" s="198">
        <v>0.90099009900990157</v>
      </c>
      <c r="W143" s="196"/>
      <c r="X143" s="195" t="s">
        <v>579</v>
      </c>
      <c r="Y143" s="194" t="s">
        <v>324</v>
      </c>
      <c r="Z143" s="197" t="s">
        <v>345</v>
      </c>
      <c r="AA143" s="196" t="s">
        <v>610</v>
      </c>
      <c r="AB143" s="195" t="s">
        <v>579</v>
      </c>
      <c r="AC143" s="194" t="s">
        <v>324</v>
      </c>
      <c r="AD143" s="193" t="s">
        <v>345</v>
      </c>
      <c r="AE143" s="192">
        <v>43019</v>
      </c>
    </row>
    <row r="144" spans="1:31" ht="15.75" x14ac:dyDescent="0.25">
      <c r="A144" s="195" t="s">
        <v>580</v>
      </c>
      <c r="B144" s="195" t="s">
        <v>581</v>
      </c>
      <c r="C144" s="195" t="s">
        <v>582</v>
      </c>
      <c r="D144" s="195" t="s">
        <v>583</v>
      </c>
      <c r="E144" s="200">
        <v>84321</v>
      </c>
      <c r="F144" s="195" t="s">
        <v>417</v>
      </c>
      <c r="G144" s="195" t="s">
        <v>275</v>
      </c>
      <c r="H144" s="195" t="s">
        <v>193</v>
      </c>
      <c r="I144" s="199">
        <v>3.92105263157895</v>
      </c>
      <c r="J144" s="198">
        <v>0.11881188118811881</v>
      </c>
      <c r="K144" s="198">
        <v>0.35643564356435642</v>
      </c>
      <c r="L144" s="198">
        <v>0.75247524752475259</v>
      </c>
      <c r="M144" s="198">
        <v>0.28712871287128711</v>
      </c>
      <c r="N144" s="198">
        <v>1.356435643564357</v>
      </c>
      <c r="O144" s="198">
        <v>0.13861386138613863</v>
      </c>
      <c r="P144" s="198">
        <v>0</v>
      </c>
      <c r="Q144" s="198">
        <v>1.9801980198019802E-2</v>
      </c>
      <c r="R144" s="198">
        <v>0.87128712871287139</v>
      </c>
      <c r="S144" s="198">
        <v>0.23762376237623764</v>
      </c>
      <c r="T144" s="198">
        <v>0.24752475247524755</v>
      </c>
      <c r="U144" s="198">
        <v>0.15841584158415842</v>
      </c>
      <c r="V144" s="198">
        <v>1.2079207920792083</v>
      </c>
      <c r="W144" s="196"/>
      <c r="X144" s="195" t="s">
        <v>194</v>
      </c>
      <c r="Y144" s="194" t="s">
        <v>324</v>
      </c>
      <c r="Z144" s="197" t="s">
        <v>345</v>
      </c>
      <c r="AA144" s="196" t="s">
        <v>584</v>
      </c>
      <c r="AB144" s="195" t="s">
        <v>194</v>
      </c>
      <c r="AC144" s="194" t="s">
        <v>324</v>
      </c>
      <c r="AD144" s="193" t="s">
        <v>522</v>
      </c>
      <c r="AE144" s="192">
        <v>42810</v>
      </c>
    </row>
    <row r="145" spans="1:31" ht="15.75" x14ac:dyDescent="0.25">
      <c r="A145" s="195" t="s">
        <v>672</v>
      </c>
      <c r="B145" s="195" t="s">
        <v>673</v>
      </c>
      <c r="C145" s="195" t="s">
        <v>674</v>
      </c>
      <c r="D145" s="195" t="s">
        <v>459</v>
      </c>
      <c r="E145" s="200">
        <v>40510</v>
      </c>
      <c r="F145" s="195" t="s">
        <v>40</v>
      </c>
      <c r="G145" s="195" t="s">
        <v>275</v>
      </c>
      <c r="H145" s="195" t="s">
        <v>193</v>
      </c>
      <c r="I145" s="199">
        <v>1.83544303797468</v>
      </c>
      <c r="J145" s="198">
        <v>0.18811881188118809</v>
      </c>
      <c r="K145" s="198">
        <v>0.52475247524752489</v>
      </c>
      <c r="L145" s="198">
        <v>0.4356435643564357</v>
      </c>
      <c r="M145" s="198">
        <v>0.30693069306930698</v>
      </c>
      <c r="N145" s="198">
        <v>0.75247524752475292</v>
      </c>
      <c r="O145" s="198">
        <v>0.68316831683168355</v>
      </c>
      <c r="P145" s="198">
        <v>1.9801980198019802E-2</v>
      </c>
      <c r="Q145" s="198">
        <v>0</v>
      </c>
      <c r="R145" s="198">
        <v>0.34653465346534651</v>
      </c>
      <c r="S145" s="198">
        <v>0.27722772277227725</v>
      </c>
      <c r="T145" s="198">
        <v>0.14851485148514851</v>
      </c>
      <c r="U145" s="198">
        <v>0.68316831683168355</v>
      </c>
      <c r="V145" s="198">
        <v>0.59405940594059436</v>
      </c>
      <c r="W145" s="196"/>
      <c r="X145" s="195" t="s">
        <v>579</v>
      </c>
      <c r="Y145" s="194" t="s">
        <v>324</v>
      </c>
      <c r="Z145" s="197" t="s">
        <v>345</v>
      </c>
      <c r="AA145" s="196" t="s">
        <v>675</v>
      </c>
      <c r="AB145" s="195" t="s">
        <v>579</v>
      </c>
      <c r="AC145" s="194" t="s">
        <v>324</v>
      </c>
      <c r="AD145" s="193" t="s">
        <v>345</v>
      </c>
      <c r="AE145" s="192">
        <v>42983</v>
      </c>
    </row>
    <row r="146" spans="1:31" ht="15.75" x14ac:dyDescent="0.25">
      <c r="A146" s="195" t="s">
        <v>845</v>
      </c>
      <c r="B146" s="195" t="s">
        <v>844</v>
      </c>
      <c r="C146" s="195" t="s">
        <v>843</v>
      </c>
      <c r="D146" s="195" t="s">
        <v>202</v>
      </c>
      <c r="E146" s="200">
        <v>30060</v>
      </c>
      <c r="F146" s="195" t="s">
        <v>203</v>
      </c>
      <c r="G146" s="195" t="s">
        <v>219</v>
      </c>
      <c r="H146" s="195" t="s">
        <v>193</v>
      </c>
      <c r="I146" s="199">
        <v>2.0491803278688501</v>
      </c>
      <c r="J146" s="198">
        <v>0.15841584158415845</v>
      </c>
      <c r="K146" s="198">
        <v>0.22772277227722773</v>
      </c>
      <c r="L146" s="198">
        <v>0.57425742574257455</v>
      </c>
      <c r="M146" s="198">
        <v>0.30693069306930698</v>
      </c>
      <c r="N146" s="198">
        <v>0.74257425742574301</v>
      </c>
      <c r="O146" s="198">
        <v>0.39603960396039617</v>
      </c>
      <c r="P146" s="198">
        <v>3.9603960396039604E-2</v>
      </c>
      <c r="Q146" s="198">
        <v>8.9108910891089105E-2</v>
      </c>
      <c r="R146" s="198">
        <v>0.37623762376237635</v>
      </c>
      <c r="S146" s="198">
        <v>0.26732673267326729</v>
      </c>
      <c r="T146" s="198">
        <v>0.13861386138613863</v>
      </c>
      <c r="U146" s="198">
        <v>0.48514851485148536</v>
      </c>
      <c r="V146" s="198">
        <v>0.46534653465346554</v>
      </c>
      <c r="W146" s="196"/>
      <c r="X146" s="195" t="s">
        <v>579</v>
      </c>
      <c r="Y146" s="194" t="s">
        <v>324</v>
      </c>
      <c r="Z146" s="197" t="s">
        <v>345</v>
      </c>
      <c r="AA146" s="196" t="s">
        <v>678</v>
      </c>
      <c r="AB146" s="195" t="s">
        <v>579</v>
      </c>
      <c r="AC146" s="194" t="s">
        <v>324</v>
      </c>
      <c r="AD146" s="193" t="s">
        <v>345</v>
      </c>
      <c r="AE146" s="192">
        <v>42993</v>
      </c>
    </row>
    <row r="147" spans="1:31" ht="15.75" x14ac:dyDescent="0.25">
      <c r="A147" s="195" t="s">
        <v>679</v>
      </c>
      <c r="B147" s="195" t="s">
        <v>680</v>
      </c>
      <c r="C147" s="195" t="s">
        <v>681</v>
      </c>
      <c r="D147" s="195" t="s">
        <v>545</v>
      </c>
      <c r="E147" s="200">
        <v>28429</v>
      </c>
      <c r="F147" s="195" t="s">
        <v>203</v>
      </c>
      <c r="G147" s="195" t="s">
        <v>219</v>
      </c>
      <c r="H147" s="195" t="s">
        <v>193</v>
      </c>
      <c r="I147" s="199">
        <v>2.1454545454545499</v>
      </c>
      <c r="J147" s="198">
        <v>0.40594059405940608</v>
      </c>
      <c r="K147" s="198">
        <v>0.23762376237623761</v>
      </c>
      <c r="L147" s="198">
        <v>0.43564356435643581</v>
      </c>
      <c r="M147" s="198">
        <v>7.9207920792079209E-2</v>
      </c>
      <c r="N147" s="198">
        <v>0.85148514851485202</v>
      </c>
      <c r="O147" s="198">
        <v>0.29702970297029707</v>
      </c>
      <c r="P147" s="198">
        <v>0</v>
      </c>
      <c r="Q147" s="198">
        <v>9.9009900990099011E-3</v>
      </c>
      <c r="R147" s="198">
        <v>0.28712871287128716</v>
      </c>
      <c r="S147" s="198">
        <v>0.27722772277227725</v>
      </c>
      <c r="T147" s="198">
        <v>0.28712871287128716</v>
      </c>
      <c r="U147" s="198">
        <v>0.30693069306930698</v>
      </c>
      <c r="V147" s="198">
        <v>0.4257425742574259</v>
      </c>
      <c r="W147" s="196"/>
      <c r="X147" s="195" t="s">
        <v>579</v>
      </c>
      <c r="Y147" s="194" t="s">
        <v>324</v>
      </c>
      <c r="Z147" s="197" t="s">
        <v>345</v>
      </c>
      <c r="AA147" s="196" t="s">
        <v>676</v>
      </c>
      <c r="AB147" s="195" t="s">
        <v>579</v>
      </c>
      <c r="AC147" s="194" t="s">
        <v>324</v>
      </c>
      <c r="AD147" s="193" t="s">
        <v>345</v>
      </c>
      <c r="AE147" s="192">
        <v>42629</v>
      </c>
    </row>
    <row r="148" spans="1:31" ht="15.75" x14ac:dyDescent="0.25">
      <c r="A148" s="204" t="s">
        <v>842</v>
      </c>
      <c r="B148" s="204" t="s">
        <v>841</v>
      </c>
      <c r="C148" s="204" t="s">
        <v>840</v>
      </c>
      <c r="D148" s="204" t="s">
        <v>682</v>
      </c>
      <c r="E148" s="209">
        <v>57078</v>
      </c>
      <c r="F148" s="204" t="s">
        <v>375</v>
      </c>
      <c r="G148" s="204" t="s">
        <v>275</v>
      </c>
      <c r="H148" s="204" t="s">
        <v>193</v>
      </c>
      <c r="I148" s="208">
        <v>2.8918918918918899</v>
      </c>
      <c r="J148" s="207">
        <v>0</v>
      </c>
      <c r="K148" s="207">
        <v>8.9108910891089105E-2</v>
      </c>
      <c r="L148" s="207">
        <v>0.54455445544554459</v>
      </c>
      <c r="M148" s="207">
        <v>0.3861386138613862</v>
      </c>
      <c r="N148" s="207">
        <v>0.83168316831683198</v>
      </c>
      <c r="O148" s="207">
        <v>0.18811881188118812</v>
      </c>
      <c r="P148" s="207">
        <v>0</v>
      </c>
      <c r="Q148" s="207">
        <v>0</v>
      </c>
      <c r="R148" s="207">
        <v>0.39603960396039606</v>
      </c>
      <c r="S148" s="207">
        <v>0.27722772277227725</v>
      </c>
      <c r="T148" s="207">
        <v>0.16831683168316833</v>
      </c>
      <c r="U148" s="207">
        <v>0.17821782178217824</v>
      </c>
      <c r="V148" s="207">
        <v>0.74257425742574301</v>
      </c>
      <c r="W148" s="205"/>
      <c r="X148" s="204" t="s">
        <v>579</v>
      </c>
      <c r="Y148" s="203" t="s">
        <v>324</v>
      </c>
      <c r="Z148" s="206" t="s">
        <v>345</v>
      </c>
      <c r="AA148" s="205" t="s">
        <v>677</v>
      </c>
      <c r="AB148" s="204" t="s">
        <v>579</v>
      </c>
      <c r="AC148" s="203" t="s">
        <v>324</v>
      </c>
      <c r="AD148" s="202" t="s">
        <v>345</v>
      </c>
      <c r="AE148" s="201">
        <v>42999</v>
      </c>
    </row>
    <row r="149" spans="1:31" ht="15.75" x14ac:dyDescent="0.25">
      <c r="A149" s="195" t="s">
        <v>664</v>
      </c>
      <c r="B149" s="195" t="s">
        <v>665</v>
      </c>
      <c r="C149" s="195" t="s">
        <v>666</v>
      </c>
      <c r="D149" s="195" t="s">
        <v>667</v>
      </c>
      <c r="E149" s="200">
        <v>72701</v>
      </c>
      <c r="F149" s="195" t="s">
        <v>218</v>
      </c>
      <c r="G149" s="195" t="s">
        <v>275</v>
      </c>
      <c r="H149" s="195" t="s">
        <v>193</v>
      </c>
      <c r="I149" s="199">
        <v>3.0909090909090899</v>
      </c>
      <c r="J149" s="198">
        <v>0.13861386138613863</v>
      </c>
      <c r="K149" s="198">
        <v>0.44554455445544566</v>
      </c>
      <c r="L149" s="198">
        <v>0.4356435643564357</v>
      </c>
      <c r="M149" s="198">
        <v>0</v>
      </c>
      <c r="N149" s="198">
        <v>0.63366336633663378</v>
      </c>
      <c r="O149" s="198">
        <v>0.3366336633663366</v>
      </c>
      <c r="P149" s="198">
        <v>4.9504950495049507E-2</v>
      </c>
      <c r="Q149" s="198">
        <v>0</v>
      </c>
      <c r="R149" s="198">
        <v>0.22772277227722773</v>
      </c>
      <c r="S149" s="198">
        <v>0.20792079207920794</v>
      </c>
      <c r="T149" s="198">
        <v>0.24752475247524752</v>
      </c>
      <c r="U149" s="198">
        <v>0.3366336633663366</v>
      </c>
      <c r="V149" s="198">
        <v>0.72277227722772297</v>
      </c>
      <c r="W149" s="196"/>
      <c r="X149" s="195" t="s">
        <v>579</v>
      </c>
      <c r="Y149" s="194" t="s">
        <v>324</v>
      </c>
      <c r="Z149" s="197" t="s">
        <v>345</v>
      </c>
      <c r="AA149" s="196" t="s">
        <v>668</v>
      </c>
      <c r="AB149" s="195" t="s">
        <v>194</v>
      </c>
      <c r="AC149" s="194" t="s">
        <v>324</v>
      </c>
      <c r="AD149" s="193" t="s">
        <v>325</v>
      </c>
      <c r="AE149" s="192">
        <v>40043</v>
      </c>
    </row>
    <row r="150" spans="1:31" ht="15.75" x14ac:dyDescent="0.25">
      <c r="A150" s="195" t="s">
        <v>839</v>
      </c>
      <c r="B150" s="195" t="s">
        <v>838</v>
      </c>
      <c r="C150" s="195" t="s">
        <v>837</v>
      </c>
      <c r="D150" s="195" t="s">
        <v>513</v>
      </c>
      <c r="E150" s="200">
        <v>50677</v>
      </c>
      <c r="F150" s="195" t="s">
        <v>375</v>
      </c>
      <c r="G150" s="195" t="s">
        <v>275</v>
      </c>
      <c r="H150" s="195" t="s">
        <v>193</v>
      </c>
      <c r="I150" s="199">
        <v>5.2777777777777803</v>
      </c>
      <c r="J150" s="198">
        <v>0.21782178217821782</v>
      </c>
      <c r="K150" s="198">
        <v>0.63366336633663378</v>
      </c>
      <c r="L150" s="198">
        <v>0.12871287128712872</v>
      </c>
      <c r="M150" s="198">
        <v>0</v>
      </c>
      <c r="N150" s="198">
        <v>0.79207920792079234</v>
      </c>
      <c r="O150" s="198">
        <v>0.18811881188118812</v>
      </c>
      <c r="P150" s="198">
        <v>0</v>
      </c>
      <c r="Q150" s="198">
        <v>0</v>
      </c>
      <c r="R150" s="198">
        <v>0.22772277227722773</v>
      </c>
      <c r="S150" s="198">
        <v>0.30693069306930698</v>
      </c>
      <c r="T150" s="198">
        <v>0.25742574257425743</v>
      </c>
      <c r="U150" s="198">
        <v>0.18811881188118812</v>
      </c>
      <c r="V150" s="198">
        <v>0.58415841584158423</v>
      </c>
      <c r="W150" s="196"/>
      <c r="X150" s="195" t="s">
        <v>579</v>
      </c>
      <c r="Y150" s="194" t="s">
        <v>324</v>
      </c>
      <c r="Z150" s="197" t="s">
        <v>345</v>
      </c>
      <c r="AA150" s="196" t="s">
        <v>836</v>
      </c>
      <c r="AB150" s="195" t="s">
        <v>194</v>
      </c>
      <c r="AC150" s="194" t="s">
        <v>324</v>
      </c>
      <c r="AD150" s="193" t="s">
        <v>367</v>
      </c>
      <c r="AE150" s="192">
        <v>42718</v>
      </c>
    </row>
    <row r="151" spans="1:31" ht="15.75" x14ac:dyDescent="0.25">
      <c r="A151" s="195" t="s">
        <v>835</v>
      </c>
      <c r="B151" s="195" t="s">
        <v>834</v>
      </c>
      <c r="C151" s="195" t="s">
        <v>833</v>
      </c>
      <c r="D151" s="195" t="s">
        <v>643</v>
      </c>
      <c r="E151" s="200">
        <v>83647</v>
      </c>
      <c r="F151" s="195" t="s">
        <v>417</v>
      </c>
      <c r="G151" s="195" t="s">
        <v>275</v>
      </c>
      <c r="H151" s="195" t="s">
        <v>193</v>
      </c>
      <c r="I151" s="199">
        <v>2.2916666666666701</v>
      </c>
      <c r="J151" s="198">
        <v>2.9702970297029702E-2</v>
      </c>
      <c r="K151" s="198">
        <v>0.10891089108910892</v>
      </c>
      <c r="L151" s="198">
        <v>0.30693069306930693</v>
      </c>
      <c r="M151" s="198">
        <v>0.45544554455445552</v>
      </c>
      <c r="N151" s="198">
        <v>0.83168316831683198</v>
      </c>
      <c r="O151" s="198">
        <v>4.9504950495049507E-2</v>
      </c>
      <c r="P151" s="198">
        <v>1.9801980198019802E-2</v>
      </c>
      <c r="Q151" s="198">
        <v>0</v>
      </c>
      <c r="R151" s="198">
        <v>0.48514851485148525</v>
      </c>
      <c r="S151" s="198">
        <v>0.24752475247524755</v>
      </c>
      <c r="T151" s="198">
        <v>0.11881188118811882</v>
      </c>
      <c r="U151" s="198">
        <v>4.9504950495049507E-2</v>
      </c>
      <c r="V151" s="198">
        <v>0.62376237623762387</v>
      </c>
      <c r="W151" s="196"/>
      <c r="X151" s="195" t="s">
        <v>579</v>
      </c>
      <c r="Y151" s="194" t="s">
        <v>324</v>
      </c>
      <c r="Z151" s="197" t="s">
        <v>345</v>
      </c>
      <c r="AA151" s="196" t="s">
        <v>644</v>
      </c>
      <c r="AB151" s="195" t="s">
        <v>579</v>
      </c>
      <c r="AC151" s="194" t="s">
        <v>324</v>
      </c>
      <c r="AD151" s="193" t="s">
        <v>345</v>
      </c>
      <c r="AE151" s="192">
        <v>42983</v>
      </c>
    </row>
    <row r="152" spans="1:31" ht="15.75" x14ac:dyDescent="0.25">
      <c r="A152" s="204" t="s">
        <v>47</v>
      </c>
      <c r="B152" s="204" t="s">
        <v>645</v>
      </c>
      <c r="C152" s="204" t="s">
        <v>646</v>
      </c>
      <c r="D152" s="204" t="s">
        <v>643</v>
      </c>
      <c r="E152" s="209">
        <v>83442</v>
      </c>
      <c r="F152" s="204" t="s">
        <v>417</v>
      </c>
      <c r="G152" s="204" t="s">
        <v>219</v>
      </c>
      <c r="H152" s="204" t="s">
        <v>193</v>
      </c>
      <c r="I152" s="208">
        <v>4.6666666666666696</v>
      </c>
      <c r="J152" s="207">
        <v>9.9009900990099015E-2</v>
      </c>
      <c r="K152" s="207">
        <v>0.1683168316831683</v>
      </c>
      <c r="L152" s="207">
        <v>0.15841584158415842</v>
      </c>
      <c r="M152" s="207">
        <v>0.42574257425742573</v>
      </c>
      <c r="N152" s="207">
        <v>0.6633663366336634</v>
      </c>
      <c r="O152" s="207">
        <v>2.9702970297029702E-2</v>
      </c>
      <c r="P152" s="207">
        <v>0.11881188118811882</v>
      </c>
      <c r="Q152" s="207">
        <v>3.9603960396039604E-2</v>
      </c>
      <c r="R152" s="207">
        <v>0.31683168316831684</v>
      </c>
      <c r="S152" s="207">
        <v>0.32673267326732675</v>
      </c>
      <c r="T152" s="207">
        <v>0.13861386138613863</v>
      </c>
      <c r="U152" s="207">
        <v>6.9306930693069313E-2</v>
      </c>
      <c r="V152" s="207">
        <v>0.39603960396039606</v>
      </c>
      <c r="W152" s="205"/>
      <c r="X152" s="204" t="s">
        <v>579</v>
      </c>
      <c r="Y152" s="203" t="s">
        <v>324</v>
      </c>
      <c r="Z152" s="206" t="s">
        <v>345</v>
      </c>
      <c r="AA152" s="205" t="s">
        <v>644</v>
      </c>
      <c r="AB152" s="204" t="s">
        <v>579</v>
      </c>
      <c r="AC152" s="203" t="s">
        <v>324</v>
      </c>
      <c r="AD152" s="202" t="s">
        <v>345</v>
      </c>
      <c r="AE152" s="201">
        <v>42983</v>
      </c>
    </row>
    <row r="153" spans="1:31" ht="15.75" x14ac:dyDescent="0.25">
      <c r="A153" s="195" t="s">
        <v>832</v>
      </c>
      <c r="B153" s="195" t="s">
        <v>831</v>
      </c>
      <c r="C153" s="195" t="s">
        <v>830</v>
      </c>
      <c r="D153" s="195" t="s">
        <v>206</v>
      </c>
      <c r="E153" s="200">
        <v>79401</v>
      </c>
      <c r="F153" s="195" t="s">
        <v>297</v>
      </c>
      <c r="G153" s="195" t="s">
        <v>275</v>
      </c>
      <c r="H153" s="195" t="s">
        <v>193</v>
      </c>
      <c r="I153" s="199">
        <v>1.62745098039216</v>
      </c>
      <c r="J153" s="198">
        <v>0.12871287128712872</v>
      </c>
      <c r="K153" s="198">
        <v>0.38613861386138632</v>
      </c>
      <c r="L153" s="198">
        <v>0.26732673267326734</v>
      </c>
      <c r="M153" s="198">
        <v>5.9405940594059403E-2</v>
      </c>
      <c r="N153" s="198">
        <v>0.46534653465346554</v>
      </c>
      <c r="O153" s="198">
        <v>0.35643564356435653</v>
      </c>
      <c r="P153" s="198">
        <v>9.9009900990099011E-3</v>
      </c>
      <c r="Q153" s="198">
        <v>9.9009900990099011E-3</v>
      </c>
      <c r="R153" s="198">
        <v>0.25742574257425743</v>
      </c>
      <c r="S153" s="198">
        <v>0.13861386138613863</v>
      </c>
      <c r="T153" s="198">
        <v>6.9306930693069313E-2</v>
      </c>
      <c r="U153" s="198">
        <v>0.37623762376237635</v>
      </c>
      <c r="V153" s="198">
        <v>0.39603960396039617</v>
      </c>
      <c r="W153" s="196"/>
      <c r="X153" s="195" t="s">
        <v>579</v>
      </c>
      <c r="Y153" s="194" t="s">
        <v>324</v>
      </c>
      <c r="Z153" s="197" t="s">
        <v>345</v>
      </c>
      <c r="AA153" s="196" t="s">
        <v>607</v>
      </c>
      <c r="AB153" s="195" t="s">
        <v>579</v>
      </c>
      <c r="AC153" s="194" t="s">
        <v>324</v>
      </c>
      <c r="AD153" s="193" t="s">
        <v>345</v>
      </c>
      <c r="AE153" s="192">
        <v>42580</v>
      </c>
    </row>
    <row r="154" spans="1:31" ht="15.75" x14ac:dyDescent="0.25">
      <c r="A154" s="195" t="s">
        <v>661</v>
      </c>
      <c r="B154" s="195" t="s">
        <v>662</v>
      </c>
      <c r="C154" s="195" t="s">
        <v>663</v>
      </c>
      <c r="D154" s="195" t="s">
        <v>658</v>
      </c>
      <c r="E154" s="200">
        <v>38049</v>
      </c>
      <c r="F154" s="195" t="s">
        <v>218</v>
      </c>
      <c r="G154" s="195" t="s">
        <v>275</v>
      </c>
      <c r="H154" s="195" t="s">
        <v>193</v>
      </c>
      <c r="I154" s="199">
        <v>2.13513513513514</v>
      </c>
      <c r="J154" s="198">
        <v>3.9603960396039604E-2</v>
      </c>
      <c r="K154" s="198">
        <v>0.38613861386138626</v>
      </c>
      <c r="L154" s="198">
        <v>0.37623762376237629</v>
      </c>
      <c r="M154" s="198">
        <v>0</v>
      </c>
      <c r="N154" s="198">
        <v>0.63366336633663389</v>
      </c>
      <c r="O154" s="198">
        <v>0.16831683168316836</v>
      </c>
      <c r="P154" s="198">
        <v>0</v>
      </c>
      <c r="Q154" s="198">
        <v>0</v>
      </c>
      <c r="R154" s="198">
        <v>0.3267326732673268</v>
      </c>
      <c r="S154" s="198">
        <v>0.14851485148514851</v>
      </c>
      <c r="T154" s="198">
        <v>0.15841584158415839</v>
      </c>
      <c r="U154" s="198">
        <v>0.16831683168316836</v>
      </c>
      <c r="V154" s="198">
        <v>0.45544554455445557</v>
      </c>
      <c r="W154" s="196"/>
      <c r="X154" s="195" t="s">
        <v>194</v>
      </c>
      <c r="Y154" s="194" t="s">
        <v>276</v>
      </c>
      <c r="Z154" s="197" t="s">
        <v>196</v>
      </c>
      <c r="AA154" s="196" t="s">
        <v>294</v>
      </c>
      <c r="AB154" s="195" t="s">
        <v>194</v>
      </c>
      <c r="AC154" s="194" t="s">
        <v>276</v>
      </c>
      <c r="AD154" s="193" t="s">
        <v>196</v>
      </c>
      <c r="AE154" s="192">
        <v>43482</v>
      </c>
    </row>
    <row r="155" spans="1:31" ht="15.75" x14ac:dyDescent="0.25">
      <c r="A155" s="195" t="s">
        <v>683</v>
      </c>
      <c r="B155" s="195" t="s">
        <v>684</v>
      </c>
      <c r="C155" s="195" t="s">
        <v>685</v>
      </c>
      <c r="D155" s="195" t="s">
        <v>329</v>
      </c>
      <c r="E155" s="200">
        <v>16503</v>
      </c>
      <c r="F155" s="195" t="s">
        <v>330</v>
      </c>
      <c r="G155" s="195" t="s">
        <v>275</v>
      </c>
      <c r="H155" s="195" t="s">
        <v>193</v>
      </c>
      <c r="I155" s="199">
        <v>16.399999999999999</v>
      </c>
      <c r="J155" s="198">
        <v>4.9504950495049507E-2</v>
      </c>
      <c r="K155" s="198">
        <v>0.69306930693069324</v>
      </c>
      <c r="L155" s="198">
        <v>0</v>
      </c>
      <c r="M155" s="198">
        <v>0</v>
      </c>
      <c r="N155" s="198">
        <v>0.25742574257425743</v>
      </c>
      <c r="O155" s="198">
        <v>0.37623762376237624</v>
      </c>
      <c r="P155" s="198">
        <v>0</v>
      </c>
      <c r="Q155" s="198">
        <v>0.10891089108910891</v>
      </c>
      <c r="R155" s="198">
        <v>0.25742574257425743</v>
      </c>
      <c r="S155" s="198">
        <v>0</v>
      </c>
      <c r="T155" s="198">
        <v>0</v>
      </c>
      <c r="U155" s="198">
        <v>0.48514851485148514</v>
      </c>
      <c r="V155" s="198">
        <v>0.61386138613861396</v>
      </c>
      <c r="W155" s="196"/>
      <c r="X155" s="195" t="s">
        <v>579</v>
      </c>
      <c r="Y155" s="194" t="s">
        <v>324</v>
      </c>
      <c r="Z155" s="197" t="s">
        <v>345</v>
      </c>
      <c r="AA155" s="196" t="s">
        <v>686</v>
      </c>
      <c r="AB155" s="195" t="s">
        <v>579</v>
      </c>
      <c r="AC155" s="194" t="s">
        <v>324</v>
      </c>
      <c r="AD155" s="193" t="s">
        <v>345</v>
      </c>
      <c r="AE155" s="192">
        <v>42961</v>
      </c>
    </row>
    <row r="156" spans="1:31" ht="15.75" x14ac:dyDescent="0.25">
      <c r="A156" s="195" t="s">
        <v>829</v>
      </c>
      <c r="B156" s="195" t="s">
        <v>828</v>
      </c>
      <c r="C156" s="195" t="s">
        <v>827</v>
      </c>
      <c r="D156" s="195" t="s">
        <v>302</v>
      </c>
      <c r="E156" s="200">
        <v>8096</v>
      </c>
      <c r="F156" s="195" t="s">
        <v>303</v>
      </c>
      <c r="G156" s="195" t="s">
        <v>0</v>
      </c>
      <c r="H156" s="195" t="s">
        <v>193</v>
      </c>
      <c r="I156" s="199">
        <v>16</v>
      </c>
      <c r="J156" s="198">
        <v>0.6732673267326732</v>
      </c>
      <c r="K156" s="198">
        <v>0</v>
      </c>
      <c r="L156" s="198">
        <v>0</v>
      </c>
      <c r="M156" s="198">
        <v>0</v>
      </c>
      <c r="N156" s="198">
        <v>0</v>
      </c>
      <c r="O156" s="198">
        <v>0.3366336633663366</v>
      </c>
      <c r="P156" s="198">
        <v>0</v>
      </c>
      <c r="Q156" s="198">
        <v>0.3366336633663366</v>
      </c>
      <c r="R156" s="198">
        <v>0</v>
      </c>
      <c r="S156" s="198">
        <v>0</v>
      </c>
      <c r="T156" s="198">
        <v>0</v>
      </c>
      <c r="U156" s="198">
        <v>0.6732673267326732</v>
      </c>
      <c r="V156" s="198">
        <v>0</v>
      </c>
      <c r="W156" s="196"/>
      <c r="X156" s="195" t="s">
        <v>221</v>
      </c>
      <c r="Y156" s="194"/>
      <c r="Z156" s="197"/>
      <c r="AA156" s="196"/>
      <c r="AB156" s="195" t="s">
        <v>221</v>
      </c>
      <c r="AC156" s="194"/>
      <c r="AD156" s="193"/>
      <c r="AE156" s="192"/>
    </row>
    <row r="157" spans="1:31" ht="15.75" x14ac:dyDescent="0.25">
      <c r="A157" s="195" t="s">
        <v>826</v>
      </c>
      <c r="B157" s="195" t="s">
        <v>825</v>
      </c>
      <c r="C157" s="195" t="s">
        <v>824</v>
      </c>
      <c r="D157" s="195" t="s">
        <v>374</v>
      </c>
      <c r="E157" s="200">
        <v>55082</v>
      </c>
      <c r="F157" s="195" t="s">
        <v>375</v>
      </c>
      <c r="G157" s="195" t="s">
        <v>275</v>
      </c>
      <c r="H157" s="195" t="s">
        <v>193</v>
      </c>
      <c r="I157" s="199">
        <v>1.93333333333333</v>
      </c>
      <c r="J157" s="198">
        <v>3.9603960396039604E-2</v>
      </c>
      <c r="K157" s="198">
        <v>0</v>
      </c>
      <c r="L157" s="198">
        <v>0.52475247524752477</v>
      </c>
      <c r="M157" s="198">
        <v>3.9603960396039604E-2</v>
      </c>
      <c r="N157" s="198">
        <v>0.2772277227722772</v>
      </c>
      <c r="O157" s="198">
        <v>0.11881188118811881</v>
      </c>
      <c r="P157" s="198">
        <v>0.12871287128712872</v>
      </c>
      <c r="Q157" s="198">
        <v>7.9207920792079195E-2</v>
      </c>
      <c r="R157" s="198">
        <v>0.21782178217821785</v>
      </c>
      <c r="S157" s="198">
        <v>9.9009900990099011E-3</v>
      </c>
      <c r="T157" s="198">
        <v>0.17821782178217821</v>
      </c>
      <c r="U157" s="198">
        <v>0.19801980198019803</v>
      </c>
      <c r="V157" s="198">
        <v>0.41584158415841582</v>
      </c>
      <c r="W157" s="196"/>
      <c r="X157" s="195" t="s">
        <v>194</v>
      </c>
      <c r="Y157" s="194" t="s">
        <v>324</v>
      </c>
      <c r="Z157" s="197" t="s">
        <v>325</v>
      </c>
      <c r="AA157" s="196" t="s">
        <v>823</v>
      </c>
      <c r="AB157" s="195" t="s">
        <v>194</v>
      </c>
      <c r="AC157" s="194" t="s">
        <v>324</v>
      </c>
      <c r="AD157" s="193" t="s">
        <v>325</v>
      </c>
      <c r="AE157" s="192">
        <v>39042</v>
      </c>
    </row>
    <row r="158" spans="1:31" ht="15.75" x14ac:dyDescent="0.25">
      <c r="A158" s="195" t="s">
        <v>822</v>
      </c>
      <c r="B158" s="195" t="s">
        <v>821</v>
      </c>
      <c r="C158" s="195" t="s">
        <v>820</v>
      </c>
      <c r="D158" s="195" t="s">
        <v>396</v>
      </c>
      <c r="E158" s="200">
        <v>61061</v>
      </c>
      <c r="F158" s="195" t="s">
        <v>40</v>
      </c>
      <c r="G158" s="195" t="s">
        <v>275</v>
      </c>
      <c r="H158" s="195" t="s">
        <v>193</v>
      </c>
      <c r="I158" s="199">
        <v>2.0952380952380998</v>
      </c>
      <c r="J158" s="198">
        <v>3.9603960396039604E-2</v>
      </c>
      <c r="K158" s="198">
        <v>3.9603960396039604E-2</v>
      </c>
      <c r="L158" s="198">
        <v>0.24752475247524752</v>
      </c>
      <c r="M158" s="198">
        <v>0.18811881188118812</v>
      </c>
      <c r="N158" s="198">
        <v>0.31683168316831689</v>
      </c>
      <c r="O158" s="198">
        <v>5.9405940594059403E-2</v>
      </c>
      <c r="P158" s="198">
        <v>0.1386138613861386</v>
      </c>
      <c r="Q158" s="198">
        <v>0</v>
      </c>
      <c r="R158" s="198">
        <v>0.3267326732673268</v>
      </c>
      <c r="S158" s="198">
        <v>0.12871287128712872</v>
      </c>
      <c r="T158" s="198">
        <v>0</v>
      </c>
      <c r="U158" s="198">
        <v>5.9405940594059403E-2</v>
      </c>
      <c r="V158" s="198">
        <v>0.40594059405940597</v>
      </c>
      <c r="W158" s="196"/>
      <c r="X158" s="195" t="s">
        <v>221</v>
      </c>
      <c r="Y158" s="194"/>
      <c r="Z158" s="197"/>
      <c r="AA158" s="196" t="s">
        <v>335</v>
      </c>
      <c r="AB158" s="195" t="s">
        <v>221</v>
      </c>
      <c r="AC158" s="194"/>
      <c r="AD158" s="193"/>
      <c r="AE158" s="192"/>
    </row>
    <row r="159" spans="1:31" ht="15.75" x14ac:dyDescent="0.25">
      <c r="A159" s="195" t="s">
        <v>54</v>
      </c>
      <c r="B159" s="195" t="s">
        <v>656</v>
      </c>
      <c r="C159" s="195" t="s">
        <v>657</v>
      </c>
      <c r="D159" s="195" t="s">
        <v>658</v>
      </c>
      <c r="E159" s="200">
        <v>37918</v>
      </c>
      <c r="F159" s="195" t="s">
        <v>218</v>
      </c>
      <c r="G159" s="195" t="s">
        <v>275</v>
      </c>
      <c r="H159" s="195" t="s">
        <v>193</v>
      </c>
      <c r="I159" s="199">
        <v>1.8181818181818199</v>
      </c>
      <c r="J159" s="198">
        <v>1.9801980198019802E-2</v>
      </c>
      <c r="K159" s="198">
        <v>0.198019801980198</v>
      </c>
      <c r="L159" s="198">
        <v>9.9009900990099015E-2</v>
      </c>
      <c r="M159" s="198">
        <v>8.9108910891089119E-2</v>
      </c>
      <c r="N159" s="198">
        <v>0.21782178217821779</v>
      </c>
      <c r="O159" s="198">
        <v>0.16831683168316833</v>
      </c>
      <c r="P159" s="198">
        <v>0</v>
      </c>
      <c r="Q159" s="198">
        <v>1.9801980198019802E-2</v>
      </c>
      <c r="R159" s="198">
        <v>0.10891089108910891</v>
      </c>
      <c r="S159" s="198">
        <v>1.9801980198019802E-2</v>
      </c>
      <c r="T159" s="198">
        <v>8.9108910891089105E-2</v>
      </c>
      <c r="U159" s="198">
        <v>0.18811881188118812</v>
      </c>
      <c r="V159" s="198">
        <v>0.29702970297029707</v>
      </c>
      <c r="W159" s="196"/>
      <c r="X159" s="195" t="s">
        <v>579</v>
      </c>
      <c r="Y159" s="194" t="s">
        <v>324</v>
      </c>
      <c r="Z159" s="197" t="s">
        <v>345</v>
      </c>
      <c r="AA159" s="196" t="s">
        <v>639</v>
      </c>
      <c r="AB159" s="195" t="s">
        <v>221</v>
      </c>
      <c r="AC159" s="194"/>
      <c r="AD159" s="193"/>
      <c r="AE159" s="192"/>
    </row>
    <row r="160" spans="1:31" ht="15.75" x14ac:dyDescent="0.25">
      <c r="A160" s="195" t="s">
        <v>819</v>
      </c>
      <c r="B160" s="195" t="s">
        <v>818</v>
      </c>
      <c r="C160" s="195" t="s">
        <v>817</v>
      </c>
      <c r="D160" s="195" t="s">
        <v>495</v>
      </c>
      <c r="E160" s="200">
        <v>69101</v>
      </c>
      <c r="F160" s="195" t="s">
        <v>375</v>
      </c>
      <c r="G160" s="195" t="s">
        <v>219</v>
      </c>
      <c r="H160" s="195" t="s">
        <v>193</v>
      </c>
      <c r="I160" s="199">
        <v>3.3</v>
      </c>
      <c r="J160" s="198">
        <v>7.9207920792079209E-2</v>
      </c>
      <c r="K160" s="198">
        <v>0.17821782178217821</v>
      </c>
      <c r="L160" s="198">
        <v>7.9207920792079209E-2</v>
      </c>
      <c r="M160" s="198">
        <v>9.9009900990099011E-3</v>
      </c>
      <c r="N160" s="198">
        <v>0.26732673267326734</v>
      </c>
      <c r="O160" s="198">
        <v>7.9207920792079209E-2</v>
      </c>
      <c r="P160" s="198">
        <v>0</v>
      </c>
      <c r="Q160" s="198">
        <v>0</v>
      </c>
      <c r="R160" s="198">
        <v>9.9009900990099011E-3</v>
      </c>
      <c r="S160" s="198">
        <v>0.15841584158415842</v>
      </c>
      <c r="T160" s="198">
        <v>9.9009900990099015E-2</v>
      </c>
      <c r="U160" s="198">
        <v>7.9207920792079209E-2</v>
      </c>
      <c r="V160" s="198">
        <v>0.15841584158415842</v>
      </c>
      <c r="W160" s="196"/>
      <c r="X160" s="195" t="s">
        <v>221</v>
      </c>
      <c r="Y160" s="194"/>
      <c r="Z160" s="197"/>
      <c r="AA160" s="196"/>
      <c r="AB160" s="195" t="s">
        <v>221</v>
      </c>
      <c r="AC160" s="194"/>
      <c r="AD160" s="193"/>
      <c r="AE160" s="192"/>
    </row>
    <row r="161" spans="1:31" ht="15.75" x14ac:dyDescent="0.25">
      <c r="A161" s="195" t="s">
        <v>816</v>
      </c>
      <c r="B161" s="195" t="s">
        <v>815</v>
      </c>
      <c r="C161" s="195" t="s">
        <v>814</v>
      </c>
      <c r="D161" s="195" t="s">
        <v>312</v>
      </c>
      <c r="E161" s="200">
        <v>32927</v>
      </c>
      <c r="F161" s="195" t="s">
        <v>33</v>
      </c>
      <c r="G161" s="195" t="s">
        <v>0</v>
      </c>
      <c r="H161" s="195" t="s">
        <v>193</v>
      </c>
      <c r="I161" s="199"/>
      <c r="J161" s="198">
        <v>0.23762376237623761</v>
      </c>
      <c r="K161" s="198">
        <v>0</v>
      </c>
      <c r="L161" s="198">
        <v>0</v>
      </c>
      <c r="M161" s="198">
        <v>0</v>
      </c>
      <c r="N161" s="198">
        <v>0</v>
      </c>
      <c r="O161" s="198">
        <v>0.23762376237623761</v>
      </c>
      <c r="P161" s="198">
        <v>0</v>
      </c>
      <c r="Q161" s="198">
        <v>0</v>
      </c>
      <c r="R161" s="198">
        <v>0</v>
      </c>
      <c r="S161" s="198">
        <v>0</v>
      </c>
      <c r="T161" s="198">
        <v>0</v>
      </c>
      <c r="U161" s="198">
        <v>0.23762376237623761</v>
      </c>
      <c r="V161" s="198">
        <v>0</v>
      </c>
      <c r="W161" s="196"/>
      <c r="X161" s="195" t="s">
        <v>221</v>
      </c>
      <c r="Y161" s="194"/>
      <c r="Z161" s="197"/>
      <c r="AA161" s="196"/>
      <c r="AB161" s="195" t="s">
        <v>221</v>
      </c>
      <c r="AC161" s="194"/>
      <c r="AD161" s="193"/>
      <c r="AE161" s="192"/>
    </row>
    <row r="162" spans="1:31" ht="15.75" x14ac:dyDescent="0.25">
      <c r="A162" s="195" t="s">
        <v>813</v>
      </c>
      <c r="B162" s="195" t="s">
        <v>812</v>
      </c>
      <c r="C162" s="195" t="s">
        <v>811</v>
      </c>
      <c r="D162" s="195" t="s">
        <v>583</v>
      </c>
      <c r="E162" s="200">
        <v>84074</v>
      </c>
      <c r="F162" s="195" t="s">
        <v>417</v>
      </c>
      <c r="G162" s="195" t="s">
        <v>275</v>
      </c>
      <c r="H162" s="195" t="s">
        <v>193</v>
      </c>
      <c r="I162" s="199">
        <v>3</v>
      </c>
      <c r="J162" s="198">
        <v>0</v>
      </c>
      <c r="K162" s="198">
        <v>0</v>
      </c>
      <c r="L162" s="198">
        <v>2.9702970297029702E-2</v>
      </c>
      <c r="M162" s="198">
        <v>9.9009900990099011E-3</v>
      </c>
      <c r="N162" s="198">
        <v>3.9603960396039604E-2</v>
      </c>
      <c r="O162" s="198">
        <v>0</v>
      </c>
      <c r="P162" s="198">
        <v>0</v>
      </c>
      <c r="Q162" s="198">
        <v>0</v>
      </c>
      <c r="R162" s="198">
        <v>2.9702970297029702E-2</v>
      </c>
      <c r="S162" s="198">
        <v>0</v>
      </c>
      <c r="T162" s="198">
        <v>9.9009900990099011E-3</v>
      </c>
      <c r="U162" s="198">
        <v>0</v>
      </c>
      <c r="V162" s="198">
        <v>3.9603960396039604E-2</v>
      </c>
      <c r="W162" s="196"/>
      <c r="X162" s="195" t="s">
        <v>579</v>
      </c>
      <c r="Y162" s="194" t="s">
        <v>324</v>
      </c>
      <c r="Z162" s="197" t="s">
        <v>345</v>
      </c>
      <c r="AA162" s="196" t="s">
        <v>613</v>
      </c>
      <c r="AB162" s="195" t="s">
        <v>579</v>
      </c>
      <c r="AC162" s="194" t="s">
        <v>324</v>
      </c>
      <c r="AD162" s="193" t="s">
        <v>345</v>
      </c>
      <c r="AE162" s="192">
        <v>43028</v>
      </c>
    </row>
  </sheetData>
  <mergeCells count="15">
    <mergeCell ref="W5:AE5"/>
    <mergeCell ref="A4:V4"/>
    <mergeCell ref="J5:M5"/>
    <mergeCell ref="N5:Q5"/>
    <mergeCell ref="R5:U5"/>
    <mergeCell ref="A1:D1"/>
    <mergeCell ref="A2:D2"/>
    <mergeCell ref="A3:D3"/>
    <mergeCell ref="E3:H3"/>
    <mergeCell ref="I3:L3"/>
    <mergeCell ref="AC3:AE3"/>
    <mergeCell ref="M3:P3"/>
    <mergeCell ref="Q3:T3"/>
    <mergeCell ref="U3:X3"/>
    <mergeCell ref="Y3:AB3"/>
  </mergeCells>
  <conditionalFormatting sqref="AE7">
    <cfRule type="cellIs" dxfId="63"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topLeftCell="B43" zoomScaleNormal="100" workbookViewId="0">
      <selection activeCell="B94" sqref="B94"/>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16" t="s">
        <v>56</v>
      </c>
      <c r="B1" s="216"/>
      <c r="C1" s="216"/>
      <c r="D1" s="216"/>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1:31" s="11" customFormat="1" ht="74.25" customHeight="1" x14ac:dyDescent="0.25">
      <c r="A2" s="217" t="s">
        <v>57</v>
      </c>
      <c r="B2" s="217"/>
      <c r="C2" s="217"/>
      <c r="D2" s="217"/>
      <c r="E2" s="26"/>
      <c r="F2" s="26"/>
      <c r="G2" s="26"/>
      <c r="H2" s="26"/>
      <c r="I2" s="26"/>
      <c r="J2" s="26"/>
      <c r="K2" s="26"/>
      <c r="L2" s="26"/>
      <c r="M2" s="26"/>
      <c r="N2" s="26"/>
      <c r="O2" s="26"/>
      <c r="P2" s="26"/>
      <c r="Q2" s="26"/>
      <c r="R2" s="26"/>
      <c r="S2" s="26"/>
      <c r="T2" s="26"/>
      <c r="U2" s="26"/>
      <c r="V2" s="26"/>
      <c r="W2" s="26"/>
      <c r="X2" s="26"/>
      <c r="Y2" s="26"/>
      <c r="Z2" s="26"/>
      <c r="AA2" s="26"/>
      <c r="AB2" s="26"/>
      <c r="AC2" s="26"/>
      <c r="AD2" s="26"/>
      <c r="AE2" s="26"/>
    </row>
    <row r="3" spans="1:31" s="11" customFormat="1" ht="48.6" customHeight="1" thickBot="1" x14ac:dyDescent="0.3">
      <c r="A3" s="55" t="s">
        <v>721</v>
      </c>
      <c r="B3" s="55"/>
      <c r="C3" s="60"/>
      <c r="D3" s="60"/>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row>
    <row r="4" spans="1:31" ht="18.75" x14ac:dyDescent="0.25">
      <c r="A4" s="166" t="s">
        <v>127</v>
      </c>
      <c r="B4" s="167" t="s">
        <v>128</v>
      </c>
    </row>
    <row r="5" spans="1:31" ht="15.75" x14ac:dyDescent="0.25">
      <c r="A5" s="168" t="s">
        <v>58</v>
      </c>
      <c r="B5" s="169" t="s">
        <v>59</v>
      </c>
    </row>
    <row r="6" spans="1:31" ht="15.75" x14ac:dyDescent="0.25">
      <c r="A6" s="168" t="s">
        <v>60</v>
      </c>
      <c r="B6" s="169" t="s">
        <v>61</v>
      </c>
    </row>
    <row r="7" spans="1:31" ht="15.75" x14ac:dyDescent="0.25">
      <c r="A7" s="168" t="s">
        <v>62</v>
      </c>
      <c r="B7" s="169" t="s">
        <v>63</v>
      </c>
    </row>
    <row r="8" spans="1:31" ht="15.75" x14ac:dyDescent="0.25">
      <c r="A8" s="168" t="s">
        <v>64</v>
      </c>
      <c r="B8" s="169" t="s">
        <v>65</v>
      </c>
    </row>
    <row r="9" spans="1:31" ht="15.75" x14ac:dyDescent="0.25">
      <c r="A9" s="168" t="s">
        <v>4</v>
      </c>
      <c r="B9" s="169" t="s">
        <v>66</v>
      </c>
    </row>
    <row r="10" spans="1:31" ht="15.75" x14ac:dyDescent="0.25">
      <c r="A10" s="168" t="s">
        <v>67</v>
      </c>
      <c r="B10" s="169" t="s">
        <v>68</v>
      </c>
    </row>
    <row r="11" spans="1:31" ht="15.75" x14ac:dyDescent="0.25">
      <c r="A11" s="168" t="s">
        <v>69</v>
      </c>
      <c r="B11" s="169" t="s">
        <v>70</v>
      </c>
    </row>
    <row r="12" spans="1:31" ht="15.75" x14ac:dyDescent="0.25">
      <c r="A12" s="168" t="s">
        <v>71</v>
      </c>
      <c r="B12" s="169" t="s">
        <v>72</v>
      </c>
      <c r="Z12" s="59"/>
    </row>
    <row r="13" spans="1:31" ht="47.25" x14ac:dyDescent="0.25">
      <c r="A13" s="168" t="s">
        <v>73</v>
      </c>
      <c r="B13" s="169" t="s">
        <v>74</v>
      </c>
    </row>
    <row r="14" spans="1:31" ht="47.25" x14ac:dyDescent="0.25">
      <c r="A14" s="168" t="s">
        <v>76</v>
      </c>
      <c r="B14" s="169" t="s">
        <v>77</v>
      </c>
    </row>
    <row r="15" spans="1:31" ht="15.75" x14ac:dyDescent="0.25">
      <c r="A15" s="168" t="s">
        <v>78</v>
      </c>
      <c r="B15" s="169" t="s">
        <v>79</v>
      </c>
    </row>
    <row r="16" spans="1:31" ht="47.25" customHeight="1" x14ac:dyDescent="0.25">
      <c r="A16" s="280" t="s">
        <v>80</v>
      </c>
      <c r="B16" s="169" t="s">
        <v>81</v>
      </c>
    </row>
    <row r="17" spans="1:2" ht="47.25" x14ac:dyDescent="0.25">
      <c r="A17" s="280"/>
      <c r="B17" s="169" t="s">
        <v>82</v>
      </c>
    </row>
    <row r="18" spans="1:2" ht="47.1" customHeight="1" x14ac:dyDescent="0.25">
      <c r="A18" s="278" t="s">
        <v>729</v>
      </c>
      <c r="B18" s="169" t="s">
        <v>730</v>
      </c>
    </row>
    <row r="19" spans="1:2" ht="47.25" x14ac:dyDescent="0.25">
      <c r="A19" s="279"/>
      <c r="B19" s="169" t="s">
        <v>731</v>
      </c>
    </row>
    <row r="20" spans="1:2" ht="15.75" x14ac:dyDescent="0.25">
      <c r="A20" s="168" t="s">
        <v>83</v>
      </c>
      <c r="B20" s="169" t="s">
        <v>84</v>
      </c>
    </row>
    <row r="21" spans="1:2" ht="15.75" x14ac:dyDescent="0.25">
      <c r="A21" s="168" t="s">
        <v>85</v>
      </c>
      <c r="B21" s="169" t="s">
        <v>86</v>
      </c>
    </row>
    <row r="22" spans="1:2" ht="15.75" x14ac:dyDescent="0.25">
      <c r="A22" s="168" t="s">
        <v>87</v>
      </c>
      <c r="B22" s="169" t="s">
        <v>88</v>
      </c>
    </row>
    <row r="23" spans="1:2" ht="15.75" x14ac:dyDescent="0.25">
      <c r="A23" s="168" t="s">
        <v>89</v>
      </c>
      <c r="B23" s="169" t="s">
        <v>90</v>
      </c>
    </row>
    <row r="24" spans="1:2" ht="47.25" x14ac:dyDescent="0.25">
      <c r="A24" s="168" t="s">
        <v>91</v>
      </c>
      <c r="B24" s="169" t="s">
        <v>92</v>
      </c>
    </row>
    <row r="25" spans="1:2" ht="31.5" x14ac:dyDescent="0.25">
      <c r="A25" s="168" t="s">
        <v>93</v>
      </c>
      <c r="B25" s="169" t="s">
        <v>94</v>
      </c>
    </row>
    <row r="26" spans="1:2" ht="15.75" x14ac:dyDescent="0.25">
      <c r="A26" s="168" t="s">
        <v>95</v>
      </c>
      <c r="B26" s="169" t="s">
        <v>96</v>
      </c>
    </row>
    <row r="27" spans="1:2" ht="15.75" x14ac:dyDescent="0.25">
      <c r="A27" s="168" t="s">
        <v>97</v>
      </c>
      <c r="B27" s="169" t="s">
        <v>98</v>
      </c>
    </row>
    <row r="28" spans="1:2" ht="15.75" x14ac:dyDescent="0.25">
      <c r="A28" s="168" t="s">
        <v>99</v>
      </c>
      <c r="B28" s="169" t="s">
        <v>100</v>
      </c>
    </row>
    <row r="29" spans="1:2" ht="31.5" x14ac:dyDescent="0.25">
      <c r="A29" s="168" t="s">
        <v>101</v>
      </c>
      <c r="B29" s="169" t="s">
        <v>102</v>
      </c>
    </row>
    <row r="30" spans="1:2" ht="15.75" x14ac:dyDescent="0.25">
      <c r="A30" s="168" t="s">
        <v>103</v>
      </c>
      <c r="B30" s="169" t="s">
        <v>104</v>
      </c>
    </row>
    <row r="31" spans="1:2" ht="15.75" x14ac:dyDescent="0.25">
      <c r="A31" s="168" t="s">
        <v>2</v>
      </c>
      <c r="B31" s="169" t="s">
        <v>105</v>
      </c>
    </row>
    <row r="32" spans="1:2" ht="31.5" x14ac:dyDescent="0.25">
      <c r="A32" s="170" t="s">
        <v>763</v>
      </c>
      <c r="B32" s="171" t="s">
        <v>106</v>
      </c>
    </row>
    <row r="33" spans="1:2" ht="15.75" x14ac:dyDescent="0.25">
      <c r="A33" s="168" t="s">
        <v>3</v>
      </c>
      <c r="B33" s="169" t="s">
        <v>107</v>
      </c>
    </row>
    <row r="34" spans="1:2" ht="31.5" x14ac:dyDescent="0.25">
      <c r="A34" s="168" t="s">
        <v>109</v>
      </c>
      <c r="B34" s="169" t="s">
        <v>110</v>
      </c>
    </row>
    <row r="35" spans="1:2" ht="15.75" x14ac:dyDescent="0.25">
      <c r="A35" s="168" t="s">
        <v>111</v>
      </c>
      <c r="B35" s="169" t="s">
        <v>112</v>
      </c>
    </row>
    <row r="36" spans="1:2" ht="31.5" x14ac:dyDescent="0.25">
      <c r="A36" s="168" t="s">
        <v>113</v>
      </c>
      <c r="B36" s="169" t="s">
        <v>114</v>
      </c>
    </row>
    <row r="37" spans="1:2" ht="15.75" x14ac:dyDescent="0.25">
      <c r="A37" s="168" t="s">
        <v>115</v>
      </c>
      <c r="B37" s="169" t="s">
        <v>732</v>
      </c>
    </row>
    <row r="38" spans="1:2" ht="15.75" x14ac:dyDescent="0.25">
      <c r="A38" s="168" t="s">
        <v>26</v>
      </c>
      <c r="B38" s="169" t="s">
        <v>733</v>
      </c>
    </row>
    <row r="39" spans="1:2" ht="15.75" x14ac:dyDescent="0.25">
      <c r="A39" s="280" t="s">
        <v>116</v>
      </c>
      <c r="B39" s="169" t="s">
        <v>117</v>
      </c>
    </row>
    <row r="40" spans="1:2" ht="15.75" x14ac:dyDescent="0.25">
      <c r="A40" s="280"/>
      <c r="B40" s="169" t="s">
        <v>118</v>
      </c>
    </row>
    <row r="41" spans="1:2" ht="47.25" x14ac:dyDescent="0.25">
      <c r="A41" s="280"/>
      <c r="B41" s="169" t="s">
        <v>119</v>
      </c>
    </row>
    <row r="42" spans="1:2" ht="15.75" x14ac:dyDescent="0.25">
      <c r="A42" s="280"/>
      <c r="B42" s="169" t="s">
        <v>120</v>
      </c>
    </row>
    <row r="43" spans="1:2" ht="47.25" x14ac:dyDescent="0.25">
      <c r="A43" s="280"/>
      <c r="B43" s="169" t="s">
        <v>121</v>
      </c>
    </row>
    <row r="44" spans="1:2" ht="15.75" x14ac:dyDescent="0.25">
      <c r="A44" s="280"/>
      <c r="B44" s="169" t="s">
        <v>122</v>
      </c>
    </row>
    <row r="45" spans="1:2" ht="31.5" x14ac:dyDescent="0.25">
      <c r="A45" s="280"/>
      <c r="B45" s="169" t="s">
        <v>123</v>
      </c>
    </row>
    <row r="46" spans="1:2" ht="31.5" x14ac:dyDescent="0.25">
      <c r="A46" s="280"/>
      <c r="B46" s="169" t="s">
        <v>124</v>
      </c>
    </row>
    <row r="47" spans="1:2" ht="15.75" x14ac:dyDescent="0.25">
      <c r="A47" s="168" t="s">
        <v>125</v>
      </c>
      <c r="B47" s="169" t="s">
        <v>126</v>
      </c>
    </row>
    <row r="48" spans="1:2" ht="31.5" x14ac:dyDescent="0.25">
      <c r="A48" s="278" t="s">
        <v>791</v>
      </c>
      <c r="B48" s="169" t="s">
        <v>734</v>
      </c>
    </row>
    <row r="49" spans="1:2" ht="15.75" x14ac:dyDescent="0.25">
      <c r="A49" s="287"/>
      <c r="B49" s="169" t="s">
        <v>735</v>
      </c>
    </row>
    <row r="50" spans="1:2" ht="15.75" x14ac:dyDescent="0.25">
      <c r="A50" s="279"/>
      <c r="B50" s="169" t="s">
        <v>736</v>
      </c>
    </row>
    <row r="51" spans="1:2" ht="15.75" customHeight="1" x14ac:dyDescent="0.25">
      <c r="A51" s="281" t="s">
        <v>790</v>
      </c>
      <c r="B51" s="172" t="s">
        <v>797</v>
      </c>
    </row>
    <row r="52" spans="1:2" ht="15.75" x14ac:dyDescent="0.25">
      <c r="A52" s="282"/>
      <c r="B52" s="171" t="s">
        <v>737</v>
      </c>
    </row>
    <row r="53" spans="1:2" ht="35.450000000000003" customHeight="1" x14ac:dyDescent="0.25">
      <c r="A53" s="282"/>
      <c r="B53" s="171" t="s">
        <v>738</v>
      </c>
    </row>
    <row r="54" spans="1:2" ht="86.25" customHeight="1" x14ac:dyDescent="0.25">
      <c r="A54" s="282"/>
      <c r="B54" s="171" t="s">
        <v>787</v>
      </c>
    </row>
    <row r="55" spans="1:2" ht="87.6" customHeight="1" x14ac:dyDescent="0.25">
      <c r="A55" s="282"/>
      <c r="B55" s="171" t="s">
        <v>796</v>
      </c>
    </row>
    <row r="56" spans="1:2" ht="31.5" x14ac:dyDescent="0.25">
      <c r="A56" s="282"/>
      <c r="B56" s="171" t="s">
        <v>739</v>
      </c>
    </row>
    <row r="57" spans="1:2" ht="78.75" x14ac:dyDescent="0.25">
      <c r="A57" s="282"/>
      <c r="B57" s="171" t="s">
        <v>755</v>
      </c>
    </row>
    <row r="58" spans="1:2" ht="15.75" x14ac:dyDescent="0.25">
      <c r="A58" s="282"/>
      <c r="B58" s="171" t="s">
        <v>740</v>
      </c>
    </row>
    <row r="59" spans="1:2" ht="31.5" x14ac:dyDescent="0.25">
      <c r="A59" s="283"/>
      <c r="B59" s="171" t="s">
        <v>741</v>
      </c>
    </row>
    <row r="60" spans="1:2" ht="15.75" x14ac:dyDescent="0.25">
      <c r="A60" s="284" t="s">
        <v>788</v>
      </c>
      <c r="B60" s="172" t="s">
        <v>798</v>
      </c>
    </row>
    <row r="61" spans="1:2" ht="31.5" x14ac:dyDescent="0.25">
      <c r="A61" s="285"/>
      <c r="B61" s="169" t="s">
        <v>742</v>
      </c>
    </row>
    <row r="62" spans="1:2" ht="15.75" x14ac:dyDescent="0.25">
      <c r="A62" s="285"/>
      <c r="B62" s="169" t="s">
        <v>743</v>
      </c>
    </row>
    <row r="63" spans="1:2" ht="15.75" x14ac:dyDescent="0.25">
      <c r="A63" s="285"/>
      <c r="B63" s="169" t="s">
        <v>744</v>
      </c>
    </row>
    <row r="64" spans="1:2" ht="78.75" x14ac:dyDescent="0.25">
      <c r="A64" s="285"/>
      <c r="B64" s="171" t="s">
        <v>794</v>
      </c>
    </row>
    <row r="65" spans="1:2" ht="50.1" customHeight="1" x14ac:dyDescent="0.25">
      <c r="A65" s="286"/>
      <c r="B65" s="169" t="s">
        <v>741</v>
      </c>
    </row>
    <row r="66" spans="1:2" ht="15.75" x14ac:dyDescent="0.25">
      <c r="A66" s="278" t="s">
        <v>792</v>
      </c>
      <c r="B66" s="172" t="s">
        <v>799</v>
      </c>
    </row>
    <row r="67" spans="1:2" ht="15.75" x14ac:dyDescent="0.25">
      <c r="A67" s="287"/>
      <c r="B67" s="169" t="s">
        <v>745</v>
      </c>
    </row>
    <row r="68" spans="1:2" ht="39.950000000000003" customHeight="1" x14ac:dyDescent="0.25">
      <c r="A68" s="287"/>
      <c r="B68" s="169" t="s">
        <v>746</v>
      </c>
    </row>
    <row r="69" spans="1:2" ht="63" x14ac:dyDescent="0.25">
      <c r="A69" s="287"/>
      <c r="B69" s="169" t="s">
        <v>795</v>
      </c>
    </row>
    <row r="70" spans="1:2" ht="31.5" x14ac:dyDescent="0.25">
      <c r="A70" s="279"/>
      <c r="B70" s="169" t="s">
        <v>741</v>
      </c>
    </row>
    <row r="71" spans="1:2" ht="20.45" customHeight="1" x14ac:dyDescent="0.25">
      <c r="A71" s="173" t="s">
        <v>758</v>
      </c>
      <c r="B71" s="172" t="s">
        <v>800</v>
      </c>
    </row>
    <row r="72" spans="1:2" ht="15.75" x14ac:dyDescent="0.25">
      <c r="A72" s="173"/>
      <c r="B72" s="169" t="s">
        <v>747</v>
      </c>
    </row>
    <row r="73" spans="1:2" ht="83.45" customHeight="1" x14ac:dyDescent="0.25">
      <c r="A73" s="174"/>
      <c r="B73" s="171" t="s">
        <v>794</v>
      </c>
    </row>
    <row r="74" spans="1:2" ht="78.75" x14ac:dyDescent="0.25">
      <c r="A74" s="175"/>
      <c r="B74" s="172" t="s">
        <v>755</v>
      </c>
    </row>
    <row r="75" spans="1:2" ht="15.75" x14ac:dyDescent="0.25">
      <c r="A75" s="175"/>
      <c r="B75" s="169" t="s">
        <v>740</v>
      </c>
    </row>
    <row r="76" spans="1:2" ht="31.5" x14ac:dyDescent="0.25">
      <c r="A76" s="175"/>
      <c r="B76" s="169" t="s">
        <v>748</v>
      </c>
    </row>
    <row r="77" spans="1:2" ht="31.5" x14ac:dyDescent="0.25">
      <c r="A77" s="176"/>
      <c r="B77" s="171" t="s">
        <v>756</v>
      </c>
    </row>
    <row r="78" spans="1:2" ht="15.75" x14ac:dyDescent="0.25">
      <c r="A78" s="175" t="s">
        <v>793</v>
      </c>
      <c r="B78" s="172" t="s">
        <v>797</v>
      </c>
    </row>
    <row r="79" spans="1:2" ht="15.75" x14ac:dyDescent="0.25">
      <c r="A79" s="175"/>
      <c r="B79" s="169" t="s">
        <v>747</v>
      </c>
    </row>
    <row r="80" spans="1:2" ht="31.5" x14ac:dyDescent="0.25">
      <c r="A80" s="175"/>
      <c r="B80" s="169" t="s">
        <v>739</v>
      </c>
    </row>
    <row r="81" spans="1:2" ht="15.75" x14ac:dyDescent="0.25">
      <c r="A81" s="175"/>
      <c r="B81" s="169" t="s">
        <v>749</v>
      </c>
    </row>
    <row r="82" spans="1:2" ht="47.25" x14ac:dyDescent="0.25">
      <c r="A82" s="174"/>
      <c r="B82" s="169" t="s">
        <v>750</v>
      </c>
    </row>
    <row r="83" spans="1:2" ht="31.5" x14ac:dyDescent="0.25">
      <c r="A83" s="174"/>
      <c r="B83" s="169" t="s">
        <v>751</v>
      </c>
    </row>
    <row r="84" spans="1:2" ht="15.75" x14ac:dyDescent="0.25">
      <c r="A84" s="174"/>
      <c r="B84" s="169" t="s">
        <v>752</v>
      </c>
    </row>
    <row r="85" spans="1:2" ht="15.75" x14ac:dyDescent="0.25">
      <c r="A85" s="174"/>
      <c r="B85" s="169" t="s">
        <v>740</v>
      </c>
    </row>
    <row r="86" spans="1:2" ht="78.75" x14ac:dyDescent="0.25">
      <c r="A86" s="174"/>
      <c r="B86" s="171" t="s">
        <v>794</v>
      </c>
    </row>
    <row r="87" spans="1:2" ht="31.5" x14ac:dyDescent="0.25">
      <c r="A87" s="177"/>
      <c r="B87" s="169" t="s">
        <v>741</v>
      </c>
    </row>
    <row r="88" spans="1:2" ht="15.6" customHeight="1" x14ac:dyDescent="0.25">
      <c r="A88" s="288" t="s">
        <v>766</v>
      </c>
      <c r="B88" s="178" t="s">
        <v>801</v>
      </c>
    </row>
    <row r="89" spans="1:2" ht="15.75" x14ac:dyDescent="0.25">
      <c r="A89" s="289"/>
      <c r="B89" s="178" t="s">
        <v>802</v>
      </c>
    </row>
    <row r="90" spans="1:2" ht="15.75" x14ac:dyDescent="0.25">
      <c r="A90" s="289"/>
      <c r="B90" s="179" t="s">
        <v>747</v>
      </c>
    </row>
    <row r="91" spans="1:2" ht="15.75" x14ac:dyDescent="0.25">
      <c r="A91" s="289"/>
      <c r="B91" s="178" t="s">
        <v>803</v>
      </c>
    </row>
    <row r="92" spans="1:2" ht="63" x14ac:dyDescent="0.25">
      <c r="A92" s="289"/>
      <c r="B92" s="179" t="s">
        <v>759</v>
      </c>
    </row>
    <row r="93" spans="1:2" ht="31.5" x14ac:dyDescent="0.25">
      <c r="A93" s="289"/>
      <c r="B93" s="179" t="s">
        <v>760</v>
      </c>
    </row>
    <row r="94" spans="1:2" ht="47.25" x14ac:dyDescent="0.25">
      <c r="A94" s="289"/>
      <c r="B94" s="178" t="s">
        <v>804</v>
      </c>
    </row>
    <row r="95" spans="1:2" ht="31.5" x14ac:dyDescent="0.25">
      <c r="A95" s="289"/>
      <c r="B95" s="179" t="s">
        <v>761</v>
      </c>
    </row>
    <row r="96" spans="1:2" ht="141.75" x14ac:dyDescent="0.25">
      <c r="A96" s="289"/>
      <c r="B96" s="178" t="s">
        <v>805</v>
      </c>
    </row>
    <row r="97" spans="1:2" ht="63.75" thickBot="1" x14ac:dyDescent="0.3">
      <c r="A97" s="290"/>
      <c r="B97" s="180" t="s">
        <v>762</v>
      </c>
    </row>
  </sheetData>
  <sheetProtection sheet="1" objects="1" scenarios="1"/>
  <mergeCells count="17">
    <mergeCell ref="A51:A59"/>
    <mergeCell ref="A60:A65"/>
    <mergeCell ref="A66:A70"/>
    <mergeCell ref="A88:A97"/>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b65fd6d479e37d79e97739a597846120">
  <xsd:schema xmlns:xsd="http://www.w3.org/2001/XMLSchema" xmlns:xs="http://www.w3.org/2001/XMLSchema" xmlns:p="http://schemas.microsoft.com/office/2006/metadata/properties" xmlns:ns2="4fb1db5d-19c2-4c8a-82e5-c8fdf1b06038" targetNamespace="http://schemas.microsoft.com/office/2006/metadata/properties" ma:root="true" ma:fieldsID="3a10e8632b40af3d46de2d3f205b3b8e"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6B25A17F-BEEF-4487-90F7-8B69190395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08AC0-783C-4C1B-927A-AB27E36B29B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4fb1db5d-19c2-4c8a-82e5-c8fdf1b0603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Talbott, David W</cp:lastModifiedBy>
  <cp:lastPrinted>2020-02-10T19:14:43Z</cp:lastPrinted>
  <dcterms:created xsi:type="dcterms:W3CDTF">2020-01-31T18:40:16Z</dcterms:created>
  <dcterms:modified xsi:type="dcterms:W3CDTF">2021-01-21T22:01:14Z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