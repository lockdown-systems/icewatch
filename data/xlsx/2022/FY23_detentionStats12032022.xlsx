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https://icegov-my.sharepoint.com/personal/0149593407_ice_dhs_gov/Documents/Desktop/"/>
    </mc:Choice>
  </mc:AlternateContent>
  <xr:revisionPtr revIDLastSave="0" documentId="8_{5DD6A67B-1C09-4A21-8CB1-CD107139D6A6}" xr6:coauthVersionLast="47" xr6:coauthVersionMax="47" xr10:uidLastSave="{00000000-0000-0000-0000-000000000000}"/>
  <bookViews>
    <workbookView xWindow="-108" yWindow="-108" windowWidth="23256" windowHeight="12576" tabRatio="668" firstSheet="6" activeTab="9" xr2:uid="{00000000-000D-0000-FFFF-FFFF00000000}"/>
  </bookViews>
  <sheets>
    <sheet name="Header" sheetId="9" r:id="rId1"/>
    <sheet name="ATD FY23 YTD" sheetId="12" r:id="rId2"/>
    <sheet name="Detention FY23" sheetId="19" r:id="rId3"/>
    <sheet name=" ICLOS and Detainees" sheetId="20" r:id="rId4"/>
    <sheet name="Monthly Bond Statistics" sheetId="21" r:id="rId5"/>
    <sheet name="USCIS-Established Fear Summary" sheetId="24" r:id="rId6"/>
    <sheet name="Semiannual" sheetId="22" r:id="rId7"/>
    <sheet name="Facilities FY23 " sheetId="16" r:id="rId8"/>
    <sheet name="Trans. Detainee Pop. FY23 YTD " sheetId="17" r:id="rId9"/>
    <sheet name="Vulnerable &amp; Special Population" sheetId="18" r:id="rId10"/>
    <sheet name="Footnotes" sheetId="23" r:id="rId11"/>
  </sheets>
  <definedNames>
    <definedName name="_xlnm._FilterDatabase" localSheetId="6" hidden="1">Semiannual!$A$76:$F$91</definedName>
    <definedName name="_xlnm.Print_Area" localSheetId="2">'Detention FY23'!$A$1:$V$110</definedName>
    <definedName name="_xlnm.Print_Area" localSheetId="5">'USCIS-Established Fear Summary'!$A$1:$J$7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11" i="24" l="1"/>
  <c r="B3" i="24"/>
  <c r="N6" i="21" l="1"/>
  <c r="M6" i="21"/>
  <c r="L6" i="21"/>
  <c r="K6" i="21"/>
  <c r="J6" i="21"/>
  <c r="I6" i="21"/>
  <c r="H6" i="21"/>
  <c r="G6" i="21"/>
  <c r="F6" i="21"/>
  <c r="E6" i="21"/>
  <c r="D6" i="21"/>
  <c r="C6" i="21"/>
  <c r="B6" i="21"/>
  <c r="BG47" i="20"/>
  <c r="BF47" i="20"/>
  <c r="BE47" i="20"/>
  <c r="BD47" i="20"/>
  <c r="BC47" i="20"/>
  <c r="BB47" i="20"/>
  <c r="BA47" i="20"/>
  <c r="AZ47" i="20"/>
  <c r="AY47" i="20"/>
  <c r="AX47" i="20"/>
  <c r="AW47" i="20"/>
  <c r="AV47" i="20"/>
  <c r="AU47" i="20"/>
  <c r="AT47" i="20"/>
  <c r="AS47" i="20"/>
  <c r="AR47" i="20"/>
  <c r="AQ47" i="20"/>
  <c r="AP47" i="20"/>
  <c r="AO47" i="20"/>
  <c r="AN47" i="20"/>
  <c r="AM47" i="20"/>
  <c r="AL47" i="20"/>
  <c r="AK47" i="20"/>
  <c r="AJ47" i="20"/>
  <c r="AI47" i="20"/>
  <c r="AH47" i="20"/>
  <c r="AG47" i="20"/>
  <c r="AF47" i="20"/>
  <c r="AE47" i="20"/>
  <c r="AD47" i="20"/>
  <c r="AC47" i="20"/>
  <c r="AB47" i="20"/>
  <c r="AA47" i="20"/>
  <c r="Z47" i="20"/>
  <c r="Y47" i="20"/>
  <c r="X47" i="20"/>
  <c r="W47" i="20"/>
  <c r="V47" i="20"/>
  <c r="U47" i="20"/>
  <c r="T47" i="20"/>
  <c r="S47" i="20"/>
  <c r="R47" i="20"/>
  <c r="Q47" i="20"/>
  <c r="P47" i="20"/>
  <c r="O47" i="20"/>
  <c r="N47" i="20"/>
  <c r="M47" i="20"/>
  <c r="L47" i="20"/>
  <c r="K47" i="20"/>
  <c r="J47" i="20"/>
  <c r="I47" i="20"/>
  <c r="H47" i="20"/>
  <c r="G47" i="20"/>
  <c r="F47" i="20"/>
  <c r="E47" i="20"/>
  <c r="D47" i="20"/>
  <c r="C47" i="20"/>
  <c r="B47" i="20"/>
  <c r="BG46" i="20"/>
  <c r="BF46" i="20"/>
  <c r="BE46" i="20"/>
  <c r="BD46" i="20"/>
  <c r="BC46" i="20"/>
  <c r="BB46" i="20"/>
  <c r="BA46" i="20"/>
  <c r="AZ46" i="20"/>
  <c r="AY46" i="20"/>
  <c r="AX46" i="20"/>
  <c r="AW46" i="20"/>
  <c r="AV46" i="20"/>
  <c r="AU46" i="20"/>
  <c r="AT46" i="20"/>
  <c r="AS46" i="20"/>
  <c r="AR46" i="20"/>
  <c r="AQ46" i="20"/>
  <c r="AP46" i="20"/>
  <c r="AO46" i="20"/>
  <c r="AN46" i="20"/>
  <c r="AM46" i="20"/>
  <c r="AL46" i="20"/>
  <c r="AK46" i="20"/>
  <c r="AJ46" i="20"/>
  <c r="AI46" i="20"/>
  <c r="AH46" i="20"/>
  <c r="AG46" i="20"/>
  <c r="AF46" i="20"/>
  <c r="AE46" i="20"/>
  <c r="AD46" i="20"/>
  <c r="AC46" i="20"/>
  <c r="AB46" i="20"/>
  <c r="AA46" i="20"/>
  <c r="Z46" i="20"/>
  <c r="Y46" i="20"/>
  <c r="X46" i="20"/>
  <c r="W46" i="20"/>
  <c r="V46" i="20"/>
  <c r="U46" i="20"/>
  <c r="T46" i="20"/>
  <c r="S46" i="20"/>
  <c r="R46" i="20"/>
  <c r="Q46" i="20"/>
  <c r="P46" i="20"/>
  <c r="O46" i="20"/>
  <c r="N46" i="20"/>
  <c r="M46" i="20"/>
  <c r="L46" i="20"/>
  <c r="K46" i="20"/>
  <c r="J46" i="20"/>
  <c r="I46" i="20"/>
  <c r="H46" i="20"/>
  <c r="G46" i="20"/>
  <c r="F46" i="20"/>
  <c r="E46" i="20"/>
  <c r="D46" i="20"/>
  <c r="C46" i="20"/>
  <c r="B46" i="20"/>
  <c r="BG45" i="20"/>
  <c r="BF45" i="20"/>
  <c r="BE45" i="20"/>
  <c r="BD45" i="20"/>
  <c r="BC45" i="20"/>
  <c r="BB45" i="20"/>
  <c r="BA45" i="20"/>
  <c r="AZ45" i="20"/>
  <c r="AY45" i="20"/>
  <c r="AX45" i="20"/>
  <c r="AW45" i="20"/>
  <c r="AV45" i="20"/>
  <c r="AU45" i="20"/>
  <c r="AT45" i="20"/>
  <c r="AS45" i="20"/>
  <c r="AR45" i="20"/>
  <c r="AQ45" i="20"/>
  <c r="AP45" i="20"/>
  <c r="AO45" i="20"/>
  <c r="AN45" i="20"/>
  <c r="AM45" i="20"/>
  <c r="AL45" i="20"/>
  <c r="AK45" i="20"/>
  <c r="AJ45" i="20"/>
  <c r="AI45" i="20"/>
  <c r="AH45" i="20"/>
  <c r="AG45" i="20"/>
  <c r="AF45" i="20"/>
  <c r="AE45" i="20"/>
  <c r="AD45" i="20"/>
  <c r="AC45" i="20"/>
  <c r="AB45" i="20"/>
  <c r="AA45" i="20"/>
  <c r="Z45" i="20"/>
  <c r="Y45" i="20"/>
  <c r="X45" i="20"/>
  <c r="W45" i="20"/>
  <c r="V45" i="20"/>
  <c r="U45" i="20"/>
  <c r="T45" i="20"/>
  <c r="S45" i="20"/>
  <c r="R45" i="20"/>
  <c r="Q45" i="20"/>
  <c r="P45" i="20"/>
  <c r="O45" i="20"/>
  <c r="N45" i="20"/>
  <c r="M45" i="20"/>
  <c r="L45" i="20"/>
  <c r="K45" i="20"/>
  <c r="J45" i="20"/>
  <c r="I45" i="20"/>
  <c r="H45" i="20"/>
  <c r="G45" i="20"/>
  <c r="F45" i="20"/>
  <c r="E45" i="20"/>
  <c r="D45" i="20"/>
  <c r="C45" i="20"/>
  <c r="B45" i="20"/>
  <c r="BG44" i="20"/>
  <c r="BG48" i="20" s="1"/>
  <c r="BF44" i="20"/>
  <c r="BF48" i="20" s="1"/>
  <c r="BE44" i="20"/>
  <c r="BE48" i="20" s="1"/>
  <c r="BD44" i="20"/>
  <c r="BD48" i="20" s="1"/>
  <c r="BC44" i="20"/>
  <c r="BC48" i="20" s="1"/>
  <c r="BB44" i="20"/>
  <c r="BB48" i="20" s="1"/>
  <c r="BA44" i="20"/>
  <c r="BA48" i="20" s="1"/>
  <c r="AZ44" i="20"/>
  <c r="AZ48" i="20" s="1"/>
  <c r="AY44" i="20"/>
  <c r="AY48" i="20" s="1"/>
  <c r="AX44" i="20"/>
  <c r="AX48" i="20" s="1"/>
  <c r="AW44" i="20"/>
  <c r="AW48" i="20" s="1"/>
  <c r="AV44" i="20"/>
  <c r="AV48" i="20" s="1"/>
  <c r="AU44" i="20"/>
  <c r="AU48" i="20" s="1"/>
  <c r="AT44" i="20"/>
  <c r="AT48" i="20" s="1"/>
  <c r="AS44" i="20"/>
  <c r="AS48" i="20" s="1"/>
  <c r="AR44" i="20"/>
  <c r="AR48" i="20" s="1"/>
  <c r="AQ44" i="20"/>
  <c r="AQ48" i="20" s="1"/>
  <c r="AP44" i="20"/>
  <c r="AP48" i="20" s="1"/>
  <c r="AO44" i="20"/>
  <c r="AO48" i="20" s="1"/>
  <c r="AN44" i="20"/>
  <c r="AN48" i="20" s="1"/>
  <c r="AM44" i="20"/>
  <c r="AM48" i="20" s="1"/>
  <c r="AL44" i="20"/>
  <c r="AL48" i="20" s="1"/>
  <c r="AK44" i="20"/>
  <c r="AK48" i="20" s="1"/>
  <c r="AJ44" i="20"/>
  <c r="AJ48" i="20" s="1"/>
  <c r="AI44" i="20"/>
  <c r="AI48" i="20" s="1"/>
  <c r="AH44" i="20"/>
  <c r="AH48" i="20" s="1"/>
  <c r="AG44" i="20"/>
  <c r="AG48" i="20" s="1"/>
  <c r="AF44" i="20"/>
  <c r="AF48" i="20" s="1"/>
  <c r="AE44" i="20"/>
  <c r="AE48" i="20" s="1"/>
  <c r="AD44" i="20"/>
  <c r="AD48" i="20" s="1"/>
  <c r="AC44" i="20"/>
  <c r="AC48" i="20" s="1"/>
  <c r="AB44" i="20"/>
  <c r="AB48" i="20" s="1"/>
  <c r="AA44" i="20"/>
  <c r="AA48" i="20" s="1"/>
  <c r="Z44" i="20"/>
  <c r="Z48" i="20" s="1"/>
  <c r="Y44" i="20"/>
  <c r="Y48" i="20" s="1"/>
  <c r="X44" i="20"/>
  <c r="X48" i="20" s="1"/>
  <c r="W44" i="20"/>
  <c r="W48" i="20" s="1"/>
  <c r="V44" i="20"/>
  <c r="V48" i="20" s="1"/>
  <c r="U44" i="20"/>
  <c r="U48" i="20" s="1"/>
  <c r="T44" i="20"/>
  <c r="T48" i="20" s="1"/>
  <c r="S44" i="20"/>
  <c r="S48" i="20" s="1"/>
  <c r="R44" i="20"/>
  <c r="R48" i="20" s="1"/>
  <c r="Q44" i="20"/>
  <c r="Q48" i="20" s="1"/>
  <c r="P44" i="20"/>
  <c r="P48" i="20" s="1"/>
  <c r="O44" i="20"/>
  <c r="O48" i="20" s="1"/>
  <c r="N44" i="20"/>
  <c r="N48" i="20" s="1"/>
  <c r="M44" i="20"/>
  <c r="M48" i="20" s="1"/>
  <c r="L44" i="20"/>
  <c r="L48" i="20" s="1"/>
  <c r="K44" i="20"/>
  <c r="K48" i="20" s="1"/>
  <c r="J44" i="20"/>
  <c r="J48" i="20" s="1"/>
  <c r="I44" i="20"/>
  <c r="I48" i="20" s="1"/>
  <c r="H44" i="20"/>
  <c r="H48" i="20" s="1"/>
  <c r="G44" i="20"/>
  <c r="G48" i="20" s="1"/>
  <c r="F44" i="20"/>
  <c r="F48" i="20" s="1"/>
  <c r="E44" i="20"/>
  <c r="E48" i="20" s="1"/>
  <c r="D44" i="20"/>
  <c r="D48" i="20" s="1"/>
  <c r="C44" i="20"/>
  <c r="C48" i="20" s="1"/>
  <c r="B44" i="20"/>
  <c r="B48" i="20" s="1"/>
  <c r="BG30" i="20"/>
  <c r="BF30" i="20"/>
  <c r="BE30" i="20"/>
  <c r="BD30" i="20"/>
  <c r="BC30" i="20"/>
  <c r="BB30" i="20"/>
  <c r="BA30" i="20"/>
  <c r="AZ30" i="20"/>
  <c r="AY30" i="20"/>
  <c r="AX30" i="20"/>
  <c r="AW30" i="20"/>
  <c r="AV30" i="20"/>
  <c r="AU30" i="20"/>
  <c r="AT30" i="20"/>
  <c r="AS30" i="20"/>
  <c r="AR30" i="20"/>
  <c r="AQ30" i="20"/>
  <c r="M30" i="20"/>
  <c r="L30" i="20"/>
  <c r="K30" i="20"/>
  <c r="J30" i="20"/>
  <c r="I30" i="20"/>
  <c r="H30" i="20"/>
  <c r="G30" i="20"/>
  <c r="F30" i="20"/>
  <c r="E30" i="20"/>
  <c r="D30" i="20"/>
  <c r="C30" i="20"/>
  <c r="B30" i="20"/>
  <c r="M24" i="20"/>
  <c r="L24" i="20"/>
  <c r="K24" i="20"/>
  <c r="J24" i="20"/>
  <c r="I24" i="20"/>
  <c r="H24" i="20"/>
  <c r="G24" i="20"/>
  <c r="F24" i="20"/>
  <c r="E24" i="20"/>
  <c r="D24" i="20"/>
  <c r="C24" i="20"/>
  <c r="B24" i="20"/>
  <c r="O131" i="19"/>
  <c r="O130" i="19"/>
  <c r="O129" i="19"/>
  <c r="O128" i="19"/>
  <c r="O127" i="19"/>
  <c r="O126" i="19"/>
  <c r="N122" i="19"/>
  <c r="N121" i="19"/>
  <c r="N120" i="19"/>
  <c r="O62" i="19"/>
  <c r="O61" i="19"/>
  <c r="O60" i="19"/>
  <c r="N59" i="19"/>
  <c r="M59" i="19"/>
  <c r="L59" i="19"/>
  <c r="K59" i="19"/>
  <c r="J59" i="19"/>
  <c r="I59" i="19"/>
  <c r="H59" i="19"/>
  <c r="G59" i="19"/>
  <c r="F59" i="19"/>
  <c r="E59" i="19"/>
  <c r="D59" i="19"/>
  <c r="C59" i="19"/>
  <c r="O59" i="19" s="1"/>
  <c r="O58" i="19"/>
  <c r="O57" i="19"/>
  <c r="O56" i="19"/>
  <c r="N55" i="19"/>
  <c r="M55" i="19"/>
  <c r="L55" i="19"/>
  <c r="K55" i="19"/>
  <c r="J55" i="19"/>
  <c r="I55" i="19"/>
  <c r="H55" i="19"/>
  <c r="G55" i="19"/>
  <c r="O55" i="19" s="1"/>
  <c r="F55" i="19"/>
  <c r="E55" i="19"/>
  <c r="D55" i="19"/>
  <c r="C55" i="19"/>
  <c r="O54" i="19"/>
  <c r="O53" i="19"/>
  <c r="O52" i="19"/>
  <c r="N51" i="19"/>
  <c r="M51" i="19"/>
  <c r="L51" i="19"/>
  <c r="K51" i="19"/>
  <c r="J51" i="19"/>
  <c r="I51" i="19"/>
  <c r="H51" i="19"/>
  <c r="G51" i="19"/>
  <c r="O51" i="19" s="1"/>
  <c r="F51" i="19"/>
  <c r="E51" i="19"/>
  <c r="D51" i="19"/>
  <c r="C51" i="19"/>
  <c r="O50" i="19"/>
  <c r="O49" i="19"/>
  <c r="O48" i="19"/>
  <c r="N47" i="19"/>
  <c r="M47" i="19"/>
  <c r="L47" i="19"/>
  <c r="K47" i="19"/>
  <c r="J47" i="19"/>
  <c r="I47" i="19"/>
  <c r="H47" i="19"/>
  <c r="G47" i="19"/>
  <c r="O47" i="19" s="1"/>
  <c r="F47" i="19"/>
  <c r="E47" i="19"/>
  <c r="D47" i="19"/>
  <c r="C47" i="19"/>
  <c r="O46" i="19"/>
  <c r="O45" i="19"/>
  <c r="O44" i="19"/>
  <c r="N43" i="19"/>
  <c r="M43" i="19"/>
  <c r="L43" i="19"/>
  <c r="K43" i="19"/>
  <c r="J43" i="19"/>
  <c r="I43" i="19"/>
  <c r="H43" i="19"/>
  <c r="G43" i="19"/>
  <c r="O43" i="19" s="1"/>
  <c r="F43" i="19"/>
  <c r="E43" i="19"/>
  <c r="D43" i="19"/>
  <c r="C43" i="19"/>
  <c r="O42" i="19"/>
  <c r="O41" i="19"/>
  <c r="O40" i="19"/>
  <c r="N39" i="19"/>
  <c r="M39" i="19"/>
  <c r="L39" i="19"/>
  <c r="K39" i="19"/>
  <c r="J39" i="19"/>
  <c r="I39" i="19"/>
  <c r="I38" i="19" s="1"/>
  <c r="H39" i="19"/>
  <c r="H38" i="19" s="1"/>
  <c r="G39" i="19"/>
  <c r="G38" i="19" s="1"/>
  <c r="F39" i="19"/>
  <c r="E39" i="19"/>
  <c r="D39" i="19"/>
  <c r="C39" i="19"/>
  <c r="N38" i="19"/>
  <c r="M38" i="19"/>
  <c r="L38" i="19"/>
  <c r="K38" i="19"/>
  <c r="J38" i="19"/>
  <c r="F38" i="19"/>
  <c r="E38" i="19"/>
  <c r="D38" i="19"/>
  <c r="C38" i="19"/>
  <c r="E31" i="19"/>
  <c r="E30" i="19"/>
  <c r="J29" i="19"/>
  <c r="D29" i="19"/>
  <c r="C29" i="19"/>
  <c r="B29" i="19"/>
  <c r="E29" i="19" s="1"/>
  <c r="F23" i="19"/>
  <c r="E23" i="19"/>
  <c r="C23" i="19"/>
  <c r="V22" i="19"/>
  <c r="F22" i="19"/>
  <c r="C22" i="19" s="1"/>
  <c r="E22" i="19"/>
  <c r="V21" i="19"/>
  <c r="F21" i="19"/>
  <c r="E21" i="19"/>
  <c r="C21" i="19"/>
  <c r="U20" i="19"/>
  <c r="T20" i="19"/>
  <c r="S20" i="19"/>
  <c r="R20" i="19"/>
  <c r="Q20" i="19"/>
  <c r="P20" i="19"/>
  <c r="O20" i="19"/>
  <c r="N20" i="19"/>
  <c r="M20" i="19"/>
  <c r="L20" i="19"/>
  <c r="K20" i="19"/>
  <c r="J20" i="19"/>
  <c r="V20" i="19" s="1"/>
  <c r="D20" i="19"/>
  <c r="B20" i="19"/>
  <c r="D14" i="19"/>
  <c r="D13" i="19"/>
  <c r="D12" i="19"/>
  <c r="D11" i="19"/>
  <c r="O10" i="19"/>
  <c r="D10" i="19"/>
  <c r="C10" i="19"/>
  <c r="O38" i="19" l="1"/>
  <c r="F20" i="19"/>
  <c r="E20" i="19" s="1"/>
  <c r="O39" i="19"/>
  <c r="C20" i="19" l="1"/>
</calcChain>
</file>

<file path=xl/sharedStrings.xml><?xml version="1.0" encoding="utf-8"?>
<sst xmlns="http://schemas.openxmlformats.org/spreadsheetml/2006/main" count="2700" uniqueCount="980">
  <si>
    <t>Total</t>
  </si>
  <si>
    <t>Order of Recognizance</t>
  </si>
  <si>
    <t>Order of Supervision</t>
  </si>
  <si>
    <t>ATD</t>
  </si>
  <si>
    <t>Male</t>
  </si>
  <si>
    <t>ADELANTO ICE PROCESSING CENTER</t>
  </si>
  <si>
    <t>ALLEN PARISH PUBLIC SAFETY COMPLEX</t>
  </si>
  <si>
    <t>BROWARD TRANSITIONAL CENTER</t>
  </si>
  <si>
    <t>ALEXANDRIA STAGING FACILITY</t>
  </si>
  <si>
    <t>Female</t>
  </si>
  <si>
    <t>EL VALLE DETENTION FACILITY</t>
  </si>
  <si>
    <t>BRAZIL</t>
  </si>
  <si>
    <t>FLORENCE STAGING FACILITY</t>
  </si>
  <si>
    <t>SENECA COUNTY JAIL</t>
  </si>
  <si>
    <t>RIO GRANDE DETENTION CENTER</t>
  </si>
  <si>
    <t>LAREDO PROCESSING CENTER</t>
  </si>
  <si>
    <t>SOUTH TEXAS ICE PROCESSING CENTER</t>
  </si>
  <si>
    <t>SHERBURNE COUNTY JAIL</t>
  </si>
  <si>
    <t>JACKSON PARISH CORRECTIONAL CENTER</t>
  </si>
  <si>
    <t>MONROE COUNTY DETENTION-DORM</t>
  </si>
  <si>
    <t>ELIZABETH</t>
  </si>
  <si>
    <t>TR</t>
  </si>
  <si>
    <t>CIBOLA COUNTY CORRECTIONAL CENTER</t>
  </si>
  <si>
    <t>WEBB COUNTY DETENTION CENTER (CCA)</t>
  </si>
  <si>
    <t>ADAMS COUNTY DET CENTER</t>
  </si>
  <si>
    <t>ORANGE COUNTY JAIL</t>
  </si>
  <si>
    <t>MA</t>
  </si>
  <si>
    <t>MIA</t>
  </si>
  <si>
    <t>ALEXANDRIA</t>
  </si>
  <si>
    <t>NEVADA SOUTHERN DETENTION CENTER</t>
  </si>
  <si>
    <t>ELOY</t>
  </si>
  <si>
    <t>TAYLOR</t>
  </si>
  <si>
    <t>CHI</t>
  </si>
  <si>
    <t>MILAN</t>
  </si>
  <si>
    <t>EDEN</t>
  </si>
  <si>
    <t>PINE PRAIRIE ICE PROCESSING CENTER</t>
  </si>
  <si>
    <t>ALVARADO</t>
  </si>
  <si>
    <t>AURORA</t>
  </si>
  <si>
    <t>GEAUGA COUNTY JAIL</t>
  </si>
  <si>
    <t>AL</t>
  </si>
  <si>
    <t>HENDERSON</t>
  </si>
  <si>
    <t>GUAYNABO MDC (SAN JUAN)</t>
  </si>
  <si>
    <t>KNOX COUNTY DETENTION FACILITY</t>
  </si>
  <si>
    <t>MESA VERDE ICE PROCESSING CENTER</t>
  </si>
  <si>
    <t>U.S. Immigration and Customs Enforcement</t>
  </si>
  <si>
    <t>These statistics are made available to the public pursuant to the Fiscal Year 2020 Department of Homeland Security Appropriations Bill.</t>
  </si>
  <si>
    <t>ADP</t>
  </si>
  <si>
    <t>Average daily population</t>
  </si>
  <si>
    <t>ALIP</t>
  </si>
  <si>
    <t>Average length in program</t>
  </si>
  <si>
    <t>ALOS</t>
  </si>
  <si>
    <t>Average length of stay</t>
  </si>
  <si>
    <t>AOR</t>
  </si>
  <si>
    <t>Area of Responsibility</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</si>
  <si>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</si>
  <si>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</si>
  <si>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</si>
  <si>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</si>
  <si>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</si>
  <si>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</si>
  <si>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</si>
  <si>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</si>
  <si>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</si>
  <si>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</si>
  <si>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</si>
  <si>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</si>
  <si>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</si>
  <si>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</si>
  <si>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</si>
  <si>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</si>
  <si>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Family Unit</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</si>
  <si>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</si>
  <si>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</si>
  <si>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</si>
  <si>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</si>
  <si>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</si>
  <si>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</si>
  <si>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</si>
  <si>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</si>
  <si>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</si>
  <si>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</si>
  <si>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</si>
  <si>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</si>
  <si>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</si>
  <si>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</si>
  <si>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Last Inspection Standard</t>
  </si>
  <si>
    <t>The inspection standard the facility was last inspected against.</t>
  </si>
  <si>
    <t>Male/Female</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</si>
  <si>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</si>
  <si>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</si>
  <si>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</si>
  <si>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 xml:space="preserve">A pre-final order alien is released because he/she is not a detention priority. </t>
  </si>
  <si>
    <t xml:space="preserve">A final order alien is released because the Field Office is unable to obtain a travel document. </t>
  </si>
  <si>
    <t xml:space="preserve">A final order alien is released because the field office is unable to obtain a travel document.  </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</si>
  <si>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</si>
  <si>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</si>
  <si>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</si>
  <si>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</si>
  <si>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</si>
  <si>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</si>
  <si>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</si>
  <si>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</si>
  <si>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</si>
  <si>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</si>
  <si>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</si>
  <si>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FRC (Family Residential Center):  A facility that accommodates and cares for family units who remain together while awaiting their proceedings.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</si>
  <si>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</si>
  <si>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</si>
  <si>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</si>
  <si>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</si>
  <si>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</si>
  <si>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</si>
  <si>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Term</t>
  </si>
  <si>
    <t>Definition</t>
  </si>
  <si>
    <t>Facility Information</t>
  </si>
  <si>
    <t>Facility Average Length of Stay</t>
  </si>
  <si>
    <t>Contract Facility Inspections Information</t>
  </si>
  <si>
    <t>Name</t>
  </si>
  <si>
    <t>Address</t>
  </si>
  <si>
    <t>City</t>
  </si>
  <si>
    <t>State</t>
  </si>
  <si>
    <t>Zip</t>
  </si>
  <si>
    <t>Type Detailed</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</si>
  <si>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</si>
  <si>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</si>
  <si>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</si>
  <si>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</si>
  <si>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</si>
  <si>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</si>
  <si>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</si>
  <si>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</si>
  <si>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</si>
  <si>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</si>
  <si>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</si>
  <si>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</si>
  <si>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</si>
  <si>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</si>
  <si>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</si>
  <si>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Rating - Final</t>
  </si>
  <si>
    <t>Second to Last Inspection Type</t>
  </si>
  <si>
    <t>10250 RANCHO ROAD</t>
  </si>
  <si>
    <t>ADELANTO</t>
  </si>
  <si>
    <t>CA</t>
  </si>
  <si>
    <t>LOS</t>
  </si>
  <si>
    <t>DIGSA</t>
  </si>
  <si>
    <t>Female/Male</t>
  </si>
  <si>
    <t>Regular</t>
  </si>
  <si>
    <t>PBNDS 2011</t>
  </si>
  <si>
    <t>Meets Standard</t>
  </si>
  <si>
    <t>Pending</t>
  </si>
  <si>
    <t>STEWART DETENTION CENTER</t>
  </si>
  <si>
    <t>146 CCA ROAD</t>
  </si>
  <si>
    <t>LUMPKIN</t>
  </si>
  <si>
    <t>GA</t>
  </si>
  <si>
    <t>ATL</t>
  </si>
  <si>
    <t>566 VETERANS DRIVE</t>
  </si>
  <si>
    <t>PEARSALL</t>
  </si>
  <si>
    <t>TX</t>
  </si>
  <si>
    <t>SNA</t>
  </si>
  <si>
    <t>CDF</t>
  </si>
  <si>
    <t>DILLEY</t>
  </si>
  <si>
    <t>JFRMU Family</t>
  </si>
  <si>
    <t>WINN CORRECTIONAL CENTER</t>
  </si>
  <si>
    <t>560 GUM SPRING ROAD</t>
  </si>
  <si>
    <t>WINNFIELD</t>
  </si>
  <si>
    <t>LA</t>
  </si>
  <si>
    <t>NOL</t>
  </si>
  <si>
    <t>IGSA</t>
  </si>
  <si>
    <t>N/A</t>
  </si>
  <si>
    <t>AZ</t>
  </si>
  <si>
    <t>PHO</t>
  </si>
  <si>
    <t>830 PINEHILL ROAD</t>
  </si>
  <si>
    <t>JENA</t>
  </si>
  <si>
    <t>ELOY FEDERAL CONTRACT FACILITY</t>
  </si>
  <si>
    <t>1705 EAST HANNA RD.</t>
  </si>
  <si>
    <t>20 HOBO FORK RD.</t>
  </si>
  <si>
    <t>NATCHEZ</t>
  </si>
  <si>
    <t>MS</t>
  </si>
  <si>
    <t>OTAY MESA DETENTION CENTER (SAN DIEGO CDF)</t>
  </si>
  <si>
    <t>7488 CALZADA DE LA FUENTE</t>
  </si>
  <si>
    <t>SAN DIEGO</t>
  </si>
  <si>
    <t>SND</t>
  </si>
  <si>
    <t>USMS CDF</t>
  </si>
  <si>
    <t>TACOMA ICE PROCESSING CENTER (NORTHWEST DET CTR)</t>
  </si>
  <si>
    <t>1623 E. J STREET</t>
  </si>
  <si>
    <t>TACOMA</t>
  </si>
  <si>
    <t>WA</t>
  </si>
  <si>
    <t>SEA</t>
  </si>
  <si>
    <t>PORT ISABEL</t>
  </si>
  <si>
    <t>27991 BUENA VISTA BOULEVARD</t>
  </si>
  <si>
    <t>LOS FRESNOS</t>
  </si>
  <si>
    <t>SPC</t>
  </si>
  <si>
    <t>OTERO COUNTY PROCESSING CENTER</t>
  </si>
  <si>
    <t>26 MCGREGOR RANGE ROAD</t>
  </si>
  <si>
    <t>CHAPARRAL</t>
  </si>
  <si>
    <t>NM</t>
  </si>
  <si>
    <t>ELP</t>
  </si>
  <si>
    <t>MONTGOMERY ICE PROCESSING CENTER</t>
  </si>
  <si>
    <t>806 HILBIG RD</t>
  </si>
  <si>
    <t>CONROE</t>
  </si>
  <si>
    <t>HOU</t>
  </si>
  <si>
    <t>RICHWOOD CORRECTIONAL CENTER</t>
  </si>
  <si>
    <t>180 PINE BAYOU CIRCLE</t>
  </si>
  <si>
    <t>RICHWOOD</t>
  </si>
  <si>
    <t>327 INDUSTRIAL DRIVE</t>
  </si>
  <si>
    <t>JONESBORO</t>
  </si>
  <si>
    <t>1800 INDUSTRIAL DRIVE</t>
  </si>
  <si>
    <t>RAYMONDVILLE</t>
  </si>
  <si>
    <t>USMS IGA</t>
  </si>
  <si>
    <t>PBNDS 2008</t>
  </si>
  <si>
    <t>EL PASO SERVICE PROCESSING CENTER</t>
  </si>
  <si>
    <t>8915 MONTANA AVE.</t>
  </si>
  <si>
    <t>EL PASO</t>
  </si>
  <si>
    <t>HOUSTON CONTRACT DETENTION FACILITY</t>
  </si>
  <si>
    <t>15850 EXPORT PLAZA DRIVE</t>
  </si>
  <si>
    <t>HOUSTON</t>
  </si>
  <si>
    <t>1133 HAMPTON DUPRE ROAD</t>
  </si>
  <si>
    <t>PINE PRAIRIE</t>
  </si>
  <si>
    <t>SOUTH LOUISIANA DETENTION CENTER</t>
  </si>
  <si>
    <t>3843 STAGG AVENUE</t>
  </si>
  <si>
    <t>BASILE</t>
  </si>
  <si>
    <t>IMPERIAL REGIONAL DETENTION FACILITY</t>
  </si>
  <si>
    <t>1572 GATEWAY</t>
  </si>
  <si>
    <t>CALEXICO</t>
  </si>
  <si>
    <t>PRAIRIELAND DETENTION FACILITY</t>
  </si>
  <si>
    <t>1209 SUNFLOWER LN</t>
  </si>
  <si>
    <t>DAL</t>
  </si>
  <si>
    <t>NJ</t>
  </si>
  <si>
    <t>NEW</t>
  </si>
  <si>
    <t>IMMIGRATION CENTERS OF AMERICA FARMVILLE</t>
  </si>
  <si>
    <t>508 WATERWORKS ROAD</t>
  </si>
  <si>
    <t>FARMVILLE</t>
  </si>
  <si>
    <t>VA</t>
  </si>
  <si>
    <t>WAS</t>
  </si>
  <si>
    <t>KROME NORTH SERVICE PROCESSING CENTER</t>
  </si>
  <si>
    <t>18201 SOUTHWEST 12TH STREET</t>
  </si>
  <si>
    <t>MIAMI</t>
  </si>
  <si>
    <t>FL</t>
  </si>
  <si>
    <t>DENVER CONTRACT DETENTION FACILITY</t>
  </si>
  <si>
    <t>3130 N. OAKLAND ST.</t>
  </si>
  <si>
    <t>CO</t>
  </si>
  <si>
    <t>DEN</t>
  </si>
  <si>
    <t>FOLKSTON</t>
  </si>
  <si>
    <t>3900 NORTH POWERLINE ROAD</t>
  </si>
  <si>
    <t>POMPANO BEACH</t>
  </si>
  <si>
    <t>NDS</t>
  </si>
  <si>
    <t>Superior</t>
  </si>
  <si>
    <t>YORK</t>
  </si>
  <si>
    <t>PA</t>
  </si>
  <si>
    <t>PHI</t>
  </si>
  <si>
    <t>1001 WELCH STREET</t>
  </si>
  <si>
    <t>BUFFALO (BATAVIA) SERVICE PROCESSING CENTER</t>
  </si>
  <si>
    <t>4250 FEDERAL DRIVE</t>
  </si>
  <si>
    <t>BATAVIA</t>
  </si>
  <si>
    <t>NY</t>
  </si>
  <si>
    <t>BUF</t>
  </si>
  <si>
    <t>Acceptable</t>
  </si>
  <si>
    <t>1001 SAN RIO BOULEVARD</t>
  </si>
  <si>
    <t>LAREDO</t>
  </si>
  <si>
    <t>RIVER CORRECTIONAL CENTER</t>
  </si>
  <si>
    <t>26362 HIGHWAY 15</t>
  </si>
  <si>
    <t>FERRIDAY</t>
  </si>
  <si>
    <t>IAH SECURE ADULT DETENTION FACILITY (POLK)</t>
  </si>
  <si>
    <t>3400 FM 350 SOUTH</t>
  </si>
  <si>
    <t>LIVINGSTON</t>
  </si>
  <si>
    <t>EDEN DETENTION CENTER</t>
  </si>
  <si>
    <t>702 E BROADWAY ST</t>
  </si>
  <si>
    <t>FLORENCE SERVICE PROCESSING CENTER</t>
  </si>
  <si>
    <t>3250 NORTH PINAL PARKWAY</t>
  </si>
  <si>
    <t>FLORENCE</t>
  </si>
  <si>
    <t>425 GOLDEN STATE AVE</t>
  </si>
  <si>
    <t>BAKERSFIELD</t>
  </si>
  <si>
    <t>SFR</t>
  </si>
  <si>
    <t>PLYMOUTH COUNTY CORRECTIONAL FACILITY</t>
  </si>
  <si>
    <t>26 LONG POND ROAD</t>
  </si>
  <si>
    <t>PLYMOUTH</t>
  </si>
  <si>
    <t>BOS</t>
  </si>
  <si>
    <t>13880 BUSINESS CENTER DRIVE</t>
  </si>
  <si>
    <t>ELK RIVER</t>
  </si>
  <si>
    <t>MN</t>
  </si>
  <si>
    <t>SPM</t>
  </si>
  <si>
    <t>NYC</t>
  </si>
  <si>
    <t>TORRANCE COUNTY DETENTION FACILITY</t>
  </si>
  <si>
    <t>209 COUNTY ROAD 49</t>
  </si>
  <si>
    <t>ESTANCIA</t>
  </si>
  <si>
    <t>96 GEORGE THOMPSON DRIVE</t>
  </si>
  <si>
    <t>STAGING</t>
  </si>
  <si>
    <t>CAROLINE DETENTION FACILITY</t>
  </si>
  <si>
    <t>11093 S.W. LEWIS MEMORIAL DRIVE</t>
  </si>
  <si>
    <t>BOWLING GREEN</t>
  </si>
  <si>
    <t>BAKER COUNTY SHERIFF'S OFFICE</t>
  </si>
  <si>
    <t>1 SHERIFF OFFICE DRIVE</t>
  </si>
  <si>
    <t>MACCLENNY</t>
  </si>
  <si>
    <t>ANNEX - FOLKSTON IPC</t>
  </si>
  <si>
    <t>3424 HIGHWAY 252 EAST</t>
  </si>
  <si>
    <t>4702 EAST SAUNDERS STREET</t>
  </si>
  <si>
    <t>ELIZABETH CONTRACT DETENTION FACILITY</t>
  </si>
  <si>
    <t>625 EVANS STREET</t>
  </si>
  <si>
    <t>OK</t>
  </si>
  <si>
    <t>HENDERSON DETENTION CENTER</t>
  </si>
  <si>
    <t>18 E BASIC ROAD</t>
  </si>
  <si>
    <t>NV</t>
  </si>
  <si>
    <t>SLC</t>
  </si>
  <si>
    <t>PIKE COUNTY CORRECTIONAL FACILITY</t>
  </si>
  <si>
    <t>175 PIKE COUNTY BOULEVARD</t>
  </si>
  <si>
    <t>LORDS VALLEY</t>
  </si>
  <si>
    <t>2190 EAST MESQUITE AVENUE</t>
  </si>
  <si>
    <t>PAHRUMP</t>
  </si>
  <si>
    <t>KARNES CITY</t>
  </si>
  <si>
    <t>YUBA COUNTY JAIL</t>
  </si>
  <si>
    <t>215 5TH STREET</t>
  </si>
  <si>
    <t>MARYSVILLE</t>
  </si>
  <si>
    <t>OH</t>
  </si>
  <si>
    <t>DET</t>
  </si>
  <si>
    <t>WI</t>
  </si>
  <si>
    <t>CALHOUN COUNTY CORRECTIONAL CENTER</t>
  </si>
  <si>
    <t>185 EAST MICHIGAN AVENUE</t>
  </si>
  <si>
    <t>BATTLE CREEK</t>
  </si>
  <si>
    <t>MI</t>
  </si>
  <si>
    <t>BLUEBONNET DETENTION FACILITY</t>
  </si>
  <si>
    <t>400 2ND STREET</t>
  </si>
  <si>
    <t>ANSON</t>
  </si>
  <si>
    <t>BOONE COUNTY JAIL</t>
  </si>
  <si>
    <t>3020 CONRAD LANE</t>
  </si>
  <si>
    <t>BURLINGTON</t>
  </si>
  <si>
    <t>KY</t>
  </si>
  <si>
    <t>DODGE COUNTY JAIL</t>
  </si>
  <si>
    <t>215 WEST CENTRAL STREET</t>
  </si>
  <si>
    <t>JUNEAU</t>
  </si>
  <si>
    <t>110 WELLS FARM ROAD</t>
  </si>
  <si>
    <t>GOSHEN</t>
  </si>
  <si>
    <t>7340 HIGHWAY 26 WEST</t>
  </si>
  <si>
    <t>OBERLIN</t>
  </si>
  <si>
    <t>2000 CIBOLA LOOP</t>
  </si>
  <si>
    <t>WYATT DETENTION CENTER</t>
  </si>
  <si>
    <t>950 HIGH STREET</t>
  </si>
  <si>
    <t>CENTRAL FALLS</t>
  </si>
  <si>
    <t>RI</t>
  </si>
  <si>
    <t>9998 SOUTH HIGHWAY 83</t>
  </si>
  <si>
    <t>KAY COUNTY JUSTICE FACILITY</t>
  </si>
  <si>
    <t>1101 WEST DRY ROAD</t>
  </si>
  <si>
    <t>NEWKIRK</t>
  </si>
  <si>
    <t>STRAFFORD COUNTY CORRECTIONS</t>
  </si>
  <si>
    <t>266 COUNTY FARM ROAD</t>
  </si>
  <si>
    <t>DOVER</t>
  </si>
  <si>
    <t>NH</t>
  </si>
  <si>
    <t>NYE COUNTY DETENTION CENTER, SOUTHERN (PAHRUMP)</t>
  </si>
  <si>
    <t>1520 E. BASIN ROAD</t>
  </si>
  <si>
    <t>HALL COUNTY DEPARTMENT OF CORRECTIONS</t>
  </si>
  <si>
    <t>110 PUBLIC SAFETY DRIVE</t>
  </si>
  <si>
    <t>GRAND ISLAND</t>
  </si>
  <si>
    <t>NE</t>
  </si>
  <si>
    <t>7000 EAST DUNBAR ROAD</t>
  </si>
  <si>
    <t>MONROE</t>
  </si>
  <si>
    <t>CHASE COUNTY DETENTION FACILITY</t>
  </si>
  <si>
    <t>301 SOUTH WALNUT STREET</t>
  </si>
  <si>
    <t>COTTONWOOD FALLS</t>
  </si>
  <si>
    <t>KS</t>
  </si>
  <si>
    <t>CLINTON COUNTY CORRECTIONAL FACILITY</t>
  </si>
  <si>
    <t>419 SHOEMAKER ROAD</t>
  </si>
  <si>
    <t>LOCK HAVEN</t>
  </si>
  <si>
    <t>TULSA COUNTY JAIL (DAVID L. MOSS JUSTICE CTR)</t>
  </si>
  <si>
    <t>300 NORTH DENVER AVENUE</t>
  </si>
  <si>
    <t>TULSA</t>
  </si>
  <si>
    <t>IA</t>
  </si>
  <si>
    <t>SAINT CLAIR COUNTY JAIL</t>
  </si>
  <si>
    <t>1170 MICHIGAN ROAD</t>
  </si>
  <si>
    <t>PORT HURON</t>
  </si>
  <si>
    <t>LEESPORT</t>
  </si>
  <si>
    <t>3040 SOUTH STATE HIGHWAY 100</t>
  </si>
  <si>
    <t>TIFFIN</t>
  </si>
  <si>
    <t>SAN LUIS REGIONAL DETENTION CENTER</t>
  </si>
  <si>
    <t>406 NORTH AVENUE D</t>
  </si>
  <si>
    <t>SAN LUIS</t>
  </si>
  <si>
    <t>KANDIYOHI COUNTY JAIL</t>
  </si>
  <si>
    <t>2201 23RD ST NE</t>
  </si>
  <si>
    <t>WILLMAR</t>
  </si>
  <si>
    <t>FREEBORN COUNTY ADULT DETENTION CENTER</t>
  </si>
  <si>
    <t>411 SOUTH BROADWAY AVENUE</t>
  </si>
  <si>
    <t>ALBERT LEA</t>
  </si>
  <si>
    <t>CLAY COUNTY JAIL</t>
  </si>
  <si>
    <t>611 EAST JACKSON STREET</t>
  </si>
  <si>
    <t>IN</t>
  </si>
  <si>
    <t>12450 MERRITT DR</t>
  </si>
  <si>
    <t>CHARDON</t>
  </si>
  <si>
    <t>ALAMANCE COUNTY DETENTION FACILITY</t>
  </si>
  <si>
    <t>109 SOUTH MAPLE STREET</t>
  </si>
  <si>
    <t>GRAHAM</t>
  </si>
  <si>
    <t>NC</t>
  </si>
  <si>
    <t>HONOLULU FEDERAL DETENTION CENTER</t>
  </si>
  <si>
    <t>351 ELLIOTT ST.</t>
  </si>
  <si>
    <t>HONOLULU</t>
  </si>
  <si>
    <t>HI</t>
  </si>
  <si>
    <t>BOP</t>
  </si>
  <si>
    <t>POLK COUNTY JAIL</t>
  </si>
  <si>
    <t>1985 NE 51ST PLACE</t>
  </si>
  <si>
    <t>DES MOINES</t>
  </si>
  <si>
    <t>CHIPPEWA COUNTY SSM</t>
  </si>
  <si>
    <t>325 COURT STREET</t>
  </si>
  <si>
    <t>SAULT SAINTE MARIE</t>
  </si>
  <si>
    <t>COASTAL BEND DETENTION FACILITY</t>
  </si>
  <si>
    <t>4909 FM (FARM TO MARKET) 2826</t>
  </si>
  <si>
    <t>ROBSTOWN</t>
  </si>
  <si>
    <t>ROBERT A. DEYTON DETENTION FACILITY</t>
  </si>
  <si>
    <t>11866 HASTINGS BRIDGE RD</t>
  </si>
  <si>
    <t>LOVEJOY</t>
  </si>
  <si>
    <t>ORSA</t>
  </si>
  <si>
    <t>CACHE COUNTY JAIL</t>
  </si>
  <si>
    <t>50 WEST 200 NORTH</t>
  </si>
  <si>
    <t>LOGAN</t>
  </si>
  <si>
    <t>UT</t>
  </si>
  <si>
    <t>WASHOE COUNTY JAIL</t>
  </si>
  <si>
    <t>911 PARR BOULEVARD</t>
  </si>
  <si>
    <t>RENO</t>
  </si>
  <si>
    <t>SC</t>
  </si>
  <si>
    <t>COLLIER COUNTY NAPLES JAIL CENTER</t>
  </si>
  <si>
    <t>3301 TAMIAMI TRAIL EAST</t>
  </si>
  <si>
    <t>NAPLES</t>
  </si>
  <si>
    <t>DALLAS COUNTY JAIL - LEW STERRETT JUSTICE CENTER</t>
  </si>
  <si>
    <t>111 WEST COMMERCE STREET</t>
  </si>
  <si>
    <t>DALLAS</t>
  </si>
  <si>
    <t>WASHINGTON COUNTY JAIL (PURGATORY CORRECTIONAL FAC</t>
  </si>
  <si>
    <t>HURRICANE</t>
  </si>
  <si>
    <t>HWY 28 INTSECT OF ROAD 165</t>
  </si>
  <si>
    <t>SAN JUAN</t>
  </si>
  <si>
    <t>PR</t>
  </si>
  <si>
    <t>5/8/2008</t>
  </si>
  <si>
    <t>SAIPAN DEPARTMENT OF CORRECTIONS (SUSUPE)</t>
  </si>
  <si>
    <t>TEKKEN ST., SUSUPE VILLAGE</t>
  </si>
  <si>
    <t>SAIPAN</t>
  </si>
  <si>
    <t>MP</t>
  </si>
  <si>
    <t xml:space="preserve">DEPARTMENT OF CORRECTIONS HAGATNA </t>
  </si>
  <si>
    <t>203 ASPINALL AVENUE</t>
  </si>
  <si>
    <t>HAGATNA</t>
  </si>
  <si>
    <t>GU</t>
  </si>
  <si>
    <t>PHELPS COUNTY JAIL</t>
  </si>
  <si>
    <t>715 5TH AVENUE</t>
  </si>
  <si>
    <t>HOLDREGE</t>
  </si>
  <si>
    <t>LINN COUNTY JAIL</t>
  </si>
  <si>
    <t>53 3RD AVENUE BRIDGE</t>
  </si>
  <si>
    <t>CEDAR RAPIDS</t>
  </si>
  <si>
    <t>SOUTH CENTRAL REGIONAL JAIL</t>
  </si>
  <si>
    <t>1001 CENTRE WAY</t>
  </si>
  <si>
    <t>CHARLESTON</t>
  </si>
  <si>
    <t>WV</t>
  </si>
  <si>
    <t>8/23/2018</t>
  </si>
  <si>
    <t>BALDWIN COUNTY CORRECTIONAL CENTER</t>
  </si>
  <si>
    <t>200 HAND AVE.</t>
  </si>
  <si>
    <t>BAY MINETTE</t>
  </si>
  <si>
    <t>MINICASSIA DETENTION CENTER</t>
  </si>
  <si>
    <t>1415 ALBION AVENUE</t>
  </si>
  <si>
    <t>BURLEY</t>
  </si>
  <si>
    <t>ID</t>
  </si>
  <si>
    <t>9/17/2018</t>
  </si>
  <si>
    <t>POTTAWATTAMIE COUNTY JAIL</t>
  </si>
  <si>
    <t>1400 BIG LAKE ROAD</t>
  </si>
  <si>
    <t>COUNCIL BLUFFS</t>
  </si>
  <si>
    <t>5001 Maloneyville Rd</t>
  </si>
  <si>
    <t>Knoxville</t>
  </si>
  <si>
    <t>TN</t>
  </si>
  <si>
    <t>EAST HIDALGO DETENTION CENTER</t>
  </si>
  <si>
    <t>1330 HIGHWAY 107</t>
  </si>
  <si>
    <t>LA VILLA</t>
  </si>
  <si>
    <t>LEXINGTON</t>
  </si>
  <si>
    <t>LEXINGTON COUNTY JAIL</t>
  </si>
  <si>
    <t>521 GIBSON ROAD</t>
  </si>
  <si>
    <t>NEW HANOVER COUNTY JAIL</t>
  </si>
  <si>
    <t>3950 JUVENILE RD</t>
  </si>
  <si>
    <t>CASTLE HAYNE</t>
  </si>
  <si>
    <t>SALT LAKE COUNTY METRO JAIL</t>
  </si>
  <si>
    <t>3415 SOUTH 900 WEST</t>
  </si>
  <si>
    <t>SALT LAKE CITY</t>
  </si>
  <si>
    <t>FLOYD COUNTY JAIL</t>
  </si>
  <si>
    <t>2526 NEW CALHOUN HWY</t>
  </si>
  <si>
    <t>ROME</t>
  </si>
  <si>
    <t>MIDLAND COUNTY DETENTION CENTER</t>
  </si>
  <si>
    <t>400 S MAIN STREET</t>
  </si>
  <si>
    <t>MIDLAND</t>
  </si>
  <si>
    <t>ERIE COUNTY JAIL</t>
  </si>
  <si>
    <t>1618 ASH STREET</t>
  </si>
  <si>
    <t>ERIE</t>
  </si>
  <si>
    <t>YORK COUNTY DETENTION CENTER</t>
  </si>
  <si>
    <t>1675-3A YORK HWY</t>
  </si>
  <si>
    <t>8/11/2016</t>
  </si>
  <si>
    <t xml:space="preserve">ICE confirms the integrity of the data as published on this site and cannot attest to subsequent transmissions.  Data fluctuate until “locked” at the conclusion of the fiscal year. </t>
  </si>
  <si>
    <t>FAMU Status</t>
  </si>
  <si>
    <t>Count</t>
  </si>
  <si>
    <t>FAMU</t>
  </si>
  <si>
    <t>SmartLINK</t>
  </si>
  <si>
    <t>Atlanta</t>
  </si>
  <si>
    <t>Baltimore</t>
  </si>
  <si>
    <t>Boston</t>
  </si>
  <si>
    <t>Buffalo</t>
  </si>
  <si>
    <t>Chicago</t>
  </si>
  <si>
    <t>Dallas</t>
  </si>
  <si>
    <t>Denver</t>
  </si>
  <si>
    <t>El Paso</t>
  </si>
  <si>
    <t>Houston</t>
  </si>
  <si>
    <t>Los Angeles</t>
  </si>
  <si>
    <t>Miami</t>
  </si>
  <si>
    <t>New Orleans</t>
  </si>
  <si>
    <t>New York</t>
  </si>
  <si>
    <t>Newark</t>
  </si>
  <si>
    <t>Philadelphia</t>
  </si>
  <si>
    <t>Phoenix</t>
  </si>
  <si>
    <t>Salt Lake City</t>
  </si>
  <si>
    <t>San Antonio</t>
  </si>
  <si>
    <t>San Diego</t>
  </si>
  <si>
    <t>San Francisco</t>
  </si>
  <si>
    <t>Seattle</t>
  </si>
  <si>
    <t>St Paul</t>
  </si>
  <si>
    <t>Records related to credible fear are USCIS records, and are provided to ICE by USCIS.</t>
  </si>
  <si>
    <t>ICE Detention Statistics</t>
  </si>
  <si>
    <t>Single Adult</t>
  </si>
  <si>
    <t>ECMS-FAMU</t>
  </si>
  <si>
    <t>ECMS-Single Adult</t>
  </si>
  <si>
    <t>ICE FOOTNOTES</t>
  </si>
  <si>
    <t>AOR/Technology</t>
  </si>
  <si>
    <t>Average Length in Program</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</si>
  <si>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</si>
  <si>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</si>
  <si>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</si>
  <si>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Online tracking device using smart phone or tablet</t>
  </si>
  <si>
    <t>Telephonic reporting</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</si>
  <si>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</si>
  <si>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</si>
  <si>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</si>
  <si>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</si>
  <si>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</si>
  <si>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All stats are pulled based on Current Program which attributes all cases back to the Program of the processing officer of the event.  However, if Current Program = OPL, XXX, ZZZ, or null, then Event Program is used.</t>
  </si>
  <si>
    <t>The CBP Arresting Agency includes the following programs:  Border Patrol, Inspections, Inspections-Air, Inspections-Land, and Inspections-Sea.</t>
  </si>
  <si>
    <t>An ICE Final Release is defined as a Final Bookout that reflects  one of the following release reasons:   Bonded Out, Order of Recognizance, Order of Supervision, Paroled, or Prosecutorial Discretion.  All Case Statuses are included.</t>
  </si>
  <si>
    <t>ICE Detention data exclude ORR transfers/facilities, and U.S. Marshals Service prisoners.</t>
  </si>
  <si>
    <t>ICE Removal Data Include Returns.  Returns include Voluntary Returns, Voluntary Departures and Withdrawals Under Docket Control.</t>
  </si>
  <si>
    <t>ICE Detention data excludes ORR transfers/facilities, as well as U.S. Marshals Service Prisoners.</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</si>
  <si>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</si>
  <si>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</si>
  <si>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</si>
  <si>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</si>
  <si>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FY2019 ICE Alternatives to Detention</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</si>
  <si>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</si>
  <si>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</si>
  <si>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</si>
  <si>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ICE Currently Detained Population Breakdown</t>
  </si>
  <si>
    <t>Order of Supervision-No SLRFF</t>
  </si>
  <si>
    <t>Washington DC</t>
  </si>
  <si>
    <t xml:space="preserve">ICE provides the following Detention and Alternatives to Detention (ATD) statistics, which may be downloaded by clicking below. The data tables are searchable and sortable, and worksheets are protected to ensure their accuracy and reliability. </t>
  </si>
  <si>
    <t>Harlingen</t>
  </si>
  <si>
    <t>Technology</t>
  </si>
  <si>
    <t>Daily Tech Cost</t>
  </si>
  <si>
    <t>ATD Active Population Counts and Daily Cost by Technology</t>
  </si>
  <si>
    <t>No Technology</t>
  </si>
  <si>
    <t>VoiceID</t>
  </si>
  <si>
    <t>No Tech</t>
  </si>
  <si>
    <t>Metric</t>
  </si>
  <si>
    <t>%</t>
  </si>
  <si>
    <t>Attended</t>
  </si>
  <si>
    <t>Failed to Attend</t>
  </si>
  <si>
    <t>Court Data from BI Inc.</t>
  </si>
  <si>
    <t>*Only Participants with court tracking assigned</t>
  </si>
  <si>
    <t>Detroit</t>
  </si>
  <si>
    <t>ICE ALTERNATIVES TO DETENTION DATA, FY23</t>
  </si>
  <si>
    <t>ATD Active Population by Status, Extended Case Management Service, Count and ALIP, FY23</t>
  </si>
  <si>
    <t>FY23 Court Appearance: Total Hearings*</t>
  </si>
  <si>
    <t>FY23 Court Appearance: Final Hearings*</t>
  </si>
  <si>
    <t>Data from BI Inc. Participants Report, 11.19.2022</t>
  </si>
  <si>
    <t>Active ATD Participants and Average Length in Program, FY23,  as of 11/19/2022, by AOR and Technology</t>
  </si>
  <si>
    <t>Data from OBP Report, 11.20.2022 Unofficial</t>
  </si>
  <si>
    <t>These statistics are made available to the public pursuant to the Fiscal Year 2023 Department of Homeland Security Appropriations Bill.</t>
  </si>
  <si>
    <t>[3] (STFRCTX) SOUTH TEXAS FAMILY RESIDENTIAL CENTER houses single adults and no longer house family units as of 12/11/21.</t>
  </si>
  <si>
    <t>[2] (KRNRCTX) KARNES COUNTY IMMIGRATION PROCESSING CENTER houses single adults and no longer house family units as of 11/10/21.</t>
  </si>
  <si>
    <t>[1] (BCORCPA) BERKS COUNTY RESIDENTIAL CENTER houses single adults and no longer house family units as of 11/27/21.</t>
  </si>
  <si>
    <t>NDS 2019</t>
  </si>
  <si>
    <t>10/21/2021</t>
  </si>
  <si>
    <t>4/8/2021</t>
  </si>
  <si>
    <t>PBNDS 2011 - 2016 Revisions</t>
  </si>
  <si>
    <t>9/30/2021</t>
  </si>
  <si>
    <t>2/3/2022</t>
  </si>
  <si>
    <t>HLG</t>
  </si>
  <si>
    <t>11/16/2021</t>
  </si>
  <si>
    <t>Meets Standards</t>
  </si>
  <si>
    <t>2/10/2022</t>
  </si>
  <si>
    <t>750 SOUTH 5300 WEST</t>
  </si>
  <si>
    <t>3/12/2021</t>
  </si>
  <si>
    <t>7/14/2022</t>
  </si>
  <si>
    <t>5/12/2022</t>
  </si>
  <si>
    <t>3/31/2022</t>
  </si>
  <si>
    <t>T. DON HUTTO DETENTION CENTER</t>
  </si>
  <si>
    <t>12/9/2021</t>
  </si>
  <si>
    <t>5/5/2022</t>
  </si>
  <si>
    <t>2/17/2022</t>
  </si>
  <si>
    <t>6/15/2022</t>
  </si>
  <si>
    <t>300 EL RANCHO WAY</t>
  </si>
  <si>
    <r>
      <t>SOUTH TEXAS FAMILY RESIDENTIAL CENTER</t>
    </r>
    <r>
      <rPr>
        <vertAlign val="superscript"/>
        <sz val="12"/>
        <color rgb="FF000000"/>
        <rFont val="Times New Roman"/>
        <family val="1"/>
      </rPr>
      <t>3</t>
    </r>
  </si>
  <si>
    <t>11/19/2021</t>
  </si>
  <si>
    <t>10/28/2021</t>
  </si>
  <si>
    <t>9/23/2021</t>
  </si>
  <si>
    <t>6/3/2022</t>
  </si>
  <si>
    <t>GUAYNABO</t>
  </si>
  <si>
    <t>651 FEDERAL DRIVE, SUITE 104</t>
  </si>
  <si>
    <t>SAN JUAN STAGING</t>
  </si>
  <si>
    <t>12/31/2021</t>
  </si>
  <si>
    <t>2/26/2022</t>
  </si>
  <si>
    <t>6/23/2022</t>
  </si>
  <si>
    <t>12/17/2020</t>
  </si>
  <si>
    <t>8/18/2022</t>
  </si>
  <si>
    <t>3/10/2022</t>
  </si>
  <si>
    <t>10/31/2021</t>
  </si>
  <si>
    <t>AMARILLO</t>
  </si>
  <si>
    <t>9100 SOUTH GEORGIA STREET</t>
  </si>
  <si>
    <t>RANDALL COUNTY JAIL</t>
  </si>
  <si>
    <t>12/16/2021</t>
  </si>
  <si>
    <t>1/13/2022</t>
  </si>
  <si>
    <t>7/29/2021</t>
  </si>
  <si>
    <t>4/21/2021</t>
  </si>
  <si>
    <t>4/21/2022</t>
  </si>
  <si>
    <t>12/13/2021</t>
  </si>
  <si>
    <t>CARROLLTON</t>
  </si>
  <si>
    <t>188 CEMETERY ST</t>
  </si>
  <si>
    <t>PICKENS COUNTY DET CTR</t>
  </si>
  <si>
    <t>7/15/2021</t>
  </si>
  <si>
    <t>1/27/2022</t>
  </si>
  <si>
    <t>4/7/2022</t>
  </si>
  <si>
    <t>5/19/2022</t>
  </si>
  <si>
    <t>9/5/2018</t>
  </si>
  <si>
    <t>VT</t>
  </si>
  <si>
    <t>SWANTON</t>
  </si>
  <si>
    <t>3649 LOWER NEWTON ROAD</t>
  </si>
  <si>
    <t>NORTHWEST STATE CORRECTIONAL CENTER</t>
  </si>
  <si>
    <t>7/22/2022</t>
  </si>
  <si>
    <t>3/3/2022</t>
  </si>
  <si>
    <t>PHILIPSBURG</t>
  </si>
  <si>
    <t>555 GEO Drive</t>
  </si>
  <si>
    <t>MOSHANNON VALLEY CORRECTIONAL</t>
  </si>
  <si>
    <t>12/17/2021</t>
  </si>
  <si>
    <t>8/11/2022</t>
  </si>
  <si>
    <t>11/29/2021</t>
  </si>
  <si>
    <t>11/12/2021</t>
  </si>
  <si>
    <t>6/16/2022</t>
  </si>
  <si>
    <t>12/10/2021</t>
  </si>
  <si>
    <t>11/30/2021</t>
  </si>
  <si>
    <t>BRONSON</t>
  </si>
  <si>
    <t>9150 NE 80TH AVE</t>
  </si>
  <si>
    <t>LEVY COUNTY JAIL</t>
  </si>
  <si>
    <t>5/26/2022</t>
  </si>
  <si>
    <t>2/25/2022</t>
  </si>
  <si>
    <t>12/7/2021</t>
  </si>
  <si>
    <t>11/10/2021</t>
  </si>
  <si>
    <t>4/28/2022</t>
  </si>
  <si>
    <t>409 FM 1144</t>
  </si>
  <si>
    <r>
      <t>KARNES COUNTY IMMIGRATION PROCESSING CENTER</t>
    </r>
    <r>
      <rPr>
        <vertAlign val="superscript"/>
        <sz val="12"/>
        <color rgb="FF000000"/>
        <rFont val="Times New Roman"/>
        <family val="1"/>
      </rPr>
      <t>2</t>
    </r>
  </si>
  <si>
    <t>500 HILBIG RD</t>
  </si>
  <si>
    <t>JOE CORLEY PROCESSING CTR</t>
  </si>
  <si>
    <t>11/17/2021</t>
  </si>
  <si>
    <t>1/6/2022</t>
  </si>
  <si>
    <t>12/28/2021</t>
  </si>
  <si>
    <t>BAY ST. LOUIS</t>
  </si>
  <si>
    <t>8450 HIGHWAY 90</t>
  </si>
  <si>
    <t>HANCOCK CO PUB SFTY CPLX</t>
  </si>
  <si>
    <t>MCFARLAND</t>
  </si>
  <si>
    <t>611 FRONTAGE RD</t>
  </si>
  <si>
    <t>GOLDEN STATE ANNEX</t>
  </si>
  <si>
    <t>11/18/2021</t>
  </si>
  <si>
    <t>4/14/2022</t>
  </si>
  <si>
    <t>7/28/2022</t>
  </si>
  <si>
    <t>3026 HWY 252 EAST</t>
  </si>
  <si>
    <t>FOLKSTON MAIN IPC</t>
  </si>
  <si>
    <t>3/17/2022</t>
  </si>
  <si>
    <t>2/11/2022</t>
  </si>
  <si>
    <t>GARDEN CITY</t>
  </si>
  <si>
    <t>304 N. 9TH STREET</t>
  </si>
  <si>
    <t>FINNEY COUNTY JAIL</t>
  </si>
  <si>
    <t>12/3/2021</t>
  </si>
  <si>
    <t>12/8/2021</t>
  </si>
  <si>
    <t>MOUNTAIN HOME</t>
  </si>
  <si>
    <t>2255 E. 8TH NORTH</t>
  </si>
  <si>
    <t>ELMORE COUNTY JAIL</t>
  </si>
  <si>
    <t>10/7/2021</t>
  </si>
  <si>
    <t>11/8/2021</t>
  </si>
  <si>
    <t>11/5/2021</t>
  </si>
  <si>
    <t>10450 RANCHO ROAD</t>
  </si>
  <si>
    <t>DESERT VIEW</t>
  </si>
  <si>
    <t>12/2/2021</t>
  </si>
  <si>
    <t>ME</t>
  </si>
  <si>
    <t>PORTLAND</t>
  </si>
  <si>
    <t>50 COUNTY WAY</t>
  </si>
  <si>
    <t>CUMBERLAND COUNTY JAIL</t>
  </si>
  <si>
    <t>12/20/2021</t>
  </si>
  <si>
    <t>PLATTSBURGH</t>
  </si>
  <si>
    <t>25 MCCARTHY DRIVE</t>
  </si>
  <si>
    <t>CLINTON COUNTY JAIL</t>
  </si>
  <si>
    <t>3/24/2021</t>
  </si>
  <si>
    <t>8/4/2022</t>
  </si>
  <si>
    <t>CENTRAL LOUISIANA ICE PROCESSING CENTER (CLIPC)</t>
  </si>
  <si>
    <t>8/25/2022</t>
  </si>
  <si>
    <t>1100 BOWLING ROAD</t>
  </si>
  <si>
    <t>CCA, FLORENCE CORRECTIONAL CENTER</t>
  </si>
  <si>
    <t>MT</t>
  </si>
  <si>
    <t>GREAT FALLS</t>
  </si>
  <si>
    <t>3800 ULM NORTH FRONTAGE ROAD</t>
  </si>
  <si>
    <t>CASCADE COUNTY JAIL (MONTANA)</t>
  </si>
  <si>
    <t>10/13/2022</t>
  </si>
  <si>
    <t>11/22/2021</t>
  </si>
  <si>
    <t>BURNET</t>
  </si>
  <si>
    <t>JAIL ADMINISTRATOR</t>
  </si>
  <si>
    <t>BURNET COUNTY JAIL</t>
  </si>
  <si>
    <t>STARKE</t>
  </si>
  <si>
    <t>945 N TEMPLE AVE</t>
  </si>
  <si>
    <t>BRADFORD COUNTY JAIL</t>
  </si>
  <si>
    <t>11/4/2021</t>
  </si>
  <si>
    <t>2/12/2021</t>
  </si>
  <si>
    <t>1040 BERKS RD</t>
  </si>
  <si>
    <r>
      <t>BERKS COUNTY RESIDENTIAL CENTER</t>
    </r>
    <r>
      <rPr>
        <vertAlign val="superscript"/>
        <sz val="12"/>
        <color rgb="FF000000"/>
        <rFont val="Times New Roman"/>
        <family val="1"/>
      </rPr>
      <t>1</t>
    </r>
  </si>
  <si>
    <t>12/30/2021</t>
  </si>
  <si>
    <t>11/3/2021</t>
  </si>
  <si>
    <t>FY23 ALOS</t>
  </si>
  <si>
    <t>Source: ICE Integrated Decision Support (IIDS), 11/14/2022</t>
  </si>
  <si>
    <t>FY23 ADP: Mandatory</t>
  </si>
  <si>
    <t>FY23 ADP: ICE Threat Level</t>
  </si>
  <si>
    <t>FY23 ADP: Criminality</t>
  </si>
  <si>
    <t>FY23 ADP: Detainee Classification Level</t>
  </si>
  <si>
    <t xml:space="preserve">ICE FACILITIES DATA, FY23 </t>
  </si>
  <si>
    <t>These statistics are made available to the public pursuant to H.R. 1158 Sec. 218 - Department of Homeland Security Appropriations Act, 2020. ) *The information in this report is subject to change.</t>
  </si>
  <si>
    <t>ICE Enforcement and Removal Operations Data, FY2023</t>
  </si>
  <si>
    <t xml:space="preserve">* Data are based on an individuals self-identification as transgender and are subject to change daily, depending on the number of individuals booked in and out of ICE custody. </t>
  </si>
  <si>
    <t>San Francisco Area of Responsibility</t>
  </si>
  <si>
    <t>Phoenix Area of Responsibility</t>
  </si>
  <si>
    <t>Buffalo Area of Responsibility</t>
  </si>
  <si>
    <t>Dallas Area of Responsibility</t>
  </si>
  <si>
    <t>Philadelphia Area of Responsibility</t>
  </si>
  <si>
    <t>Seattle Area of Responsibility</t>
  </si>
  <si>
    <t>Miami Area of Responsibility</t>
  </si>
  <si>
    <t>New Orleans Area of Responsibility</t>
  </si>
  <si>
    <t>Houston Area of Responsibility</t>
  </si>
  <si>
    <t>Currently Detained Location/Area of Responsibility Total</t>
  </si>
  <si>
    <t>Currently Detained without Final Order</t>
  </si>
  <si>
    <t>Currently Detained with Final Order</t>
  </si>
  <si>
    <t>Currently Detained Total</t>
  </si>
  <si>
    <t xml:space="preserve">Total Book-Ins </t>
  </si>
  <si>
    <t>County</t>
  </si>
  <si>
    <t>FY 2023 YTD</t>
  </si>
  <si>
    <t>ICE Transgender* Detainee Population FY 2023 YTD:  as of 11/21/2022</t>
  </si>
  <si>
    <t xml:space="preserve">The Segregation Directive is intended to complement the requirements set forth by the national detention standards and other applicable ICE policies. Per the 2011 ICE Performance-Based National Detention Standards (revised 2016):
•	A supervisor shall conduct a review within 72 hours of the detainee’s placement in administrative segregation to determine whether segregation is still warranted. A supervisor shall conduct an identical review after the detainee has spent seven days in administrative segregation, and every week thereafter, for the first 30 days and every 10 days thereafter, at a minimum.
•	The facility administrator shall review the status of a detainee in disciplinary segregation after the first 30 days of segregation, and each 30 days thereafter, to determine whether continued detention in disciplinary segregation is warranted.
•	A multi-disciplinary committee of facility staff, including facility leadership, medical and mental health professionals, and security staff, shall meet weekly to review all detainees currently housed in the facility’s SMU. During the meeting, the committee shall review each detainee individually to ensure all staff are aware of the detainee’s status, current behavior, and physical and mental health, and to consider whether any change in status is appropriate.
ERO provides several levels of oversight of ICE’s SMUs to ensure detainees in ICE custody reside in safe, secure, and humane environments, and under appropriate conditions of confinement. 
•	All ICE-approved detention facilities are inspected by a third-party inspection team to ensure the applicable detention standards are met. 
•	ICE Headquarters personnel conduct daily reviews of segregation cases within SRMS to ensure compliance with applicable policy and detention standards. 
•	Representatives from ERO Custody Management, IHSC, Field Operations, and the Office of Principal Legal Advisor conduct a weekly review of cases in which detainees suffer from mental and medical illnesses and to evaluate whether their current housing placement is appropriate. 
•	ICE utilizes Detention Service Managers who are imbedded within the various field offices and whose sole function is to provide daily detention standard oversight and to conduct on-going reviews of all aspects of the detention operations.  
•	ICE’s Office of Professional Responsibility (OPR) conducts independent reviews of ICE ERO’s segregation practices through its facility compliance inspections and oversight of the Self-Inspection Program. Specifically, ICE OPR reviews facility segregation issues during their facility compliance inspections, compares those findings with case management records, and brings any discrepancies to the attention of facility management, the local ICE ERO field office personnel, and ICE Headquarters.  
</t>
  </si>
  <si>
    <t xml:space="preserve">The Process for and Frequency of Re-Evaluating Custody Decisions </t>
  </si>
  <si>
    <t xml:space="preserve">Consistent with ICE detention standards  and ICE Policy 11065.1: Review of the Use of Segregation for ICE Detainees, a detainee may be placed into a Special Management Unit (SMU), with either an Administrative Segregation designation for detainees segregated for administrative reasons or a Disciplinary Segregation designation for detainees segregated for disciplinary reasons.  Administrative segregation is provided for detainees who request or need protective custody or who present an immediate, significant threat to the safety, security, or good order of the facility. Disciplinary segregation is used only after a finding by a disciplinary hearing panel that the detainee is guilty of a prohibited act or rule violation.  Disciplinary segregation only serves to regulate the detainee’s behavior and is imposed for a maximum of 30 days per incident, except in extraordinary circumstances.  ICE is required to periodically review these extraordinary cases to determine whether continued detention in disciplinary segregation is warranted.  
Segregation placements are not made solely based upon the presence of a special vulnerability. Placement of detainees in segregation requires careful consideration of alternatives, and administrative segregation placements for a special vulnerability should be used only as a last resort. Representatives from the ICE Health Service Corps (IHSC), Field Operations, and the Office of Principal Legal Advisor coordinate to conduct a weekly review of cases of detainees with mental and medical illnesses and to evaluate whether their current housing placement is appropriate. Headquarters personnel provide guidance to field office leadership, and in coordination with IHSC, may help facilitate the transfer of identified cases to other locations better suited to their individual needs, when applicable.
Please note that the SRMS only reflects the most recent placement reason for that segregation placement. It is possible that the segregation reason changed at some point during the segregation stay. </t>
  </si>
  <si>
    <t>The Basis for Any Use of Facility-Initiated Segregation</t>
  </si>
  <si>
    <t>*Data represents 281 unique detainees. Some detainees have multiple placements within FY22 Q4 (311 total placements).</t>
  </si>
  <si>
    <t>Grand Total</t>
  </si>
  <si>
    <t>Protective Custody</t>
  </si>
  <si>
    <t>Pending Investigation of Disciplinary Violation</t>
  </si>
  <si>
    <t>Medical/Mental Health</t>
  </si>
  <si>
    <t>Facility Security Threat</t>
  </si>
  <si>
    <t>Disciplinary</t>
  </si>
  <si>
    <t>Average Number of Cumulative Days in Segregation</t>
  </si>
  <si>
    <t>Average Number of Consecutive Days in Segregation</t>
  </si>
  <si>
    <t>Number of Placements</t>
  </si>
  <si>
    <t>Placement Reason</t>
  </si>
  <si>
    <t>Fiscal Year (FY) 2022 Quarter 4 Data</t>
  </si>
  <si>
    <t>**All Q3 detainees previously under the Hunger Strike/Suicide Watch Placement reason have since had their placement reason updated</t>
  </si>
  <si>
    <t>* Data represents 209 unique detainees. Some detainees have multiple placements within FY22 Q3 (226 total placements).</t>
  </si>
  <si>
    <t>Fiscal Year (FY) 2022 Quarter 3 Data</t>
  </si>
  <si>
    <t>* Data represents 281 unique detainees. Some detainees have multiple placements within FY22 Q2 (296 total placements).</t>
  </si>
  <si>
    <t>* Data represents 287 unique detainees. Some detainees have multiple placements within FY22 Q1 (313 total placements).</t>
  </si>
  <si>
    <t>Fiscal Year (FY) 2022 Quarter 1 Data</t>
  </si>
  <si>
    <t xml:space="preserve">U.S. Immigration and Customs Enforcement (ICE) Enforcement and Removal Operations (ERO) is providing segregation data involving vulnerable and special populations based on the special vulnerabilities currently captured in ERO’s Segregation Review Management System (SRMS). This population includes: reported facility-initiated segregation placements of noncitizens that self-identify as lesbian, gay, bisexual, transgender, and/or intersex (LGBTI); have a serious mental or medical illness; are conducting a hunger strike; or are on suicide watch. 
SRMS captures noncitizens with these special vulnerabilities as reported by each of the field offices. Consistent with ICE Policy 11065.1: Review of the Use of Segregation for ICE Detainees, mandatory reporting includes any instance in which a detainee identified as having a special vulnerability is placed in segregation, or instances in which a detainee is segregated for a period of 14 consecutive days or 14 days out of a 21-day period. </t>
  </si>
  <si>
    <t xml:space="preserve">Definition for Vulnerable and Special Populations </t>
  </si>
  <si>
    <t>Fiscal Year (FY)  2022 Quarter 2 Data</t>
  </si>
  <si>
    <t>ICE DETENTION DATA, FY2023</t>
  </si>
  <si>
    <t xml:space="preserve">ICE Currently Detained by Processing Disposition and Detention Facility Type: </t>
  </si>
  <si>
    <t>Average Time from USCIS Fear Decision Service Date to ICE Release (In Days)</t>
  </si>
  <si>
    <t>Noncitizens with USCIS-Established Fear Decisions in an ICE Detention Facility by Facility Type</t>
  </si>
  <si>
    <t>Processing Disposition</t>
  </si>
  <si>
    <t>FSC</t>
  </si>
  <si>
    <t>Adult</t>
  </si>
  <si>
    <t>ICE Release Fiscal Year</t>
  </si>
  <si>
    <t>Detention Facility Type</t>
  </si>
  <si>
    <t>Total Detained</t>
  </si>
  <si>
    <t>FY2023</t>
  </si>
  <si>
    <t>Expedited Removal (I-860)</t>
  </si>
  <si>
    <t>Notice to Appear (I-862)</t>
  </si>
  <si>
    <t>Reinstatement of Deport Order (I-871)</t>
  </si>
  <si>
    <t>Other</t>
  </si>
  <si>
    <t>ICE Currently Detained by Criminality and Arresting Agency</t>
  </si>
  <si>
    <t>ICE Initial Book-Ins by Arresting Agency and Month: FY2023</t>
  </si>
  <si>
    <t>Criminality</t>
  </si>
  <si>
    <t>Percent ICE</t>
  </si>
  <si>
    <t>Percent CBP</t>
  </si>
  <si>
    <t>Agency</t>
  </si>
  <si>
    <t>Oct</t>
  </si>
  <si>
    <t>Nov</t>
  </si>
  <si>
    <t>Dec</t>
  </si>
  <si>
    <t>Jan</t>
  </si>
  <si>
    <t>Feb</t>
  </si>
  <si>
    <t>Mar</t>
  </si>
  <si>
    <t>Apr</t>
  </si>
  <si>
    <t>May</t>
  </si>
  <si>
    <t>Jun</t>
  </si>
  <si>
    <t>Jul</t>
  </si>
  <si>
    <t>Aug</t>
  </si>
  <si>
    <t>Sep</t>
  </si>
  <si>
    <t>Convicted Criminal</t>
  </si>
  <si>
    <t>Pending Criminal Charges</t>
  </si>
  <si>
    <t xml:space="preserve">ICE  </t>
  </si>
  <si>
    <t>Other Immigration Violator</t>
  </si>
  <si>
    <t>ICE Initial Book-Ins by Facility Type and Criminality: FY2023</t>
  </si>
  <si>
    <t>ICE Final Releases by Facility Type: FY2023</t>
  </si>
  <si>
    <t>ICE Removals: FY2023</t>
  </si>
  <si>
    <t>Facility Type</t>
  </si>
  <si>
    <t>Removals</t>
  </si>
  <si>
    <t>Removals with a FSC Detention</t>
  </si>
  <si>
    <t>ICE Final Releases by Release Reason, Month and Criminality: FY2023</t>
  </si>
  <si>
    <t>Release Reason</t>
  </si>
  <si>
    <t>Bonded Out</t>
  </si>
  <si>
    <t>Bond Set by ICE</t>
  </si>
  <si>
    <t>Bond Set by IJ</t>
  </si>
  <si>
    <t>Paroled</t>
  </si>
  <si>
    <t>ICE Average Daily Population by Arresting Agency, Month and Criminality: FY2023</t>
  </si>
  <si>
    <t>FY Overall</t>
  </si>
  <si>
    <t>CBP Average</t>
  </si>
  <si>
    <t xml:space="preserve">ICE Average  </t>
  </si>
  <si>
    <t xml:space="preserve">Average </t>
  </si>
  <si>
    <t>ICE Average Length of Stay by Arresting Agency, Month and Criminality: FY2023</t>
  </si>
  <si>
    <t>ICE Average Daily Population by Facility Type and Month: FY2023</t>
  </si>
  <si>
    <t>ICE Average Length of Stay by Facility Type and Month: FY2023</t>
  </si>
  <si>
    <t>ICE Average Length of Stay Adult Facility Type by Month and Arresting Agency: FY2023</t>
  </si>
  <si>
    <t>Arresting Agency</t>
  </si>
  <si>
    <t>Individuals with Positive Credible Fear Determination Parole Requested: FY2021 - FY2023</t>
  </si>
  <si>
    <t>Fiscal Year</t>
  </si>
  <si>
    <t>FY2022</t>
  </si>
  <si>
    <t>FY2021</t>
  </si>
  <si>
    <t>Individuals with Positive Credible Fear Determination Parole Status: FY2021 - FY2023</t>
  </si>
  <si>
    <t>Parole Status</t>
  </si>
  <si>
    <t>Parole Granted</t>
  </si>
  <si>
    <t>Parole Denied</t>
  </si>
  <si>
    <t>Average In Custody Length of Stay (ICLOS)</t>
  </si>
  <si>
    <t xml:space="preserve">Population </t>
  </si>
  <si>
    <t>July</t>
  </si>
  <si>
    <t>August</t>
  </si>
  <si>
    <t>September</t>
  </si>
  <si>
    <t>October</t>
  </si>
  <si>
    <t>November</t>
  </si>
  <si>
    <t>December</t>
  </si>
  <si>
    <t>January</t>
  </si>
  <si>
    <t>February</t>
  </si>
  <si>
    <t>March</t>
  </si>
  <si>
    <t>April</t>
  </si>
  <si>
    <t>June</t>
  </si>
  <si>
    <t xml:space="preserve">mid </t>
  </si>
  <si>
    <t>end</t>
  </si>
  <si>
    <t>mid</t>
  </si>
  <si>
    <t>Adult Facility Individuals</t>
  </si>
  <si>
    <t>FSC Facility Individuals</t>
  </si>
  <si>
    <t>Post-Determination for Adult Facility Individuals with Postive Fear Claim</t>
  </si>
  <si>
    <t>Post-Determination for FSC Facility Individuals with Positive Fear Claim</t>
  </si>
  <si>
    <t>Detainees</t>
  </si>
  <si>
    <t>0-180 Days</t>
  </si>
  <si>
    <t>181-365 Days</t>
  </si>
  <si>
    <t>366-730 Days</t>
  </si>
  <si>
    <t>More than 730 Days</t>
  </si>
  <si>
    <t>FY2023 Bonded Out Releases Count and ALOS - Prior 12 months plus Current Month</t>
  </si>
  <si>
    <t>Total ICE Final Releases</t>
  </si>
  <si>
    <t>ICE Final Releases with Bond Posted</t>
  </si>
  <si>
    <t>Bond Posted Releases (%)</t>
  </si>
  <si>
    <t>Average Bond Amount ($)</t>
  </si>
  <si>
    <t>ALOS (Days)</t>
  </si>
  <si>
    <t xml:space="preserve">The data contained within this Semiannual page has been refreshed for the United States Citizens, Parents of United States Citizens and Temporary Protective Status Countries tables for the End of Fiscal Year 2022 and will remain historic and static. The  United States Armed Forces Noncitizen data will continue to be updated to capture the most accurate data possible. ERO, OPLA, and the DHS IMMVI unit are currently working in conjunction to verify past and current Veterans in the database on a continuous basis. </t>
  </si>
  <si>
    <t>United States Armed Forces Noncitizen Arrests FY2018 - YTD2022</t>
  </si>
  <si>
    <t>Arrests</t>
  </si>
  <si>
    <t>FY2018</t>
  </si>
  <si>
    <t>FY2019</t>
  </si>
  <si>
    <t>FY2020</t>
  </si>
  <si>
    <t xml:space="preserve">FY2022 </t>
  </si>
  <si>
    <t>United States Armed Forces Noncitizen Bookins FY2018 - YTD2022</t>
  </si>
  <si>
    <t>Bookins</t>
  </si>
  <si>
    <t>United States Armed Forces Noncitizen Removals FY2018 - YTD2022</t>
  </si>
  <si>
    <t>United States Citizen Arrests FY2018 - FY2022</t>
  </si>
  <si>
    <t>United States Citizens Bookins FY2018 - FY2022</t>
  </si>
  <si>
    <t>United States Citizens Removals FY2018 - FY2022</t>
  </si>
  <si>
    <t>Parents of USC Arrests FY2018 - FY2022</t>
  </si>
  <si>
    <t>Parents of USC Bookins FY2018 - FY2022</t>
  </si>
  <si>
    <t>Parents of USC Removals FY2018 - FY2022</t>
  </si>
  <si>
    <t>Temporary Protected Status Countries Arrests FY2018 - FY2022</t>
  </si>
  <si>
    <t>Citizenship Country</t>
  </si>
  <si>
    <t>Afghanistan</t>
  </si>
  <si>
    <t>Burma (Myanmar)</t>
  </si>
  <si>
    <t>Cameroon</t>
  </si>
  <si>
    <t>El Salvador</t>
  </si>
  <si>
    <t>Haiti</t>
  </si>
  <si>
    <t>Honduras</t>
  </si>
  <si>
    <t>Nepal</t>
  </si>
  <si>
    <t>Nicaragua</t>
  </si>
  <si>
    <t>Somalia</t>
  </si>
  <si>
    <t>South Sudan</t>
  </si>
  <si>
    <t>Sudan</t>
  </si>
  <si>
    <t>Syria</t>
  </si>
  <si>
    <t>Ukraine</t>
  </si>
  <si>
    <t>Venezuela</t>
  </si>
  <si>
    <t>Yemen</t>
  </si>
  <si>
    <t>Temporary Protected Status Countries Bookins FY2018 - FY2022</t>
  </si>
  <si>
    <t>Temporary Protected Status Countries Removals FY2018 - FY2022</t>
  </si>
  <si>
    <t>Non-U.S. citizen child or children under the age of 18, accompanied by his/her/their parent(s) or legal guardian(s).
Family Staging Centers (FSC) include the Karnes County Family Staging Center (active end date of 11/03/2021), South Texas Family Staging Center (active end date of 12/20/2021), Berks County Family Staging Center (active end date of 02/26/2021), Artesia Family Residential Center (active end date of 12/31/2021), T. Don Hutto Family Residential Center (active end date of 09/01/2009), Suites on Scottsdale – Casa De Alegria (active end date of 12/31/2021), Best Western – Casa De Estrella (active end date of 12/31/2021), Comfort Suites – Casa Consuelo (active end date of 12/31/2021), La Quinta – Wyndham – Casa De Paz (active end date of 12/31/2021), Holiday Inn Express – Casa De La Luz (active end date of 12/31/2021), Wingate – Wyndham Casa Esperanza (active end date of 12/31/2021), Hotel Ava Casa Do Tranquilidade (active end date of 03/31/2022), La Quinta Wyndham Casa Do Sonho (active end date of 03/31/2022), Best Western – Casa Do Tranquilidade (no active end date), Best West Rose Gr-Dn I&amp;S (no active end date), Candelwood Inn Cotulla (no active end date), Hampton Inn – Pearsall (no active end date), Holiday Inn Express &amp; Suites Pearsall (no active end date), Holiday Inn Expr &amp; Stes Cotulla (no active end date), Extended Stay America (no active end date), La Copa Inn Hotel (no active end date), Traveler's Inn – Phoenix (no active end date), Holiday Inn Express &amp; Suites El Paso (no active end date), Holiday Inn Express &amp; Suites Raymondville (no active end date), La Quinta Inn By Wyndham Sna (no active end date), and Super 8 By Wyndham Hidalgo (no active end date). FSC records are determined by these facilities and the Detention Book In date of the noncitizen, therefore noncitizens can still be counted as FSC after the active end date of a facility.</t>
  </si>
  <si>
    <t>FY2023 ICE Average Daily Population and ICE Average Length of Stay</t>
  </si>
  <si>
    <t>FY2023 ICE Detention data are updated through 11/19/2022 (IIDS v.2.0 run date 11/21/2022; EID as of 11/19/2022).</t>
  </si>
  <si>
    <t>ADP by Arresting Agency, Month and Criminality : FY2022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</si>
  <si>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</si>
  <si>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Family Staging Centers (FSC) include the Karnes County Family Staging Center (active end date of 11/03/2021), South Texas Family Staging Center (active end date of 12/20/2021), Berks County Family Staging Center (active end date of 02/26/2021), Artesia Family Residential Center (active end date of 12/31/2021), T. Don Hutto Family Residential Center (active end date of 09/01/2009), Suites on Scottsdale – Casa De Alegria (active end date of 12/31/2021), Best Western – Casa De Estrella (active end date of 12/31/2021), Comfort Suites – Casa Consuelo (active end date of 12/31/2021), La Quinta – Wyndham – Casa De Paz (active end date of 12/31/2021), Holiday Inn Express – Casa De La Luz (active end date of 12/31/2021), Wingate – Wyndham Casa Esperanza (active end date of 12/31/2021), Hotel Ava Casa Do Tranquilidade (active end date of 03/31/2022), La Quinta Wyndham Casa Do Sonho (active end date of 03/31/2022), Best Western – Casa Do Tranquilidade (no active end date), Best West Rose Gr-Dn I&amp;S (no active end date), Candelwood Inn Cotulla (no active end date), Hampton Inn – Pearsall (no active end date), Holiday Inn Express &amp; Suites Pearsall (no active end date), Holiday Inn Expr &amp; Stes Cotulla (no active end date), Extended Stay America (no active end date), La Copa Inn Hotel (no active end date), Traveler's Inn – Phoenix (no active end date), Holiday Inn Express &amp; Suites El Paso (no active end date), Holiday Inn Express &amp; Suites Raymondville (no active end date), La Quinta Inn By Wyndham Sna (no active end date), and Super 8 By Wyndham Hidalgo (no active end date). FSC records are determined by these facilities and the Detention Book In date of the noncitizen, therefore noncitizens can still be counted as FSC after the active end date of a facility.</t>
  </si>
  <si>
    <t>FY2023 ICE Final Releases</t>
  </si>
  <si>
    <t>FY2023 ICE Final Releases data are updated through 11/19/2022 (IIDS v.2.0 run date 11/21/2022; EID as of 11/19/2022).</t>
  </si>
  <si>
    <t>A Non-Citizen may have multiple releases; only the most recent release is included in this report.</t>
  </si>
  <si>
    <t>FY2023 ICE Removals</t>
  </si>
  <si>
    <t>FY2023 ICE Removals data are updated through 11/19/2022 (IIDS v.2.0 run date 11/21/2022; EID as of 11/19/2022).</t>
  </si>
  <si>
    <t>ICE Removals include Non Citizens processed for Expedited Removal (ER) or Voluntary Return (VR) that are turned over to ERO for detention.  Non Citizens processed for ER and not detained by ERO or VR after June 1st, 2013 and not detained by ERO are primarily processed by Border Patrol.  CBP should be contacted for those statistics.</t>
  </si>
  <si>
    <t xml:space="preserve">Starting in FY2009, ICE began to "lock" removal statistics on October 5th at the end of each fiscal year and counted only the Non Citizens whose removal or return was already confirmed.  Non Citizens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</si>
  <si>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National Docket data are a snapshot as of 11/20/2022 (IIDS v.2.0 run date 11/21/2022; EID as of 11/20/2022).</t>
  </si>
  <si>
    <t>Processing dispositions of Other may include, but are not limited to, Non Citizens processed under Administrative Removal, Visa Waiver Program Removal, Stowaway or Crewmember.</t>
  </si>
  <si>
    <t>FY2023 ICE Initial Book-Ins</t>
  </si>
  <si>
    <t>FY2023 ICE Book-ins data is updated through 11/19/2022 (IIDS v.2.0 run date 11/21/2022; EID as of 11/19/2022).</t>
  </si>
  <si>
    <t>USCIS Average Time from USCIS Fear Decision Service Date to ICE Release (In Days) &amp; Non-Citizens with USCIS-Established Fear Decisions in an ICE Detention Facility</t>
  </si>
  <si>
    <t>Non Citizens Currently in ICE Detention Facilities data are a snapshot as of 11/20/2022 (IIDS v.2.0 run date 11/21/2022; EID as of 11/20/2022).</t>
  </si>
  <si>
    <t>USCIS provided data containing APSO (Asylum Pre Screening Officer) cases clocked during FY2020 - FY2023. Data were received on 11/21/2022.</t>
  </si>
  <si>
    <t>Non Citizens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</si>
  <si>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 Non-Citizens Fear Screening Determination cannot be confirmed as directly related to an ICE Detention Stay, even if the USCIS Decision Service Date falls within the ICE Detention Stay.</t>
  </si>
  <si>
    <t>Of the 158,960 records in the USCIS provided data, the breakdown of the fear screening determinations is as follows; 73,034 positive fear screening determinations, 41,991 negative fear screening determinations and 43,935 without an identified determination. Of the 73,034 with positive fear screening determinations; 56,421 have Persecution Claim Established and 16,613 have Torture Claim Established.</t>
  </si>
  <si>
    <t>Non Citizens Currently in ICE Detention Facilities and the Average Time from USCIS Fear Decision Service Date to ICE Release include detentions not associated with a removal case.</t>
  </si>
  <si>
    <t>The data provided by USCIS contains multiple records for some Alien File Numbers. There are 158,960 unique fear determinations and 5,028 of those have multiple records in the data provided by USCIS. The Alien File Numbers with multiple USCIS records are treated as follows:      
• If an Alien File Number is associated with both positive and negative fear screening determinations, only the most recent screening is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</si>
  <si>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Non-Citizen was released from ICE Custody. </t>
  </si>
  <si>
    <t xml:space="preserve">ICLOS and Detainees </t>
  </si>
  <si>
    <t xml:space="preserve">ICLOS is the average In Custody Length of Stay and is a calculation of how long a detainee has been in custody at a particular point in time and the formula used for this calculation is Date – Book In Date </t>
  </si>
  <si>
    <t>The four categories the ICLOS and Detainees tab is broken out by are 
•	Adult Facility Individuals
o	Anyone who is in an adult facility and does not have a post determined positive fear claim at the date of the snapshot 
•	FRC Facility Individuals
o	Anyone who is in a family facility and does not have a post determined positive fear claim at the date of the snapshot 
•	Post-Determination for Adult Facility Individuals with Positive Fear Claim
o	Anyone who is in an adult facility and has a post determined positive fear claim at the date of the snapshot 
•	Post-Determination for FRC Facility Individuals with Positive Fear Claim
o	Anyone who is in a family facility and has a post determined positive fear claim at the date of the snapshot</t>
  </si>
  <si>
    <t xml:space="preserve">The mid for each month corresponds to the 15th of the month and end corresponds to the last day of the month. </t>
  </si>
  <si>
    <t>It was assumed that if a positive fear claim happened within five days of the initial book in that it was related to the detention stay. This was to account for the 72-hour transfer period from CBP to a detention facility and to account for additional time due to coronavirus.</t>
  </si>
  <si>
    <t>ICE ICLOS and Detainees Data are updated through 11/15/2022 (IIDS v.2.0 run date 11/22/2022; EID as of 11/21/2022).</t>
  </si>
  <si>
    <t>Monthly Bond Statistics</t>
  </si>
  <si>
    <t>An ICE Final Release is defined as a Final Bookout that reflects one of the following release reasons: Bonded Out, Order of Recognizance, Order of Supervision, Paroled, or Prosecutorial Discretion. All Case Statuses are included.</t>
  </si>
  <si>
    <t>BMU provided data containing Bonds Posted cases recorded from 10/01/2021 - 11/21/2022 . Data were received on 11/22/2022.</t>
  </si>
  <si>
    <t xml:space="preserve">Bond Posted Releases (%) is calculated by the sum total count of ICE Final Releases of the noncitizens with bond posted divided by the total count of ICE Final Releases. </t>
  </si>
  <si>
    <t xml:space="preserve">ICE Final Releases is limited to one release reason per release. A Final Release may have more than one release reason but only one reason is recorded. Due to this system limitation, there are noncitizens with a bond posted whose ICE Final Release reason is recorded as other than "Bonded Out". </t>
  </si>
  <si>
    <t>STU determines Bonded Out releases by Release Reason entered and Detention Book Out Date. BMU data uses the Bond Post Date which is not necessarily the same as the Detention Book Out Date.</t>
  </si>
  <si>
    <t>Individuals with Credible Fear Parole</t>
  </si>
  <si>
    <t>FY2023 Encounters data is updated through 11/21/2022 (IIDS v.2.0 run date 11/22/2022; EID as of 11/21/2022).</t>
  </si>
  <si>
    <t>Parole requested and parole granted dates are based on the Case Action Decision Date contained in the system of record.</t>
  </si>
  <si>
    <t>Parole granted is defined as Agency-based case action jurisdiction and case decision is "Granted".</t>
  </si>
  <si>
    <t>Parole denied is defined as Agency-based case action jurisdiction and case decision is "Denied".</t>
  </si>
  <si>
    <t>Parole decisions may not be in the same month as parole requested.</t>
  </si>
  <si>
    <t>Semiannual Arrests, Bookins and Removals</t>
  </si>
  <si>
    <t>For United States Armed Forces tables:</t>
  </si>
  <si>
    <t>FY2018 - 2022 ICE Arrests data are updated through 09/30/2022 (IIDS v.2.0 run date 10/11/2022; EID as of 10/10/2022).</t>
  </si>
  <si>
    <t>FY2018 - 2022 ICE Detention data are updated through 09/30/2022 (IIDS v.2.0 run date 10/11/2022; EID as of 10/10/2022).</t>
  </si>
  <si>
    <t>FY2018 - 2022 ICE Removals data are updated through 09/30/2022 (IIDS v.2.0 run date 10/11/2022; EID as of 10/10/2022).</t>
  </si>
  <si>
    <t>For United States Citizens tables:</t>
  </si>
  <si>
    <t>FY2018 - 2022 ICE Arrests data are updated through 09/30/2022 (IIDS v.2.0 run date 10/05/2022; EID as of 10/04/2022).</t>
  </si>
  <si>
    <t>FY2018 - 2022 ICE Detention data are updated through 09/30/2022 (IIDS v.2.0 run date 10/05/2022; EID as of 10/04/2022).</t>
  </si>
  <si>
    <t>FY2018 - 2022  ICE Removals data are updated through 09/30/2022 (IIDS v.2.0 run date 10/05/2022; EID as of 10/04/2022).</t>
  </si>
  <si>
    <t>For Parents of United States Citizens tables:</t>
  </si>
  <si>
    <t>FY2018 - 2022 ICE Removals data are updated through 09/30/2022 (IIDS v.2.0 run date10/05/2022; EID as of 10/04/2022).</t>
  </si>
  <si>
    <t>For Temporary Protected Status Countries tables:</t>
  </si>
  <si>
    <t>FY2022 ICE Arrests data are updated through 09/30/2022 (IIDS v.2.0 run date10/05/2022; EID as of 10/04/2022).</t>
  </si>
  <si>
    <t>FY2022 ICE Detention data are updated through 09/30/2022 (IIDS v.2.0 run date10/05/2022; EID as of 10/04/2022).</t>
  </si>
  <si>
    <t>FY2022 ICE Removals data are updated through 09/30/2022 (IIDS v.2.0 run date10/05/2022; EID as of 10/04/2022).</t>
  </si>
  <si>
    <t xml:space="preserve">FY2018- 2021 data are historical and remain static. </t>
  </si>
  <si>
    <t>USC Arrests, Booking and Removals stats are pulled based on administrative enforcement actions executed by ERO Officers.</t>
  </si>
  <si>
    <t>Parents of United States Citizen determined by relationship flag and citizenship of child relation.</t>
  </si>
  <si>
    <t>ERO Administrative Arrests include all ERO Programs.  ERO Programs include Detention and Deportation (DDP), Fugitive Operations (FUG), Alternatives to Detention (ATD), Criminal Alien Program (CAP), Detained Docket Control (DDC), Non-Detained Docket Control (NDD), Violent Criminal Alien Section (VCS), Joint Criminal Alien Response Team (JCT), Juvenile (JUV), Law Enforcement Area Response (LEA), Mobile Criminal Alien Team (MCT), and 287(g).</t>
  </si>
  <si>
    <t>All stats are pulled based on Current Program which attributes all cases back to the Program of the processing officer of the event.</t>
  </si>
  <si>
    <t>Country of Citizenship is derived from the ICE system of record as it is input by the officer at the time of processing. An "Unknown" Country indicates the non-citizen failed or refused to identify a country of citizenship or the officer lacked documentation to do so.</t>
  </si>
  <si>
    <t>All stats are pulled based on Current Program which attributes all cases back to the Program of the processing officer of the event. However, if Current Program = OPL, XXX, ZZZ, or null, then Event Program is used.</t>
  </si>
  <si>
    <t>The “ICE” Arresting Agency includes ERO, HSI, and Other programs.
o ERO Programs include CAP Programs (ERO Criminal Alien Program, Joint Criminal Alien Response Team, Law Enforcement Area Response Units, Violent Criminal Alien Section, and Other Programs), Fugitive Operations, 287G Program, Detained Docket Control, Non-Detained Docket Control, Mobile Criminal Alien Team, Alternatives to Detention, Detention and Deportation, and Juvenile.
o HSI Programs include HSI Criminal Arrest Only, Intelligence, Joint Terrorism Task Force, Non-User Fee Investigations, Quick Response Team, and User Fee Investigations.
o Other Programs include Adjudications, Asylum, PICS Default Value - for user initialization only, and Examinations; these are included in the CAP Program Counts.</t>
  </si>
  <si>
    <t>ICE Removals include Returns. Returns include Voluntary Returns, Voluntary Departures and Withdrawals Under Docket Control.</t>
  </si>
  <si>
    <t>ICE Removals include noncitizens processed for Expedited Removal (ER) or Voluntary Return (VR) that are turned over to ERO for detention.  Noncitizens processed for ER and not detained by ERO or VR after June 1st, 2013 and not detained by ERO are primarily processed by Border Patrol.  CBP should be contacted for those statistics.</t>
  </si>
  <si>
    <t xml:space="preserve">Veteran Status flag implemented during FY2021. Prior years required manual input by the officers in the database. </t>
  </si>
  <si>
    <t>TPS Countries</t>
  </si>
  <si>
    <t>Burma (Myanmar) designated TPS as of 05/25/2021. Arrests, Bookins, and Removals reported are since the designation date.</t>
  </si>
  <si>
    <t>Haiti designated TPS as of 08/03/2021. Arrests, Bookins, and Removals reported are since the designation date.</t>
  </si>
  <si>
    <t>Venezuela designated TPS as of 03/09/2021. Arrests, Bookins, and Removals for Burma reported are since the designation date.</t>
  </si>
  <si>
    <t>Afghanistan designated TPS as of 05/20/2022. Arrests, Bookins, and Removals for Burma reported are since the designation date.</t>
  </si>
  <si>
    <t>Cameroon designated TPS as of 06/07/2022. Arrests, Bookins, and Removals reported are since the designation date.</t>
  </si>
  <si>
    <t>Ukraine designated TPS as of 04/19/2022. Arrests, Bookins, and Removals for Burma reported are since the designation date.</t>
  </si>
  <si>
    <t>Non-Citizens with USCIS-Established Fear Decisions by Facility Type</t>
  </si>
  <si>
    <t>Non-Citizens with USCIS-Established Fear Decisions in an ICE Detention Facility by Facility Type</t>
  </si>
  <si>
    <t>Non-Citizens with USCIS-Established Fear Decisions in an ICE Detention Facility by AOR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</si>
</sst>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1" formatCode="_(* #,##0_);_(* \(#,##0\);_(* &quot;-&quot;_);_(@_)"/>
    <numFmt numFmtId="44" formatCode="_(&quot;$&quot;* #,##0.00_);_(&quot;$&quot;* \(#,##0.00\);_(&quot;$&quot;* &quot;-&quot;??_);_(@_)"/>
    <numFmt numFmtId="43" formatCode="_(* #,##0.00_);_(* \(#,##0.00\);_(* &quot;-&quot;??_);_(@_)"/>
    <numFmt numFmtId="164" formatCode="_(* #,##0_);_(* \(#,##0\);_(* &quot;-&quot;??_);_(@_)"/>
    <numFmt numFmtId="165" formatCode="00000"/>
    <numFmt numFmtId="166" formatCode="_(* #,##0.0_);_(* \(#,##0.0\);_(* &quot;-&quot;_);_(@_)"/>
    <numFmt numFmtId="167" formatCode="#,##0.0"/>
    <numFmt numFmtId="168" formatCode="0.0;[Red]0.0"/>
    <numFmt numFmtId="169" formatCode="&quot;$&quot;#,##0.00"/>
    <numFmt numFmtId="170" formatCode="0.0%"/>
    <numFmt numFmtId="171" formatCode="0.0"/>
    <numFmt numFmtId="172" formatCode="_(* #,##0.0_);_(* \(#,##0.0\);_(* &quot;-&quot;?_);_(@_)"/>
    <numFmt numFmtId="173" formatCode="#,##0.0_);\(#,##0.0\)"/>
    <numFmt numFmtId="174" formatCode="mmm\-yyyy"/>
  </numFmts>
  <fonts count="52" x14ac:knownFonts="1">
    <font>
      <sz val="11"/>
      <color theme="1"/>
      <name val="Calibri"/>
      <family val="2"/>
      <scheme val="minor"/>
    </font>
    <font>
      <sz val="11"/>
      <color theme="1"/>
      <name val="Calibri"/>
      <family val="2"/>
      <scheme val="minor"/>
    </font>
    <font>
      <sz val="9"/>
      <color theme="1"/>
      <name val="Calibri"/>
      <family val="2"/>
      <scheme val="minor"/>
    </font>
    <font>
      <sz val="12"/>
      <color theme="1"/>
      <name val="Times New Roman"/>
      <family val="2"/>
    </font>
    <font>
      <sz val="10"/>
      <name val="Arial"/>
      <family val="2"/>
    </font>
    <font>
      <b/>
      <sz val="12"/>
      <color indexed="18"/>
      <name val="Times New Roman"/>
      <family val="1"/>
    </font>
    <font>
      <sz val="12"/>
      <color theme="1"/>
      <name val="Times New Roman"/>
      <family val="1"/>
    </font>
    <font>
      <b/>
      <sz val="14"/>
      <color theme="0"/>
      <name val="Times New Roman"/>
      <family val="1"/>
    </font>
    <font>
      <sz val="14"/>
      <color theme="0"/>
      <name val="Times New Roman"/>
      <family val="1"/>
    </font>
    <font>
      <b/>
      <sz val="9"/>
      <color theme="1"/>
      <name val="Calibri"/>
      <family val="2"/>
      <scheme val="minor"/>
    </font>
    <font>
      <sz val="10"/>
      <color indexed="72"/>
      <name val="MS Sans Serif"/>
      <family val="2"/>
    </font>
    <font>
      <b/>
      <sz val="12"/>
      <name val="Times New Roman"/>
      <family val="1"/>
    </font>
    <font>
      <sz val="12"/>
      <color indexed="8"/>
      <name val="Times New Roman"/>
      <family val="1"/>
    </font>
    <font>
      <b/>
      <sz val="11"/>
      <color rgb="FF000000"/>
      <name val="Calibri"/>
      <family val="2"/>
    </font>
    <font>
      <sz val="11"/>
      <color rgb="FF000000"/>
      <name val="Calibri"/>
      <family val="2"/>
    </font>
    <font>
      <b/>
      <sz val="11"/>
      <color theme="0"/>
      <name val="Calibri"/>
      <family val="2"/>
    </font>
    <font>
      <b/>
      <sz val="9"/>
      <color theme="0"/>
      <name val="Calibri"/>
      <family val="2"/>
      <scheme val="minor"/>
    </font>
    <font>
      <b/>
      <sz val="14"/>
      <color theme="3" tint="-0.499984740745262"/>
      <name val="Calibri"/>
      <family val="2"/>
      <scheme val="minor"/>
    </font>
    <font>
      <b/>
      <sz val="18"/>
      <color theme="0"/>
      <name val="Calibri"/>
      <family val="2"/>
      <scheme val="minor"/>
    </font>
    <font>
      <b/>
      <sz val="10"/>
      <color theme="0"/>
      <name val="Calibri"/>
      <family val="2"/>
      <scheme val="minor"/>
    </font>
    <font>
      <b/>
      <sz val="12"/>
      <color theme="4" tint="-0.499984740745262"/>
      <name val="Calibri"/>
      <family val="2"/>
      <scheme val="minor"/>
    </font>
    <font>
      <b/>
      <sz val="12"/>
      <color rgb="FFFF0000"/>
      <name val="Times New Roman"/>
      <family val="1"/>
    </font>
    <font>
      <b/>
      <sz val="10"/>
      <name val="Calibri"/>
      <family val="2"/>
    </font>
    <font>
      <sz val="8"/>
      <name val="Calibri"/>
      <family val="2"/>
    </font>
    <font>
      <b/>
      <sz val="20"/>
      <color theme="4" tint="-0.499984740745262"/>
      <name val="Calibri"/>
      <family val="2"/>
      <scheme val="minor"/>
    </font>
    <font>
      <b/>
      <sz val="24"/>
      <color theme="4" tint="-0.499984740745262"/>
      <name val="Calibri"/>
      <family val="2"/>
      <scheme val="minor"/>
    </font>
    <font>
      <i/>
      <sz val="9"/>
      <color theme="1"/>
      <name val="Calibri"/>
      <family val="2"/>
      <scheme val="minor"/>
    </font>
    <font>
      <b/>
      <sz val="12"/>
      <color theme="0"/>
      <name val="Times New Roman"/>
      <family val="1"/>
    </font>
    <font>
      <b/>
      <sz val="12"/>
      <color theme="1"/>
      <name val="Times New Roman"/>
      <family val="1"/>
    </font>
    <font>
      <b/>
      <sz val="12"/>
      <color indexed="8"/>
      <name val="Times New Roman"/>
      <family val="1"/>
    </font>
    <font>
      <sz val="12"/>
      <name val="Times New Roman"/>
      <family val="1"/>
    </font>
    <font>
      <sz val="10"/>
      <color rgb="FF000000"/>
      <name val="Arial"/>
      <family val="2"/>
    </font>
    <font>
      <b/>
      <sz val="11"/>
      <color theme="0"/>
      <name val="Calibri"/>
      <family val="2"/>
      <scheme val="minor"/>
    </font>
    <font>
      <b/>
      <sz val="11"/>
      <color theme="1"/>
      <name val="Calibri"/>
      <family val="2"/>
      <scheme val="minor"/>
    </font>
    <font>
      <sz val="8"/>
      <color theme="1"/>
      <name val="Calibri"/>
      <family val="2"/>
      <scheme val="minor"/>
    </font>
    <font>
      <sz val="11"/>
      <color rgb="FF1F497D"/>
      <name val="Symbol"/>
      <family val="1"/>
      <charset val="2"/>
    </font>
    <font>
      <sz val="11"/>
      <color rgb="FF1F497D"/>
      <name val="Calibri"/>
      <family val="2"/>
      <scheme val="minor"/>
    </font>
    <font>
      <sz val="10"/>
      <color indexed="8"/>
      <name val="Arial"/>
      <family val="2"/>
    </font>
    <font>
      <vertAlign val="superscript"/>
      <sz val="12"/>
      <color rgb="FF000000"/>
      <name val="Times New Roman"/>
      <family val="1"/>
    </font>
    <font>
      <i/>
      <sz val="11"/>
      <color theme="1"/>
      <name val="Calibri"/>
      <family val="2"/>
      <scheme val="minor"/>
    </font>
    <font>
      <sz val="11"/>
      <name val="Calibri"/>
      <family val="2"/>
      <scheme val="minor"/>
    </font>
    <font>
      <b/>
      <sz val="11"/>
      <color rgb="FF000000"/>
      <name val="Calibri"/>
      <family val="2"/>
      <scheme val="minor"/>
    </font>
    <font>
      <sz val="11"/>
      <color rgb="FF000000"/>
      <name val="Calibri"/>
      <family val="2"/>
      <scheme val="minor"/>
    </font>
    <font>
      <b/>
      <sz val="18"/>
      <color theme="3" tint="-0.499984740745262"/>
      <name val="Calibri"/>
      <family val="2"/>
      <scheme val="minor"/>
    </font>
    <font>
      <b/>
      <sz val="9"/>
      <color theme="0"/>
      <name val="Times New Roman"/>
      <family val="1"/>
    </font>
    <font>
      <b/>
      <sz val="9"/>
      <color theme="1"/>
      <name val="Times New Roman"/>
      <family val="1"/>
    </font>
    <font>
      <b/>
      <i/>
      <sz val="9"/>
      <color theme="1"/>
      <name val="Calibri"/>
      <family val="2"/>
      <scheme val="minor"/>
    </font>
    <font>
      <b/>
      <sz val="11"/>
      <color theme="1"/>
      <name val="Times New Roman"/>
      <family val="1"/>
    </font>
    <font>
      <sz val="11"/>
      <color theme="1"/>
      <name val="Times New Roman"/>
      <family val="1"/>
    </font>
    <font>
      <sz val="9"/>
      <color theme="1"/>
      <name val="Times New Roman"/>
      <family val="1"/>
    </font>
    <font>
      <b/>
      <sz val="14"/>
      <color theme="1"/>
      <name val="Times New Roman"/>
      <family val="1"/>
    </font>
    <font>
      <sz val="11"/>
      <color theme="1"/>
      <name val="Calibri"/>
    </font>
  </fonts>
  <fills count="18">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indexed="9"/>
        <bgColor indexed="64"/>
      </patternFill>
    </fill>
    <fill>
      <patternFill patternType="solid">
        <fgColor rgb="FFD9D9D9"/>
        <bgColor indexed="64"/>
      </patternFill>
    </fill>
    <fill>
      <patternFill patternType="solid">
        <fgColor theme="4" tint="-0.499984740745262"/>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rgb="FFD9E1F2"/>
        <bgColor indexed="64"/>
      </patternFill>
    </fill>
    <fill>
      <patternFill patternType="solid">
        <fgColor theme="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1"/>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theme="1" tint="0.24994659260841701"/>
      </left>
      <right style="thin">
        <color theme="1" tint="0.24994659260841701"/>
      </right>
      <top style="thin">
        <color theme="1" tint="0.24994659260841701"/>
      </top>
      <bottom style="thin">
        <color theme="1" tint="0.24994659260841701"/>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diagonal/>
    </border>
    <border>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double">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double">
        <color indexed="64"/>
      </bottom>
      <diagonal/>
    </border>
    <border>
      <left/>
      <right style="medium">
        <color indexed="64"/>
      </right>
      <top style="thin">
        <color indexed="64"/>
      </top>
      <bottom/>
      <diagonal/>
    </border>
    <border>
      <left/>
      <right style="medium">
        <color indexed="64"/>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auto="1"/>
      </left>
      <right style="thin">
        <color auto="1"/>
      </right>
      <top style="thin">
        <color auto="1"/>
      </top>
      <bottom style="medium">
        <color auto="1"/>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right style="thin">
        <color indexed="64"/>
      </right>
      <top style="thin">
        <color indexed="64"/>
      </top>
      <bottom/>
      <diagonal/>
    </border>
    <border>
      <left/>
      <right style="thin">
        <color indexed="64"/>
      </right>
      <top/>
      <bottom/>
      <diagonal/>
    </border>
    <border>
      <left style="thin">
        <color indexed="64"/>
      </left>
      <right style="medium">
        <color indexed="64"/>
      </right>
      <top style="thin">
        <color indexed="64"/>
      </top>
      <bottom/>
      <diagonal/>
    </border>
    <border>
      <left/>
      <right style="thin">
        <color indexed="64"/>
      </right>
      <top/>
      <bottom style="medium">
        <color indexed="64"/>
      </bottom>
      <diagonal/>
    </border>
  </borders>
  <cellStyleXfs count="11">
    <xf numFmtId="0" fontId="0" fillId="0" borderId="0"/>
    <xf numFmtId="43" fontId="1" fillId="0" borderId="0" applyFont="0" applyFill="0" applyBorder="0" applyAlignment="0" applyProtection="0"/>
    <xf numFmtId="0" fontId="3" fillId="0" borderId="0"/>
    <xf numFmtId="0" fontId="4" fillId="0" borderId="0"/>
    <xf numFmtId="0" fontId="10" fillId="0" borderId="0"/>
    <xf numFmtId="9" fontId="1" fillId="0" borderId="0" applyFont="0" applyFill="0" applyBorder="0" applyAlignment="0" applyProtection="0"/>
    <xf numFmtId="0" fontId="31" fillId="0" borderId="0"/>
    <xf numFmtId="44" fontId="1" fillId="0" borderId="0" applyFont="0" applyFill="0" applyBorder="0" applyAlignment="0" applyProtection="0"/>
    <xf numFmtId="0" fontId="51" fillId="0" borderId="0"/>
    <xf numFmtId="0" fontId="1" fillId="0" borderId="0"/>
    <xf numFmtId="43" fontId="1" fillId="0" borderId="0" applyFont="0" applyFill="0" applyBorder="0" applyAlignment="0" applyProtection="0"/>
  </cellStyleXfs>
  <cellXfs count="457">
    <xf numFmtId="0" fontId="0" fillId="0" borderId="0" xfId="0"/>
    <xf numFmtId="0" fontId="0" fillId="0" borderId="0" xfId="0" applyBorder="1"/>
    <xf numFmtId="0" fontId="0" fillId="0" borderId="0" xfId="0" applyAlignment="1"/>
    <xf numFmtId="0" fontId="0" fillId="0" borderId="0" xfId="0" applyAlignment="1">
      <alignment horizontal="left" vertical="top"/>
    </xf>
    <xf numFmtId="0" fontId="4" fillId="0" borderId="0" xfId="4" applyFont="1" applyAlignment="1">
      <alignment horizontal="left" vertical="center"/>
    </xf>
    <xf numFmtId="0" fontId="12" fillId="0" borderId="1" xfId="0" applyFont="1" applyBorder="1" applyAlignment="1">
      <alignment vertical="center"/>
    </xf>
    <xf numFmtId="3" fontId="12" fillId="0" borderId="1" xfId="0" applyNumberFormat="1" applyFont="1" applyBorder="1" applyAlignment="1">
      <alignment horizontal="right" vertical="center"/>
    </xf>
    <xf numFmtId="3" fontId="6" fillId="0" borderId="1" xfId="0" applyNumberFormat="1" applyFont="1" applyBorder="1" applyAlignment="1">
      <alignment horizontal="right" vertical="center"/>
    </xf>
    <xf numFmtId="165" fontId="12" fillId="0" borderId="1" xfId="0" applyNumberFormat="1" applyFont="1" applyBorder="1" applyAlignment="1">
      <alignment vertical="center"/>
    </xf>
    <xf numFmtId="0" fontId="6" fillId="0" borderId="1" xfId="0" applyFont="1" applyBorder="1" applyAlignment="1">
      <alignment horizontal="left" vertical="center"/>
    </xf>
    <xf numFmtId="0" fontId="5" fillId="6" borderId="0" xfId="3" applyFont="1" applyFill="1" applyAlignment="1">
      <alignment vertical="center" wrapText="1"/>
    </xf>
    <xf numFmtId="0" fontId="5" fillId="6" borderId="0" xfId="3" applyFont="1" applyFill="1" applyBorder="1" applyAlignment="1">
      <alignment vertical="center" wrapText="1"/>
    </xf>
    <xf numFmtId="0" fontId="14" fillId="0" borderId="1" xfId="0" applyFont="1" applyBorder="1" applyAlignment="1">
      <alignment vertical="center"/>
    </xf>
    <xf numFmtId="0" fontId="13" fillId="7" borderId="1" xfId="0" applyFont="1" applyFill="1" applyBorder="1" applyAlignment="1">
      <alignment vertical="center"/>
    </xf>
    <xf numFmtId="3" fontId="14" fillId="0" borderId="1" xfId="0" applyNumberFormat="1" applyFont="1" applyBorder="1" applyAlignment="1">
      <alignment vertical="center"/>
    </xf>
    <xf numFmtId="3" fontId="13" fillId="7" borderId="1" xfId="0" applyNumberFormat="1" applyFont="1" applyFill="1" applyBorder="1" applyAlignment="1">
      <alignment vertical="center"/>
    </xf>
    <xf numFmtId="0" fontId="20" fillId="6" borderId="9" xfId="3" applyFont="1" applyFill="1" applyBorder="1" applyAlignment="1">
      <alignment vertical="center" wrapText="1"/>
    </xf>
    <xf numFmtId="0" fontId="25" fillId="6" borderId="6" xfId="3" applyFont="1" applyFill="1" applyBorder="1" applyAlignment="1">
      <alignment vertical="center" wrapText="1"/>
    </xf>
    <xf numFmtId="0" fontId="24" fillId="5" borderId="0" xfId="2" applyFont="1" applyFill="1" applyAlignment="1">
      <alignment vertical="top"/>
    </xf>
    <xf numFmtId="0" fontId="5" fillId="2" borderId="0" xfId="3" applyFont="1" applyFill="1" applyBorder="1" applyAlignment="1">
      <alignment vertical="center" wrapText="1"/>
    </xf>
    <xf numFmtId="0" fontId="8" fillId="3" borderId="10" xfId="0" applyFont="1" applyFill="1" applyBorder="1" applyAlignment="1">
      <alignment horizontal="left" vertical="top" wrapText="1"/>
    </xf>
    <xf numFmtId="0" fontId="8" fillId="3" borderId="11" xfId="0" applyFont="1" applyFill="1" applyBorder="1" applyAlignment="1">
      <alignment horizontal="left" vertical="top" wrapText="1"/>
    </xf>
    <xf numFmtId="0" fontId="6" fillId="0" borderId="12" xfId="0" applyFont="1" applyBorder="1" applyAlignment="1">
      <alignment horizontal="left" vertical="top" wrapText="1"/>
    </xf>
    <xf numFmtId="0" fontId="6" fillId="2" borderId="12" xfId="0" applyFont="1" applyFill="1" applyBorder="1" applyAlignment="1">
      <alignment horizontal="left" vertical="top" wrapText="1"/>
    </xf>
    <xf numFmtId="49" fontId="30" fillId="2" borderId="12" xfId="0" applyNumberFormat="1" applyFont="1" applyFill="1" applyBorder="1" applyAlignment="1">
      <alignment vertical="top" wrapText="1"/>
    </xf>
    <xf numFmtId="49" fontId="30" fillId="0" borderId="12" xfId="0" applyNumberFormat="1" applyFont="1" applyBorder="1" applyAlignment="1">
      <alignment vertical="top" wrapText="1"/>
    </xf>
    <xf numFmtId="168" fontId="14" fillId="0" borderId="1" xfId="0" applyNumberFormat="1" applyFont="1" applyBorder="1" applyAlignment="1">
      <alignment vertical="center"/>
    </xf>
    <xf numFmtId="168" fontId="13" fillId="7" borderId="1" xfId="0" applyNumberFormat="1" applyFont="1" applyFill="1" applyBorder="1" applyAlignment="1">
      <alignment vertical="center"/>
    </xf>
    <xf numFmtId="0" fontId="15" fillId="8" borderId="1" xfId="0" applyFont="1" applyFill="1" applyBorder="1" applyAlignment="1">
      <alignment horizontal="left" vertical="top"/>
    </xf>
    <xf numFmtId="0" fontId="23" fillId="2" borderId="0" xfId="0" applyFont="1" applyFill="1" applyBorder="1" applyAlignment="1">
      <alignment horizontal="left" vertical="center" wrapText="1"/>
    </xf>
    <xf numFmtId="169" fontId="14" fillId="0" borderId="1" xfId="7" applyNumberFormat="1" applyFont="1" applyBorder="1" applyAlignment="1">
      <alignment vertical="center"/>
    </xf>
    <xf numFmtId="169" fontId="13" fillId="7" borderId="1" xfId="7" applyNumberFormat="1" applyFont="1" applyFill="1" applyBorder="1" applyAlignment="1">
      <alignment vertical="center"/>
    </xf>
    <xf numFmtId="0" fontId="22" fillId="2" borderId="0" xfId="0" applyFont="1" applyFill="1" applyBorder="1" applyAlignment="1">
      <alignment horizontal="left" vertical="center" wrapText="1"/>
    </xf>
    <xf numFmtId="0" fontId="24" fillId="5" borderId="0" xfId="2" applyFont="1" applyFill="1" applyAlignment="1">
      <alignment horizontal="left" vertical="top"/>
    </xf>
    <xf numFmtId="0" fontId="5" fillId="6" borderId="0" xfId="3" applyFont="1" applyFill="1" applyBorder="1" applyAlignment="1">
      <alignment horizontal="left" vertical="center" wrapText="1"/>
    </xf>
    <xf numFmtId="0" fontId="24" fillId="5" borderId="0" xfId="2" applyFont="1" applyFill="1" applyBorder="1" applyAlignment="1">
      <alignment horizontal="left" vertical="top"/>
    </xf>
    <xf numFmtId="0" fontId="21" fillId="6" borderId="0" xfId="3" applyFont="1" applyFill="1" applyBorder="1" applyAlignment="1">
      <alignment vertical="center" wrapText="1"/>
    </xf>
    <xf numFmtId="0" fontId="0" fillId="0" borderId="0" xfId="0" applyAlignment="1">
      <alignment horizontal="left"/>
    </xf>
    <xf numFmtId="0" fontId="27" fillId="3" borderId="14" xfId="0" applyFont="1" applyFill="1" applyBorder="1" applyAlignment="1">
      <alignment horizontal="center" vertical="center" wrapText="1"/>
    </xf>
    <xf numFmtId="0" fontId="28" fillId="4" borderId="14" xfId="0" applyFont="1" applyFill="1" applyBorder="1"/>
    <xf numFmtId="41" fontId="29" fillId="4" borderId="14" xfId="0" applyNumberFormat="1" applyFont="1" applyFill="1" applyBorder="1" applyAlignment="1">
      <alignment horizontal="center"/>
    </xf>
    <xf numFmtId="166" fontId="29" fillId="4" borderId="14" xfId="0" applyNumberFormat="1" applyFont="1" applyFill="1" applyBorder="1" applyAlignment="1">
      <alignment horizontal="center"/>
    </xf>
    <xf numFmtId="0" fontId="6" fillId="0" borderId="14" xfId="0" applyFont="1" applyBorder="1" applyAlignment="1">
      <alignment horizontal="left" indent="1"/>
    </xf>
    <xf numFmtId="3" fontId="6" fillId="0" borderId="14" xfId="0" applyNumberFormat="1" applyFont="1" applyBorder="1"/>
    <xf numFmtId="167" fontId="6" fillId="0" borderId="14" xfId="0" applyNumberFormat="1" applyFont="1" applyBorder="1"/>
    <xf numFmtId="0" fontId="28" fillId="10" borderId="14" xfId="0" applyFont="1" applyFill="1" applyBorder="1" applyAlignment="1">
      <alignment vertical="center"/>
    </xf>
    <xf numFmtId="3" fontId="28" fillId="10" borderId="14" xfId="0" applyNumberFormat="1" applyFont="1" applyFill="1" applyBorder="1" applyAlignment="1">
      <alignment vertical="center"/>
    </xf>
    <xf numFmtId="167" fontId="28" fillId="10" borderId="14" xfId="0" applyNumberFormat="1" applyFont="1" applyFill="1" applyBorder="1" applyAlignment="1">
      <alignment vertical="center"/>
    </xf>
    <xf numFmtId="0" fontId="0" fillId="0" borderId="0" xfId="0" applyNumberFormat="1"/>
    <xf numFmtId="0" fontId="0" fillId="0" borderId="1" xfId="0" applyFont="1" applyBorder="1" applyAlignment="1">
      <alignment horizontal="right"/>
    </xf>
    <xf numFmtId="3" fontId="0" fillId="0" borderId="1" xfId="0" applyNumberFormat="1" applyFont="1" applyBorder="1" applyAlignment="1">
      <alignment horizontal="right"/>
    </xf>
    <xf numFmtId="170" fontId="0" fillId="0" borderId="1" xfId="5" applyNumberFormat="1" applyFont="1" applyBorder="1" applyAlignment="1">
      <alignment horizontal="right"/>
    </xf>
    <xf numFmtId="3" fontId="33" fillId="9" borderId="1" xfId="0" applyNumberFormat="1" applyFont="1" applyFill="1" applyBorder="1" applyAlignment="1">
      <alignment horizontal="right"/>
    </xf>
    <xf numFmtId="170" fontId="0" fillId="9" borderId="1" xfId="5" applyNumberFormat="1" applyFont="1" applyFill="1" applyBorder="1" applyAlignment="1">
      <alignment horizontal="right"/>
    </xf>
    <xf numFmtId="0" fontId="0" fillId="0" borderId="1" xfId="0" applyBorder="1" applyAlignment="1">
      <alignment horizontal="right"/>
    </xf>
    <xf numFmtId="3" fontId="0" fillId="0" borderId="1" xfId="0" applyNumberFormat="1" applyBorder="1" applyAlignment="1">
      <alignment horizontal="right"/>
    </xf>
    <xf numFmtId="0" fontId="22" fillId="2" borderId="0" xfId="0" applyFont="1" applyFill="1" applyBorder="1" applyAlignment="1">
      <alignment horizontal="left" vertical="center" wrapText="1"/>
    </xf>
    <xf numFmtId="0" fontId="33" fillId="0" borderId="1" xfId="0" applyFont="1" applyFill="1" applyBorder="1" applyAlignment="1">
      <alignment horizontal="left"/>
    </xf>
    <xf numFmtId="0" fontId="32" fillId="8" borderId="1" xfId="0" applyFont="1" applyFill="1" applyBorder="1" applyAlignment="1">
      <alignment horizontal="left"/>
    </xf>
    <xf numFmtId="10" fontId="0" fillId="0" borderId="1" xfId="0" applyNumberFormat="1" applyFont="1" applyBorder="1" applyAlignment="1">
      <alignment horizontal="right"/>
    </xf>
    <xf numFmtId="0" fontId="34" fillId="0" borderId="1" xfId="0" applyFont="1" applyBorder="1" applyAlignment="1">
      <alignment horizontal="left"/>
    </xf>
    <xf numFmtId="0" fontId="0" fillId="0" borderId="1" xfId="0" applyBorder="1" applyAlignment="1">
      <alignment horizontal="left"/>
    </xf>
    <xf numFmtId="0" fontId="33" fillId="0" borderId="1" xfId="0" applyFont="1" applyFill="1" applyBorder="1" applyAlignment="1">
      <alignment horizontal="right"/>
    </xf>
    <xf numFmtId="0" fontId="32" fillId="8" borderId="1" xfId="0" applyFont="1" applyFill="1" applyBorder="1" applyAlignment="1">
      <alignment horizontal="right"/>
    </xf>
    <xf numFmtId="0" fontId="34" fillId="0" borderId="1" xfId="0" applyFont="1" applyBorder="1" applyAlignment="1">
      <alignment horizontal="right"/>
    </xf>
    <xf numFmtId="0" fontId="0" fillId="0" borderId="1" xfId="0" applyFont="1" applyBorder="1" applyAlignment="1">
      <alignment horizontal="left"/>
    </xf>
    <xf numFmtId="0" fontId="33" fillId="9" borderId="1" xfId="0" applyFont="1" applyFill="1" applyBorder="1" applyAlignment="1">
      <alignment horizontal="left"/>
    </xf>
    <xf numFmtId="0" fontId="5" fillId="2" borderId="0" xfId="3" applyFont="1" applyFill="1" applyAlignment="1">
      <alignment vertical="center" wrapText="1"/>
    </xf>
    <xf numFmtId="0" fontId="0" fillId="9" borderId="1" xfId="0" applyFont="1" applyFill="1" applyBorder="1" applyAlignment="1">
      <alignment horizontal="left"/>
    </xf>
    <xf numFmtId="3" fontId="0" fillId="9" borderId="1" xfId="0" applyNumberFormat="1" applyFont="1" applyFill="1" applyBorder="1" applyAlignment="1">
      <alignment horizontal="right"/>
    </xf>
    <xf numFmtId="170" fontId="1" fillId="9" borderId="1" xfId="5" applyNumberFormat="1" applyFont="1" applyFill="1" applyBorder="1" applyAlignment="1">
      <alignment horizontal="right"/>
    </xf>
    <xf numFmtId="0" fontId="16" fillId="3" borderId="1" xfId="0" applyFont="1" applyFill="1" applyBorder="1" applyAlignment="1">
      <alignment horizontal="center" vertical="center" wrapText="1"/>
    </xf>
    <xf numFmtId="164" fontId="2" fillId="2" borderId="1" xfId="1" applyNumberFormat="1" applyFont="1" applyFill="1" applyBorder="1" applyAlignment="1">
      <alignment horizontal="left"/>
    </xf>
    <xf numFmtId="0" fontId="0" fillId="0" borderId="7" xfId="0" applyBorder="1"/>
    <xf numFmtId="0" fontId="37" fillId="0" borderId="0" xfId="0" applyFont="1" applyAlignment="1">
      <alignment vertical="center"/>
    </xf>
    <xf numFmtId="0" fontId="6" fillId="0" borderId="0" xfId="0" applyFont="1"/>
    <xf numFmtId="0" fontId="30" fillId="0" borderId="0" xfId="0" applyFont="1" applyAlignment="1">
      <alignment horizontal="center" vertical="center"/>
    </xf>
    <xf numFmtId="0" fontId="30" fillId="0" borderId="0" xfId="0" applyFont="1"/>
    <xf numFmtId="0" fontId="30" fillId="0" borderId="0" xfId="0" applyFont="1" applyAlignment="1">
      <alignment horizontal="left"/>
    </xf>
    <xf numFmtId="49" fontId="30" fillId="0" borderId="0" xfId="0" applyNumberFormat="1" applyFont="1" applyAlignment="1">
      <alignment horizontal="right"/>
    </xf>
    <xf numFmtId="165" fontId="30" fillId="0" borderId="0" xfId="0" applyNumberFormat="1" applyFont="1" applyAlignment="1">
      <alignment horizontal="center"/>
    </xf>
    <xf numFmtId="0" fontId="12" fillId="0" borderId="0" xfId="0" applyFont="1" applyAlignment="1">
      <alignment vertical="center"/>
    </xf>
    <xf numFmtId="14" fontId="6" fillId="0" borderId="0" xfId="0" applyNumberFormat="1" applyFont="1" applyAlignment="1">
      <alignment horizontal="right" vertical="center"/>
    </xf>
    <xf numFmtId="14" fontId="6" fillId="0" borderId="0" xfId="0" applyNumberFormat="1" applyFont="1" applyAlignment="1">
      <alignment horizontal="left" vertical="center"/>
    </xf>
    <xf numFmtId="14" fontId="12" fillId="0" borderId="0" xfId="0" applyNumberFormat="1" applyFont="1" applyAlignment="1">
      <alignment vertical="center"/>
    </xf>
    <xf numFmtId="0" fontId="6" fillId="0" borderId="0" xfId="0" applyFont="1" applyAlignment="1">
      <alignment horizontal="left" vertical="center"/>
    </xf>
    <xf numFmtId="3" fontId="6" fillId="0" borderId="0" xfId="0" applyNumberFormat="1" applyFont="1" applyAlignment="1">
      <alignment horizontal="right" vertical="center"/>
    </xf>
    <xf numFmtId="1" fontId="12" fillId="0" borderId="0" xfId="0" applyNumberFormat="1" applyFont="1" applyAlignment="1">
      <alignment horizontal="right" vertical="center"/>
    </xf>
    <xf numFmtId="3" fontId="12" fillId="0" borderId="0" xfId="0" applyNumberFormat="1" applyFont="1" applyAlignment="1">
      <alignment horizontal="right" vertical="center"/>
    </xf>
    <xf numFmtId="3" fontId="12" fillId="0" borderId="0" xfId="1" applyNumberFormat="1" applyFont="1" applyFill="1" applyBorder="1" applyAlignment="1">
      <alignment vertical="center"/>
    </xf>
    <xf numFmtId="165" fontId="12" fillId="0" borderId="0" xfId="0" applyNumberFormat="1" applyFont="1" applyAlignment="1">
      <alignment vertical="center"/>
    </xf>
    <xf numFmtId="14" fontId="6" fillId="0" borderId="1" xfId="0" applyNumberFormat="1" applyFont="1" applyBorder="1" applyAlignment="1">
      <alignment horizontal="right" vertical="center"/>
    </xf>
    <xf numFmtId="14" fontId="6" fillId="0" borderId="1" xfId="0" applyNumberFormat="1" applyFont="1" applyBorder="1" applyAlignment="1">
      <alignment horizontal="left" vertical="center"/>
    </xf>
    <xf numFmtId="14" fontId="12" fillId="0" borderId="1" xfId="0" applyNumberFormat="1" applyFont="1" applyBorder="1" applyAlignment="1">
      <alignment vertical="center"/>
    </xf>
    <xf numFmtId="3" fontId="12" fillId="0" borderId="1" xfId="1" applyNumberFormat="1" applyFont="1" applyFill="1" applyBorder="1" applyAlignment="1">
      <alignment vertical="center"/>
    </xf>
    <xf numFmtId="14" fontId="6" fillId="0" borderId="1" xfId="4" applyNumberFormat="1" applyFont="1" applyBorder="1" applyAlignment="1">
      <alignment horizontal="right" vertical="center"/>
    </xf>
    <xf numFmtId="14" fontId="6" fillId="0" borderId="1" xfId="4" applyNumberFormat="1" applyFont="1" applyBorder="1" applyAlignment="1">
      <alignment horizontal="left" vertical="center"/>
    </xf>
    <xf numFmtId="14" fontId="12" fillId="0" borderId="1" xfId="4" applyNumberFormat="1" applyFont="1" applyBorder="1" applyAlignment="1">
      <alignment vertical="center"/>
    </xf>
    <xf numFmtId="0" fontId="12" fillId="0" borderId="1" xfId="4" applyFont="1" applyBorder="1" applyAlignment="1">
      <alignment vertical="center"/>
    </xf>
    <xf numFmtId="0" fontId="6" fillId="0" borderId="1" xfId="4" applyFont="1" applyBorder="1" applyAlignment="1">
      <alignment horizontal="left" vertical="center"/>
    </xf>
    <xf numFmtId="3" fontId="6" fillId="0" borderId="1" xfId="1" applyNumberFormat="1" applyFont="1" applyFill="1" applyBorder="1" applyAlignment="1">
      <alignment horizontal="right" vertical="center"/>
    </xf>
    <xf numFmtId="3" fontId="12" fillId="0" borderId="1" xfId="1" applyNumberFormat="1" applyFont="1" applyFill="1" applyBorder="1" applyAlignment="1">
      <alignment horizontal="right" vertical="center"/>
    </xf>
    <xf numFmtId="165" fontId="12" fillId="0" borderId="1" xfId="4" applyNumberFormat="1" applyFont="1" applyBorder="1" applyAlignment="1">
      <alignment vertical="center"/>
    </xf>
    <xf numFmtId="1" fontId="11" fillId="4" borderId="6" xfId="4" applyNumberFormat="1" applyFont="1" applyFill="1" applyBorder="1" applyAlignment="1">
      <alignment horizontal="left" wrapText="1"/>
    </xf>
    <xf numFmtId="1" fontId="11" fillId="4" borderId="6" xfId="0" applyNumberFormat="1" applyFont="1" applyFill="1" applyBorder="1" applyAlignment="1">
      <alignment horizontal="left" wrapText="1"/>
    </xf>
    <xf numFmtId="14" fontId="7" fillId="3" borderId="1" xfId="1" applyNumberFormat="1" applyFont="1" applyFill="1" applyBorder="1" applyAlignment="1">
      <alignment horizontal="left" vertical="top" wrapText="1"/>
    </xf>
    <xf numFmtId="3" fontId="7" fillId="3" borderId="1" xfId="1" applyNumberFormat="1" applyFont="1" applyFill="1" applyBorder="1" applyAlignment="1">
      <alignment horizontal="left" vertical="top" wrapText="1"/>
    </xf>
    <xf numFmtId="1" fontId="7" fillId="3" borderId="1" xfId="1" applyNumberFormat="1" applyFont="1" applyFill="1" applyBorder="1" applyAlignment="1">
      <alignment horizontal="left" vertical="top" wrapText="1"/>
    </xf>
    <xf numFmtId="3" fontId="7" fillId="3" borderId="1" xfId="1" applyNumberFormat="1" applyFont="1" applyFill="1" applyBorder="1" applyAlignment="1">
      <alignment vertical="top" wrapText="1"/>
    </xf>
    <xf numFmtId="0" fontId="7" fillId="3" borderId="1" xfId="4" applyFont="1" applyFill="1" applyBorder="1" applyAlignment="1">
      <alignment horizontal="left" vertical="top" wrapText="1"/>
    </xf>
    <xf numFmtId="0" fontId="7" fillId="3" borderId="1" xfId="4" applyFont="1" applyFill="1" applyBorder="1" applyAlignment="1">
      <alignment vertical="top" wrapText="1"/>
    </xf>
    <xf numFmtId="0" fontId="19" fillId="3" borderId="1" xfId="4" applyFont="1" applyFill="1" applyBorder="1" applyAlignment="1">
      <alignment horizontal="left" vertical="top" wrapText="1"/>
    </xf>
    <xf numFmtId="0" fontId="18" fillId="3" borderId="1" xfId="4" applyFont="1" applyFill="1" applyBorder="1" applyAlignment="1">
      <alignment vertical="top" wrapText="1"/>
    </xf>
    <xf numFmtId="14" fontId="5" fillId="6" borderId="0" xfId="3" applyNumberFormat="1" applyFont="1" applyFill="1" applyAlignment="1">
      <alignment vertical="center" wrapText="1"/>
    </xf>
    <xf numFmtId="1" fontId="5" fillId="6" borderId="0" xfId="3" applyNumberFormat="1" applyFont="1" applyFill="1" applyAlignment="1">
      <alignment vertical="center" wrapText="1"/>
    </xf>
    <xf numFmtId="0" fontId="0" fillId="0" borderId="15" xfId="0" applyBorder="1"/>
    <xf numFmtId="0" fontId="39" fillId="0" borderId="15" xfId="0" applyFont="1" applyBorder="1" applyAlignment="1">
      <alignment horizontal="left"/>
    </xf>
    <xf numFmtId="164" fontId="2" fillId="5" borderId="1" xfId="1" applyNumberFormat="1" applyFont="1" applyFill="1" applyBorder="1" applyAlignment="1">
      <alignment horizontal="left"/>
    </xf>
    <xf numFmtId="164" fontId="26" fillId="2" borderId="1" xfId="1" applyNumberFormat="1" applyFont="1" applyFill="1" applyBorder="1" applyAlignment="1">
      <alignment horizontal="right"/>
    </xf>
    <xf numFmtId="164" fontId="2" fillId="5" borderId="3" xfId="1" applyNumberFormat="1" applyFont="1" applyFill="1" applyBorder="1" applyAlignment="1">
      <alignment horizontal="left"/>
    </xf>
    <xf numFmtId="164" fontId="2" fillId="0" borderId="4" xfId="1" applyNumberFormat="1" applyFont="1" applyFill="1" applyBorder="1"/>
    <xf numFmtId="0" fontId="2" fillId="0" borderId="1" xfId="0" applyFont="1" applyBorder="1"/>
    <xf numFmtId="0" fontId="5" fillId="0" borderId="0" xfId="3" applyFont="1" applyAlignment="1">
      <alignment vertical="center" wrapText="1"/>
    </xf>
    <xf numFmtId="0" fontId="40" fillId="0" borderId="0" xfId="0" applyFont="1" applyAlignment="1">
      <alignment horizontal="left" vertical="top" wrapText="1"/>
    </xf>
    <xf numFmtId="0" fontId="39" fillId="0" borderId="0" xfId="0" applyFont="1" applyAlignment="1">
      <alignment horizontal="left" vertical="center"/>
    </xf>
    <xf numFmtId="2" fontId="41" fillId="11" borderId="16" xfId="0" applyNumberFormat="1" applyFont="1" applyFill="1" applyBorder="1" applyAlignment="1">
      <alignment horizontal="right" vertical="center"/>
    </xf>
    <xf numFmtId="0" fontId="41" fillId="11" borderId="16" xfId="0" applyFont="1" applyFill="1" applyBorder="1" applyAlignment="1">
      <alignment horizontal="right" vertical="center"/>
    </xf>
    <xf numFmtId="0" fontId="41" fillId="11" borderId="17" xfId="0" applyFont="1" applyFill="1" applyBorder="1" applyAlignment="1">
      <alignment vertical="center"/>
    </xf>
    <xf numFmtId="2" fontId="42" fillId="0" borderId="16" xfId="0" applyNumberFormat="1" applyFont="1" applyBorder="1" applyAlignment="1">
      <alignment horizontal="right" vertical="center"/>
    </xf>
    <xf numFmtId="0" fontId="42" fillId="0" borderId="16" xfId="0" applyFont="1" applyBorder="1" applyAlignment="1">
      <alignment horizontal="right" vertical="center"/>
    </xf>
    <xf numFmtId="0" fontId="42" fillId="0" borderId="17" xfId="0" applyFont="1" applyBorder="1" applyAlignment="1">
      <alignment vertical="center"/>
    </xf>
    <xf numFmtId="0" fontId="42" fillId="0" borderId="17" xfId="0" applyFont="1" applyBorder="1" applyAlignment="1">
      <alignment vertical="center" wrapText="1"/>
    </xf>
    <xf numFmtId="0" fontId="41" fillId="11" borderId="18" xfId="0" applyFont="1" applyFill="1" applyBorder="1" applyAlignment="1">
      <alignment vertical="center" wrapText="1"/>
    </xf>
    <xf numFmtId="0" fontId="41" fillId="11" borderId="14" xfId="0" applyFont="1" applyFill="1" applyBorder="1" applyAlignment="1">
      <alignment vertical="center"/>
    </xf>
    <xf numFmtId="0" fontId="41" fillId="0" borderId="0" xfId="0" applyFont="1" applyAlignment="1">
      <alignment horizontal="left" vertical="center"/>
    </xf>
    <xf numFmtId="0" fontId="41" fillId="0" borderId="7" xfId="0" applyFont="1" applyBorder="1" applyAlignment="1">
      <alignment horizontal="left" vertical="center"/>
    </xf>
    <xf numFmtId="0" fontId="0" fillId="0" borderId="0" xfId="0" applyAlignment="1">
      <alignment horizontal="left" vertical="top" wrapText="1"/>
    </xf>
    <xf numFmtId="0" fontId="0" fillId="0" borderId="7" xfId="0" applyBorder="1" applyAlignment="1">
      <alignment horizontal="left" vertical="top" wrapText="1"/>
    </xf>
    <xf numFmtId="0" fontId="0" fillId="0" borderId="0" xfId="0" applyAlignment="1">
      <alignment vertical="center"/>
    </xf>
    <xf numFmtId="0" fontId="41" fillId="11" borderId="18" xfId="0" applyFont="1" applyFill="1" applyBorder="1" applyAlignment="1">
      <alignment vertical="center"/>
    </xf>
    <xf numFmtId="0" fontId="41" fillId="11" borderId="19" xfId="0" applyFont="1" applyFill="1" applyBorder="1" applyAlignment="1">
      <alignment vertical="center"/>
    </xf>
    <xf numFmtId="0" fontId="41" fillId="11" borderId="20" xfId="0" applyFont="1" applyFill="1" applyBorder="1" applyAlignment="1">
      <alignment vertical="center"/>
    </xf>
    <xf numFmtId="0" fontId="9" fillId="2" borderId="0" xfId="0" applyFont="1" applyFill="1" applyAlignment="1">
      <alignment horizontal="left" vertical="center" wrapText="1"/>
    </xf>
    <xf numFmtId="0" fontId="6" fillId="0" borderId="5" xfId="0" applyFont="1" applyBorder="1" applyAlignment="1">
      <alignment horizontal="left" vertical="top" wrapText="1"/>
    </xf>
    <xf numFmtId="0" fontId="2" fillId="2" borderId="0" xfId="0" applyFont="1" applyFill="1"/>
    <xf numFmtId="0" fontId="20" fillId="6" borderId="0" xfId="3" applyFont="1" applyFill="1" applyAlignment="1">
      <alignment vertical="center" wrapText="1"/>
    </xf>
    <xf numFmtId="0" fontId="2" fillId="0" borderId="0" xfId="0" applyFont="1"/>
    <xf numFmtId="0" fontId="5" fillId="5" borderId="0" xfId="3" applyFont="1" applyFill="1" applyAlignment="1">
      <alignment vertical="center" wrapText="1"/>
    </xf>
    <xf numFmtId="0" fontId="44" fillId="2" borderId="0" xfId="0" applyFont="1" applyFill="1"/>
    <xf numFmtId="0" fontId="45" fillId="2" borderId="0" xfId="0" applyFont="1" applyFill="1" applyAlignment="1">
      <alignment horizontal="center"/>
    </xf>
    <xf numFmtId="0" fontId="45" fillId="0" borderId="0" xfId="0" applyFont="1" applyAlignment="1">
      <alignment horizontal="center"/>
    </xf>
    <xf numFmtId="0" fontId="9" fillId="2" borderId="7" xfId="0" applyFont="1" applyFill="1" applyBorder="1" applyAlignment="1">
      <alignment horizontal="center" vertical="center"/>
    </xf>
    <xf numFmtId="0" fontId="9" fillId="2" borderId="0" xfId="0" applyFont="1" applyFill="1" applyAlignment="1">
      <alignment horizontal="center" vertical="center"/>
    </xf>
    <xf numFmtId="0" fontId="9" fillId="2" borderId="0" xfId="0" applyFont="1" applyFill="1" applyAlignment="1">
      <alignment horizontal="center" vertical="center" wrapText="1"/>
    </xf>
    <xf numFmtId="0" fontId="9" fillId="2" borderId="22" xfId="0" applyFont="1" applyFill="1" applyBorder="1" applyAlignment="1">
      <alignment horizontal="center" vertical="center"/>
    </xf>
    <xf numFmtId="0" fontId="9" fillId="2" borderId="0" xfId="0" applyFont="1" applyFill="1" applyAlignment="1">
      <alignment horizontal="center"/>
    </xf>
    <xf numFmtId="0" fontId="2" fillId="2" borderId="0" xfId="0" applyFont="1" applyFill="1" applyAlignment="1">
      <alignment horizontal="left"/>
    </xf>
    <xf numFmtId="0" fontId="9" fillId="2" borderId="0" xfId="0" applyFont="1" applyFill="1" applyAlignment="1">
      <alignment horizontal="left" vertical="center"/>
    </xf>
    <xf numFmtId="0" fontId="9" fillId="2" borderId="22" xfId="0" applyFont="1" applyFill="1" applyBorder="1" applyAlignment="1">
      <alignment horizontal="left" vertical="center"/>
    </xf>
    <xf numFmtId="0" fontId="9" fillId="2" borderId="0" xfId="0" applyFont="1" applyFill="1" applyAlignment="1">
      <alignment horizontal="left"/>
    </xf>
    <xf numFmtId="3" fontId="2" fillId="2" borderId="0" xfId="0" applyNumberFormat="1" applyFont="1" applyFill="1" applyAlignment="1">
      <alignment horizontal="left"/>
    </xf>
    <xf numFmtId="0" fontId="16" fillId="3" borderId="8" xfId="0" applyFont="1" applyFill="1" applyBorder="1" applyAlignment="1">
      <alignment horizontal="center" vertical="center" wrapText="1"/>
    </xf>
    <xf numFmtId="171" fontId="16" fillId="3" borderId="1" xfId="0" applyNumberFormat="1" applyFont="1" applyFill="1" applyBorder="1" applyAlignment="1">
      <alignment horizontal="center" vertical="center" wrapText="1"/>
    </xf>
    <xf numFmtId="0" fontId="16" fillId="3" borderId="1" xfId="0" applyFont="1" applyFill="1" applyBorder="1" applyAlignment="1">
      <alignment vertical="center" wrapText="1"/>
    </xf>
    <xf numFmtId="0" fontId="9" fillId="2" borderId="22" xfId="0" applyFont="1" applyFill="1" applyBorder="1" applyAlignment="1">
      <alignment horizontal="center"/>
    </xf>
    <xf numFmtId="3" fontId="2" fillId="2" borderId="0" xfId="0" applyNumberFormat="1" applyFont="1" applyFill="1"/>
    <xf numFmtId="0" fontId="2" fillId="5" borderId="25" xfId="0" applyFont="1" applyFill="1" applyBorder="1"/>
    <xf numFmtId="164" fontId="2" fillId="5" borderId="4" xfId="1" applyNumberFormat="1" applyFont="1" applyFill="1" applyBorder="1"/>
    <xf numFmtId="171" fontId="2" fillId="0" borderId="1" xfId="1" applyNumberFormat="1" applyFont="1" applyFill="1" applyBorder="1"/>
    <xf numFmtId="41" fontId="2" fillId="5" borderId="26" xfId="0" applyNumberFormat="1" applyFont="1" applyFill="1" applyBorder="1"/>
    <xf numFmtId="3" fontId="9" fillId="2" borderId="0" xfId="0" applyNumberFormat="1" applyFont="1" applyFill="1" applyAlignment="1">
      <alignment horizontal="center"/>
    </xf>
    <xf numFmtId="3" fontId="9" fillId="2" borderId="22" xfId="0" applyNumberFormat="1" applyFont="1" applyFill="1" applyBorder="1" applyAlignment="1">
      <alignment horizontal="center"/>
    </xf>
    <xf numFmtId="164" fontId="2" fillId="2" borderId="2" xfId="1" applyNumberFormat="1" applyFont="1" applyFill="1" applyBorder="1" applyAlignment="1">
      <alignment horizontal="left"/>
    </xf>
    <xf numFmtId="41" fontId="2" fillId="0" borderId="1" xfId="1" applyNumberFormat="1" applyFont="1" applyFill="1" applyBorder="1" applyAlignment="1">
      <alignment horizontal="right"/>
    </xf>
    <xf numFmtId="41" fontId="2" fillId="2" borderId="1" xfId="1" applyNumberFormat="1" applyFont="1" applyFill="1" applyBorder="1" applyAlignment="1">
      <alignment horizontal="right"/>
    </xf>
    <xf numFmtId="171" fontId="2" fillId="2" borderId="0" xfId="1" applyNumberFormat="1" applyFont="1" applyFill="1" applyBorder="1"/>
    <xf numFmtId="164" fontId="2" fillId="0" borderId="28" xfId="1" applyNumberFormat="1" applyFont="1" applyFill="1" applyBorder="1" applyAlignment="1"/>
    <xf numFmtId="164" fontId="2" fillId="2" borderId="5" xfId="1" applyNumberFormat="1" applyFont="1" applyFill="1" applyBorder="1" applyAlignment="1">
      <alignment horizontal="left"/>
    </xf>
    <xf numFmtId="164" fontId="2" fillId="0" borderId="24" xfId="1" applyNumberFormat="1" applyFont="1" applyFill="1" applyBorder="1" applyAlignment="1"/>
    <xf numFmtId="164" fontId="2" fillId="2" borderId="7" xfId="1" applyNumberFormat="1" applyFont="1" applyFill="1" applyBorder="1" applyAlignment="1">
      <alignment horizontal="left"/>
    </xf>
    <xf numFmtId="164" fontId="2" fillId="2" borderId="0" xfId="1" applyNumberFormat="1" applyFont="1" applyFill="1" applyBorder="1" applyAlignment="1">
      <alignment horizontal="left"/>
    </xf>
    <xf numFmtId="0" fontId="2" fillId="2" borderId="0" xfId="0" applyFont="1" applyFill="1" applyAlignment="1">
      <alignment wrapText="1"/>
    </xf>
    <xf numFmtId="0" fontId="9" fillId="2" borderId="0" xfId="0" applyFont="1" applyFill="1" applyAlignment="1">
      <alignment horizontal="center" wrapText="1"/>
    </xf>
    <xf numFmtId="0" fontId="9" fillId="0" borderId="0" xfId="0" applyFont="1" applyAlignment="1">
      <alignment horizontal="center"/>
    </xf>
    <xf numFmtId="16" fontId="9" fillId="0" borderId="0" xfId="0" applyNumberFormat="1" applyFont="1" applyAlignment="1">
      <alignment horizontal="center"/>
    </xf>
    <xf numFmtId="16" fontId="9" fillId="2" borderId="0" xfId="0" applyNumberFormat="1" applyFont="1" applyFill="1" applyAlignment="1">
      <alignment horizontal="center" wrapText="1"/>
    </xf>
    <xf numFmtId="16" fontId="2" fillId="2" borderId="0" xfId="0" applyNumberFormat="1" applyFont="1" applyFill="1" applyAlignment="1">
      <alignment wrapText="1"/>
    </xf>
    <xf numFmtId="16" fontId="2" fillId="0" borderId="0" xfId="0" applyNumberFormat="1" applyFont="1"/>
    <xf numFmtId="3" fontId="2" fillId="0" borderId="0" xfId="0" applyNumberFormat="1" applyFont="1"/>
    <xf numFmtId="9" fontId="2" fillId="5" borderId="4" xfId="5" applyFont="1" applyFill="1" applyBorder="1"/>
    <xf numFmtId="0" fontId="2" fillId="5" borderId="4" xfId="0" applyFont="1" applyFill="1" applyBorder="1"/>
    <xf numFmtId="41" fontId="2" fillId="5" borderId="4" xfId="1" applyNumberFormat="1" applyFont="1" applyFill="1" applyBorder="1"/>
    <xf numFmtId="41" fontId="2" fillId="5" borderId="4" xfId="0" applyNumberFormat="1" applyFont="1" applyFill="1" applyBorder="1"/>
    <xf numFmtId="41" fontId="2" fillId="5" borderId="32" xfId="1" applyNumberFormat="1" applyFont="1" applyFill="1" applyBorder="1"/>
    <xf numFmtId="164" fontId="2" fillId="0" borderId="3" xfId="1" applyNumberFormat="1" applyFont="1" applyFill="1" applyBorder="1" applyAlignment="1">
      <alignment horizontal="left"/>
    </xf>
    <xf numFmtId="9" fontId="2" fillId="2" borderId="3" xfId="5" applyFont="1" applyFill="1" applyBorder="1" applyAlignment="1">
      <alignment horizontal="right"/>
    </xf>
    <xf numFmtId="164" fontId="2" fillId="2" borderId="3" xfId="1" applyNumberFormat="1" applyFont="1" applyFill="1" applyBorder="1" applyAlignment="1">
      <alignment horizontal="left"/>
    </xf>
    <xf numFmtId="41" fontId="2" fillId="0" borderId="3" xfId="1" applyNumberFormat="1" applyFont="1" applyFill="1" applyBorder="1" applyAlignment="1">
      <alignment horizontal="left"/>
    </xf>
    <xf numFmtId="41" fontId="2" fillId="2" borderId="33" xfId="1" applyNumberFormat="1" applyFont="1" applyFill="1" applyBorder="1" applyAlignment="1">
      <alignment horizontal="left"/>
    </xf>
    <xf numFmtId="3" fontId="9" fillId="0" borderId="0" xfId="0" applyNumberFormat="1" applyFont="1" applyAlignment="1">
      <alignment horizontal="center"/>
    </xf>
    <xf numFmtId="164" fontId="2" fillId="0" borderId="1" xfId="1" applyNumberFormat="1" applyFont="1" applyFill="1" applyBorder="1" applyAlignment="1">
      <alignment horizontal="left"/>
    </xf>
    <xf numFmtId="9" fontId="2" fillId="2" borderId="1" xfId="5" applyFont="1" applyFill="1" applyBorder="1" applyAlignment="1">
      <alignment horizontal="right"/>
    </xf>
    <xf numFmtId="41" fontId="2" fillId="0" borderId="1" xfId="1" applyNumberFormat="1" applyFont="1" applyFill="1" applyBorder="1" applyAlignment="1">
      <alignment horizontal="left"/>
    </xf>
    <xf numFmtId="41" fontId="2" fillId="2" borderId="12" xfId="1" applyNumberFormat="1" applyFont="1" applyFill="1" applyBorder="1" applyAlignment="1">
      <alignment horizontal="left"/>
    </xf>
    <xf numFmtId="0" fontId="2" fillId="0" borderId="7" xfId="0" applyFont="1" applyBorder="1"/>
    <xf numFmtId="0" fontId="9" fillId="2" borderId="0" xfId="0" applyFont="1" applyFill="1" applyAlignment="1">
      <alignment vertical="center" wrapText="1"/>
    </xf>
    <xf numFmtId="0" fontId="9" fillId="2" borderId="22" xfId="0" applyFont="1" applyFill="1" applyBorder="1"/>
    <xf numFmtId="0" fontId="9" fillId="2" borderId="0" xfId="0" applyFont="1" applyFill="1"/>
    <xf numFmtId="16" fontId="9" fillId="2" borderId="0" xfId="0" applyNumberFormat="1" applyFont="1" applyFill="1"/>
    <xf numFmtId="16" fontId="2" fillId="2" borderId="0" xfId="0" applyNumberFormat="1" applyFont="1" applyFill="1"/>
    <xf numFmtId="0" fontId="16" fillId="3" borderId="36" xfId="0" applyFont="1" applyFill="1" applyBorder="1" applyAlignment="1">
      <alignment vertical="center" wrapText="1"/>
    </xf>
    <xf numFmtId="0" fontId="9" fillId="0" borderId="22" xfId="0" applyFont="1" applyBorder="1" applyAlignment="1">
      <alignment horizontal="center"/>
    </xf>
    <xf numFmtId="164" fontId="2" fillId="4" borderId="26" xfId="1" applyNumberFormat="1" applyFont="1" applyFill="1" applyBorder="1" applyAlignment="1"/>
    <xf numFmtId="164" fontId="2" fillId="0" borderId="26" xfId="1" applyNumberFormat="1" applyFont="1" applyFill="1" applyBorder="1" applyAlignment="1"/>
    <xf numFmtId="3" fontId="9" fillId="0" borderId="22" xfId="0" applyNumberFormat="1" applyFont="1" applyBorder="1" applyAlignment="1">
      <alignment horizontal="center"/>
    </xf>
    <xf numFmtId="0" fontId="9" fillId="2" borderId="38" xfId="0" applyFont="1" applyFill="1" applyBorder="1" applyAlignment="1">
      <alignment horizontal="center"/>
    </xf>
    <xf numFmtId="16" fontId="9" fillId="2" borderId="0" xfId="0" applyNumberFormat="1" applyFont="1" applyFill="1" applyAlignment="1">
      <alignment horizontal="center"/>
    </xf>
    <xf numFmtId="0" fontId="2" fillId="2" borderId="22" xfId="0" applyFont="1" applyFill="1" applyBorder="1"/>
    <xf numFmtId="0" fontId="16" fillId="3" borderId="5" xfId="0" applyFont="1" applyFill="1" applyBorder="1" applyAlignment="1">
      <alignment horizontal="center" vertical="center" wrapText="1"/>
    </xf>
    <xf numFmtId="0" fontId="9" fillId="5" borderId="25" xfId="0" applyFont="1" applyFill="1" applyBorder="1"/>
    <xf numFmtId="41" fontId="2" fillId="5" borderId="4" xfId="0" applyNumberFormat="1" applyFont="1" applyFill="1" applyBorder="1" applyAlignment="1">
      <alignment horizontal="right"/>
    </xf>
    <xf numFmtId="164" fontId="2" fillId="5" borderId="4" xfId="1" applyNumberFormat="1" applyFont="1" applyFill="1" applyBorder="1" applyAlignment="1">
      <alignment horizontal="right"/>
    </xf>
    <xf numFmtId="3" fontId="2" fillId="2" borderId="22" xfId="0" applyNumberFormat="1" applyFont="1" applyFill="1" applyBorder="1"/>
    <xf numFmtId="164" fontId="9" fillId="12" borderId="3" xfId="1" applyNumberFormat="1" applyFont="1" applyFill="1" applyBorder="1" applyAlignment="1">
      <alignment horizontal="left"/>
    </xf>
    <xf numFmtId="164" fontId="2" fillId="12" borderId="3" xfId="1" applyNumberFormat="1" applyFont="1" applyFill="1" applyBorder="1" applyAlignment="1">
      <alignment horizontal="right"/>
    </xf>
    <xf numFmtId="164" fontId="2" fillId="2" borderId="0" xfId="0" applyNumberFormat="1" applyFont="1" applyFill="1"/>
    <xf numFmtId="164" fontId="2" fillId="0" borderId="3" xfId="1" applyNumberFormat="1" applyFont="1" applyFill="1" applyBorder="1" applyAlignment="1">
      <alignment horizontal="right"/>
    </xf>
    <xf numFmtId="164" fontId="2" fillId="0" borderId="1" xfId="1" applyNumberFormat="1" applyFont="1" applyFill="1" applyBorder="1" applyAlignment="1">
      <alignment horizontal="right"/>
    </xf>
    <xf numFmtId="164" fontId="2" fillId="2" borderId="3" xfId="1" applyNumberFormat="1" applyFont="1" applyFill="1" applyBorder="1" applyAlignment="1">
      <alignment horizontal="right"/>
    </xf>
    <xf numFmtId="164" fontId="46" fillId="12" borderId="1" xfId="1" applyNumberFormat="1" applyFont="1" applyFill="1" applyBorder="1" applyAlignment="1">
      <alignment horizontal="right"/>
    </xf>
    <xf numFmtId="164" fontId="9" fillId="12" borderId="1" xfId="1" applyNumberFormat="1" applyFont="1" applyFill="1" applyBorder="1" applyAlignment="1">
      <alignment horizontal="left"/>
    </xf>
    <xf numFmtId="164" fontId="2" fillId="12" borderId="1" xfId="1" applyNumberFormat="1" applyFont="1" applyFill="1" applyBorder="1" applyAlignment="1">
      <alignment horizontal="right"/>
    </xf>
    <xf numFmtId="164" fontId="2" fillId="2" borderId="1" xfId="1" applyNumberFormat="1" applyFont="1" applyFill="1" applyBorder="1" applyAlignment="1">
      <alignment horizontal="right"/>
    </xf>
    <xf numFmtId="0" fontId="9" fillId="2" borderId="39" xfId="0" applyFont="1" applyFill="1" applyBorder="1" applyAlignment="1">
      <alignment horizontal="center"/>
    </xf>
    <xf numFmtId="16" fontId="9" fillId="2" borderId="22" xfId="0" applyNumberFormat="1" applyFont="1" applyFill="1" applyBorder="1" applyAlignment="1">
      <alignment horizontal="center"/>
    </xf>
    <xf numFmtId="0" fontId="2" fillId="5" borderId="5" xfId="0" applyFont="1" applyFill="1" applyBorder="1"/>
    <xf numFmtId="41" fontId="2" fillId="7" borderId="1" xfId="1" applyNumberFormat="1" applyFont="1" applyFill="1" applyBorder="1"/>
    <xf numFmtId="41" fontId="2" fillId="7" borderId="1" xfId="0" applyNumberFormat="1" applyFont="1" applyFill="1" applyBorder="1" applyAlignment="1">
      <alignment horizontal="right" vertical="top"/>
    </xf>
    <xf numFmtId="41" fontId="2" fillId="7" borderId="1" xfId="1" applyNumberFormat="1" applyFont="1" applyFill="1" applyBorder="1" applyAlignment="1">
      <alignment horizontal="right" vertical="top"/>
    </xf>
    <xf numFmtId="41" fontId="9" fillId="2" borderId="0" xfId="0" applyNumberFormat="1" applyFont="1" applyFill="1" applyAlignment="1">
      <alignment horizontal="center"/>
    </xf>
    <xf numFmtId="4" fontId="9" fillId="2" borderId="0" xfId="0" applyNumberFormat="1" applyFont="1" applyFill="1" applyAlignment="1">
      <alignment horizontal="center"/>
    </xf>
    <xf numFmtId="4" fontId="9" fillId="2" borderId="22" xfId="0" applyNumberFormat="1" applyFont="1" applyFill="1" applyBorder="1" applyAlignment="1">
      <alignment horizontal="center"/>
    </xf>
    <xf numFmtId="4" fontId="9" fillId="0" borderId="0" xfId="0" applyNumberFormat="1" applyFont="1" applyAlignment="1">
      <alignment horizontal="center"/>
    </xf>
    <xf numFmtId="4" fontId="2" fillId="0" borderId="0" xfId="0" applyNumberFormat="1" applyFont="1"/>
    <xf numFmtId="164" fontId="2" fillId="2" borderId="2" xfId="1" applyNumberFormat="1" applyFont="1" applyFill="1" applyBorder="1" applyAlignment="1">
      <alignment horizontal="right"/>
    </xf>
    <xf numFmtId="41" fontId="2" fillId="0" borderId="1" xfId="1" applyNumberFormat="1" applyFont="1" applyFill="1" applyBorder="1" applyAlignment="1">
      <alignment horizontal="right" vertical="top"/>
    </xf>
    <xf numFmtId="164" fontId="2" fillId="2" borderId="5" xfId="1" applyNumberFormat="1" applyFont="1" applyFill="1" applyBorder="1" applyAlignment="1">
      <alignment horizontal="right"/>
    </xf>
    <xf numFmtId="4" fontId="9" fillId="0" borderId="0" xfId="0" applyNumberFormat="1" applyFont="1"/>
    <xf numFmtId="0" fontId="9" fillId="0" borderId="0" xfId="0" applyFont="1"/>
    <xf numFmtId="166" fontId="2" fillId="7" borderId="1" xfId="1" applyNumberFormat="1" applyFont="1" applyFill="1" applyBorder="1"/>
    <xf numFmtId="166" fontId="2" fillId="7" borderId="1" xfId="0" applyNumberFormat="1" applyFont="1" applyFill="1" applyBorder="1" applyAlignment="1">
      <alignment horizontal="right" vertical="top"/>
    </xf>
    <xf numFmtId="166" fontId="2" fillId="7" borderId="1" xfId="1" applyNumberFormat="1" applyFont="1" applyFill="1" applyBorder="1" applyAlignment="1">
      <alignment horizontal="right" vertical="top"/>
    </xf>
    <xf numFmtId="166" fontId="2" fillId="0" borderId="1" xfId="1" applyNumberFormat="1" applyFont="1" applyFill="1" applyBorder="1" applyAlignment="1">
      <alignment horizontal="left"/>
    </xf>
    <xf numFmtId="166" fontId="2" fillId="0" borderId="1" xfId="1" applyNumberFormat="1" applyFont="1" applyFill="1" applyBorder="1" applyAlignment="1">
      <alignment horizontal="right" vertical="top"/>
    </xf>
    <xf numFmtId="4" fontId="2" fillId="0" borderId="0" xfId="0" applyNumberFormat="1" applyFont="1" applyAlignment="1">
      <alignment horizontal="center" wrapText="1"/>
    </xf>
    <xf numFmtId="0" fontId="2" fillId="0" borderId="0" xfId="0" applyFont="1" applyAlignment="1">
      <alignment horizontal="center" wrapText="1"/>
    </xf>
    <xf numFmtId="4" fontId="2" fillId="2" borderId="22" xfId="0" applyNumberFormat="1" applyFont="1" applyFill="1" applyBorder="1"/>
    <xf numFmtId="4" fontId="2" fillId="2" borderId="0" xfId="0" applyNumberFormat="1" applyFont="1" applyFill="1"/>
    <xf numFmtId="0" fontId="2" fillId="0" borderId="22" xfId="0" applyFont="1" applyBorder="1"/>
    <xf numFmtId="16" fontId="2" fillId="0" borderId="22" xfId="0" applyNumberFormat="1" applyFont="1" applyBorder="1"/>
    <xf numFmtId="166" fontId="2" fillId="2" borderId="0" xfId="1" applyNumberFormat="1" applyFont="1" applyFill="1" applyBorder="1" applyAlignment="1">
      <alignment horizontal="left"/>
    </xf>
    <xf numFmtId="16" fontId="0" fillId="0" borderId="0" xfId="0" applyNumberFormat="1"/>
    <xf numFmtId="41" fontId="2" fillId="2" borderId="0" xfId="1" applyNumberFormat="1" applyFont="1" applyFill="1" applyBorder="1" applyAlignment="1">
      <alignment horizontal="right"/>
    </xf>
    <xf numFmtId="172" fontId="2" fillId="2" borderId="0" xfId="1" applyNumberFormat="1" applyFont="1" applyFill="1" applyBorder="1" applyAlignment="1">
      <alignment horizontal="left"/>
    </xf>
    <xf numFmtId="164" fontId="9" fillId="0" borderId="0" xfId="1" applyNumberFormat="1" applyFont="1" applyFill="1" applyBorder="1" applyAlignment="1">
      <alignment horizontal="left"/>
    </xf>
    <xf numFmtId="0" fontId="16" fillId="3" borderId="6" xfId="0" applyFont="1" applyFill="1" applyBorder="1" applyAlignment="1">
      <alignment horizontal="center" vertical="center" wrapText="1"/>
    </xf>
    <xf numFmtId="164" fontId="2" fillId="2" borderId="6" xfId="1" applyNumberFormat="1" applyFont="1" applyFill="1" applyBorder="1" applyAlignment="1">
      <alignment vertical="center"/>
    </xf>
    <xf numFmtId="164" fontId="2" fillId="2" borderId="1" xfId="1" applyNumberFormat="1" applyFont="1" applyFill="1" applyBorder="1" applyAlignment="1">
      <alignment vertical="center"/>
    </xf>
    <xf numFmtId="164" fontId="2" fillId="2" borderId="0" xfId="1" applyNumberFormat="1" applyFont="1" applyFill="1" applyBorder="1" applyAlignment="1">
      <alignment horizontal="center" vertical="center"/>
    </xf>
    <xf numFmtId="41" fontId="2" fillId="2" borderId="0" xfId="1" applyNumberFormat="1" applyFont="1" applyFill="1" applyBorder="1" applyAlignment="1">
      <alignment horizontal="left"/>
    </xf>
    <xf numFmtId="41" fontId="2" fillId="5" borderId="1" xfId="1" applyNumberFormat="1" applyFont="1" applyFill="1" applyBorder="1" applyAlignment="1">
      <alignment horizontal="left"/>
    </xf>
    <xf numFmtId="0" fontId="2" fillId="4" borderId="40" xfId="0" applyFont="1" applyFill="1" applyBorder="1" applyAlignment="1">
      <alignment horizontal="center" vertical="center"/>
    </xf>
    <xf numFmtId="0" fontId="2" fillId="4" borderId="41" xfId="0" applyFont="1" applyFill="1" applyBorder="1" applyAlignment="1">
      <alignment horizontal="center" vertical="center"/>
    </xf>
    <xf numFmtId="4" fontId="0" fillId="0" borderId="0" xfId="0" applyNumberFormat="1"/>
    <xf numFmtId="0" fontId="16" fillId="0" borderId="0" xfId="0" applyFont="1" applyAlignment="1">
      <alignment horizontal="center" vertical="center" wrapText="1"/>
    </xf>
    <xf numFmtId="16" fontId="16" fillId="0" borderId="0" xfId="0" applyNumberFormat="1" applyFont="1" applyAlignment="1">
      <alignment horizontal="center" vertical="center" wrapText="1"/>
    </xf>
    <xf numFmtId="164" fontId="2" fillId="0" borderId="0" xfId="1" applyNumberFormat="1" applyFont="1" applyFill="1" applyBorder="1" applyAlignment="1">
      <alignment horizontal="left"/>
    </xf>
    <xf numFmtId="0" fontId="28" fillId="0" borderId="0" xfId="0" applyFont="1"/>
    <xf numFmtId="0" fontId="48" fillId="10" borderId="23" xfId="0" applyFont="1" applyFill="1" applyBorder="1"/>
    <xf numFmtId="0" fontId="48" fillId="10" borderId="30" xfId="0" applyFont="1" applyFill="1" applyBorder="1"/>
    <xf numFmtId="0" fontId="48" fillId="10" borderId="24" xfId="0" applyFont="1" applyFill="1" applyBorder="1"/>
    <xf numFmtId="0" fontId="48" fillId="13" borderId="23" xfId="0" applyFont="1" applyFill="1" applyBorder="1"/>
    <xf numFmtId="0" fontId="48" fillId="13" borderId="30" xfId="0" applyFont="1" applyFill="1" applyBorder="1"/>
    <xf numFmtId="0" fontId="48" fillId="13" borderId="24" xfId="0" applyFont="1" applyFill="1" applyBorder="1"/>
    <xf numFmtId="0" fontId="48" fillId="14" borderId="23" xfId="0" applyFont="1" applyFill="1" applyBorder="1"/>
    <xf numFmtId="0" fontId="48" fillId="14" borderId="30" xfId="0" applyFont="1" applyFill="1" applyBorder="1"/>
    <xf numFmtId="0" fontId="48" fillId="15" borderId="23" xfId="0" applyFont="1" applyFill="1" applyBorder="1"/>
    <xf numFmtId="0" fontId="48" fillId="15" borderId="30" xfId="0" applyFont="1" applyFill="1" applyBorder="1"/>
    <xf numFmtId="0" fontId="48" fillId="15" borderId="24" xfId="0" applyFont="1" applyFill="1" applyBorder="1"/>
    <xf numFmtId="14" fontId="6" fillId="0" borderId="0" xfId="0" applyNumberFormat="1" applyFont="1"/>
    <xf numFmtId="0" fontId="48" fillId="10" borderId="1" xfId="0" applyFont="1" applyFill="1" applyBorder="1" applyAlignment="1">
      <alignment horizontal="center"/>
    </xf>
    <xf numFmtId="0" fontId="48" fillId="13" borderId="1" xfId="0" applyFont="1" applyFill="1" applyBorder="1" applyAlignment="1">
      <alignment horizontal="center"/>
    </xf>
    <xf numFmtId="0" fontId="48" fillId="14" borderId="1" xfId="0" applyFont="1" applyFill="1" applyBorder="1" applyAlignment="1">
      <alignment horizontal="center"/>
    </xf>
    <xf numFmtId="0" fontId="48" fillId="15" borderId="1" xfId="0" applyFont="1" applyFill="1" applyBorder="1" applyAlignment="1">
      <alignment horizontal="center"/>
    </xf>
    <xf numFmtId="0" fontId="48" fillId="0" borderId="1" xfId="0" applyFont="1" applyBorder="1"/>
    <xf numFmtId="173" fontId="49" fillId="2" borderId="1" xfId="1" applyNumberFormat="1" applyFont="1" applyFill="1" applyBorder="1" applyAlignment="1">
      <alignment horizontal="left"/>
    </xf>
    <xf numFmtId="172" fontId="49" fillId="2" borderId="1" xfId="1" applyNumberFormat="1" applyFont="1" applyFill="1" applyBorder="1" applyAlignment="1">
      <alignment horizontal="left"/>
    </xf>
    <xf numFmtId="172" fontId="49" fillId="0" borderId="1" xfId="1" applyNumberFormat="1" applyFont="1" applyFill="1" applyBorder="1" applyAlignment="1">
      <alignment horizontal="left"/>
    </xf>
    <xf numFmtId="0" fontId="48" fillId="0" borderId="42" xfId="0" applyFont="1" applyBorder="1"/>
    <xf numFmtId="173" fontId="49" fillId="2" borderId="42" xfId="1" applyNumberFormat="1" applyFont="1" applyFill="1" applyBorder="1" applyAlignment="1">
      <alignment horizontal="left"/>
    </xf>
    <xf numFmtId="172" fontId="49" fillId="2" borderId="42" xfId="1" applyNumberFormat="1" applyFont="1" applyFill="1" applyBorder="1" applyAlignment="1">
      <alignment horizontal="left"/>
    </xf>
    <xf numFmtId="0" fontId="47" fillId="5" borderId="3" xfId="0" applyFont="1" applyFill="1" applyBorder="1"/>
    <xf numFmtId="173" fontId="49" fillId="2" borderId="3" xfId="1" applyNumberFormat="1" applyFont="1" applyFill="1" applyBorder="1" applyAlignment="1">
      <alignment horizontal="left"/>
    </xf>
    <xf numFmtId="172" fontId="49" fillId="2" borderId="3" xfId="1" applyNumberFormat="1" applyFont="1" applyFill="1" applyBorder="1" applyAlignment="1">
      <alignment horizontal="left"/>
    </xf>
    <xf numFmtId="0" fontId="33" fillId="0" borderId="0" xfId="0" applyFont="1"/>
    <xf numFmtId="0" fontId="48" fillId="14" borderId="24" xfId="0" applyFont="1" applyFill="1" applyBorder="1"/>
    <xf numFmtId="0" fontId="47" fillId="5" borderId="0" xfId="0" applyFont="1" applyFill="1"/>
    <xf numFmtId="0" fontId="48" fillId="5" borderId="0" xfId="0" applyFont="1" applyFill="1"/>
    <xf numFmtId="164" fontId="49" fillId="2" borderId="1" xfId="1" applyNumberFormat="1" applyFont="1" applyFill="1" applyBorder="1" applyAlignment="1">
      <alignment horizontal="left"/>
    </xf>
    <xf numFmtId="3" fontId="6" fillId="0" borderId="0" xfId="0" applyNumberFormat="1" applyFont="1"/>
    <xf numFmtId="164" fontId="49" fillId="2" borderId="42" xfId="1" applyNumberFormat="1" applyFont="1" applyFill="1" applyBorder="1" applyAlignment="1">
      <alignment horizontal="left"/>
    </xf>
    <xf numFmtId="164" fontId="49" fillId="2" borderId="3" xfId="1" applyNumberFormat="1" applyFont="1" applyFill="1" applyBorder="1" applyAlignment="1">
      <alignment horizontal="left"/>
    </xf>
    <xf numFmtId="0" fontId="27" fillId="3" borderId="10" xfId="0" applyFont="1" applyFill="1" applyBorder="1" applyAlignment="1">
      <alignment horizontal="center" vertical="center" wrapText="1"/>
    </xf>
    <xf numFmtId="174" fontId="27" fillId="16" borderId="21" xfId="0" applyNumberFormat="1" applyFont="1" applyFill="1" applyBorder="1" applyAlignment="1">
      <alignment horizontal="center" vertical="center" wrapText="1"/>
    </xf>
    <xf numFmtId="174" fontId="27" fillId="3" borderId="21" xfId="0" applyNumberFormat="1" applyFont="1" applyFill="1" applyBorder="1" applyAlignment="1">
      <alignment horizontal="center" vertical="center" wrapText="1"/>
    </xf>
    <xf numFmtId="174" fontId="27" fillId="3" borderId="11" xfId="0" applyNumberFormat="1" applyFont="1" applyFill="1" applyBorder="1" applyAlignment="1">
      <alignment horizontal="center" vertical="center" wrapText="1"/>
    </xf>
    <xf numFmtId="164" fontId="28" fillId="12" borderId="5" xfId="1" applyNumberFormat="1" applyFont="1" applyFill="1" applyBorder="1" applyAlignment="1">
      <alignment horizontal="left"/>
    </xf>
    <xf numFmtId="41" fontId="6" fillId="2" borderId="1" xfId="1" applyNumberFormat="1" applyFont="1" applyFill="1" applyBorder="1" applyAlignment="1">
      <alignment horizontal="right"/>
    </xf>
    <xf numFmtId="41" fontId="6" fillId="2" borderId="12" xfId="1" applyNumberFormat="1" applyFont="1" applyFill="1" applyBorder="1" applyAlignment="1">
      <alignment horizontal="right"/>
    </xf>
    <xf numFmtId="170" fontId="6" fillId="2" borderId="1" xfId="1" applyNumberFormat="1" applyFont="1" applyFill="1" applyBorder="1" applyAlignment="1">
      <alignment horizontal="right"/>
    </xf>
    <xf numFmtId="170" fontId="6" fillId="2" borderId="12" xfId="1" applyNumberFormat="1" applyFont="1" applyFill="1" applyBorder="1" applyAlignment="1">
      <alignment horizontal="right"/>
    </xf>
    <xf numFmtId="164" fontId="28" fillId="12" borderId="43" xfId="1" applyNumberFormat="1" applyFont="1" applyFill="1" applyBorder="1" applyAlignment="1">
      <alignment horizontal="left"/>
    </xf>
    <xf numFmtId="172" fontId="6" fillId="2" borderId="42" xfId="1" applyNumberFormat="1" applyFont="1" applyFill="1" applyBorder="1" applyAlignment="1">
      <alignment horizontal="right"/>
    </xf>
    <xf numFmtId="172" fontId="6" fillId="2" borderId="13" xfId="1" applyNumberFormat="1" applyFont="1" applyFill="1" applyBorder="1" applyAlignment="1">
      <alignment horizontal="right"/>
    </xf>
    <xf numFmtId="3" fontId="6" fillId="2" borderId="12" xfId="1" applyNumberFormat="1" applyFont="1" applyFill="1" applyBorder="1" applyAlignment="1">
      <alignment horizontal="right"/>
    </xf>
    <xf numFmtId="3" fontId="6" fillId="2" borderId="13" xfId="1" applyNumberFormat="1" applyFont="1" applyFill="1" applyBorder="1" applyAlignment="1">
      <alignment horizontal="right"/>
    </xf>
    <xf numFmtId="3" fontId="6" fillId="2" borderId="0" xfId="1" applyNumberFormat="1" applyFont="1" applyFill="1" applyBorder="1" applyAlignment="1">
      <alignment horizontal="right"/>
    </xf>
    <xf numFmtId="41" fontId="6" fillId="2" borderId="13" xfId="1" applyNumberFormat="1" applyFont="1" applyFill="1" applyBorder="1" applyAlignment="1">
      <alignment horizontal="right"/>
    </xf>
    <xf numFmtId="1" fontId="6" fillId="2" borderId="13" xfId="1" applyNumberFormat="1" applyFont="1" applyFill="1" applyBorder="1" applyAlignment="1"/>
    <xf numFmtId="41" fontId="6" fillId="17" borderId="1" xfId="1" applyNumberFormat="1" applyFont="1" applyFill="1" applyBorder="1" applyAlignment="1">
      <alignment horizontal="right"/>
    </xf>
    <xf numFmtId="41" fontId="6" fillId="2" borderId="42" xfId="1" applyNumberFormat="1" applyFont="1" applyFill="1" applyBorder="1" applyAlignment="1">
      <alignment horizontal="right"/>
    </xf>
    <xf numFmtId="164" fontId="28" fillId="0" borderId="0" xfId="1" applyNumberFormat="1" applyFont="1" applyFill="1" applyBorder="1" applyAlignment="1">
      <alignment horizontal="left"/>
    </xf>
    <xf numFmtId="41" fontId="6" fillId="2" borderId="0" xfId="1" applyNumberFormat="1" applyFont="1" applyFill="1" applyBorder="1" applyAlignment="1">
      <alignment horizontal="right"/>
    </xf>
    <xf numFmtId="0" fontId="24" fillId="5" borderId="44" xfId="2" applyFont="1" applyFill="1" applyBorder="1" applyAlignment="1">
      <alignment horizontal="center" vertical="top"/>
    </xf>
    <xf numFmtId="0" fontId="6" fillId="0" borderId="0" xfId="0" applyFont="1" applyAlignment="1">
      <alignment vertical="center"/>
    </xf>
    <xf numFmtId="49" fontId="30" fillId="0" borderId="12" xfId="0" applyNumberFormat="1" applyFont="1" applyBorder="1" applyAlignment="1">
      <alignment horizontal="left" vertical="top" wrapText="1"/>
    </xf>
    <xf numFmtId="0" fontId="6" fillId="0" borderId="12" xfId="0" applyFont="1" applyBorder="1" applyAlignment="1">
      <alignment wrapText="1"/>
    </xf>
    <xf numFmtId="0" fontId="6" fillId="0" borderId="12" xfId="0" applyFont="1" applyBorder="1" applyAlignment="1">
      <alignment vertical="center" wrapText="1"/>
    </xf>
    <xf numFmtId="0" fontId="6" fillId="2" borderId="47" xfId="0" applyFont="1" applyFill="1" applyBorder="1" applyAlignment="1">
      <alignment horizontal="left" vertical="top" wrapText="1"/>
    </xf>
    <xf numFmtId="0" fontId="6" fillId="2" borderId="13" xfId="0" applyFont="1" applyFill="1" applyBorder="1" applyAlignment="1">
      <alignment horizontal="left" vertical="top" wrapText="1"/>
    </xf>
    <xf numFmtId="0" fontId="1" fillId="0" borderId="0" xfId="9"/>
    <xf numFmtId="0" fontId="9" fillId="2" borderId="0" xfId="9" applyFont="1" applyFill="1" applyAlignment="1">
      <alignment vertical="center"/>
    </xf>
    <xf numFmtId="0" fontId="9" fillId="2" borderId="0" xfId="9" applyFont="1" applyFill="1" applyAlignment="1">
      <alignment vertical="center" wrapText="1"/>
    </xf>
    <xf numFmtId="0" fontId="9" fillId="2" borderId="0" xfId="9" applyFont="1" applyFill="1" applyAlignment="1">
      <alignment horizontal="left" vertical="center" wrapText="1"/>
    </xf>
    <xf numFmtId="0" fontId="9" fillId="2" borderId="0" xfId="9" applyFont="1" applyFill="1" applyAlignment="1">
      <alignment horizontal="left"/>
    </xf>
    <xf numFmtId="3" fontId="2" fillId="2" borderId="0" xfId="9" applyNumberFormat="1" applyFont="1" applyFill="1" applyAlignment="1">
      <alignment horizontal="left"/>
    </xf>
    <xf numFmtId="0" fontId="2" fillId="2" borderId="0" xfId="9" applyFont="1" applyFill="1" applyAlignment="1">
      <alignment horizontal="left"/>
    </xf>
    <xf numFmtId="0" fontId="9" fillId="2" borderId="0" xfId="9" applyFont="1" applyFill="1" applyAlignment="1">
      <alignment horizontal="center" vertical="center"/>
    </xf>
    <xf numFmtId="0" fontId="9" fillId="2" borderId="0" xfId="9" applyFont="1" applyFill="1" applyAlignment="1">
      <alignment horizontal="center"/>
    </xf>
    <xf numFmtId="3" fontId="2" fillId="2" borderId="0" xfId="9" applyNumberFormat="1" applyFont="1" applyFill="1"/>
    <xf numFmtId="0" fontId="2" fillId="2" borderId="0" xfId="9" applyFont="1" applyFill="1"/>
    <xf numFmtId="3" fontId="9" fillId="2" borderId="0" xfId="9" applyNumberFormat="1" applyFont="1" applyFill="1" applyAlignment="1">
      <alignment horizontal="center"/>
    </xf>
    <xf numFmtId="4" fontId="1" fillId="0" borderId="0" xfId="9" applyNumberFormat="1"/>
    <xf numFmtId="0" fontId="9" fillId="0" borderId="0" xfId="9" applyFont="1" applyAlignment="1">
      <alignment vertical="center"/>
    </xf>
    <xf numFmtId="0" fontId="51" fillId="0" borderId="0" xfId="8"/>
    <xf numFmtId="16" fontId="1" fillId="0" borderId="0" xfId="9" applyNumberFormat="1"/>
    <xf numFmtId="0" fontId="28" fillId="2" borderId="0" xfId="9" applyFont="1" applyFill="1" applyAlignment="1">
      <alignment vertical="center"/>
    </xf>
    <xf numFmtId="0" fontId="27" fillId="3" borderId="1" xfId="9" applyFont="1" applyFill="1" applyBorder="1" applyAlignment="1">
      <alignment vertical="center"/>
    </xf>
    <xf numFmtId="0" fontId="27" fillId="3" borderId="1" xfId="9" applyFont="1" applyFill="1" applyBorder="1" applyAlignment="1">
      <alignment vertical="center" wrapText="1"/>
    </xf>
    <xf numFmtId="0" fontId="6" fillId="5" borderId="4" xfId="9" applyFont="1" applyFill="1" applyBorder="1"/>
    <xf numFmtId="41" fontId="6" fillId="5" borderId="26" xfId="9" applyNumberFormat="1" applyFont="1" applyFill="1" applyBorder="1"/>
    <xf numFmtId="164" fontId="6" fillId="2" borderId="3" xfId="10" applyNumberFormat="1" applyFont="1" applyFill="1" applyBorder="1" applyAlignment="1"/>
    <xf numFmtId="164" fontId="6" fillId="0" borderId="28" xfId="10" applyNumberFormat="1" applyFont="1" applyFill="1" applyBorder="1" applyAlignment="1"/>
    <xf numFmtId="164" fontId="6" fillId="2" borderId="1" xfId="10" applyNumberFormat="1" applyFont="1" applyFill="1" applyBorder="1" applyAlignment="1"/>
    <xf numFmtId="164" fontId="6" fillId="0" borderId="24" xfId="10" applyNumberFormat="1" applyFont="1" applyFill="1" applyBorder="1" applyAlignment="1"/>
    <xf numFmtId="0" fontId="28" fillId="2" borderId="0" xfId="9" applyFont="1" applyFill="1" applyAlignment="1">
      <alignment horizontal="center" vertical="center"/>
    </xf>
    <xf numFmtId="0" fontId="6" fillId="0" borderId="0" xfId="9" applyFont="1"/>
    <xf numFmtId="4" fontId="6" fillId="0" borderId="0" xfId="9" applyNumberFormat="1" applyFont="1"/>
    <xf numFmtId="0" fontId="22" fillId="2" borderId="0" xfId="0" applyFont="1" applyFill="1" applyBorder="1" applyAlignment="1">
      <alignment horizontal="left" vertical="center" wrapText="1"/>
    </xf>
    <xf numFmtId="0" fontId="24" fillId="5" borderId="0" xfId="2" applyFont="1" applyFill="1" applyAlignment="1">
      <alignment horizontal="left" vertical="top"/>
    </xf>
    <xf numFmtId="0" fontId="24" fillId="0" borderId="0" xfId="2" applyFont="1" applyAlignment="1">
      <alignment horizontal="left" vertical="top"/>
    </xf>
    <xf numFmtId="0" fontId="22" fillId="2" borderId="0" xfId="0" applyFont="1" applyFill="1" applyBorder="1" applyAlignment="1">
      <alignment horizontal="left" wrapText="1"/>
    </xf>
    <xf numFmtId="0" fontId="23" fillId="2" borderId="0" xfId="0" applyFont="1" applyFill="1" applyBorder="1" applyAlignment="1">
      <alignment horizontal="left" vertical="center" wrapText="1"/>
    </xf>
    <xf numFmtId="0" fontId="20" fillId="6" borderId="0" xfId="3" applyFont="1" applyFill="1" applyAlignment="1">
      <alignment horizontal="center" vertical="center" wrapText="1"/>
    </xf>
    <xf numFmtId="164" fontId="2" fillId="2" borderId="6" xfId="1" applyNumberFormat="1" applyFont="1" applyFill="1" applyBorder="1" applyAlignment="1">
      <alignment horizontal="left" vertical="center"/>
    </xf>
    <xf numFmtId="164" fontId="2" fillId="2" borderId="3" xfId="1" applyNumberFormat="1" applyFont="1" applyFill="1" applyBorder="1" applyAlignment="1">
      <alignment horizontal="left" vertical="center"/>
    </xf>
    <xf numFmtId="0" fontId="9" fillId="0" borderId="0" xfId="0" applyFont="1" applyAlignment="1">
      <alignment horizontal="left" vertical="center"/>
    </xf>
    <xf numFmtId="0" fontId="9" fillId="0" borderId="7" xfId="0" applyFont="1" applyBorder="1" applyAlignment="1">
      <alignment horizontal="left" vertical="center"/>
    </xf>
    <xf numFmtId="0" fontId="2" fillId="4" borderId="29" xfId="0" applyFont="1" applyFill="1" applyBorder="1" applyAlignment="1">
      <alignment horizontal="center" vertical="center"/>
    </xf>
    <xf numFmtId="0" fontId="2" fillId="4" borderId="30" xfId="0" applyFont="1" applyFill="1" applyBorder="1" applyAlignment="1">
      <alignment horizontal="center" vertical="center"/>
    </xf>
    <xf numFmtId="0" fontId="2" fillId="4" borderId="31" xfId="0" applyFont="1" applyFill="1" applyBorder="1" applyAlignment="1">
      <alignment horizontal="center" vertical="center"/>
    </xf>
    <xf numFmtId="0" fontId="9" fillId="2" borderId="7" xfId="0" applyFont="1" applyFill="1" applyBorder="1" applyAlignment="1">
      <alignment horizontal="left" vertical="center"/>
    </xf>
    <xf numFmtId="0" fontId="9" fillId="2" borderId="0" xfId="0" applyFont="1" applyFill="1" applyAlignment="1">
      <alignment horizontal="left" vertical="center"/>
    </xf>
    <xf numFmtId="164" fontId="2" fillId="2" borderId="1" xfId="1" applyNumberFormat="1" applyFont="1" applyFill="1" applyBorder="1" applyAlignment="1">
      <alignment horizontal="left"/>
    </xf>
    <xf numFmtId="0" fontId="9" fillId="4" borderId="29" xfId="0" applyFont="1" applyFill="1" applyBorder="1" applyAlignment="1">
      <alignment horizontal="center" vertical="center"/>
    </xf>
    <xf numFmtId="0" fontId="9" fillId="4" borderId="30" xfId="0" applyFont="1" applyFill="1" applyBorder="1" applyAlignment="1">
      <alignment horizontal="center" vertical="center"/>
    </xf>
    <xf numFmtId="0" fontId="9" fillId="4" borderId="31" xfId="0" applyFont="1" applyFill="1" applyBorder="1" applyAlignment="1">
      <alignment horizontal="center" vertical="center"/>
    </xf>
    <xf numFmtId="0" fontId="9" fillId="2" borderId="7" xfId="0" applyFont="1" applyFill="1" applyBorder="1" applyAlignment="1">
      <alignment horizontal="left" vertical="center" wrapText="1"/>
    </xf>
    <xf numFmtId="0" fontId="9" fillId="2" borderId="0" xfId="0" applyFont="1" applyFill="1" applyAlignment="1">
      <alignment horizontal="left" vertical="center" wrapText="1"/>
    </xf>
    <xf numFmtId="0" fontId="2" fillId="4" borderId="23" xfId="0" applyFont="1" applyFill="1" applyBorder="1" applyAlignment="1">
      <alignment horizontal="center" vertical="center"/>
    </xf>
    <xf numFmtId="0" fontId="2" fillId="4" borderId="24" xfId="0" applyFont="1" applyFill="1" applyBorder="1" applyAlignment="1">
      <alignment horizontal="center" vertical="center"/>
    </xf>
    <xf numFmtId="0" fontId="16" fillId="3" borderId="1" xfId="0" applyFont="1" applyFill="1" applyBorder="1" applyAlignment="1">
      <alignment horizontal="center" vertical="center" wrapText="1"/>
    </xf>
    <xf numFmtId="0" fontId="16" fillId="3" borderId="34" xfId="0" applyFont="1" applyFill="1" applyBorder="1" applyAlignment="1">
      <alignment horizontal="center" vertical="center" wrapText="1"/>
    </xf>
    <xf numFmtId="0" fontId="16" fillId="3" borderId="35" xfId="0" applyFont="1" applyFill="1" applyBorder="1" applyAlignment="1">
      <alignment horizontal="center" vertical="center" wrapText="1"/>
    </xf>
    <xf numFmtId="0" fontId="2" fillId="5" borderId="4" xfId="0" applyFont="1" applyFill="1" applyBorder="1" applyAlignment="1">
      <alignment horizontal="left"/>
    </xf>
    <xf numFmtId="0" fontId="2" fillId="5" borderId="37" xfId="0" applyFont="1" applyFill="1" applyBorder="1" applyAlignment="1">
      <alignment horizontal="center"/>
    </xf>
    <xf numFmtId="0" fontId="2" fillId="5" borderId="26" xfId="0" applyFont="1" applyFill="1" applyBorder="1" applyAlignment="1">
      <alignment horizontal="center"/>
    </xf>
    <xf numFmtId="164" fontId="2" fillId="2" borderId="3" xfId="1" applyNumberFormat="1" applyFont="1" applyFill="1" applyBorder="1" applyAlignment="1">
      <alignment horizontal="left"/>
    </xf>
    <xf numFmtId="164" fontId="2" fillId="2" borderId="34" xfId="1" applyNumberFormat="1" applyFont="1" applyFill="1" applyBorder="1" applyAlignment="1">
      <alignment horizontal="left" wrapText="1"/>
    </xf>
    <xf numFmtId="164" fontId="2" fillId="2" borderId="36" xfId="1" applyNumberFormat="1" applyFont="1" applyFill="1" applyBorder="1" applyAlignment="1">
      <alignment horizontal="left" wrapText="1"/>
    </xf>
    <xf numFmtId="0" fontId="9" fillId="2" borderId="22" xfId="0" applyFont="1" applyFill="1" applyBorder="1" applyAlignment="1">
      <alignment horizontal="left" vertical="center"/>
    </xf>
    <xf numFmtId="0" fontId="9" fillId="2" borderId="7" xfId="0" applyFont="1" applyFill="1" applyBorder="1" applyAlignment="1">
      <alignment vertical="center" wrapText="1"/>
    </xf>
    <xf numFmtId="0" fontId="9" fillId="2" borderId="0" xfId="0" applyFont="1" applyFill="1" applyAlignment="1">
      <alignment vertical="center" wrapText="1"/>
    </xf>
    <xf numFmtId="0" fontId="9" fillId="0" borderId="0" xfId="0" applyFont="1" applyAlignment="1">
      <alignment vertical="center" wrapText="1"/>
    </xf>
    <xf numFmtId="0" fontId="2" fillId="2" borderId="1" xfId="0" applyFont="1" applyFill="1" applyBorder="1"/>
    <xf numFmtId="0" fontId="2" fillId="2" borderId="27" xfId="0" applyFont="1" applyFill="1" applyBorder="1"/>
    <xf numFmtId="0" fontId="43" fillId="2" borderId="0" xfId="0" applyFont="1" applyFill="1" applyAlignment="1">
      <alignment horizontal="left" vertical="center"/>
    </xf>
    <xf numFmtId="0" fontId="45" fillId="4" borderId="10" xfId="0" applyFont="1" applyFill="1" applyBorder="1" applyAlignment="1">
      <alignment horizontal="center" vertical="center"/>
    </xf>
    <xf numFmtId="0" fontId="45" fillId="4" borderId="21" xfId="0" applyFont="1" applyFill="1" applyBorder="1" applyAlignment="1">
      <alignment horizontal="center" vertical="center"/>
    </xf>
    <xf numFmtId="0" fontId="45" fillId="4" borderId="11" xfId="0" applyFont="1" applyFill="1" applyBorder="1" applyAlignment="1">
      <alignment horizontal="center" vertical="center"/>
    </xf>
    <xf numFmtId="0" fontId="16" fillId="3" borderId="23" xfId="0" applyFont="1" applyFill="1" applyBorder="1" applyAlignment="1">
      <alignment horizontal="center" vertical="center" wrapText="1"/>
    </xf>
    <xf numFmtId="0" fontId="16" fillId="3" borderId="24" xfId="0" applyFont="1" applyFill="1" applyBorder="1" applyAlignment="1">
      <alignment horizontal="center" vertical="center" wrapText="1"/>
    </xf>
    <xf numFmtId="0" fontId="20" fillId="6" borderId="0" xfId="3" applyFont="1" applyFill="1" applyAlignment="1">
      <alignment horizontal="left" vertical="center" wrapText="1"/>
    </xf>
    <xf numFmtId="0" fontId="48" fillId="14" borderId="23" xfId="0" applyFont="1" applyFill="1" applyBorder="1" applyAlignment="1">
      <alignment horizontal="center"/>
    </xf>
    <xf numFmtId="0" fontId="48" fillId="14" borderId="24" xfId="0" applyFont="1" applyFill="1" applyBorder="1" applyAlignment="1">
      <alignment horizontal="center"/>
    </xf>
    <xf numFmtId="0" fontId="48" fillId="15" borderId="34" xfId="0" applyFont="1" applyFill="1" applyBorder="1" applyAlignment="1">
      <alignment horizontal="center"/>
    </xf>
    <xf numFmtId="0" fontId="48" fillId="15" borderId="36" xfId="0" applyFont="1" applyFill="1" applyBorder="1" applyAlignment="1">
      <alignment horizontal="center"/>
    </xf>
    <xf numFmtId="0" fontId="48" fillId="13" borderId="23" xfId="0" applyFont="1" applyFill="1" applyBorder="1" applyAlignment="1">
      <alignment horizontal="center"/>
    </xf>
    <xf numFmtId="0" fontId="48" fillId="13" borderId="24" xfId="0" applyFont="1" applyFill="1" applyBorder="1" applyAlignment="1">
      <alignment horizontal="center"/>
    </xf>
    <xf numFmtId="0" fontId="48" fillId="10" borderId="23" xfId="0" applyFont="1" applyFill="1" applyBorder="1" applyAlignment="1">
      <alignment horizontal="center"/>
    </xf>
    <xf numFmtId="0" fontId="48" fillId="10" borderId="24" xfId="0" applyFont="1" applyFill="1" applyBorder="1" applyAlignment="1">
      <alignment horizontal="center"/>
    </xf>
    <xf numFmtId="0" fontId="47" fillId="5" borderId="1" xfId="0" applyFont="1" applyFill="1" applyBorder="1" applyAlignment="1">
      <alignment horizontal="center" vertical="center"/>
    </xf>
    <xf numFmtId="0" fontId="47" fillId="4" borderId="1" xfId="0" applyFont="1" applyFill="1" applyBorder="1" applyAlignment="1">
      <alignment horizontal="center" vertical="center"/>
    </xf>
    <xf numFmtId="0" fontId="50" fillId="0" borderId="0" xfId="0" applyFont="1" applyAlignment="1">
      <alignment wrapText="1"/>
    </xf>
    <xf numFmtId="0" fontId="28" fillId="0" borderId="0" xfId="0" applyFont="1" applyAlignment="1">
      <alignment wrapText="1"/>
    </xf>
    <xf numFmtId="0" fontId="36" fillId="0" borderId="0" xfId="0" applyFont="1" applyAlignment="1">
      <alignment horizontal="left" vertical="top" wrapText="1"/>
    </xf>
    <xf numFmtId="0" fontId="35" fillId="0" borderId="0" xfId="0" applyFont="1" applyAlignment="1">
      <alignment horizontal="left" vertical="top" wrapText="1"/>
    </xf>
    <xf numFmtId="3" fontId="7" fillId="3" borderId="1" xfId="1" applyNumberFormat="1" applyFont="1" applyFill="1" applyBorder="1" applyAlignment="1">
      <alignment horizontal="left" vertical="top" wrapText="1"/>
    </xf>
    <xf numFmtId="0" fontId="7" fillId="3" borderId="1" xfId="4" applyFont="1" applyFill="1" applyBorder="1" applyAlignment="1">
      <alignment horizontal="left" vertical="top" wrapText="1"/>
    </xf>
    <xf numFmtId="0" fontId="17" fillId="2" borderId="1" xfId="0" applyFont="1" applyFill="1" applyBorder="1" applyAlignment="1">
      <alignment horizontal="center" vertical="center"/>
    </xf>
    <xf numFmtId="0" fontId="2" fillId="0" borderId="0" xfId="0" applyFont="1" applyAlignment="1">
      <alignment vertical="top" wrapText="1"/>
    </xf>
    <xf numFmtId="0" fontId="41" fillId="11" borderId="7" xfId="0" applyFont="1" applyFill="1" applyBorder="1" applyAlignment="1">
      <alignment horizontal="center" vertical="center"/>
    </xf>
    <xf numFmtId="0" fontId="41" fillId="11" borderId="0" xfId="0" applyFont="1" applyFill="1" applyAlignment="1">
      <alignment horizontal="center" vertical="center"/>
    </xf>
    <xf numFmtId="0" fontId="0" fillId="0" borderId="7" xfId="0" applyBorder="1" applyAlignment="1">
      <alignment horizontal="left" vertical="top" wrapText="1"/>
    </xf>
    <xf numFmtId="0" fontId="0" fillId="0" borderId="0" xfId="0" applyAlignment="1">
      <alignment horizontal="left" vertical="top" wrapText="1"/>
    </xf>
    <xf numFmtId="0" fontId="40" fillId="0" borderId="7" xfId="0" applyFont="1" applyBorder="1" applyAlignment="1">
      <alignment horizontal="left" vertical="top" wrapText="1"/>
    </xf>
    <xf numFmtId="0" fontId="40" fillId="0" borderId="0" xfId="0" applyFont="1" applyAlignment="1">
      <alignment horizontal="left" vertical="top" wrapText="1"/>
    </xf>
    <xf numFmtId="0" fontId="0" fillId="0" borderId="20" xfId="0" applyBorder="1" applyAlignment="1">
      <alignment horizontal="left" vertical="top" wrapText="1"/>
    </xf>
    <xf numFmtId="0" fontId="0" fillId="0" borderId="19" xfId="0" applyBorder="1" applyAlignment="1">
      <alignment horizontal="left" vertical="top" wrapText="1"/>
    </xf>
    <xf numFmtId="0" fontId="0" fillId="0" borderId="18" xfId="0" applyBorder="1" applyAlignment="1">
      <alignment horizontal="left" vertical="top" wrapText="1"/>
    </xf>
    <xf numFmtId="0" fontId="41" fillId="11" borderId="20" xfId="0" applyFont="1" applyFill="1" applyBorder="1" applyAlignment="1">
      <alignment horizontal="center" vertical="center"/>
    </xf>
    <xf numFmtId="0" fontId="41" fillId="11" borderId="19" xfId="0" applyFont="1" applyFill="1" applyBorder="1" applyAlignment="1">
      <alignment horizontal="center" vertical="center"/>
    </xf>
    <xf numFmtId="0" fontId="41" fillId="11" borderId="18" xfId="0" applyFont="1" applyFill="1" applyBorder="1" applyAlignment="1">
      <alignment horizontal="center" vertical="center"/>
    </xf>
    <xf numFmtId="0" fontId="39" fillId="0" borderId="0" xfId="0" applyFont="1" applyAlignment="1">
      <alignment horizontal="left" vertical="center"/>
    </xf>
    <xf numFmtId="0" fontId="6" fillId="2" borderId="5" xfId="0" applyFont="1" applyFill="1" applyBorder="1" applyAlignment="1">
      <alignment horizontal="center" vertical="top" wrapText="1"/>
    </xf>
    <xf numFmtId="0" fontId="6" fillId="0" borderId="5" xfId="0" applyFont="1" applyBorder="1" applyAlignment="1">
      <alignment horizontal="center" vertical="top"/>
    </xf>
    <xf numFmtId="0" fontId="6" fillId="0" borderId="5" xfId="0" applyFont="1" applyBorder="1" applyAlignment="1">
      <alignment horizontal="center" vertical="top" wrapText="1"/>
    </xf>
    <xf numFmtId="0" fontId="48" fillId="0" borderId="45" xfId="0" applyFont="1" applyBorder="1" applyAlignment="1">
      <alignment horizontal="center" vertical="top" wrapText="1"/>
    </xf>
    <xf numFmtId="0" fontId="48" fillId="0" borderId="46" xfId="0" applyFont="1" applyBorder="1" applyAlignment="1">
      <alignment horizontal="center" vertical="top" wrapText="1"/>
    </xf>
    <xf numFmtId="0" fontId="48" fillId="0" borderId="36" xfId="0" applyFont="1" applyBorder="1" applyAlignment="1">
      <alignment horizontal="center" vertical="top" wrapText="1"/>
    </xf>
    <xf numFmtId="0" fontId="48" fillId="0" borderId="45" xfId="0" applyFont="1" applyBorder="1" applyAlignment="1">
      <alignment vertical="top" wrapText="1"/>
    </xf>
    <xf numFmtId="0" fontId="48" fillId="0" borderId="46" xfId="0" applyFont="1" applyBorder="1" applyAlignment="1">
      <alignment vertical="top" wrapText="1"/>
    </xf>
    <xf numFmtId="0" fontId="48" fillId="0" borderId="48" xfId="0" applyFont="1" applyBorder="1" applyAlignment="1">
      <alignment vertical="top" wrapText="1"/>
    </xf>
    <xf numFmtId="0" fontId="6" fillId="0" borderId="45" xfId="0" applyFont="1" applyBorder="1" applyAlignment="1">
      <alignment horizontal="center" vertical="top" wrapText="1"/>
    </xf>
    <xf numFmtId="0" fontId="6" fillId="0" borderId="46" xfId="0" applyFont="1" applyBorder="1" applyAlignment="1">
      <alignment horizontal="center" vertical="top" wrapText="1"/>
    </xf>
    <xf numFmtId="0" fontId="6" fillId="0" borderId="5" xfId="0" applyFont="1" applyBorder="1" applyAlignment="1">
      <alignment horizontal="left" vertical="top" wrapText="1"/>
    </xf>
    <xf numFmtId="0" fontId="24" fillId="0" borderId="0" xfId="2" applyFont="1" applyAlignment="1">
      <alignment horizontal="center" vertical="top"/>
    </xf>
  </cellXfs>
  <cellStyles count="11">
    <cellStyle name="Comma" xfId="1" builtinId="3"/>
    <cellStyle name="Comma 2" xfId="10" xr:uid="{D7B231EC-672B-4368-8059-BA320353703F}"/>
    <cellStyle name="Currency" xfId="7" builtinId="4"/>
    <cellStyle name="Normal" xfId="0" builtinId="0"/>
    <cellStyle name="Normal 2" xfId="4" xr:uid="{00000000-0005-0000-0000-000002000000}"/>
    <cellStyle name="Normal 2 2" xfId="6" xr:uid="{A4A51A68-C48F-49A0-AF6C-5F5C7DBA2DBD}"/>
    <cellStyle name="Normal 2 3" xfId="9" xr:uid="{E239D65B-992B-4FF0-88B3-4AD704051C91}"/>
    <cellStyle name="Normal 3" xfId="8" xr:uid="{CB1562C5-79C9-41F3-9158-CE4D1F28AE41}"/>
    <cellStyle name="Normal 5" xfId="2" xr:uid="{00000000-0005-0000-0000-000003000000}"/>
    <cellStyle name="Normal_FLQuickRefGuide_4.27.09" xfId="3" xr:uid="{00000000-0005-0000-0000-000004000000}"/>
    <cellStyle name="Percent" xfId="5" builtinId="5"/>
  </cellStyles>
  <dxfs count="64">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numFmt numFmtId="19" formatCode="m/d/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numFmt numFmtId="19" formatCode="m/d/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right/>
        <top/>
        <bottom/>
      </border>
      <protection locked="1" hidden="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bottom/>
        <vertical style="thin">
          <color indexed="64"/>
        </vertical>
        <horizontal style="thin">
          <color indexed="64"/>
        </horizontal>
      </border>
    </dxf>
    <dxf>
      <border diagonalUp="0" diagonalDown="0">
        <left style="medium">
          <color indexed="64"/>
        </left>
        <right style="medium">
          <color indexed="64"/>
        </right>
        <top style="medium">
          <color indexed="64"/>
        </top>
        <bottom style="medium">
          <color indexed="64"/>
        </bottom>
      </border>
    </dxf>
    <dxf>
      <font>
        <strike val="0"/>
        <outline val="0"/>
        <shadow val="0"/>
        <u val="none"/>
        <sz val="12"/>
        <name val="Times New Roman"/>
        <family val="1"/>
        <scheme val="none"/>
      </font>
    </dxf>
    <dxf>
      <border>
        <bottom style="thin">
          <color indexed="64"/>
        </bottom>
      </border>
    </dxf>
    <dxf>
      <font>
        <b/>
        <i val="0"/>
        <strike val="0"/>
        <condense val="0"/>
        <extend val="0"/>
        <outline val="0"/>
        <shadow val="0"/>
        <u val="none"/>
        <vertAlign val="baseline"/>
        <sz val="12"/>
        <color auto="1"/>
        <name val="Times New Roman"/>
        <scheme val="none"/>
      </font>
      <numFmt numFmtId="1" formatCode="0"/>
      <fill>
        <patternFill patternType="solid">
          <fgColor indexed="64"/>
          <bgColor theme="0" tint="-0.249977111117893"/>
        </patternFill>
      </fill>
      <alignment horizontal="left" vertical="bottom"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condense val="0"/>
        <extend val="0"/>
        <color indexed="9"/>
      </font>
    </dxf>
  </dxfs>
  <tableStyles count="0" defaultTableStyle="TableStyleMedium2"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EFF859-0EF7-40D8-9404-07760A6BFE0C}" name="Table_Facility_List_Staging_8_26_2013.accdb_1143" displayName="Table_Facility_List_Staging_8_26_2013.accdb_1143" ref="A7:AD129" headerRowDxfId="62" dataDxfId="60" totalsRowDxfId="58" headerRowBorderDxfId="61" tableBorderDxfId="59">
  <autoFilter ref="A7:AD129" xr:uid="{1E9B972B-205E-4BF9-BE01-16D9AC41883A}"/>
  <sortState xmlns:xlrd2="http://schemas.microsoft.com/office/spreadsheetml/2017/richdata2" ref="A8:AD128">
    <sortCondition ref="X7:X128"/>
  </sortState>
  <tableColumns count="30">
    <tableColumn id="2" xr3:uid="{8263B50F-60BB-428E-BB3A-E92E24006903}" name="Name" dataDxfId="57" totalsRowDxfId="56"/>
    <tableColumn id="3" xr3:uid="{1464FA66-47CC-446E-9B7B-C5C07D983AC8}" name="Address" dataDxfId="55" totalsRowDxfId="54"/>
    <tableColumn id="4" xr3:uid="{26875EB2-AD79-43CF-80A4-4D2315FFBCA5}" name="City" dataDxfId="53" totalsRowDxfId="52"/>
    <tableColumn id="6" xr3:uid="{6EF792FF-351E-4953-ACEE-01919355FBEB}" name="State" dataDxfId="51"/>
    <tableColumn id="7" xr3:uid="{54DBCE79-7E7E-4243-B248-0EA46D5A9090}" name="Zip" dataDxfId="50" totalsRowDxfId="49"/>
    <tableColumn id="9" xr3:uid="{48F7808C-8E02-43F8-8C50-0432D2C2EF2D}" name="AOR" dataDxfId="48" totalsRowDxfId="47"/>
    <tableColumn id="12" xr3:uid="{EB6D5346-A7FF-47AE-8A15-33B10FC8BAAD}" name="Type Detailed" dataDxfId="46" totalsRowDxfId="45"/>
    <tableColumn id="81" xr3:uid="{675E0654-9AC6-4B0F-91C5-0574655B8955}" name="Male/Female" dataDxfId="44" totalsRowDxfId="43"/>
    <tableColumn id="43" xr3:uid="{2E58BFD2-907F-4D2C-A0E2-4F48AA87B598}" name="FY23 ALOS" dataDxfId="42" totalsRowDxfId="41"/>
    <tableColumn id="67" xr3:uid="{82EA5789-D913-49C4-8889-0E4EB18BA481}" name="Level A" dataDxfId="40" totalsRowDxfId="39"/>
    <tableColumn id="68" xr3:uid="{F9DCA472-6985-47B2-BE4E-7929A61360D4}" name="Level B" dataDxfId="38" totalsRowDxfId="37"/>
    <tableColumn id="69" xr3:uid="{3A20C088-94AB-44C3-9C2E-7DFEB096B19A}" name="Level C" dataDxfId="36" totalsRowDxfId="35"/>
    <tableColumn id="70" xr3:uid="{23150F69-7A2B-4117-8312-6EA4D72C5D16}" name="Level D" dataDxfId="34" totalsRowDxfId="33"/>
    <tableColumn id="71" xr3:uid="{F4BC31E5-A6B7-458E-A839-C2579AADC699}" name="Male Crim" dataDxfId="32" totalsRowDxfId="31"/>
    <tableColumn id="72" xr3:uid="{F156BC69-71F7-4D30-A0BE-C677B2BCEB49}" name="Male Non-Crim" dataDxfId="30" totalsRowDxfId="29"/>
    <tableColumn id="73" xr3:uid="{554B91BE-8B9D-4FD1-9D14-617F5FB046B1}" name="Female Crim" dataDxfId="28" totalsRowDxfId="27"/>
    <tableColumn id="74" xr3:uid="{EC3FFB51-6012-4B29-BA2C-A6D22E58C6AB}" name="Female Non-Crim" dataDxfId="26" totalsRowDxfId="25"/>
    <tableColumn id="75" xr3:uid="{C53BCE72-22BB-4920-8FE1-13708F8323B6}" name="ICE Threat Level 1" dataDxfId="24" totalsRowDxfId="23"/>
    <tableColumn id="76" xr3:uid="{C97F3862-20C6-4922-BCE8-C327521CA639}" name="ICE Threat Level 2" dataDxfId="22" totalsRowDxfId="21"/>
    <tableColumn id="77" xr3:uid="{58B3996B-E7C4-48D6-BFEC-46FE2AA5FD71}" name="ICE Threat Level 3" dataDxfId="20" totalsRowDxfId="19"/>
    <tableColumn id="78" xr3:uid="{9ED48E00-2A47-45C2-8DC4-EEA5F61CF5B7}" name="No ICE Threat Level" dataDxfId="18" totalsRowDxfId="17"/>
    <tableColumn id="79" xr3:uid="{B8CDF243-DFF3-4111-8D2F-C2C7934D012E}" name="Mandatory" dataDxfId="16" totalsRowDxfId="15"/>
    <tableColumn id="86" xr3:uid="{D16E5110-6950-40DD-8EB5-FFD7F3CD91E6}" name="Guaranteed Minimum" dataDxfId="14" totalsRowDxfId="13"/>
    <tableColumn id="124" xr3:uid="{774BE5F1-55B7-42A4-8CCE-181BA46E1E6A}" name="Last Inspection Type" dataDxfId="12" totalsRowDxfId="11"/>
    <tableColumn id="129" xr3:uid="{B66572BB-07D4-49E0-B5CB-2CB8DE074DCF}" name="Last Inspection Standard" dataDxfId="10" totalsRowDxfId="9"/>
    <tableColumn id="93" xr3:uid="{1D133D5C-30AA-421B-B1CC-72B3679494AC}" name="Last Inspection Rating - Final" dataDxfId="8"/>
    <tableColumn id="95" xr3:uid="{0E20B214-1D3C-4DEE-90AB-EC48A191B4C3}" name="Last Inspection Date" dataDxfId="7" totalsRowDxfId="6"/>
    <tableColumn id="125" xr3:uid="{AA067C94-53B6-463A-9F4D-9833406B1322}" name="Second to Last Inspection Type" dataDxfId="5" totalsRowDxfId="4"/>
    <tableColumn id="131" xr3:uid="{AC2A77AD-3C6E-42BF-A1DC-A3D872A34B03}" name="Second to Last Inspection Standard" dataDxfId="3" totalsRowDxfId="2"/>
    <tableColumn id="97" xr3:uid="{0DF9A6AC-AEC0-4AC2-8D96-67B6115A3E71}" name="Second to Last Inspection Date" dataDxfId="1" totalsRow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zoomScale="80" zoomScaleNormal="80" workbookViewId="0"/>
  </sheetViews>
  <sheetFormatPr defaultColWidth="0" defaultRowHeight="14.4" zeroHeight="1" x14ac:dyDescent="0.3"/>
  <cols>
    <col min="1" max="1" width="110.44140625" customWidth="1"/>
    <col min="2" max="16384" width="8.77734375" hidden="1"/>
  </cols>
  <sheetData>
    <row r="1" spans="1:1" ht="119.1" customHeight="1" x14ac:dyDescent="0.3">
      <c r="A1" s="17" t="s">
        <v>512</v>
      </c>
    </row>
    <row r="2" spans="1:1" ht="51.75" customHeight="1" x14ac:dyDescent="0.3">
      <c r="A2" s="16" t="s">
        <v>568</v>
      </c>
    </row>
    <row r="3" spans="1:1" ht="76.349999999999994" customHeight="1" x14ac:dyDescent="0.3">
      <c r="A3" s="16" t="s">
        <v>546</v>
      </c>
    </row>
    <row r="4" spans="1:1" ht="22.5" customHeight="1" x14ac:dyDescent="0.3">
      <c r="A4" s="16" t="s">
        <v>511</v>
      </c>
    </row>
    <row r="5" spans="1:1" ht="36.75" customHeight="1" x14ac:dyDescent="0.3">
      <c r="A5" s="16" t="s">
        <v>484</v>
      </c>
    </row>
    <row r="6" spans="1:1" x14ac:dyDescent="0.3"/>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1:BD155"/>
  <sheetViews>
    <sheetView zoomScaleNormal="100" workbookViewId="0">
      <selection activeCell="D14" sqref="D14"/>
    </sheetView>
  </sheetViews>
  <sheetFormatPr defaultRowHeight="15.6" x14ac:dyDescent="0.3"/>
  <cols>
    <col min="1" max="1" width="21.21875" customWidth="1"/>
    <col min="2" max="2" width="13.77734375" customWidth="1"/>
    <col min="3" max="3" width="18.21875" bestFit="1" customWidth="1"/>
    <col min="4" max="4" width="22.21875" style="1" customWidth="1"/>
    <col min="5" max="9" width="19.5546875" style="1" customWidth="1"/>
    <col min="10" max="10" width="15" style="1" customWidth="1"/>
    <col min="11" max="12" width="9.21875" style="1"/>
    <col min="13" max="13" width="8.77734375" style="11"/>
    <col min="14" max="16" width="9.21875" style="1"/>
  </cols>
  <sheetData>
    <row r="1" spans="1:56" s="2" customFormat="1" ht="38.549999999999997" customHeight="1" x14ac:dyDescent="0.3">
      <c r="A1" s="370" t="s">
        <v>44</v>
      </c>
      <c r="B1" s="370"/>
      <c r="C1" s="370"/>
      <c r="D1" s="370"/>
      <c r="E1" s="11"/>
      <c r="F1" s="11"/>
      <c r="G1" s="11"/>
      <c r="H1" s="11"/>
      <c r="I1" s="11"/>
      <c r="J1" s="11"/>
      <c r="K1" s="11"/>
      <c r="L1" s="11"/>
      <c r="M1" s="11"/>
      <c r="N1" s="11"/>
      <c r="O1" s="11"/>
      <c r="P1" s="11"/>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row>
    <row r="2" spans="1:56" s="2" customFormat="1" ht="15.6" customHeight="1" x14ac:dyDescent="0.3">
      <c r="A2" s="373" t="s">
        <v>568</v>
      </c>
      <c r="B2" s="373"/>
      <c r="C2" s="373"/>
      <c r="D2" s="373"/>
      <c r="E2" s="11"/>
      <c r="F2" s="11"/>
      <c r="G2" s="11"/>
      <c r="H2" s="11"/>
      <c r="I2" s="11"/>
      <c r="J2" s="11"/>
      <c r="K2" s="11"/>
      <c r="L2" s="11"/>
      <c r="M2" s="11"/>
      <c r="N2" s="11"/>
      <c r="O2" s="11"/>
      <c r="P2" s="11"/>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row>
    <row r="3" spans="1:56" s="2" customFormat="1" x14ac:dyDescent="0.3">
      <c r="A3" s="373"/>
      <c r="B3" s="373"/>
      <c r="C3" s="373"/>
      <c r="D3" s="373"/>
      <c r="E3" s="11"/>
      <c r="F3" s="11"/>
      <c r="G3" s="34"/>
      <c r="H3" s="11"/>
      <c r="I3" s="11"/>
      <c r="J3" s="11"/>
      <c r="K3" s="11"/>
      <c r="L3" s="11"/>
      <c r="M3" s="11"/>
      <c r="N3" s="11"/>
      <c r="O3" s="11"/>
      <c r="P3" s="11"/>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row>
    <row r="4" spans="1:56" ht="25.8" x14ac:dyDescent="0.3">
      <c r="A4" s="369" t="s">
        <v>561</v>
      </c>
      <c r="B4" s="369"/>
      <c r="C4" s="369"/>
      <c r="D4" s="369"/>
      <c r="E4" s="19"/>
      <c r="F4" s="19"/>
      <c r="G4" s="19"/>
      <c r="H4" s="19"/>
      <c r="I4" s="19"/>
      <c r="J4" s="11"/>
      <c r="K4" s="11"/>
      <c r="L4" s="11"/>
      <c r="N4" s="11"/>
      <c r="O4" s="11"/>
      <c r="P4" s="11"/>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row>
    <row r="5" spans="1:56" ht="25.8" x14ac:dyDescent="0.3">
      <c r="A5" s="33"/>
      <c r="B5" s="33"/>
      <c r="C5" s="33"/>
      <c r="D5" s="35"/>
      <c r="E5" s="19"/>
      <c r="F5" s="19"/>
      <c r="G5" s="19"/>
      <c r="H5" s="19"/>
      <c r="I5" s="19"/>
      <c r="J5" s="11"/>
      <c r="K5" s="11"/>
      <c r="L5" s="11"/>
      <c r="N5" s="11"/>
      <c r="O5" s="11"/>
      <c r="P5" s="11"/>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row>
    <row r="6" spans="1:56" x14ac:dyDescent="0.3">
      <c r="A6" s="32"/>
      <c r="B6" s="32"/>
      <c r="C6" s="32"/>
      <c r="D6" s="11"/>
      <c r="E6" s="11"/>
      <c r="F6" s="11"/>
      <c r="G6" s="11"/>
      <c r="H6" s="11"/>
      <c r="I6" s="11"/>
      <c r="J6" s="11"/>
      <c r="K6" s="11"/>
      <c r="L6" s="11"/>
      <c r="N6" s="11"/>
      <c r="O6" s="11"/>
      <c r="P6" s="11"/>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row>
    <row r="7" spans="1:56" ht="29.55" customHeight="1" x14ac:dyDescent="0.3">
      <c r="A7" s="371" t="s">
        <v>550</v>
      </c>
      <c r="B7" s="371"/>
      <c r="C7" s="371"/>
      <c r="D7" s="36"/>
      <c r="E7" s="11"/>
      <c r="F7" s="11"/>
      <c r="G7" s="11"/>
      <c r="H7" s="11"/>
      <c r="I7" s="11"/>
      <c r="J7" s="11"/>
      <c r="K7" s="11"/>
      <c r="L7" s="11"/>
      <c r="N7" s="11"/>
      <c r="O7" s="11"/>
      <c r="P7" s="11"/>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row>
    <row r="8" spans="1:56" x14ac:dyDescent="0.3">
      <c r="A8" s="28" t="s">
        <v>548</v>
      </c>
      <c r="B8" s="28" t="s">
        <v>486</v>
      </c>
      <c r="C8" s="28" t="s">
        <v>549</v>
      </c>
      <c r="D8" s="11"/>
      <c r="E8" s="11"/>
      <c r="F8" s="57" t="s">
        <v>563</v>
      </c>
      <c r="G8" s="57"/>
      <c r="H8" s="57"/>
      <c r="I8" s="11"/>
      <c r="J8" s="11"/>
      <c r="K8" s="11"/>
      <c r="L8" s="11"/>
      <c r="N8" s="11"/>
      <c r="O8" s="11"/>
      <c r="P8" s="11"/>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row>
    <row r="9" spans="1:56" x14ac:dyDescent="0.3">
      <c r="A9" s="12" t="s">
        <v>71</v>
      </c>
      <c r="B9" s="48">
        <v>56805</v>
      </c>
      <c r="C9" s="48">
        <v>155645.70000002586</v>
      </c>
      <c r="D9" s="11"/>
      <c r="E9" s="11"/>
      <c r="F9" s="58" t="s">
        <v>554</v>
      </c>
      <c r="G9" s="58" t="s">
        <v>486</v>
      </c>
      <c r="H9" s="58" t="s">
        <v>555</v>
      </c>
      <c r="I9" s="11"/>
      <c r="J9" s="11"/>
      <c r="K9" s="11"/>
      <c r="L9" s="11"/>
      <c r="N9" s="11"/>
      <c r="O9" s="11"/>
      <c r="P9" s="11"/>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row>
    <row r="10" spans="1:56" x14ac:dyDescent="0.3">
      <c r="A10" s="12" t="s">
        <v>488</v>
      </c>
      <c r="B10" s="14">
        <v>268755</v>
      </c>
      <c r="C10" s="30">
        <v>258004.79999930775</v>
      </c>
      <c r="D10" s="11"/>
      <c r="E10" s="11"/>
      <c r="F10" s="65" t="s">
        <v>556</v>
      </c>
      <c r="G10" s="50">
        <v>5495</v>
      </c>
      <c r="H10" s="51">
        <v>0.99457013574660635</v>
      </c>
      <c r="I10" s="11"/>
      <c r="J10" s="11"/>
      <c r="K10" s="11"/>
      <c r="L10" s="11"/>
      <c r="N10" s="11"/>
      <c r="O10" s="11"/>
      <c r="P10" s="11"/>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row>
    <row r="11" spans="1:56" x14ac:dyDescent="0.3">
      <c r="A11" s="12" t="s">
        <v>552</v>
      </c>
      <c r="B11" s="14">
        <v>17212</v>
      </c>
      <c r="C11" s="30">
        <v>3098.1599999992818</v>
      </c>
      <c r="D11" s="11"/>
      <c r="E11" s="11"/>
      <c r="F11" s="68" t="s">
        <v>557</v>
      </c>
      <c r="G11" s="69">
        <v>30</v>
      </c>
      <c r="H11" s="70">
        <v>5.4298642533936649E-3</v>
      </c>
      <c r="I11" s="11"/>
      <c r="J11" s="11"/>
      <c r="K11" s="11"/>
      <c r="L11" s="11"/>
      <c r="N11" s="11"/>
      <c r="O11" s="11"/>
      <c r="P11" s="11"/>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row>
    <row r="12" spans="1:56" x14ac:dyDescent="0.3">
      <c r="A12" s="12" t="s">
        <v>551</v>
      </c>
      <c r="B12" s="14">
        <v>266</v>
      </c>
      <c r="C12" s="30">
        <v>0</v>
      </c>
      <c r="D12" s="36"/>
      <c r="E12" s="11"/>
      <c r="F12" s="65" t="s">
        <v>0</v>
      </c>
      <c r="G12" s="49">
        <v>5525</v>
      </c>
      <c r="H12" s="59">
        <v>1</v>
      </c>
      <c r="I12" s="11"/>
      <c r="J12" s="11"/>
      <c r="K12" s="11"/>
      <c r="L12" s="11"/>
      <c r="N12" s="11"/>
      <c r="O12" s="11"/>
      <c r="P12" s="11"/>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row>
    <row r="13" spans="1:56" x14ac:dyDescent="0.3">
      <c r="A13" s="13" t="s">
        <v>0</v>
      </c>
      <c r="B13" s="15">
        <v>343038</v>
      </c>
      <c r="C13" s="31">
        <v>416748.66000230866</v>
      </c>
      <c r="D13" s="11"/>
      <c r="E13" s="11"/>
      <c r="F13" s="60" t="s">
        <v>559</v>
      </c>
      <c r="G13" s="60"/>
      <c r="H13" s="60"/>
      <c r="I13" s="11"/>
      <c r="J13" s="11"/>
      <c r="K13" s="11"/>
      <c r="L13" s="11"/>
      <c r="N13" s="11"/>
      <c r="O13" s="11"/>
      <c r="P13" s="11"/>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row>
    <row r="14" spans="1:56" x14ac:dyDescent="0.3">
      <c r="A14" s="372" t="s">
        <v>565</v>
      </c>
      <c r="B14" s="372"/>
      <c r="C14" s="372"/>
      <c r="D14" s="11"/>
      <c r="E14" s="11"/>
      <c r="F14" s="37"/>
      <c r="G14" s="37"/>
      <c r="H14" s="37"/>
      <c r="I14" s="11"/>
      <c r="J14" s="11"/>
      <c r="K14" s="11"/>
      <c r="L14" s="11"/>
      <c r="N14" s="11"/>
      <c r="O14" s="11"/>
      <c r="P14" s="11"/>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row>
    <row r="15" spans="1:56" x14ac:dyDescent="0.3">
      <c r="A15" s="29"/>
      <c r="B15" s="29"/>
      <c r="C15" s="29"/>
      <c r="D15" s="11"/>
      <c r="E15" s="11"/>
      <c r="F15" s="57" t="s">
        <v>564</v>
      </c>
      <c r="G15" s="62"/>
      <c r="H15" s="62"/>
      <c r="I15" s="11"/>
      <c r="J15" s="11"/>
      <c r="K15" s="11"/>
      <c r="L15" s="11"/>
      <c r="N15" s="11"/>
      <c r="O15" s="11"/>
      <c r="P15" s="11"/>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row>
    <row r="16" spans="1:56" ht="43.5" customHeight="1" x14ac:dyDescent="0.3">
      <c r="A16" s="371" t="s">
        <v>562</v>
      </c>
      <c r="B16" s="371"/>
      <c r="C16" s="371"/>
      <c r="D16" s="11"/>
      <c r="E16" s="11"/>
      <c r="F16" s="58" t="s">
        <v>554</v>
      </c>
      <c r="G16" s="63" t="s">
        <v>486</v>
      </c>
      <c r="H16" s="63" t="s">
        <v>555</v>
      </c>
      <c r="I16" s="11"/>
      <c r="J16" s="11"/>
      <c r="K16" s="11"/>
      <c r="L16" s="11"/>
      <c r="N16" s="11"/>
      <c r="O16" s="11"/>
      <c r="P16" s="11"/>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row>
    <row r="17" spans="1:56" x14ac:dyDescent="0.3">
      <c r="A17" s="28" t="s">
        <v>485</v>
      </c>
      <c r="B17" s="28" t="s">
        <v>486</v>
      </c>
      <c r="C17" s="28" t="s">
        <v>48</v>
      </c>
      <c r="D17" s="11"/>
      <c r="E17" s="11"/>
      <c r="F17" s="61" t="s">
        <v>556</v>
      </c>
      <c r="G17" s="55">
        <v>658</v>
      </c>
      <c r="H17" s="51">
        <v>0.95639534883720934</v>
      </c>
      <c r="I17" s="11"/>
      <c r="J17" s="11"/>
      <c r="K17" s="11"/>
      <c r="L17" s="11"/>
      <c r="N17" s="11"/>
      <c r="O17" s="11"/>
      <c r="P17" s="11"/>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row>
    <row r="18" spans="1:56" x14ac:dyDescent="0.3">
      <c r="A18" s="12" t="s">
        <v>487</v>
      </c>
      <c r="B18" s="14">
        <v>81736</v>
      </c>
      <c r="C18" s="26">
        <v>653.47220319076052</v>
      </c>
      <c r="D18" s="11"/>
      <c r="E18" s="11"/>
      <c r="F18" s="61" t="s">
        <v>557</v>
      </c>
      <c r="G18" s="55">
        <v>30</v>
      </c>
      <c r="H18" s="51">
        <v>4.3604651162790699E-2</v>
      </c>
      <c r="I18" s="11"/>
      <c r="J18" s="11"/>
      <c r="K18" s="11"/>
      <c r="L18" s="11"/>
      <c r="N18" s="11"/>
      <c r="O18" s="11"/>
      <c r="P18" s="11"/>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row>
    <row r="19" spans="1:56" x14ac:dyDescent="0.3">
      <c r="A19" s="12" t="s">
        <v>514</v>
      </c>
      <c r="B19" s="14">
        <v>356</v>
      </c>
      <c r="C19" s="26">
        <v>1085.7134831460673</v>
      </c>
      <c r="D19" s="11"/>
      <c r="E19" s="11"/>
      <c r="F19" s="66" t="s">
        <v>0</v>
      </c>
      <c r="G19" s="52">
        <v>688</v>
      </c>
      <c r="H19" s="53">
        <v>1</v>
      </c>
      <c r="I19" s="11"/>
      <c r="J19" s="11"/>
      <c r="K19" s="11"/>
      <c r="L19" s="11"/>
      <c r="N19" s="11"/>
      <c r="O19" s="11"/>
      <c r="P19" s="11"/>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row>
    <row r="20" spans="1:56" x14ac:dyDescent="0.3">
      <c r="A20" s="12" t="s">
        <v>513</v>
      </c>
      <c r="B20" s="14">
        <v>260677</v>
      </c>
      <c r="C20" s="26">
        <v>241.87952907237693</v>
      </c>
      <c r="D20" s="11"/>
      <c r="E20" s="11"/>
      <c r="F20" s="60" t="s">
        <v>558</v>
      </c>
      <c r="G20" s="64"/>
      <c r="H20" s="64"/>
      <c r="I20" s="11"/>
      <c r="J20" s="11"/>
      <c r="K20" s="11"/>
      <c r="L20" s="11"/>
      <c r="N20" s="11"/>
      <c r="O20" s="11"/>
      <c r="P20" s="11"/>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row>
    <row r="21" spans="1:56" x14ac:dyDescent="0.3">
      <c r="A21" s="12" t="s">
        <v>515</v>
      </c>
      <c r="B21" s="14">
        <v>269</v>
      </c>
      <c r="C21" s="26">
        <v>1002.9776951672862</v>
      </c>
      <c r="D21" s="11"/>
      <c r="E21" s="11"/>
      <c r="F21" s="60" t="s">
        <v>559</v>
      </c>
      <c r="G21" s="54"/>
      <c r="H21" s="54"/>
      <c r="I21" s="11"/>
      <c r="J21" s="11"/>
      <c r="K21" s="11"/>
      <c r="L21" s="11"/>
      <c r="N21" s="11"/>
      <c r="O21" s="11"/>
      <c r="P21" s="11"/>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row>
    <row r="22" spans="1:56" x14ac:dyDescent="0.3">
      <c r="A22" s="13" t="s">
        <v>0</v>
      </c>
      <c r="B22" s="15">
        <v>343038</v>
      </c>
      <c r="C22" s="27">
        <v>341.42266745958176</v>
      </c>
      <c r="D22" s="11"/>
      <c r="E22" s="11"/>
      <c r="F22" s="56"/>
      <c r="G22" s="56"/>
      <c r="H22" s="11"/>
      <c r="I22" s="11"/>
      <c r="J22" s="11"/>
      <c r="K22" s="11"/>
      <c r="L22" s="11"/>
      <c r="N22" s="11"/>
      <c r="O22" s="11"/>
      <c r="P22" s="11"/>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row>
    <row r="23" spans="1:56" x14ac:dyDescent="0.3">
      <c r="A23" s="372" t="s">
        <v>565</v>
      </c>
      <c r="B23" s="372"/>
      <c r="C23" s="372"/>
      <c r="D23" s="11"/>
      <c r="E23" s="11"/>
      <c r="F23"/>
      <c r="G23"/>
      <c r="H23"/>
      <c r="I23" s="11"/>
      <c r="J23" s="11"/>
      <c r="K23" s="11"/>
      <c r="L23" s="11"/>
      <c r="N23" s="11"/>
      <c r="O23" s="11"/>
      <c r="P23" s="11"/>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row>
    <row r="24" spans="1:56" x14ac:dyDescent="0.3">
      <c r="A24" s="372" t="s">
        <v>567</v>
      </c>
      <c r="B24" s="372"/>
      <c r="C24" s="372"/>
      <c r="D24" s="11"/>
      <c r="E24" s="11"/>
      <c r="F24" s="11"/>
      <c r="G24" s="11"/>
      <c r="H24" s="11"/>
      <c r="I24"/>
      <c r="J24" s="11"/>
      <c r="K24" s="11"/>
      <c r="L24" s="11"/>
      <c r="N24" s="11"/>
      <c r="O24" s="11"/>
      <c r="P24" s="11"/>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row>
    <row r="25" spans="1:56" x14ac:dyDescent="0.3">
      <c r="A25" s="368"/>
      <c r="B25" s="368"/>
      <c r="C25" s="368"/>
      <c r="D25" s="11"/>
      <c r="E25" s="11"/>
      <c r="F25" s="11"/>
      <c r="G25" s="11"/>
      <c r="H25" s="11"/>
      <c r="I25" s="11"/>
      <c r="J25" s="11"/>
      <c r="K25" s="11"/>
      <c r="L25" s="11"/>
      <c r="N25" s="11"/>
      <c r="O25" s="11"/>
      <c r="P25" s="11"/>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row>
    <row r="26" spans="1:56" x14ac:dyDescent="0.3">
      <c r="A26" s="368"/>
      <c r="B26" s="368"/>
      <c r="C26" s="368"/>
      <c r="D26" s="11"/>
      <c r="E26" s="11"/>
      <c r="F26" s="11"/>
      <c r="G26" s="11"/>
      <c r="H26" s="11"/>
      <c r="I26" s="11"/>
      <c r="J26" s="11"/>
      <c r="K26" s="11"/>
      <c r="L26" s="11"/>
      <c r="N26" s="11"/>
      <c r="O26" s="11"/>
      <c r="P26" s="11"/>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row>
    <row r="27" spans="1:56" ht="28.5" customHeight="1" thickBot="1" x14ac:dyDescent="0.35">
      <c r="A27" s="368" t="s">
        <v>566</v>
      </c>
      <c r="B27" s="368"/>
      <c r="C27" s="368"/>
      <c r="D27" s="11"/>
      <c r="E27" s="11"/>
      <c r="F27" s="11"/>
      <c r="G27" s="11"/>
      <c r="H27" s="11"/>
      <c r="I27" s="11"/>
      <c r="J27" s="11"/>
      <c r="K27" s="11"/>
      <c r="L27" s="11"/>
      <c r="N27" s="11"/>
      <c r="O27" s="11"/>
      <c r="P27" s="11"/>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row>
    <row r="28" spans="1:56" ht="31.8" thickBot="1" x14ac:dyDescent="0.35">
      <c r="A28" s="38" t="s">
        <v>517</v>
      </c>
      <c r="B28" s="38" t="s">
        <v>486</v>
      </c>
      <c r="C28" s="38" t="s">
        <v>518</v>
      </c>
      <c r="D28" s="11"/>
      <c r="E28" s="11"/>
      <c r="F28" s="11"/>
      <c r="G28" s="11"/>
      <c r="H28" s="11"/>
      <c r="I28" s="11"/>
      <c r="J28" s="11"/>
      <c r="K28" s="11"/>
      <c r="L28" s="11"/>
      <c r="N28" s="11"/>
      <c r="O28" s="11"/>
      <c r="P28" s="11"/>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row>
    <row r="29" spans="1:56" ht="16.2" thickBot="1" x14ac:dyDescent="0.35">
      <c r="A29" s="39" t="s">
        <v>0</v>
      </c>
      <c r="B29" s="40">
        <v>343038</v>
      </c>
      <c r="C29" s="41">
        <v>341.42266745958176</v>
      </c>
      <c r="D29" s="11"/>
      <c r="E29" s="11"/>
      <c r="F29" s="11"/>
      <c r="G29" s="11"/>
      <c r="H29" s="11"/>
      <c r="I29" s="11"/>
      <c r="J29" s="11"/>
      <c r="K29" s="11"/>
      <c r="L29" s="11"/>
      <c r="N29" s="11"/>
      <c r="O29" s="11"/>
      <c r="P29" s="11"/>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row>
    <row r="30" spans="1:56" ht="16.2" thickBot="1" x14ac:dyDescent="0.35">
      <c r="A30" s="45" t="s">
        <v>489</v>
      </c>
      <c r="B30" s="46">
        <v>4928</v>
      </c>
      <c r="C30" s="47">
        <v>562.50081168831173</v>
      </c>
      <c r="D30" s="11"/>
      <c r="E30" s="11"/>
      <c r="F30" s="11"/>
      <c r="G30" s="11"/>
      <c r="H30" s="11"/>
      <c r="I30" s="11"/>
      <c r="J30" s="11"/>
      <c r="K30" s="11"/>
      <c r="L30" s="11"/>
      <c r="N30" s="11"/>
      <c r="O30" s="11"/>
      <c r="P30" s="11"/>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row>
    <row r="31" spans="1:56" ht="16.2" thickBot="1" x14ac:dyDescent="0.35">
      <c r="A31" s="42" t="s">
        <v>71</v>
      </c>
      <c r="B31" s="43">
        <v>324</v>
      </c>
      <c r="C31" s="44">
        <v>521.80246913580243</v>
      </c>
      <c r="D31" s="11"/>
      <c r="E31" s="11"/>
      <c r="F31" s="11"/>
      <c r="G31" s="11"/>
      <c r="H31" s="11"/>
      <c r="I31" s="11"/>
      <c r="J31" s="11"/>
      <c r="K31" s="11"/>
      <c r="L31" s="11"/>
      <c r="N31" s="11"/>
      <c r="O31" s="11"/>
      <c r="P31" s="11"/>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row>
    <row r="32" spans="1:56" ht="16.2" thickBot="1" x14ac:dyDescent="0.35">
      <c r="A32" s="42" t="s">
        <v>488</v>
      </c>
      <c r="B32" s="43">
        <v>4154</v>
      </c>
      <c r="C32" s="44">
        <v>439.52383245064999</v>
      </c>
      <c r="D32" s="11"/>
      <c r="E32" s="11"/>
      <c r="F32" s="11"/>
      <c r="G32" s="11"/>
      <c r="H32" s="11"/>
      <c r="I32" s="11"/>
      <c r="J32" s="11"/>
      <c r="K32" s="11"/>
      <c r="L32" s="11"/>
      <c r="N32" s="11"/>
      <c r="O32" s="11"/>
      <c r="P32" s="11"/>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row>
    <row r="33" spans="1:56" ht="16.2" thickBot="1" x14ac:dyDescent="0.35">
      <c r="A33" s="42" t="s">
        <v>21</v>
      </c>
      <c r="B33" s="43">
        <v>450</v>
      </c>
      <c r="C33" s="44">
        <v>1727.0177777777778</v>
      </c>
      <c r="D33" s="11"/>
      <c r="E33" s="11"/>
      <c r="F33" s="11"/>
      <c r="G33" s="11"/>
      <c r="H33" s="11"/>
      <c r="I33" s="11"/>
      <c r="J33" s="11"/>
      <c r="K33" s="11"/>
      <c r="L33" s="11"/>
      <c r="N33" s="11"/>
      <c r="O33" s="11"/>
      <c r="P33" s="11"/>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row>
    <row r="34" spans="1:56" ht="16.2" thickBot="1" x14ac:dyDescent="0.35">
      <c r="A34" s="45" t="s">
        <v>490</v>
      </c>
      <c r="B34" s="46">
        <v>3493</v>
      </c>
      <c r="C34" s="47">
        <v>625.98482679645008</v>
      </c>
      <c r="D34" s="11"/>
      <c r="E34" s="11"/>
      <c r="F34" s="11"/>
      <c r="G34" s="11"/>
      <c r="H34" s="11"/>
      <c r="I34" s="11"/>
      <c r="J34" s="11"/>
      <c r="K34" s="11"/>
      <c r="L34" s="11"/>
      <c r="N34" s="11"/>
      <c r="O34" s="11"/>
      <c r="P34" s="11"/>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row>
    <row r="35" spans="1:56" ht="16.2" thickBot="1" x14ac:dyDescent="0.35">
      <c r="A35" s="42" t="s">
        <v>71</v>
      </c>
      <c r="B35" s="43">
        <v>98</v>
      </c>
      <c r="C35" s="44">
        <v>376.42857142857144</v>
      </c>
      <c r="D35" s="11"/>
      <c r="E35" s="11"/>
      <c r="F35" s="11"/>
      <c r="G35" s="11"/>
      <c r="H35" s="11"/>
      <c r="I35" s="11"/>
      <c r="J35" s="11"/>
      <c r="K35" s="11"/>
      <c r="L35" s="11"/>
      <c r="N35" s="11"/>
      <c r="O35" s="11"/>
      <c r="P35" s="11"/>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row>
    <row r="36" spans="1:56" ht="16.2" thickBot="1" x14ac:dyDescent="0.35">
      <c r="A36" s="42" t="s">
        <v>488</v>
      </c>
      <c r="B36" s="43">
        <v>3165</v>
      </c>
      <c r="C36" s="44">
        <v>568.44928909952603</v>
      </c>
      <c r="D36" s="11"/>
      <c r="E36" s="11"/>
      <c r="F36" s="11"/>
      <c r="G36" s="11"/>
      <c r="H36" s="11"/>
      <c r="I36" s="11"/>
      <c r="J36" s="11"/>
      <c r="K36" s="11"/>
      <c r="L36" s="11"/>
      <c r="N36" s="11"/>
      <c r="O36" s="11"/>
      <c r="P36" s="11"/>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row>
    <row r="37" spans="1:56" ht="16.2" thickBot="1" x14ac:dyDescent="0.35">
      <c r="A37" s="42" t="s">
        <v>21</v>
      </c>
      <c r="B37" s="43">
        <v>229</v>
      </c>
      <c r="C37" s="44">
        <v>1530.5196506550219</v>
      </c>
      <c r="D37" s="11"/>
      <c r="E37" s="11"/>
      <c r="F37" s="11"/>
      <c r="G37" s="11"/>
      <c r="H37" s="11"/>
      <c r="I37" s="11"/>
      <c r="J37" s="11"/>
      <c r="K37" s="11"/>
      <c r="L37" s="11"/>
      <c r="N37" s="11"/>
      <c r="O37" s="11"/>
      <c r="P37" s="11"/>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row>
    <row r="38" spans="1:56" ht="16.2" thickBot="1" x14ac:dyDescent="0.35">
      <c r="A38" s="42" t="s">
        <v>553</v>
      </c>
      <c r="B38" s="43">
        <v>1</v>
      </c>
      <c r="C38" s="44">
        <v>44</v>
      </c>
      <c r="D38" s="11"/>
      <c r="E38" s="11"/>
      <c r="F38" s="11"/>
      <c r="G38" s="11"/>
      <c r="H38" s="11"/>
      <c r="I38" s="11"/>
      <c r="J38" s="11"/>
      <c r="K38" s="11"/>
      <c r="L38" s="11"/>
      <c r="N38" s="11"/>
      <c r="O38" s="11"/>
      <c r="P38" s="11"/>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row>
    <row r="39" spans="1:56" ht="16.2" thickBot="1" x14ac:dyDescent="0.35">
      <c r="A39" s="45" t="s">
        <v>491</v>
      </c>
      <c r="B39" s="46">
        <v>8996</v>
      </c>
      <c r="C39" s="47">
        <v>279.42518897287681</v>
      </c>
      <c r="D39" s="11"/>
      <c r="E39" s="11"/>
      <c r="F39" s="11"/>
      <c r="G39" s="11"/>
      <c r="H39" s="11"/>
      <c r="I39" s="11"/>
      <c r="J39" s="11"/>
      <c r="K39" s="11"/>
      <c r="L39" s="11"/>
      <c r="N39" s="11"/>
      <c r="O39" s="11"/>
      <c r="P39" s="11"/>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row>
    <row r="40" spans="1:56" ht="16.2" thickBot="1" x14ac:dyDescent="0.35">
      <c r="A40" s="42" t="s">
        <v>71</v>
      </c>
      <c r="B40" s="43">
        <v>199</v>
      </c>
      <c r="C40" s="44">
        <v>209.10552763819095</v>
      </c>
      <c r="D40" s="11"/>
      <c r="E40" s="11"/>
      <c r="F40" s="11"/>
      <c r="G40" s="11"/>
      <c r="H40" s="11"/>
      <c r="I40" s="11"/>
      <c r="J40" s="11"/>
      <c r="K40" s="11"/>
      <c r="L40" s="11"/>
      <c r="N40" s="11"/>
      <c r="O40" s="11"/>
      <c r="P40" s="11"/>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row>
    <row r="41" spans="1:56" ht="16.2" thickBot="1" x14ac:dyDescent="0.35">
      <c r="A41" s="42" t="s">
        <v>488</v>
      </c>
      <c r="B41" s="43">
        <v>8760</v>
      </c>
      <c r="C41" s="44">
        <v>280.50091324200912</v>
      </c>
      <c r="D41" s="11"/>
      <c r="E41" s="11"/>
      <c r="F41" s="11"/>
      <c r="G41" s="11"/>
      <c r="H41" s="11"/>
      <c r="I41" s="11"/>
      <c r="J41" s="11"/>
      <c r="K41" s="11"/>
      <c r="L41" s="11"/>
      <c r="N41" s="11"/>
      <c r="O41" s="11"/>
      <c r="P41" s="11"/>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row>
    <row r="42" spans="1:56" ht="16.2" thickBot="1" x14ac:dyDescent="0.35">
      <c r="A42" s="42" t="s">
        <v>21</v>
      </c>
      <c r="B42" s="43">
        <v>13</v>
      </c>
      <c r="C42" s="44">
        <v>980.76923076923072</v>
      </c>
      <c r="D42" s="11"/>
      <c r="E42" s="11"/>
      <c r="F42" s="11"/>
      <c r="G42" s="11"/>
      <c r="H42" s="11"/>
      <c r="I42" s="11"/>
      <c r="J42" s="11"/>
      <c r="K42" s="11"/>
      <c r="L42" s="11"/>
      <c r="N42" s="11"/>
      <c r="O42" s="11"/>
      <c r="P42" s="11"/>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row>
    <row r="43" spans="1:56" ht="16.2" thickBot="1" x14ac:dyDescent="0.35">
      <c r="A43" s="42" t="s">
        <v>553</v>
      </c>
      <c r="B43" s="43">
        <v>24</v>
      </c>
      <c r="C43" s="44">
        <v>89.958333333333329</v>
      </c>
      <c r="D43" s="11"/>
      <c r="E43" s="11"/>
      <c r="F43" s="11"/>
      <c r="G43" s="11"/>
      <c r="H43" s="11"/>
      <c r="I43" s="11"/>
      <c r="J43" s="11"/>
      <c r="K43" s="11"/>
      <c r="L43" s="11"/>
      <c r="N43" s="11"/>
      <c r="O43" s="11"/>
      <c r="P43" s="11"/>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row>
    <row r="44" spans="1:56" ht="16.2" thickBot="1" x14ac:dyDescent="0.35">
      <c r="A44" s="45" t="s">
        <v>492</v>
      </c>
      <c r="B44" s="46">
        <v>639</v>
      </c>
      <c r="C44" s="47">
        <v>857.45226917057903</v>
      </c>
      <c r="D44" s="11"/>
      <c r="E44" s="11"/>
      <c r="F44" s="11"/>
      <c r="G44" s="11"/>
      <c r="H44" s="11"/>
      <c r="I44" s="11"/>
      <c r="J44" s="11"/>
      <c r="K44" s="11"/>
      <c r="L44" s="11"/>
      <c r="N44" s="11"/>
      <c r="O44" s="11"/>
      <c r="P44" s="11"/>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row>
    <row r="45" spans="1:56" ht="16.2" thickBot="1" x14ac:dyDescent="0.35">
      <c r="A45" s="42" t="s">
        <v>71</v>
      </c>
      <c r="B45" s="43">
        <v>6</v>
      </c>
      <c r="C45" s="44">
        <v>454.5</v>
      </c>
      <c r="D45" s="11"/>
      <c r="E45" s="11"/>
      <c r="F45" s="11"/>
      <c r="G45" s="11"/>
      <c r="H45" s="11"/>
      <c r="I45" s="11"/>
      <c r="J45" s="11"/>
      <c r="K45" s="11"/>
      <c r="L45" s="11"/>
      <c r="N45" s="11"/>
      <c r="O45" s="11"/>
      <c r="P45" s="11"/>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row>
    <row r="46" spans="1:56" ht="16.2" thickBot="1" x14ac:dyDescent="0.35">
      <c r="A46" s="42" t="s">
        <v>488</v>
      </c>
      <c r="B46" s="43">
        <v>235</v>
      </c>
      <c r="C46" s="44">
        <v>226.98723404255318</v>
      </c>
      <c r="D46" s="11"/>
      <c r="E46" s="11"/>
      <c r="F46" s="11"/>
      <c r="G46" s="11"/>
      <c r="H46" s="11"/>
      <c r="I46" s="11"/>
      <c r="J46" s="11"/>
      <c r="K46" s="11"/>
      <c r="L46" s="11"/>
      <c r="N46" s="11"/>
      <c r="O46" s="11"/>
      <c r="P46" s="11"/>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row>
    <row r="47" spans="1:56" ht="16.2" thickBot="1" x14ac:dyDescent="0.35">
      <c r="A47" s="42" t="s">
        <v>21</v>
      </c>
      <c r="B47" s="43">
        <v>398</v>
      </c>
      <c r="C47" s="44">
        <v>1235.786432160804</v>
      </c>
      <c r="D47" s="11"/>
      <c r="E47" s="11"/>
      <c r="F47" s="11"/>
      <c r="G47" s="11"/>
      <c r="H47" s="11"/>
      <c r="I47" s="11"/>
      <c r="J47" s="11"/>
      <c r="K47" s="11"/>
      <c r="L47" s="11"/>
      <c r="N47" s="11"/>
      <c r="O47" s="11"/>
      <c r="P47" s="11"/>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row>
    <row r="48" spans="1:56" ht="16.2" thickBot="1" x14ac:dyDescent="0.35">
      <c r="A48" s="45" t="s">
        <v>493</v>
      </c>
      <c r="B48" s="46">
        <v>13566</v>
      </c>
      <c r="C48" s="47">
        <v>679.32367683915675</v>
      </c>
      <c r="D48" s="11"/>
      <c r="E48" s="11"/>
      <c r="F48" s="11"/>
      <c r="G48" s="11"/>
      <c r="H48" s="11"/>
      <c r="I48" s="11"/>
      <c r="J48" s="11"/>
      <c r="K48" s="11"/>
      <c r="L48" s="11"/>
      <c r="N48" s="11"/>
      <c r="O48" s="11"/>
      <c r="P48" s="11"/>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row>
    <row r="49" spans="1:56" ht="16.2" thickBot="1" x14ac:dyDescent="0.35">
      <c r="A49" s="42" t="s">
        <v>71</v>
      </c>
      <c r="B49" s="43">
        <v>245</v>
      </c>
      <c r="C49" s="44">
        <v>536.74285714285713</v>
      </c>
      <c r="D49" s="11"/>
      <c r="E49" s="11"/>
      <c r="F49" s="11"/>
      <c r="G49" s="11"/>
      <c r="H49" s="11"/>
      <c r="I49" s="11"/>
      <c r="J49" s="11"/>
      <c r="K49" s="11"/>
      <c r="L49" s="11"/>
      <c r="N49" s="11"/>
      <c r="O49" s="11"/>
      <c r="P49" s="11"/>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row>
    <row r="50" spans="1:56" ht="16.2" thickBot="1" x14ac:dyDescent="0.35">
      <c r="A50" s="42" t="s">
        <v>488</v>
      </c>
      <c r="B50" s="43">
        <v>11625</v>
      </c>
      <c r="C50" s="44">
        <v>496.46167741935483</v>
      </c>
      <c r="D50" s="11"/>
      <c r="E50" s="11"/>
      <c r="F50" s="11"/>
      <c r="G50" s="11"/>
      <c r="H50" s="11"/>
      <c r="I50" s="11"/>
      <c r="J50" s="11"/>
      <c r="K50" s="11"/>
      <c r="L50" s="11"/>
      <c r="N50" s="11"/>
      <c r="O50" s="11"/>
      <c r="P50" s="11"/>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row>
    <row r="51" spans="1:56" ht="16.2" thickBot="1" x14ac:dyDescent="0.35">
      <c r="A51" s="42" t="s">
        <v>21</v>
      </c>
      <c r="B51" s="43">
        <v>1692</v>
      </c>
      <c r="C51" s="44">
        <v>1957.8108747044917</v>
      </c>
      <c r="D51" s="11"/>
      <c r="E51" s="11"/>
      <c r="F51" s="11"/>
      <c r="G51" s="11"/>
      <c r="H51" s="11"/>
      <c r="I51" s="11"/>
      <c r="J51" s="11"/>
      <c r="K51" s="11"/>
      <c r="L51" s="11"/>
      <c r="N51" s="11"/>
      <c r="O51" s="11"/>
      <c r="P51" s="11"/>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row>
    <row r="52" spans="1:56" ht="16.2" thickBot="1" x14ac:dyDescent="0.35">
      <c r="A52" s="42" t="s">
        <v>553</v>
      </c>
      <c r="B52" s="43">
        <v>4</v>
      </c>
      <c r="C52" s="44">
        <v>55</v>
      </c>
      <c r="D52" s="11"/>
      <c r="E52" s="11"/>
      <c r="F52" s="11"/>
      <c r="G52" s="11"/>
      <c r="H52" s="11"/>
      <c r="I52" s="11"/>
      <c r="J52" s="11"/>
      <c r="K52" s="11"/>
      <c r="L52" s="11"/>
      <c r="N52" s="11"/>
      <c r="O52" s="11"/>
      <c r="P52" s="11"/>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row>
    <row r="53" spans="1:56" ht="16.2" thickBot="1" x14ac:dyDescent="0.35">
      <c r="A53" s="45" t="s">
        <v>494</v>
      </c>
      <c r="B53" s="46">
        <v>2322</v>
      </c>
      <c r="C53" s="47">
        <v>535.45047372954355</v>
      </c>
      <c r="D53" s="11"/>
      <c r="E53" s="11"/>
      <c r="F53" s="11"/>
      <c r="G53" s="11"/>
      <c r="H53" s="11"/>
      <c r="I53" s="11"/>
      <c r="J53" s="11"/>
      <c r="K53" s="11"/>
      <c r="L53" s="11"/>
      <c r="N53" s="11"/>
      <c r="O53" s="11"/>
      <c r="P53" s="11"/>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row>
    <row r="54" spans="1:56" ht="16.2" thickBot="1" x14ac:dyDescent="0.35">
      <c r="A54" s="42" t="s">
        <v>71</v>
      </c>
      <c r="B54" s="43">
        <v>75</v>
      </c>
      <c r="C54" s="44">
        <v>333.56</v>
      </c>
      <c r="D54" s="11"/>
      <c r="E54" s="11"/>
      <c r="F54" s="11"/>
      <c r="G54" s="11"/>
      <c r="H54" s="11"/>
      <c r="I54" s="11"/>
      <c r="J54" s="11"/>
      <c r="K54" s="11"/>
      <c r="L54" s="11"/>
      <c r="N54" s="11"/>
      <c r="O54" s="11"/>
      <c r="P54" s="11"/>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row>
    <row r="55" spans="1:56" ht="16.2" thickBot="1" x14ac:dyDescent="0.35">
      <c r="A55" s="42" t="s">
        <v>488</v>
      </c>
      <c r="B55" s="43">
        <v>2219</v>
      </c>
      <c r="C55" s="44">
        <v>537.35601622352408</v>
      </c>
      <c r="D55" s="11"/>
      <c r="E55" s="11"/>
      <c r="F55" s="11"/>
      <c r="G55" s="11"/>
      <c r="H55" s="11"/>
      <c r="I55" s="11"/>
      <c r="J55" s="11"/>
      <c r="K55" s="11"/>
      <c r="L55" s="11"/>
      <c r="N55" s="11"/>
      <c r="O55" s="11"/>
      <c r="P55" s="11"/>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row>
    <row r="56" spans="1:56" ht="16.2" thickBot="1" x14ac:dyDescent="0.35">
      <c r="A56" s="42" t="s">
        <v>21</v>
      </c>
      <c r="B56" s="43">
        <v>17</v>
      </c>
      <c r="C56" s="44">
        <v>1497.7058823529412</v>
      </c>
      <c r="D56" s="11"/>
      <c r="E56" s="11"/>
      <c r="F56" s="11"/>
      <c r="G56" s="11"/>
      <c r="H56" s="11"/>
      <c r="I56" s="11"/>
      <c r="J56" s="11"/>
      <c r="K56" s="11"/>
      <c r="L56" s="11"/>
      <c r="N56" s="11"/>
      <c r="O56" s="11"/>
      <c r="P56" s="11"/>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row>
    <row r="57" spans="1:56" ht="16.2" thickBot="1" x14ac:dyDescent="0.35">
      <c r="A57" s="42" t="s">
        <v>553</v>
      </c>
      <c r="B57" s="43">
        <v>11</v>
      </c>
      <c r="C57" s="44">
        <v>40.454545454545453</v>
      </c>
      <c r="D57" s="11"/>
      <c r="E57" s="11"/>
      <c r="F57" s="11"/>
      <c r="G57" s="11"/>
      <c r="H57" s="11"/>
      <c r="I57" s="11"/>
      <c r="J57" s="11"/>
      <c r="K57" s="11"/>
      <c r="L57" s="11"/>
      <c r="N57" s="11"/>
      <c r="O57" s="11"/>
      <c r="P57" s="11"/>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row>
    <row r="58" spans="1:56" ht="16.2" thickBot="1" x14ac:dyDescent="0.35">
      <c r="A58" s="45" t="s">
        <v>495</v>
      </c>
      <c r="B58" s="46">
        <v>3286</v>
      </c>
      <c r="C58" s="47">
        <v>514.06512477175897</v>
      </c>
      <c r="D58" s="11"/>
      <c r="E58" s="11"/>
      <c r="F58" s="11"/>
      <c r="G58" s="11"/>
      <c r="H58" s="11"/>
      <c r="I58" s="11"/>
      <c r="J58" s="11"/>
      <c r="K58" s="11"/>
      <c r="L58" s="11"/>
      <c r="N58" s="11"/>
      <c r="O58" s="11"/>
      <c r="P58" s="11"/>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row>
    <row r="59" spans="1:56" ht="16.2" thickBot="1" x14ac:dyDescent="0.35">
      <c r="A59" s="42" t="s">
        <v>71</v>
      </c>
      <c r="B59" s="43">
        <v>23</v>
      </c>
      <c r="C59" s="44">
        <v>394.95652173913044</v>
      </c>
      <c r="D59" s="11"/>
      <c r="E59" s="11"/>
      <c r="F59" s="11"/>
      <c r="G59" s="11"/>
      <c r="H59" s="11"/>
      <c r="I59" s="11"/>
      <c r="J59" s="11"/>
      <c r="K59" s="11"/>
      <c r="L59" s="11"/>
      <c r="N59" s="11"/>
      <c r="O59" s="11"/>
      <c r="P59" s="11"/>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row>
    <row r="60" spans="1:56" ht="16.2" thickBot="1" x14ac:dyDescent="0.35">
      <c r="A60" s="42" t="s">
        <v>488</v>
      </c>
      <c r="B60" s="43">
        <v>3065</v>
      </c>
      <c r="C60" s="44">
        <v>422.06035889070148</v>
      </c>
      <c r="D60" s="11"/>
      <c r="E60" s="11"/>
      <c r="F60" s="11"/>
      <c r="G60" s="11"/>
      <c r="H60" s="11"/>
      <c r="I60" s="11"/>
      <c r="J60" s="11"/>
      <c r="K60" s="11"/>
      <c r="L60" s="11"/>
      <c r="N60" s="11"/>
      <c r="O60" s="11"/>
      <c r="P60" s="11"/>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row>
    <row r="61" spans="1:56" ht="16.2" thickBot="1" x14ac:dyDescent="0.35">
      <c r="A61" s="42" t="s">
        <v>21</v>
      </c>
      <c r="B61" s="43">
        <v>195</v>
      </c>
      <c r="C61" s="44">
        <v>1978.9589743589743</v>
      </c>
      <c r="D61" s="11"/>
      <c r="E61" s="11"/>
      <c r="F61" s="11"/>
      <c r="G61" s="11"/>
      <c r="H61" s="11"/>
      <c r="I61" s="11"/>
      <c r="J61" s="11"/>
      <c r="K61" s="11"/>
      <c r="L61" s="11"/>
      <c r="N61" s="11"/>
      <c r="O61" s="11"/>
      <c r="P61" s="11"/>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row>
    <row r="62" spans="1:56" ht="16.2" thickBot="1" x14ac:dyDescent="0.35">
      <c r="A62" s="42" t="s">
        <v>553</v>
      </c>
      <c r="B62" s="43">
        <v>3</v>
      </c>
      <c r="C62" s="44">
        <v>207.33333333333334</v>
      </c>
      <c r="D62" s="11"/>
      <c r="E62" s="11"/>
      <c r="F62" s="11"/>
      <c r="G62" s="11"/>
      <c r="H62" s="11"/>
      <c r="I62" s="11"/>
      <c r="J62" s="11"/>
      <c r="K62" s="11"/>
      <c r="L62" s="11"/>
      <c r="N62" s="11"/>
      <c r="O62" s="11"/>
      <c r="P62" s="11"/>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row>
    <row r="63" spans="1:56" ht="16.2" thickBot="1" x14ac:dyDescent="0.35">
      <c r="A63" s="45" t="s">
        <v>560</v>
      </c>
      <c r="B63" s="46">
        <v>9270</v>
      </c>
      <c r="C63" s="47">
        <v>905.51661272923411</v>
      </c>
      <c r="D63" s="11"/>
      <c r="E63" s="11"/>
      <c r="F63" s="11"/>
      <c r="G63" s="11"/>
      <c r="H63" s="11"/>
      <c r="I63" s="11"/>
      <c r="J63" s="11"/>
      <c r="K63" s="11"/>
      <c r="L63" s="11"/>
      <c r="N63" s="11"/>
      <c r="O63" s="11"/>
      <c r="P63" s="11"/>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row>
    <row r="64" spans="1:56" ht="16.2" thickBot="1" x14ac:dyDescent="0.35">
      <c r="A64" s="42" t="s">
        <v>71</v>
      </c>
      <c r="B64" s="43">
        <v>73</v>
      </c>
      <c r="C64" s="44">
        <v>697.42465753424653</v>
      </c>
      <c r="D64" s="11"/>
      <c r="E64" s="11"/>
      <c r="F64" s="11"/>
      <c r="G64" s="11"/>
      <c r="H64" s="11"/>
      <c r="I64" s="11"/>
      <c r="J64" s="11"/>
      <c r="K64" s="11"/>
      <c r="L64" s="11"/>
      <c r="N64" s="11"/>
      <c r="O64" s="11"/>
      <c r="P64" s="11"/>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row>
    <row r="65" spans="1:56" ht="16.2" thickBot="1" x14ac:dyDescent="0.35">
      <c r="A65" s="42" t="s">
        <v>488</v>
      </c>
      <c r="B65" s="43">
        <v>8244</v>
      </c>
      <c r="C65" s="44">
        <v>759.52268316351285</v>
      </c>
      <c r="D65" s="11"/>
      <c r="E65" s="11"/>
      <c r="F65" s="11"/>
      <c r="G65" s="11"/>
      <c r="H65" s="11"/>
      <c r="I65" s="11"/>
      <c r="J65" s="11"/>
      <c r="K65" s="11"/>
      <c r="L65" s="11"/>
      <c r="N65" s="11"/>
      <c r="O65" s="11"/>
      <c r="P65" s="11"/>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row>
    <row r="66" spans="1:56" ht="16.2" thickBot="1" x14ac:dyDescent="0.35">
      <c r="A66" s="42" t="s">
        <v>21</v>
      </c>
      <c r="B66" s="43">
        <v>953</v>
      </c>
      <c r="C66" s="44">
        <v>2184.3882476390345</v>
      </c>
      <c r="D66" s="11"/>
      <c r="E66" s="11"/>
      <c r="F66" s="11"/>
      <c r="G66" s="11"/>
      <c r="H66" s="11"/>
      <c r="I66" s="11"/>
      <c r="J66" s="11"/>
      <c r="K66" s="11"/>
      <c r="L66" s="11"/>
      <c r="N66" s="11"/>
      <c r="O66" s="11"/>
      <c r="P66" s="11"/>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row>
    <row r="67" spans="1:56" ht="16.2" thickBot="1" x14ac:dyDescent="0.35">
      <c r="A67" s="45" t="s">
        <v>496</v>
      </c>
      <c r="B67" s="46">
        <v>23312</v>
      </c>
      <c r="C67" s="47">
        <v>129.57605525051477</v>
      </c>
      <c r="D67" s="11"/>
      <c r="E67" s="11"/>
      <c r="F67" s="11"/>
      <c r="G67" s="11"/>
      <c r="H67" s="11"/>
      <c r="I67" s="11"/>
      <c r="J67" s="11"/>
      <c r="K67" s="11"/>
      <c r="L67" s="11"/>
      <c r="N67" s="11"/>
      <c r="O67" s="11"/>
      <c r="P67" s="11"/>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row>
    <row r="68" spans="1:56" ht="16.2" thickBot="1" x14ac:dyDescent="0.35">
      <c r="A68" s="42" t="s">
        <v>71</v>
      </c>
      <c r="B68" s="43">
        <v>9251</v>
      </c>
      <c r="C68" s="44">
        <v>47.200951248513675</v>
      </c>
      <c r="D68" s="11"/>
      <c r="E68" s="11"/>
      <c r="F68" s="11"/>
      <c r="G68" s="11"/>
      <c r="H68" s="11"/>
      <c r="I68" s="11"/>
      <c r="J68" s="11"/>
      <c r="K68" s="11"/>
      <c r="L68" s="11"/>
      <c r="N68" s="11"/>
      <c r="O68" s="11"/>
      <c r="P68" s="11"/>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row>
    <row r="69" spans="1:56" ht="16.2" thickBot="1" x14ac:dyDescent="0.35">
      <c r="A69" s="42" t="s">
        <v>488</v>
      </c>
      <c r="B69" s="43">
        <v>13555</v>
      </c>
      <c r="C69" s="44">
        <v>146.67606049428255</v>
      </c>
      <c r="D69" s="11"/>
      <c r="E69" s="11"/>
      <c r="F69" s="11"/>
      <c r="G69" s="11"/>
      <c r="H69" s="11"/>
      <c r="I69" s="11"/>
      <c r="J69" s="11"/>
      <c r="K69" s="11"/>
      <c r="L69" s="11"/>
      <c r="N69" s="11"/>
      <c r="O69" s="11"/>
      <c r="P69" s="11"/>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row>
    <row r="70" spans="1:56" ht="16.2" thickBot="1" x14ac:dyDescent="0.35">
      <c r="A70" s="42" t="s">
        <v>21</v>
      </c>
      <c r="B70" s="43">
        <v>506</v>
      </c>
      <c r="C70" s="44">
        <v>1177.5237154150198</v>
      </c>
      <c r="D70" s="11"/>
      <c r="E70" s="11"/>
      <c r="F70" s="11"/>
      <c r="G70" s="11"/>
      <c r="H70" s="11"/>
      <c r="I70" s="11"/>
      <c r="J70" s="11"/>
      <c r="K70" s="11"/>
      <c r="L70" s="11"/>
      <c r="N70" s="11"/>
      <c r="O70" s="11"/>
      <c r="P70" s="11"/>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row>
    <row r="71" spans="1:56" ht="16.2" thickBot="1" x14ac:dyDescent="0.35">
      <c r="A71" s="45" t="s">
        <v>547</v>
      </c>
      <c r="B71" s="46">
        <v>62222</v>
      </c>
      <c r="C71" s="47">
        <v>101.43008903603227</v>
      </c>
      <c r="D71" s="11"/>
      <c r="E71" s="11"/>
      <c r="F71" s="11"/>
      <c r="G71" s="11"/>
      <c r="H71" s="11"/>
      <c r="I71" s="11"/>
      <c r="J71" s="11"/>
      <c r="K71" s="11"/>
      <c r="L71" s="11"/>
      <c r="N71" s="11"/>
      <c r="O71" s="11"/>
      <c r="P71" s="11"/>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row>
    <row r="72" spans="1:56" ht="16.2" thickBot="1" x14ac:dyDescent="0.35">
      <c r="A72" s="42" t="s">
        <v>71</v>
      </c>
      <c r="B72" s="43">
        <v>14711</v>
      </c>
      <c r="C72" s="44">
        <v>60.300795323227518</v>
      </c>
      <c r="D72" s="11"/>
      <c r="E72" s="11"/>
      <c r="F72" s="11"/>
      <c r="G72" s="11"/>
      <c r="H72" s="11"/>
      <c r="I72" s="11"/>
      <c r="J72" s="11"/>
      <c r="K72" s="11"/>
      <c r="L72" s="11"/>
      <c r="N72" s="11"/>
      <c r="O72" s="11"/>
      <c r="P72" s="11"/>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row>
    <row r="73" spans="1:56" ht="16.2" thickBot="1" x14ac:dyDescent="0.35">
      <c r="A73" s="42" t="s">
        <v>488</v>
      </c>
      <c r="B73" s="43">
        <v>47472</v>
      </c>
      <c r="C73" s="44">
        <v>114.01474553420964</v>
      </c>
      <c r="D73" s="11"/>
      <c r="E73" s="11"/>
      <c r="F73" s="11"/>
      <c r="G73" s="11"/>
      <c r="H73" s="11"/>
      <c r="I73" s="11"/>
      <c r="J73" s="11"/>
      <c r="K73" s="11"/>
      <c r="L73" s="11"/>
      <c r="N73" s="11"/>
      <c r="O73" s="11"/>
      <c r="P73" s="11"/>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row>
    <row r="74" spans="1:56" ht="16.2" thickBot="1" x14ac:dyDescent="0.35">
      <c r="A74" s="42" t="s">
        <v>21</v>
      </c>
      <c r="B74" s="43">
        <v>39</v>
      </c>
      <c r="C74" s="44">
        <v>297.17948717948718</v>
      </c>
      <c r="D74" s="11"/>
      <c r="E74" s="11"/>
      <c r="F74" s="11"/>
      <c r="G74" s="11"/>
      <c r="H74" s="11"/>
      <c r="I74" s="11"/>
      <c r="J74" s="11"/>
      <c r="K74" s="11"/>
      <c r="L74" s="11"/>
      <c r="N74" s="11"/>
      <c r="O74" s="11"/>
      <c r="P74" s="11"/>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row>
    <row r="75" spans="1:56" ht="16.2" thickBot="1" x14ac:dyDescent="0.35">
      <c r="A75" s="45" t="s">
        <v>497</v>
      </c>
      <c r="B75" s="46">
        <v>3537</v>
      </c>
      <c r="C75" s="47">
        <v>267.27254735651684</v>
      </c>
      <c r="D75" s="11"/>
      <c r="E75" s="11"/>
      <c r="F75" s="11"/>
      <c r="G75" s="11"/>
      <c r="H75" s="11"/>
      <c r="I75" s="11"/>
      <c r="J75" s="11"/>
      <c r="K75" s="11"/>
      <c r="L75" s="11"/>
      <c r="N75" s="11"/>
      <c r="O75" s="11"/>
      <c r="P75" s="11"/>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row>
    <row r="76" spans="1:56" ht="16.2" thickBot="1" x14ac:dyDescent="0.35">
      <c r="A76" s="42" t="s">
        <v>71</v>
      </c>
      <c r="B76" s="43">
        <v>420</v>
      </c>
      <c r="C76" s="44">
        <v>423.24047619047622</v>
      </c>
      <c r="D76" s="11"/>
      <c r="E76" s="11"/>
      <c r="F76" s="11"/>
      <c r="G76" s="11"/>
      <c r="H76" s="11"/>
      <c r="I76" s="11"/>
      <c r="J76" s="11"/>
      <c r="K76" s="11"/>
      <c r="L76" s="11"/>
      <c r="N76" s="11"/>
      <c r="O76" s="11"/>
      <c r="P76" s="11"/>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row>
    <row r="77" spans="1:56" ht="16.2" thickBot="1" x14ac:dyDescent="0.35">
      <c r="A77" s="42" t="s">
        <v>488</v>
      </c>
      <c r="B77" s="43">
        <v>3110</v>
      </c>
      <c r="C77" s="44">
        <v>244.72186495176848</v>
      </c>
      <c r="D77" s="11"/>
      <c r="E77" s="11"/>
      <c r="F77" s="11"/>
      <c r="G77" s="11"/>
      <c r="H77" s="11"/>
      <c r="I77" s="11"/>
      <c r="J77" s="11"/>
      <c r="K77" s="11"/>
      <c r="L77" s="11"/>
      <c r="N77" s="11"/>
      <c r="O77" s="11"/>
      <c r="P77" s="11"/>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row>
    <row r="78" spans="1:56" ht="16.2" thickBot="1" x14ac:dyDescent="0.35">
      <c r="A78" s="42" t="s">
        <v>21</v>
      </c>
      <c r="B78" s="43">
        <v>6</v>
      </c>
      <c r="C78" s="44">
        <v>1074.8333333333333</v>
      </c>
      <c r="D78" s="11"/>
      <c r="E78" s="11"/>
      <c r="F78" s="11"/>
      <c r="G78" s="11"/>
      <c r="H78" s="11"/>
      <c r="I78" s="11"/>
      <c r="J78" s="11"/>
      <c r="K78" s="11"/>
      <c r="L78" s="11"/>
      <c r="N78" s="11"/>
      <c r="O78" s="11"/>
      <c r="P78" s="11"/>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row>
    <row r="79" spans="1:56" ht="16.2" thickBot="1" x14ac:dyDescent="0.35">
      <c r="A79" s="42" t="s">
        <v>553</v>
      </c>
      <c r="B79" s="43">
        <v>1</v>
      </c>
      <c r="C79" s="44">
        <v>48</v>
      </c>
      <c r="D79" s="11"/>
      <c r="E79" s="11"/>
      <c r="F79" s="11"/>
      <c r="G79" s="11"/>
      <c r="H79" s="11"/>
      <c r="I79" s="11"/>
      <c r="J79" s="11"/>
      <c r="K79" s="11"/>
      <c r="L79" s="11"/>
      <c r="N79" s="11"/>
      <c r="O79" s="11"/>
      <c r="P79" s="11"/>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row>
    <row r="80" spans="1:56" ht="16.2" thickBot="1" x14ac:dyDescent="0.35">
      <c r="A80" s="45" t="s">
        <v>498</v>
      </c>
      <c r="B80" s="46">
        <v>15090</v>
      </c>
      <c r="C80" s="47">
        <v>562.95043074884029</v>
      </c>
      <c r="D80" s="11"/>
      <c r="E80" s="11"/>
      <c r="F80" s="11"/>
      <c r="G80" s="11"/>
      <c r="H80" s="11"/>
      <c r="I80" s="11"/>
      <c r="J80" s="11"/>
      <c r="K80" s="11"/>
      <c r="L80" s="11"/>
      <c r="N80" s="11"/>
      <c r="O80" s="11"/>
      <c r="P80" s="11"/>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row>
    <row r="81" spans="1:56" ht="16.2" thickBot="1" x14ac:dyDescent="0.35">
      <c r="A81" s="42" t="s">
        <v>71</v>
      </c>
      <c r="B81" s="43">
        <v>569</v>
      </c>
      <c r="C81" s="44">
        <v>481.67311072056236</v>
      </c>
      <c r="D81" s="11"/>
      <c r="E81" s="11"/>
      <c r="F81" s="11"/>
      <c r="G81" s="11"/>
      <c r="H81" s="11"/>
      <c r="I81" s="11"/>
      <c r="J81" s="11"/>
      <c r="K81" s="11"/>
      <c r="L81" s="11"/>
      <c r="N81" s="11"/>
      <c r="O81" s="11"/>
      <c r="P81" s="11"/>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row>
    <row r="82" spans="1:56" ht="16.2" thickBot="1" x14ac:dyDescent="0.35">
      <c r="A82" s="42" t="s">
        <v>488</v>
      </c>
      <c r="B82" s="43">
        <v>11573</v>
      </c>
      <c r="C82" s="44">
        <v>323.91739393415708</v>
      </c>
      <c r="D82" s="11"/>
      <c r="E82" s="11"/>
      <c r="F82" s="11"/>
      <c r="G82" s="11"/>
      <c r="H82" s="11"/>
      <c r="I82" s="11"/>
      <c r="J82" s="11"/>
      <c r="K82" s="11"/>
      <c r="L82" s="11"/>
      <c r="N82" s="11"/>
      <c r="O82" s="11"/>
      <c r="P82" s="11"/>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row>
    <row r="83" spans="1:56" ht="16.2" thickBot="1" x14ac:dyDescent="0.35">
      <c r="A83" s="42" t="s">
        <v>21</v>
      </c>
      <c r="B83" s="43">
        <v>2947</v>
      </c>
      <c r="C83" s="44">
        <v>1517.5218866644045</v>
      </c>
      <c r="D83" s="11"/>
      <c r="E83" s="11"/>
      <c r="F83" s="11"/>
      <c r="G83" s="11"/>
      <c r="H83" s="11"/>
      <c r="I83" s="11"/>
      <c r="J83" s="11"/>
      <c r="K83" s="11"/>
      <c r="L83" s="11"/>
      <c r="N83" s="11"/>
      <c r="O83" s="11"/>
      <c r="P83" s="11"/>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row>
    <row r="84" spans="1:56" ht="16.2" thickBot="1" x14ac:dyDescent="0.35">
      <c r="A84" s="42" t="s">
        <v>553</v>
      </c>
      <c r="B84" s="43">
        <v>1</v>
      </c>
      <c r="C84" s="44">
        <v>17</v>
      </c>
      <c r="D84" s="11"/>
      <c r="E84" s="11"/>
      <c r="F84" s="11"/>
      <c r="G84" s="11"/>
      <c r="H84" s="11"/>
      <c r="I84" s="11"/>
      <c r="J84" s="11"/>
      <c r="K84" s="11"/>
      <c r="L84" s="11"/>
      <c r="N84" s="11"/>
      <c r="O84" s="11"/>
      <c r="P84" s="11"/>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row>
    <row r="85" spans="1:56" ht="16.2" thickBot="1" x14ac:dyDescent="0.35">
      <c r="A85" s="45" t="s">
        <v>499</v>
      </c>
      <c r="B85" s="46">
        <v>14605</v>
      </c>
      <c r="C85" s="47">
        <v>358.97637795275591</v>
      </c>
      <c r="D85" s="11"/>
      <c r="E85" s="11"/>
      <c r="F85" s="11"/>
      <c r="G85" s="11"/>
      <c r="H85" s="11"/>
      <c r="I85" s="11"/>
      <c r="J85" s="11"/>
      <c r="K85" s="11"/>
      <c r="L85" s="11"/>
      <c r="N85" s="11"/>
      <c r="O85" s="11"/>
      <c r="P85" s="11"/>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row>
    <row r="86" spans="1:56" ht="16.2" thickBot="1" x14ac:dyDescent="0.35">
      <c r="A86" s="42" t="s">
        <v>71</v>
      </c>
      <c r="B86" s="43">
        <v>945</v>
      </c>
      <c r="C86" s="44">
        <v>356.61058201058199</v>
      </c>
      <c r="D86" s="11"/>
      <c r="E86" s="11"/>
      <c r="F86" s="11"/>
      <c r="G86" s="11"/>
      <c r="H86" s="11"/>
      <c r="I86" s="11"/>
      <c r="J86" s="11"/>
      <c r="K86" s="11"/>
      <c r="L86" s="11"/>
      <c r="N86" s="11"/>
      <c r="O86" s="11"/>
      <c r="P86" s="11"/>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row>
    <row r="87" spans="1:56" ht="16.2" thickBot="1" x14ac:dyDescent="0.35">
      <c r="A87" s="42" t="s">
        <v>488</v>
      </c>
      <c r="B87" s="43">
        <v>13605</v>
      </c>
      <c r="C87" s="44">
        <v>357.09672914369719</v>
      </c>
      <c r="D87" s="11"/>
      <c r="E87" s="11"/>
      <c r="F87" s="11"/>
      <c r="G87" s="11"/>
      <c r="H87" s="11"/>
      <c r="I87" s="11"/>
      <c r="J87" s="11"/>
      <c r="K87" s="11"/>
      <c r="L87" s="11"/>
      <c r="N87" s="11"/>
      <c r="O87" s="11"/>
      <c r="P87" s="11"/>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row>
    <row r="88" spans="1:56" ht="16.2" thickBot="1" x14ac:dyDescent="0.35">
      <c r="A88" s="42" t="s">
        <v>21</v>
      </c>
      <c r="B88" s="43">
        <v>49</v>
      </c>
      <c r="C88" s="44">
        <v>945.55102040816325</v>
      </c>
      <c r="D88" s="11"/>
      <c r="E88" s="11"/>
      <c r="F88" s="11"/>
      <c r="G88" s="11"/>
      <c r="H88" s="11"/>
      <c r="I88" s="11"/>
      <c r="J88" s="11"/>
      <c r="K88" s="11"/>
      <c r="L88" s="11"/>
      <c r="N88" s="11"/>
      <c r="O88" s="11"/>
      <c r="P88" s="11"/>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row>
    <row r="89" spans="1:56" ht="16.2" thickBot="1" x14ac:dyDescent="0.35">
      <c r="A89" s="42" t="s">
        <v>553</v>
      </c>
      <c r="B89" s="43">
        <v>6</v>
      </c>
      <c r="C89" s="44">
        <v>203.33333333333334</v>
      </c>
      <c r="D89" s="11"/>
      <c r="E89" s="11"/>
      <c r="F89" s="11"/>
      <c r="G89" s="11"/>
      <c r="H89" s="11"/>
      <c r="I89" s="11"/>
      <c r="J89" s="11"/>
      <c r="K89" s="11"/>
      <c r="L89" s="11"/>
      <c r="N89" s="11"/>
      <c r="O89" s="11"/>
      <c r="P89" s="11"/>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row>
    <row r="90" spans="1:56" ht="16.2" thickBot="1" x14ac:dyDescent="0.35">
      <c r="A90" s="45" t="s">
        <v>500</v>
      </c>
      <c r="B90" s="46">
        <v>4492</v>
      </c>
      <c r="C90" s="47">
        <v>557.76869991095282</v>
      </c>
      <c r="D90" s="11"/>
      <c r="E90" s="11"/>
      <c r="F90" s="11"/>
      <c r="G90" s="11"/>
      <c r="H90" s="11"/>
      <c r="I90" s="11"/>
      <c r="J90" s="11"/>
      <c r="K90" s="11"/>
      <c r="L90" s="11"/>
      <c r="N90" s="11"/>
      <c r="O90" s="11"/>
      <c r="P90" s="11"/>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row>
    <row r="91" spans="1:56" ht="16.2" thickBot="1" x14ac:dyDescent="0.35">
      <c r="A91" s="42" t="s">
        <v>71</v>
      </c>
      <c r="B91" s="43">
        <v>128</v>
      </c>
      <c r="C91" s="44">
        <v>409.796875</v>
      </c>
      <c r="D91" s="11"/>
      <c r="E91" s="11"/>
      <c r="F91" s="11"/>
      <c r="G91" s="11"/>
      <c r="H91" s="11"/>
      <c r="I91" s="11"/>
      <c r="J91" s="11"/>
      <c r="K91" s="11"/>
      <c r="L91" s="11"/>
      <c r="N91" s="11"/>
      <c r="O91" s="11"/>
      <c r="P91" s="11"/>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row>
    <row r="92" spans="1:56" ht="16.2" thickBot="1" x14ac:dyDescent="0.35">
      <c r="A92" s="42" t="s">
        <v>488</v>
      </c>
      <c r="B92" s="43">
        <v>4181</v>
      </c>
      <c r="C92" s="44">
        <v>536.67615403013633</v>
      </c>
      <c r="D92" s="11"/>
      <c r="E92" s="11"/>
      <c r="F92" s="11"/>
      <c r="G92" s="11"/>
      <c r="H92" s="11"/>
      <c r="I92" s="11"/>
      <c r="J92" s="11"/>
      <c r="K92" s="11"/>
      <c r="L92" s="11"/>
      <c r="N92" s="11"/>
      <c r="O92" s="11"/>
      <c r="P92" s="11"/>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row>
    <row r="93" spans="1:56" ht="16.2" thickBot="1" x14ac:dyDescent="0.35">
      <c r="A93" s="42" t="s">
        <v>21</v>
      </c>
      <c r="B93" s="43">
        <v>139</v>
      </c>
      <c r="C93" s="44">
        <v>1475.6330935251799</v>
      </c>
      <c r="D93" s="11"/>
      <c r="E93" s="11"/>
      <c r="F93" s="11"/>
      <c r="G93" s="11"/>
      <c r="H93" s="11"/>
      <c r="I93" s="11"/>
      <c r="J93" s="11"/>
      <c r="K93" s="11"/>
      <c r="L93" s="11"/>
      <c r="N93" s="11"/>
      <c r="O93" s="11"/>
      <c r="P93" s="11"/>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row>
    <row r="94" spans="1:56" ht="16.2" thickBot="1" x14ac:dyDescent="0.35">
      <c r="A94" s="42" t="s">
        <v>553</v>
      </c>
      <c r="B94" s="43">
        <v>44</v>
      </c>
      <c r="C94" s="44">
        <v>92.88636363636364</v>
      </c>
      <c r="D94" s="11"/>
      <c r="E94" s="11"/>
      <c r="F94" s="11"/>
      <c r="G94" s="11"/>
      <c r="H94" s="11"/>
      <c r="I94" s="11"/>
      <c r="J94" s="11"/>
      <c r="K94" s="11"/>
      <c r="L94" s="11"/>
      <c r="N94" s="11"/>
      <c r="O94" s="11"/>
      <c r="P94" s="11"/>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row>
    <row r="95" spans="1:56" ht="16.2" thickBot="1" x14ac:dyDescent="0.35">
      <c r="A95" s="45" t="s">
        <v>501</v>
      </c>
      <c r="B95" s="46">
        <v>11132</v>
      </c>
      <c r="C95" s="47">
        <v>390.54186130075459</v>
      </c>
      <c r="D95" s="11"/>
      <c r="E95" s="11"/>
      <c r="F95" s="11"/>
      <c r="G95" s="11"/>
      <c r="H95" s="11"/>
      <c r="I95" s="11"/>
      <c r="J95" s="11"/>
      <c r="K95" s="11"/>
      <c r="L95" s="11"/>
      <c r="N95" s="11"/>
      <c r="O95" s="11"/>
      <c r="P95" s="11"/>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row>
    <row r="96" spans="1:56" ht="16.2" thickBot="1" x14ac:dyDescent="0.35">
      <c r="A96" s="42" t="s">
        <v>71</v>
      </c>
      <c r="B96" s="43">
        <v>355</v>
      </c>
      <c r="C96" s="44">
        <v>480.92957746478874</v>
      </c>
      <c r="D96" s="11"/>
      <c r="E96" s="11"/>
      <c r="F96" s="11"/>
      <c r="G96" s="11"/>
      <c r="H96" s="11"/>
      <c r="I96" s="11"/>
      <c r="J96" s="11"/>
      <c r="K96" s="11"/>
      <c r="L96" s="11"/>
      <c r="N96" s="11"/>
      <c r="O96" s="11"/>
      <c r="P96" s="11"/>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row>
    <row r="97" spans="1:56" ht="16.2" thickBot="1" x14ac:dyDescent="0.35">
      <c r="A97" s="42" t="s">
        <v>488</v>
      </c>
      <c r="B97" s="43">
        <v>10452</v>
      </c>
      <c r="C97" s="44">
        <v>344.86854190585535</v>
      </c>
      <c r="D97" s="11"/>
      <c r="E97" s="11"/>
      <c r="F97" s="11"/>
      <c r="G97" s="11"/>
      <c r="H97" s="11"/>
      <c r="I97" s="11"/>
      <c r="J97" s="11"/>
      <c r="K97" s="11"/>
      <c r="L97" s="11"/>
      <c r="N97" s="11"/>
      <c r="O97" s="11"/>
      <c r="P97" s="11"/>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row>
    <row r="98" spans="1:56" ht="16.2" thickBot="1" x14ac:dyDescent="0.35">
      <c r="A98" s="42" t="s">
        <v>21</v>
      </c>
      <c r="B98" s="43">
        <v>318</v>
      </c>
      <c r="C98" s="44">
        <v>1790.9811320754718</v>
      </c>
      <c r="D98" s="11"/>
      <c r="E98" s="11"/>
      <c r="F98" s="11"/>
      <c r="G98" s="11"/>
      <c r="H98" s="11"/>
      <c r="I98" s="11"/>
      <c r="J98" s="11"/>
      <c r="K98" s="11"/>
      <c r="L98" s="11"/>
      <c r="N98" s="11"/>
      <c r="O98" s="11"/>
      <c r="P98" s="11"/>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row>
    <row r="99" spans="1:56" ht="16.2" thickBot="1" x14ac:dyDescent="0.35">
      <c r="A99" s="42" t="s">
        <v>553</v>
      </c>
      <c r="B99" s="43">
        <v>7</v>
      </c>
      <c r="C99" s="44">
        <v>383.42857142857144</v>
      </c>
      <c r="D99" s="11"/>
      <c r="E99" s="11"/>
      <c r="F99" s="11"/>
      <c r="G99" s="11"/>
      <c r="H99" s="11"/>
      <c r="I99" s="11"/>
      <c r="J99" s="11"/>
      <c r="K99" s="11"/>
      <c r="L99" s="11"/>
      <c r="N99" s="11"/>
      <c r="O99" s="11"/>
      <c r="P99" s="11"/>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row>
    <row r="100" spans="1:56" ht="16.2" thickBot="1" x14ac:dyDescent="0.35">
      <c r="A100" s="45" t="s">
        <v>502</v>
      </c>
      <c r="B100" s="46">
        <v>16061</v>
      </c>
      <c r="C100" s="47">
        <v>739.78102235228198</v>
      </c>
      <c r="D100" s="11"/>
      <c r="E100" s="11"/>
      <c r="F100" s="11"/>
      <c r="G100" s="11"/>
      <c r="H100" s="11"/>
      <c r="I100" s="11"/>
      <c r="J100" s="11"/>
      <c r="K100" s="11"/>
      <c r="L100" s="11"/>
      <c r="N100" s="11"/>
      <c r="O100" s="11"/>
      <c r="P100" s="11"/>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row>
    <row r="101" spans="1:56" ht="16.2" thickBot="1" x14ac:dyDescent="0.35">
      <c r="A101" s="42" t="s">
        <v>71</v>
      </c>
      <c r="B101" s="43">
        <v>210</v>
      </c>
      <c r="C101" s="44">
        <v>492.21904761904761</v>
      </c>
      <c r="D101" s="11"/>
      <c r="E101" s="11"/>
      <c r="F101" s="11"/>
      <c r="G101" s="11"/>
      <c r="H101" s="11"/>
      <c r="I101" s="11"/>
      <c r="J101" s="11"/>
      <c r="K101" s="11"/>
      <c r="L101" s="11"/>
      <c r="N101" s="11"/>
      <c r="O101" s="11"/>
      <c r="P101" s="11"/>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row>
    <row r="102" spans="1:56" ht="16.2" thickBot="1" x14ac:dyDescent="0.35">
      <c r="A102" s="42" t="s">
        <v>488</v>
      </c>
      <c r="B102" s="43">
        <v>14248</v>
      </c>
      <c r="C102" s="44">
        <v>586.30088433464346</v>
      </c>
      <c r="D102" s="11"/>
      <c r="E102" s="11"/>
      <c r="F102" s="11"/>
      <c r="G102" s="11"/>
      <c r="H102" s="11"/>
      <c r="I102" s="11"/>
      <c r="J102" s="11"/>
      <c r="K102" s="11"/>
      <c r="L102" s="11"/>
      <c r="N102" s="11"/>
      <c r="O102" s="11"/>
      <c r="P102" s="11"/>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row>
    <row r="103" spans="1:56" ht="16.2" thickBot="1" x14ac:dyDescent="0.35">
      <c r="A103" s="42" t="s">
        <v>21</v>
      </c>
      <c r="B103" s="43">
        <v>1587</v>
      </c>
      <c r="C103" s="44">
        <v>2150.1235034656584</v>
      </c>
      <c r="D103" s="11"/>
      <c r="E103" s="11"/>
      <c r="F103" s="11"/>
      <c r="G103" s="11"/>
      <c r="H103" s="11"/>
      <c r="I103" s="11"/>
      <c r="J103" s="11"/>
      <c r="K103" s="11"/>
      <c r="L103" s="11"/>
      <c r="N103" s="11"/>
      <c r="O103" s="11"/>
      <c r="P103" s="11"/>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row>
    <row r="104" spans="1:56" ht="16.2" thickBot="1" x14ac:dyDescent="0.35">
      <c r="A104" s="42" t="s">
        <v>553</v>
      </c>
      <c r="B104" s="43">
        <v>16</v>
      </c>
      <c r="C104" s="44">
        <v>774.75</v>
      </c>
      <c r="D104" s="11"/>
      <c r="E104" s="11"/>
      <c r="F104" s="11"/>
      <c r="G104" s="11"/>
      <c r="H104" s="11"/>
      <c r="I104" s="11"/>
      <c r="J104" s="11"/>
      <c r="K104" s="11"/>
      <c r="L104" s="11"/>
      <c r="N104" s="11"/>
      <c r="O104" s="11"/>
      <c r="P104" s="11"/>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row>
    <row r="105" spans="1:56" ht="16.2" thickBot="1" x14ac:dyDescent="0.35">
      <c r="A105" s="45" t="s">
        <v>503</v>
      </c>
      <c r="B105" s="46">
        <v>8349</v>
      </c>
      <c r="C105" s="47">
        <v>383.32626661875673</v>
      </c>
      <c r="D105" s="11"/>
      <c r="E105" s="11"/>
      <c r="F105" s="11"/>
      <c r="G105" s="11"/>
      <c r="H105" s="11"/>
      <c r="I105" s="11"/>
      <c r="J105" s="11"/>
      <c r="K105" s="11"/>
      <c r="L105" s="11"/>
      <c r="N105" s="11"/>
      <c r="O105" s="11"/>
      <c r="P105" s="11"/>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row>
    <row r="106" spans="1:56" ht="16.2" thickBot="1" x14ac:dyDescent="0.35">
      <c r="A106" s="42" t="s">
        <v>71</v>
      </c>
      <c r="B106" s="43">
        <v>51</v>
      </c>
      <c r="C106" s="44">
        <v>190.1764705882353</v>
      </c>
      <c r="D106" s="11"/>
      <c r="E106" s="11"/>
      <c r="F106" s="11"/>
      <c r="G106" s="11"/>
      <c r="H106" s="11"/>
      <c r="I106" s="11"/>
      <c r="J106" s="11"/>
      <c r="K106" s="11"/>
      <c r="L106" s="11"/>
      <c r="N106" s="11"/>
      <c r="O106" s="11"/>
      <c r="P106" s="11"/>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row>
    <row r="107" spans="1:56" ht="16.2" thickBot="1" x14ac:dyDescent="0.35">
      <c r="A107" s="42" t="s">
        <v>488</v>
      </c>
      <c r="B107" s="43">
        <v>8216</v>
      </c>
      <c r="C107" s="44">
        <v>374.52921129503409</v>
      </c>
      <c r="D107" s="11"/>
      <c r="E107" s="11"/>
      <c r="F107" s="11"/>
      <c r="G107" s="11"/>
      <c r="H107" s="11"/>
      <c r="I107" s="11"/>
      <c r="J107" s="11"/>
      <c r="K107" s="11"/>
      <c r="L107" s="11"/>
      <c r="N107" s="11"/>
      <c r="O107" s="11"/>
      <c r="P107" s="11"/>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row>
    <row r="108" spans="1:56" ht="16.2" thickBot="1" x14ac:dyDescent="0.35">
      <c r="A108" s="42" t="s">
        <v>21</v>
      </c>
      <c r="B108" s="43">
        <v>78</v>
      </c>
      <c r="C108" s="44">
        <v>1402.7435897435898</v>
      </c>
      <c r="D108" s="11"/>
      <c r="E108" s="11"/>
      <c r="F108" s="11"/>
      <c r="G108" s="11"/>
      <c r="H108" s="11"/>
      <c r="I108" s="11"/>
      <c r="J108" s="11"/>
      <c r="K108" s="11"/>
      <c r="L108" s="11"/>
      <c r="N108" s="11"/>
      <c r="O108" s="11"/>
      <c r="P108" s="11"/>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row>
    <row r="109" spans="1:56" ht="16.2" thickBot="1" x14ac:dyDescent="0.35">
      <c r="A109" s="42" t="s">
        <v>553</v>
      </c>
      <c r="B109" s="43">
        <v>4</v>
      </c>
      <c r="C109" s="44">
        <v>1036.5</v>
      </c>
      <c r="D109" s="11"/>
      <c r="E109" s="11"/>
      <c r="F109" s="11"/>
      <c r="G109" s="11"/>
      <c r="H109" s="11"/>
      <c r="I109" s="11"/>
      <c r="J109" s="11"/>
      <c r="K109" s="11"/>
      <c r="L109" s="11"/>
      <c r="N109" s="11"/>
      <c r="O109" s="11"/>
      <c r="P109" s="11"/>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row>
    <row r="110" spans="1:56" ht="16.2" thickBot="1" x14ac:dyDescent="0.35">
      <c r="A110" s="45" t="s">
        <v>504</v>
      </c>
      <c r="B110" s="46">
        <v>25897</v>
      </c>
      <c r="C110" s="47">
        <v>110.42537745684828</v>
      </c>
      <c r="D110" s="11"/>
      <c r="E110" s="11"/>
      <c r="F110" s="11"/>
      <c r="G110" s="11"/>
      <c r="H110" s="11"/>
      <c r="I110" s="11"/>
      <c r="J110" s="11"/>
      <c r="K110" s="11"/>
      <c r="L110" s="11"/>
      <c r="N110" s="11"/>
      <c r="O110" s="11"/>
      <c r="P110" s="11"/>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row>
    <row r="111" spans="1:56" ht="16.2" thickBot="1" x14ac:dyDescent="0.35">
      <c r="A111" s="42" t="s">
        <v>71</v>
      </c>
      <c r="B111" s="43">
        <v>6701</v>
      </c>
      <c r="C111" s="44">
        <v>84.466199074764958</v>
      </c>
      <c r="D111" s="11"/>
      <c r="E111" s="11"/>
      <c r="F111" s="11"/>
      <c r="G111" s="11"/>
      <c r="H111" s="11"/>
      <c r="I111" s="11"/>
      <c r="J111" s="11"/>
      <c r="K111" s="11"/>
      <c r="L111" s="11"/>
      <c r="N111" s="11"/>
      <c r="O111" s="11"/>
      <c r="P111" s="11"/>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row>
    <row r="112" spans="1:56" ht="16.2" thickBot="1" x14ac:dyDescent="0.35">
      <c r="A112" s="42" t="s">
        <v>488</v>
      </c>
      <c r="B112" s="43">
        <v>19194</v>
      </c>
      <c r="C112" s="44">
        <v>119.49890590809628</v>
      </c>
      <c r="D112" s="11"/>
      <c r="E112" s="11"/>
      <c r="F112" s="11"/>
      <c r="G112" s="11"/>
      <c r="H112" s="11"/>
      <c r="I112" s="11"/>
      <c r="J112" s="11"/>
      <c r="K112" s="11"/>
      <c r="L112" s="11"/>
      <c r="N112" s="11"/>
      <c r="O112" s="11"/>
      <c r="P112" s="11"/>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row>
    <row r="113" spans="1:56" ht="16.2" thickBot="1" x14ac:dyDescent="0.35">
      <c r="A113" s="42" t="s">
        <v>553</v>
      </c>
      <c r="B113" s="43">
        <v>2</v>
      </c>
      <c r="C113" s="44">
        <v>8</v>
      </c>
      <c r="D113" s="11"/>
      <c r="E113" s="11"/>
      <c r="F113" s="11"/>
      <c r="G113" s="11"/>
      <c r="H113" s="11"/>
      <c r="I113" s="11"/>
      <c r="J113" s="11"/>
      <c r="K113" s="11"/>
      <c r="L113" s="11"/>
      <c r="N113" s="11"/>
      <c r="O113" s="11"/>
      <c r="P113" s="11"/>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row>
    <row r="114" spans="1:56" ht="16.2" thickBot="1" x14ac:dyDescent="0.35">
      <c r="A114" s="45" t="s">
        <v>505</v>
      </c>
      <c r="B114" s="46">
        <v>10266</v>
      </c>
      <c r="C114" s="47">
        <v>446.08942139099941</v>
      </c>
      <c r="D114" s="11"/>
      <c r="E114" s="11"/>
      <c r="F114" s="11"/>
      <c r="G114" s="11"/>
      <c r="H114" s="11"/>
      <c r="I114" s="11"/>
      <c r="J114" s="11"/>
      <c r="K114" s="11"/>
      <c r="L114" s="11"/>
      <c r="N114" s="11"/>
      <c r="O114" s="11"/>
      <c r="P114" s="11"/>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row>
    <row r="115" spans="1:56" ht="16.2" thickBot="1" x14ac:dyDescent="0.35">
      <c r="A115" s="42" t="s">
        <v>71</v>
      </c>
      <c r="B115" s="43">
        <v>76</v>
      </c>
      <c r="C115" s="44">
        <v>315.42105263157896</v>
      </c>
      <c r="D115" s="11"/>
      <c r="E115" s="11"/>
      <c r="F115" s="11"/>
      <c r="G115" s="11"/>
      <c r="H115" s="11"/>
      <c r="I115" s="11"/>
      <c r="J115" s="11"/>
      <c r="K115" s="11"/>
      <c r="L115" s="11"/>
      <c r="N115" s="11"/>
      <c r="O115" s="11"/>
      <c r="P115" s="11"/>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row>
    <row r="116" spans="1:56" ht="16.2" thickBot="1" x14ac:dyDescent="0.35">
      <c r="A116" s="42" t="s">
        <v>488</v>
      </c>
      <c r="B116" s="43">
        <v>9840</v>
      </c>
      <c r="C116" s="44">
        <v>421.42804878048781</v>
      </c>
      <c r="D116" s="11"/>
      <c r="E116" s="11"/>
      <c r="F116" s="11"/>
      <c r="G116" s="11"/>
      <c r="H116" s="11"/>
      <c r="I116" s="11"/>
      <c r="J116" s="11"/>
      <c r="K116" s="11"/>
      <c r="L116" s="11"/>
      <c r="N116" s="11"/>
      <c r="O116" s="11"/>
      <c r="P116" s="11"/>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row>
    <row r="117" spans="1:56" ht="16.2" thickBot="1" x14ac:dyDescent="0.35">
      <c r="A117" s="42" t="s">
        <v>21</v>
      </c>
      <c r="B117" s="43">
        <v>328</v>
      </c>
      <c r="C117" s="44">
        <v>1239.939024390244</v>
      </c>
      <c r="D117" s="11"/>
      <c r="E117" s="11"/>
      <c r="F117" s="11"/>
      <c r="G117" s="11"/>
      <c r="H117" s="11"/>
      <c r="I117" s="11"/>
      <c r="J117" s="11"/>
      <c r="K117" s="11"/>
      <c r="L117" s="11"/>
      <c r="N117" s="11"/>
      <c r="O117" s="11"/>
      <c r="P117" s="11"/>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row>
    <row r="118" spans="1:56" ht="16.2" thickBot="1" x14ac:dyDescent="0.35">
      <c r="A118" s="42" t="s">
        <v>553</v>
      </c>
      <c r="B118" s="43">
        <v>22</v>
      </c>
      <c r="C118" s="44">
        <v>92.272727272727266</v>
      </c>
      <c r="D118" s="11"/>
      <c r="E118" s="11"/>
      <c r="F118" s="11"/>
      <c r="G118" s="11"/>
      <c r="H118" s="11"/>
      <c r="I118" s="11"/>
      <c r="J118" s="11"/>
      <c r="K118" s="11"/>
      <c r="L118" s="11"/>
      <c r="N118" s="11"/>
      <c r="O118" s="11"/>
      <c r="P118" s="11"/>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row>
    <row r="119" spans="1:56" ht="16.2" thickBot="1" x14ac:dyDescent="0.35">
      <c r="A119" s="45" t="s">
        <v>506</v>
      </c>
      <c r="B119" s="46">
        <v>53434</v>
      </c>
      <c r="C119" s="47">
        <v>117.7101658120298</v>
      </c>
      <c r="D119" s="11"/>
      <c r="E119" s="11"/>
      <c r="F119" s="11"/>
      <c r="G119" s="11"/>
      <c r="H119" s="11"/>
      <c r="I119" s="11"/>
      <c r="J119" s="11"/>
      <c r="K119" s="11"/>
      <c r="L119" s="11"/>
      <c r="N119" s="11"/>
      <c r="O119" s="11"/>
      <c r="P119" s="11"/>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row>
    <row r="120" spans="1:56" ht="16.2" thickBot="1" x14ac:dyDescent="0.35">
      <c r="A120" s="42" t="s">
        <v>71</v>
      </c>
      <c r="B120" s="43">
        <v>17279</v>
      </c>
      <c r="C120" s="44">
        <v>50.809537588980845</v>
      </c>
      <c r="D120" s="11"/>
      <c r="E120" s="11"/>
      <c r="F120" s="11"/>
      <c r="G120" s="11"/>
      <c r="H120" s="11"/>
      <c r="I120" s="11"/>
      <c r="J120" s="11"/>
      <c r="K120" s="11"/>
      <c r="L120" s="11"/>
      <c r="N120" s="11"/>
      <c r="O120" s="11"/>
      <c r="P120" s="11"/>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row>
    <row r="121" spans="1:56" ht="16.2" thickBot="1" x14ac:dyDescent="0.35">
      <c r="A121" s="42" t="s">
        <v>488</v>
      </c>
      <c r="B121" s="43">
        <v>34535</v>
      </c>
      <c r="C121" s="44">
        <v>138.17747212972347</v>
      </c>
      <c r="D121" s="11"/>
      <c r="E121" s="11"/>
      <c r="F121" s="11"/>
      <c r="G121" s="11"/>
      <c r="H121" s="11"/>
      <c r="I121" s="11"/>
      <c r="J121" s="11"/>
      <c r="K121" s="11"/>
      <c r="L121" s="11"/>
      <c r="N121" s="11"/>
      <c r="O121" s="11"/>
      <c r="P121" s="11"/>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row>
    <row r="122" spans="1:56" ht="16.2" thickBot="1" x14ac:dyDescent="0.35">
      <c r="A122" s="42" t="s">
        <v>21</v>
      </c>
      <c r="B122" s="43">
        <v>1608</v>
      </c>
      <c r="C122" s="44">
        <v>397.61753731343282</v>
      </c>
      <c r="D122" s="11"/>
      <c r="E122" s="11"/>
      <c r="F122" s="11"/>
      <c r="G122" s="11"/>
      <c r="H122" s="11"/>
      <c r="I122" s="11"/>
      <c r="J122" s="11"/>
      <c r="K122" s="11"/>
      <c r="L122" s="11"/>
      <c r="N122" s="11"/>
      <c r="O122" s="11"/>
      <c r="P122" s="11"/>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row>
    <row r="123" spans="1:56" ht="16.2" thickBot="1" x14ac:dyDescent="0.35">
      <c r="A123" s="42" t="s">
        <v>553</v>
      </c>
      <c r="B123" s="43">
        <v>12</v>
      </c>
      <c r="C123" s="44">
        <v>38.25</v>
      </c>
      <c r="D123" s="11"/>
      <c r="E123" s="11"/>
      <c r="F123" s="11"/>
      <c r="G123" s="11"/>
      <c r="H123" s="11"/>
      <c r="I123" s="11"/>
      <c r="J123" s="11"/>
      <c r="K123" s="11"/>
      <c r="L123" s="11"/>
      <c r="N123" s="11"/>
      <c r="O123" s="11"/>
      <c r="P123" s="11"/>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row>
    <row r="124" spans="1:56" ht="16.2" thickBot="1" x14ac:dyDescent="0.35">
      <c r="A124" s="45" t="s">
        <v>507</v>
      </c>
      <c r="B124" s="46">
        <v>14930</v>
      </c>
      <c r="C124" s="47">
        <v>185.82069658405894</v>
      </c>
      <c r="D124" s="11"/>
      <c r="E124" s="11"/>
      <c r="F124" s="11"/>
      <c r="G124" s="11"/>
      <c r="H124" s="11"/>
      <c r="I124" s="11"/>
      <c r="J124" s="11"/>
      <c r="K124" s="11"/>
      <c r="L124" s="11"/>
      <c r="N124" s="11"/>
      <c r="O124" s="11"/>
      <c r="P124" s="11"/>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row>
    <row r="125" spans="1:56" ht="16.2" thickBot="1" x14ac:dyDescent="0.35">
      <c r="A125" s="42" t="s">
        <v>71</v>
      </c>
      <c r="B125" s="43">
        <v>3788</v>
      </c>
      <c r="C125" s="44">
        <v>89.085533262935584</v>
      </c>
      <c r="D125" s="11"/>
      <c r="E125" s="11"/>
      <c r="F125" s="11"/>
      <c r="G125" s="11"/>
      <c r="H125" s="11"/>
      <c r="I125" s="11"/>
      <c r="J125" s="11"/>
      <c r="K125" s="11"/>
      <c r="L125" s="11"/>
      <c r="N125" s="11"/>
      <c r="O125" s="11"/>
      <c r="P125" s="11"/>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row>
    <row r="126" spans="1:56" ht="16.2" thickBot="1" x14ac:dyDescent="0.35">
      <c r="A126" s="42" t="s">
        <v>488</v>
      </c>
      <c r="B126" s="43">
        <v>10884</v>
      </c>
      <c r="C126" s="44">
        <v>180.12366776920251</v>
      </c>
      <c r="D126" s="11"/>
      <c r="E126" s="11"/>
      <c r="F126" s="11"/>
      <c r="G126" s="11"/>
      <c r="H126" s="11"/>
      <c r="I126" s="11"/>
      <c r="J126" s="11"/>
      <c r="K126" s="11"/>
      <c r="L126" s="11"/>
      <c r="N126" s="11"/>
      <c r="O126" s="11"/>
      <c r="P126" s="11"/>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row>
    <row r="127" spans="1:56" ht="16.2" thickBot="1" x14ac:dyDescent="0.35">
      <c r="A127" s="42" t="s">
        <v>21</v>
      </c>
      <c r="B127" s="43">
        <v>242</v>
      </c>
      <c r="C127" s="44">
        <v>1855.7272727272727</v>
      </c>
      <c r="D127" s="11"/>
      <c r="E127" s="11"/>
      <c r="F127" s="11"/>
      <c r="G127" s="11"/>
      <c r="H127" s="11"/>
      <c r="I127" s="11"/>
      <c r="J127" s="11"/>
      <c r="K127" s="11"/>
      <c r="L127" s="11"/>
      <c r="N127" s="11"/>
      <c r="O127" s="11"/>
      <c r="P127" s="11"/>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row>
    <row r="128" spans="1:56" ht="16.2" thickBot="1" x14ac:dyDescent="0.35">
      <c r="A128" s="42" t="s">
        <v>553</v>
      </c>
      <c r="B128" s="43">
        <v>16</v>
      </c>
      <c r="C128" s="44">
        <v>1705.9375</v>
      </c>
      <c r="D128" s="11"/>
      <c r="E128" s="11"/>
      <c r="F128" s="11"/>
      <c r="G128" s="11"/>
      <c r="H128" s="11"/>
      <c r="I128" s="11"/>
      <c r="J128" s="11"/>
      <c r="K128" s="11"/>
      <c r="L128" s="11"/>
      <c r="N128" s="11"/>
      <c r="O128" s="11"/>
      <c r="P128" s="11"/>
      <c r="Q128" s="11"/>
      <c r="R128" s="11"/>
      <c r="S128" s="11"/>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row>
    <row r="129" spans="1:56" ht="16.2" thickBot="1" x14ac:dyDescent="0.35">
      <c r="A129" s="45" t="s">
        <v>508</v>
      </c>
      <c r="B129" s="46">
        <v>18562</v>
      </c>
      <c r="C129" s="47">
        <v>856.14201055920694</v>
      </c>
      <c r="D129" s="11"/>
      <c r="E129" s="11"/>
      <c r="F129" s="11"/>
      <c r="G129" s="11"/>
      <c r="I129" s="11"/>
      <c r="J129" s="11"/>
      <c r="K129" s="11"/>
      <c r="L129" s="11"/>
      <c r="N129" s="11"/>
      <c r="O129" s="11"/>
      <c r="P129" s="11"/>
      <c r="Q129" s="11"/>
      <c r="R129" s="11"/>
      <c r="S129" s="11"/>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row>
    <row r="130" spans="1:56" ht="16.2" thickBot="1" x14ac:dyDescent="0.35">
      <c r="A130" s="42" t="s">
        <v>71</v>
      </c>
      <c r="B130" s="43">
        <v>756</v>
      </c>
      <c r="C130" s="44">
        <v>544.85185185185185</v>
      </c>
      <c r="D130" s="11"/>
      <c r="E130" s="11"/>
      <c r="F130" s="11"/>
      <c r="G130" s="11"/>
      <c r="M130" s="1"/>
      <c r="Q130" s="1"/>
      <c r="R130" s="1"/>
      <c r="S130" s="1"/>
    </row>
    <row r="131" spans="1:56" ht="16.2" thickBot="1" x14ac:dyDescent="0.35">
      <c r="A131" s="42" t="s">
        <v>488</v>
      </c>
      <c r="B131" s="43">
        <v>13474</v>
      </c>
      <c r="C131" s="44">
        <v>542.25552916728509</v>
      </c>
      <c r="D131" s="11"/>
      <c r="E131" s="11"/>
      <c r="F131" s="11"/>
      <c r="G131" s="11"/>
      <c r="M131" s="1"/>
      <c r="Q131" s="1"/>
      <c r="R131" s="1"/>
      <c r="S131" s="1"/>
    </row>
    <row r="132" spans="1:56" ht="16.2" thickBot="1" x14ac:dyDescent="0.35">
      <c r="A132" s="42" t="s">
        <v>21</v>
      </c>
      <c r="B132" s="43">
        <v>4300</v>
      </c>
      <c r="C132" s="44">
        <v>1890.7688372093023</v>
      </c>
      <c r="E132" s="11"/>
      <c r="F132" s="11"/>
      <c r="G132" s="11"/>
      <c r="Q132" s="1"/>
      <c r="R132" s="1"/>
      <c r="S132" s="1"/>
    </row>
    <row r="133" spans="1:56" ht="16.2" thickBot="1" x14ac:dyDescent="0.35">
      <c r="A133" s="42" t="s">
        <v>553</v>
      </c>
      <c r="B133" s="43">
        <v>32</v>
      </c>
      <c r="C133" s="44">
        <v>1348.21875</v>
      </c>
      <c r="E133" s="11"/>
      <c r="F133" s="11"/>
      <c r="Q133" s="1"/>
      <c r="R133" s="1"/>
      <c r="S133" s="1"/>
    </row>
    <row r="134" spans="1:56" ht="16.2" thickBot="1" x14ac:dyDescent="0.35">
      <c r="A134" s="45" t="s">
        <v>509</v>
      </c>
      <c r="B134" s="46">
        <v>6399</v>
      </c>
      <c r="C134" s="47">
        <v>700.72167526175963</v>
      </c>
      <c r="E134" s="11"/>
      <c r="F134" s="11"/>
      <c r="Q134" s="1"/>
      <c r="R134" s="1"/>
      <c r="S134" s="1"/>
    </row>
    <row r="135" spans="1:56" ht="16.2" thickBot="1" x14ac:dyDescent="0.35">
      <c r="A135" s="42" t="s">
        <v>71</v>
      </c>
      <c r="B135" s="43">
        <v>124</v>
      </c>
      <c r="C135" s="44">
        <v>293.63709677419354</v>
      </c>
      <c r="E135" s="11"/>
      <c r="Q135" s="1"/>
      <c r="R135" s="1"/>
      <c r="S135" s="1"/>
    </row>
    <row r="136" spans="1:56" ht="16.2" thickBot="1" x14ac:dyDescent="0.35">
      <c r="A136" s="42" t="s">
        <v>488</v>
      </c>
      <c r="B136" s="43">
        <v>5670</v>
      </c>
      <c r="C136" s="44">
        <v>578.40335097001764</v>
      </c>
      <c r="Q136" s="1"/>
      <c r="R136" s="1"/>
      <c r="S136" s="1"/>
    </row>
    <row r="137" spans="1:56" ht="16.2" thickBot="1" x14ac:dyDescent="0.35">
      <c r="A137" s="42" t="s">
        <v>21</v>
      </c>
      <c r="B137" s="43">
        <v>583</v>
      </c>
      <c r="C137" s="44">
        <v>1971.6140651801029</v>
      </c>
      <c r="Q137" s="1"/>
      <c r="R137" s="1"/>
      <c r="S137" s="1"/>
    </row>
    <row r="138" spans="1:56" ht="16.2" thickBot="1" x14ac:dyDescent="0.35">
      <c r="A138" s="42" t="s">
        <v>553</v>
      </c>
      <c r="B138" s="43">
        <v>22</v>
      </c>
      <c r="C138" s="44">
        <v>841.31818181818187</v>
      </c>
      <c r="Q138" s="1"/>
      <c r="R138" s="1"/>
      <c r="S138" s="1"/>
    </row>
    <row r="139" spans="1:56" ht="16.2" thickBot="1" x14ac:dyDescent="0.35">
      <c r="A139" s="45" t="s">
        <v>510</v>
      </c>
      <c r="B139" s="46">
        <v>2912</v>
      </c>
      <c r="C139" s="47">
        <v>1041.1957417582419</v>
      </c>
      <c r="Q139" s="1"/>
      <c r="R139" s="1"/>
      <c r="S139" s="1"/>
    </row>
    <row r="140" spans="1:56" ht="16.2" thickBot="1" x14ac:dyDescent="0.35">
      <c r="A140" s="42" t="s">
        <v>71</v>
      </c>
      <c r="B140" s="43">
        <v>99</v>
      </c>
      <c r="C140" s="44">
        <v>682.39393939393938</v>
      </c>
      <c r="Q140" s="1"/>
      <c r="R140" s="1"/>
      <c r="S140" s="1"/>
    </row>
    <row r="141" spans="1:56" ht="16.2" thickBot="1" x14ac:dyDescent="0.35">
      <c r="A141" s="42" t="s">
        <v>488</v>
      </c>
      <c r="B141" s="43">
        <v>2287</v>
      </c>
      <c r="C141" s="44">
        <v>798.4582422387407</v>
      </c>
      <c r="Q141" s="1"/>
      <c r="R141" s="1"/>
      <c r="S141" s="1"/>
    </row>
    <row r="142" spans="1:56" ht="16.2" thickBot="1" x14ac:dyDescent="0.35">
      <c r="A142" s="42" t="s">
        <v>21</v>
      </c>
      <c r="B142" s="43">
        <v>499</v>
      </c>
      <c r="C142" s="44">
        <v>2203.9458917835673</v>
      </c>
      <c r="Q142" s="1"/>
      <c r="R142" s="1"/>
      <c r="S142" s="1"/>
    </row>
    <row r="143" spans="1:56" ht="16.2" thickBot="1" x14ac:dyDescent="0.35">
      <c r="A143" s="42" t="s">
        <v>553</v>
      </c>
      <c r="B143" s="43">
        <v>27</v>
      </c>
      <c r="C143" s="44">
        <v>1428.2222222222222</v>
      </c>
      <c r="Q143" s="1"/>
      <c r="R143" s="1"/>
      <c r="S143" s="1"/>
    </row>
    <row r="144" spans="1:56" ht="16.2" thickBot="1" x14ac:dyDescent="0.35">
      <c r="A144" s="45" t="s">
        <v>545</v>
      </c>
      <c r="B144" s="46">
        <v>5338</v>
      </c>
      <c r="C144" s="47">
        <v>505.3441363806669</v>
      </c>
      <c r="Q144" s="1"/>
      <c r="R144" s="1"/>
      <c r="S144" s="1"/>
    </row>
    <row r="145" spans="1:19" ht="16.2" thickBot="1" x14ac:dyDescent="0.35">
      <c r="A145" s="42" t="s">
        <v>71</v>
      </c>
      <c r="B145" s="43">
        <v>299</v>
      </c>
      <c r="C145" s="44">
        <v>583.15050167224081</v>
      </c>
      <c r="Q145" s="1"/>
      <c r="R145" s="1"/>
      <c r="S145" s="1"/>
    </row>
    <row r="146" spans="1:19" ht="16.2" thickBot="1" x14ac:dyDescent="0.35">
      <c r="A146" s="42" t="s">
        <v>488</v>
      </c>
      <c r="B146" s="43">
        <v>4992</v>
      </c>
      <c r="C146" s="44">
        <v>493.64443108974359</v>
      </c>
      <c r="Q146" s="1"/>
      <c r="R146" s="1"/>
      <c r="S146" s="1"/>
    </row>
    <row r="147" spans="1:19" ht="16.2" thickBot="1" x14ac:dyDescent="0.35">
      <c r="A147" s="42" t="s">
        <v>21</v>
      </c>
      <c r="B147" s="43">
        <v>36</v>
      </c>
      <c r="C147" s="44">
        <v>1434.8888888888889</v>
      </c>
      <c r="Q147" s="1"/>
      <c r="R147" s="1"/>
      <c r="S147" s="1"/>
    </row>
    <row r="148" spans="1:19" ht="16.2" thickBot="1" x14ac:dyDescent="0.35">
      <c r="A148" s="42" t="s">
        <v>553</v>
      </c>
      <c r="B148" s="43">
        <v>11</v>
      </c>
      <c r="C148" s="44">
        <v>657.81818181818187</v>
      </c>
      <c r="Q148" s="1"/>
      <c r="R148" s="1"/>
      <c r="S148" s="1"/>
    </row>
    <row r="149" spans="1:19" x14ac:dyDescent="0.3">
      <c r="Q149" s="1"/>
      <c r="R149" s="1"/>
      <c r="S149" s="1"/>
    </row>
    <row r="150" spans="1:19" x14ac:dyDescent="0.3">
      <c r="Q150" s="1"/>
      <c r="R150" s="1"/>
      <c r="S150" s="1"/>
    </row>
    <row r="151" spans="1:19" x14ac:dyDescent="0.3">
      <c r="Q151" s="1"/>
      <c r="R151" s="1"/>
      <c r="S151" s="1"/>
    </row>
    <row r="152" spans="1:19" x14ac:dyDescent="0.3">
      <c r="Q152" s="1"/>
      <c r="R152" s="1"/>
      <c r="S152" s="1"/>
    </row>
    <row r="153" spans="1:19" x14ac:dyDescent="0.3">
      <c r="Q153" s="1"/>
      <c r="R153" s="1"/>
      <c r="S153" s="1"/>
    </row>
    <row r="154" spans="1:19" x14ac:dyDescent="0.3">
      <c r="Q154" s="1"/>
      <c r="R154" s="1"/>
      <c r="S154" s="1"/>
    </row>
    <row r="155" spans="1:19" x14ac:dyDescent="0.3">
      <c r="Q155" s="1"/>
      <c r="R155" s="1"/>
      <c r="S155" s="1"/>
    </row>
  </sheetData>
  <mergeCells count="11">
    <mergeCell ref="A27:C27"/>
    <mergeCell ref="A26:C26"/>
    <mergeCell ref="A4:D4"/>
    <mergeCell ref="A1:D1"/>
    <mergeCell ref="A16:C16"/>
    <mergeCell ref="A23:C23"/>
    <mergeCell ref="A24:C24"/>
    <mergeCell ref="A25:C25"/>
    <mergeCell ref="A7:C7"/>
    <mergeCell ref="A14:C14"/>
    <mergeCell ref="A2:D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A6224-F109-4FDD-A540-4D4921FBDD07}">
  <dimension ref="A1:AX140"/>
  <sheetViews>
    <sheetView showGridLines="0" zoomScale="80" zoomScaleNormal="80" zoomScaleSheetLayoutView="70" zoomScalePageLayoutView="90" workbookViewId="0">
      <selection sqref="A1:D1"/>
    </sheetView>
  </sheetViews>
  <sheetFormatPr defaultRowHeight="14.4" x14ac:dyDescent="0.3"/>
  <cols>
    <col min="1" max="1" width="36.44140625" customWidth="1"/>
    <col min="2" max="2" width="23.77734375" bestFit="1" customWidth="1"/>
    <col min="3" max="3" width="11.44140625" customWidth="1"/>
    <col min="4" max="4" width="14.44140625" customWidth="1"/>
    <col min="5" max="5" width="13.21875" customWidth="1"/>
    <col min="6" max="6" width="12.77734375" customWidth="1"/>
    <col min="7" max="8" width="10.44140625" customWidth="1"/>
    <col min="9" max="9" width="13.44140625" customWidth="1"/>
    <col min="10" max="10" width="11.5546875" customWidth="1"/>
    <col min="12" max="12" width="8.77734375" bestFit="1" customWidth="1"/>
    <col min="13" max="13" width="9" bestFit="1" customWidth="1"/>
    <col min="14" max="14" width="13.5546875" customWidth="1"/>
    <col min="15" max="15" width="17.21875" customWidth="1"/>
    <col min="16" max="16" width="10.44140625" customWidth="1"/>
    <col min="25" max="25" width="8.77734375" customWidth="1"/>
    <col min="27" max="27" width="10.5546875" bestFit="1" customWidth="1"/>
  </cols>
  <sheetData>
    <row r="1" spans="1:50" s="144" customFormat="1" ht="27.75" customHeight="1" x14ac:dyDescent="0.25">
      <c r="A1" s="370" t="s">
        <v>44</v>
      </c>
      <c r="B1" s="370"/>
      <c r="C1" s="370"/>
      <c r="D1" s="370"/>
    </row>
    <row r="2" spans="1:50" s="146" customFormat="1" ht="45.75" customHeight="1" x14ac:dyDescent="0.25">
      <c r="A2" s="412" t="s">
        <v>45</v>
      </c>
      <c r="B2" s="412"/>
      <c r="C2" s="412"/>
      <c r="D2" s="412"/>
      <c r="E2" s="412"/>
      <c r="F2" s="412"/>
      <c r="G2" s="412"/>
      <c r="H2" s="412"/>
      <c r="I2" s="412"/>
      <c r="J2" s="412"/>
      <c r="K2" s="412"/>
      <c r="L2" s="412"/>
      <c r="M2" s="412"/>
      <c r="N2" s="412"/>
      <c r="O2" s="412"/>
      <c r="P2" s="412"/>
      <c r="Q2" s="145"/>
      <c r="R2" s="145"/>
      <c r="S2" s="145"/>
      <c r="T2" s="145"/>
      <c r="U2" s="145"/>
      <c r="V2" s="145"/>
    </row>
    <row r="3" spans="1:50" ht="31.5" customHeight="1" x14ac:dyDescent="0.3">
      <c r="A3" s="369" t="s">
        <v>767</v>
      </c>
      <c r="B3" s="369"/>
      <c r="C3" s="369"/>
      <c r="D3" s="369"/>
      <c r="E3" s="147"/>
      <c r="F3" s="147"/>
      <c r="G3" s="147"/>
      <c r="H3" s="147"/>
      <c r="I3" s="147"/>
      <c r="J3" s="147"/>
      <c r="K3" s="147"/>
      <c r="L3" s="147"/>
      <c r="M3" s="147"/>
      <c r="N3" s="147"/>
      <c r="O3" s="147"/>
      <c r="P3" s="147"/>
      <c r="Q3" s="147"/>
      <c r="R3" s="147"/>
      <c r="S3" s="147"/>
      <c r="T3" s="147"/>
      <c r="U3" s="147"/>
      <c r="V3" s="147"/>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row>
    <row r="4" spans="1:50" s="144" customFormat="1" ht="30.75" customHeight="1" x14ac:dyDescent="0.25">
      <c r="A4" s="406"/>
      <c r="B4" s="406"/>
      <c r="C4" s="406"/>
      <c r="D4" s="406"/>
      <c r="E4" s="406"/>
      <c r="F4" s="406"/>
      <c r="G4" s="406"/>
      <c r="H4" s="406"/>
      <c r="I4" s="406"/>
      <c r="J4" s="406"/>
      <c r="K4" s="406"/>
      <c r="L4" s="406"/>
      <c r="M4" s="406"/>
      <c r="N4" s="406"/>
      <c r="O4" s="406"/>
      <c r="P4" s="406"/>
      <c r="Q4" s="406"/>
      <c r="R4" s="406"/>
      <c r="S4" s="406"/>
      <c r="T4" s="406"/>
      <c r="U4" s="406"/>
      <c r="V4" s="406"/>
      <c r="W4" s="148"/>
      <c r="X4" s="148"/>
      <c r="Y4" s="148"/>
      <c r="Z4" s="148"/>
    </row>
    <row r="5" spans="1:50" s="146" customFormat="1" ht="7.5" customHeight="1" thickBot="1" x14ac:dyDescent="0.3">
      <c r="A5" s="149"/>
      <c r="B5" s="149"/>
      <c r="C5" s="149"/>
      <c r="D5" s="149"/>
      <c r="E5" s="149"/>
      <c r="F5" s="149"/>
      <c r="G5" s="149"/>
      <c r="H5" s="149"/>
      <c r="I5" s="149"/>
      <c r="J5" s="149"/>
      <c r="K5" s="149"/>
      <c r="L5" s="149"/>
      <c r="M5" s="149"/>
      <c r="N5" s="149"/>
      <c r="O5" s="149"/>
      <c r="P5" s="149"/>
      <c r="Q5" s="149"/>
      <c r="R5" s="149"/>
      <c r="S5" s="149"/>
      <c r="T5" s="149"/>
      <c r="U5" s="149"/>
      <c r="V5" s="149"/>
      <c r="W5" s="150"/>
      <c r="X5" s="150"/>
      <c r="Y5" s="150"/>
      <c r="Z5" s="150"/>
    </row>
    <row r="6" spans="1:50" s="146" customFormat="1" ht="16.5" customHeight="1" x14ac:dyDescent="0.25">
      <c r="A6" s="407"/>
      <c r="B6" s="408"/>
      <c r="C6" s="408"/>
      <c r="D6" s="408"/>
      <c r="E6" s="408"/>
      <c r="F6" s="408"/>
      <c r="G6" s="408"/>
      <c r="H6" s="408"/>
      <c r="I6" s="408"/>
      <c r="J6" s="408"/>
      <c r="K6" s="408"/>
      <c r="L6" s="408"/>
      <c r="M6" s="408"/>
      <c r="N6" s="408"/>
      <c r="O6" s="408"/>
      <c r="P6" s="408"/>
      <c r="Q6" s="408"/>
      <c r="R6" s="408"/>
      <c r="S6" s="408"/>
      <c r="T6" s="408"/>
      <c r="U6" s="408"/>
      <c r="V6" s="409"/>
      <c r="W6" s="150"/>
      <c r="X6" s="150"/>
      <c r="Y6" s="150"/>
      <c r="Z6" s="150"/>
    </row>
    <row r="7" spans="1:50" s="144" customFormat="1" ht="16.5" customHeight="1" x14ac:dyDescent="0.25">
      <c r="A7" s="151"/>
      <c r="B7" s="152"/>
      <c r="C7" s="152"/>
      <c r="D7" s="152"/>
      <c r="E7" s="152"/>
      <c r="F7" s="152"/>
      <c r="G7" s="152"/>
      <c r="H7" s="152"/>
      <c r="J7" s="153"/>
      <c r="K7" s="153"/>
      <c r="L7" s="153"/>
      <c r="N7" s="152"/>
      <c r="O7" s="152"/>
      <c r="P7" s="152"/>
      <c r="Q7" s="152"/>
      <c r="R7" s="152"/>
      <c r="S7" s="152"/>
      <c r="T7" s="152"/>
      <c r="U7" s="152"/>
      <c r="V7" s="154"/>
      <c r="W7" s="155"/>
      <c r="X7" s="155"/>
      <c r="Y7" s="155"/>
      <c r="Z7" s="155"/>
    </row>
    <row r="8" spans="1:50" s="156" customFormat="1" ht="30.6" customHeight="1" x14ac:dyDescent="0.25">
      <c r="A8" s="387" t="s">
        <v>768</v>
      </c>
      <c r="B8" s="388"/>
      <c r="C8" s="388"/>
      <c r="D8" s="388"/>
      <c r="E8" s="142"/>
      <c r="F8" s="142"/>
      <c r="G8" s="388" t="s">
        <v>769</v>
      </c>
      <c r="H8" s="388"/>
      <c r="I8" s="388"/>
      <c r="J8" s="388"/>
      <c r="K8" s="388"/>
      <c r="M8" s="388" t="s">
        <v>770</v>
      </c>
      <c r="N8" s="388"/>
      <c r="O8" s="388"/>
      <c r="P8" s="388"/>
      <c r="Q8" s="388"/>
      <c r="T8" s="157"/>
      <c r="U8" s="157"/>
      <c r="V8" s="158"/>
      <c r="W8" s="159"/>
      <c r="X8" s="159"/>
      <c r="Y8" s="159"/>
      <c r="Z8" s="159"/>
      <c r="AB8" s="160"/>
      <c r="AC8" s="160"/>
    </row>
    <row r="9" spans="1:50" s="144" customFormat="1" ht="28.35" customHeight="1" x14ac:dyDescent="0.25">
      <c r="A9" s="161" t="s">
        <v>771</v>
      </c>
      <c r="B9" s="71" t="s">
        <v>772</v>
      </c>
      <c r="C9" s="71" t="s">
        <v>773</v>
      </c>
      <c r="D9" s="71" t="s">
        <v>0</v>
      </c>
      <c r="E9" s="152"/>
      <c r="F9" s="152"/>
      <c r="G9" s="410" t="s">
        <v>774</v>
      </c>
      <c r="H9" s="411"/>
      <c r="I9" s="162" t="s">
        <v>772</v>
      </c>
      <c r="J9" s="162" t="s">
        <v>773</v>
      </c>
      <c r="K9" s="162" t="s">
        <v>0</v>
      </c>
      <c r="M9" s="391" t="s">
        <v>775</v>
      </c>
      <c r="N9" s="391"/>
      <c r="O9" s="163" t="s">
        <v>776</v>
      </c>
      <c r="P9" s="152"/>
      <c r="Q9" s="152"/>
      <c r="R9" s="152"/>
      <c r="S9" s="152"/>
      <c r="T9" s="152"/>
      <c r="U9" s="155"/>
      <c r="V9" s="164"/>
      <c r="W9" s="155"/>
      <c r="X9" s="155"/>
      <c r="Y9" s="155"/>
      <c r="Z9" s="155"/>
      <c r="AA9" s="155"/>
      <c r="AB9" s="165"/>
      <c r="AC9" s="165"/>
    </row>
    <row r="10" spans="1:50" s="144" customFormat="1" ht="16.5" customHeight="1" thickBot="1" x14ac:dyDescent="0.3">
      <c r="A10" s="166" t="s">
        <v>0</v>
      </c>
      <c r="B10" s="167">
        <v>0</v>
      </c>
      <c r="C10" s="167">
        <f>SUM(C11:C14)</f>
        <v>30001</v>
      </c>
      <c r="D10" s="167">
        <f>SUM(D11:D14)</f>
        <v>30001</v>
      </c>
      <c r="E10" s="152"/>
      <c r="F10" s="152"/>
      <c r="G10" s="404" t="s">
        <v>777</v>
      </c>
      <c r="H10" s="404"/>
      <c r="I10" s="168">
        <v>0</v>
      </c>
      <c r="J10" s="168">
        <v>35.527171215880898</v>
      </c>
      <c r="K10" s="168">
        <v>35.527171215880898</v>
      </c>
      <c r="M10" s="394" t="s">
        <v>0</v>
      </c>
      <c r="N10" s="394"/>
      <c r="O10" s="169">
        <f>SUM(O11:O12)</f>
        <v>6252</v>
      </c>
      <c r="P10" s="152"/>
      <c r="Q10" s="152"/>
      <c r="R10" s="152"/>
      <c r="S10" s="152"/>
      <c r="T10" s="152"/>
      <c r="U10" s="170"/>
      <c r="V10" s="171"/>
      <c r="W10" s="170"/>
      <c r="X10" s="155"/>
      <c r="Y10" s="155"/>
      <c r="Z10" s="155"/>
      <c r="AA10" s="155"/>
      <c r="AB10" s="165"/>
      <c r="AC10" s="165"/>
    </row>
    <row r="11" spans="1:50" s="144" customFormat="1" ht="13.35" customHeight="1" thickTop="1" x14ac:dyDescent="0.25">
      <c r="A11" s="172" t="s">
        <v>778</v>
      </c>
      <c r="B11" s="173">
        <v>0</v>
      </c>
      <c r="C11" s="173">
        <v>15462</v>
      </c>
      <c r="D11" s="174">
        <f>SUM(B11:C11)</f>
        <v>15462</v>
      </c>
      <c r="E11" s="152"/>
      <c r="F11" s="152"/>
      <c r="G11" s="405"/>
      <c r="H11" s="405"/>
      <c r="I11" s="175"/>
      <c r="J11" s="175"/>
      <c r="K11" s="175"/>
      <c r="M11" s="397" t="s">
        <v>772</v>
      </c>
      <c r="N11" s="397"/>
      <c r="O11" s="176">
        <v>0</v>
      </c>
      <c r="P11" s="152"/>
      <c r="Q11" s="152"/>
      <c r="R11" s="152"/>
      <c r="S11" s="152"/>
      <c r="T11" s="152"/>
      <c r="U11" s="170"/>
      <c r="V11" s="171"/>
      <c r="W11" s="170"/>
      <c r="X11" s="155"/>
      <c r="Y11" s="155"/>
      <c r="Z11" s="155"/>
      <c r="AA11" s="155"/>
      <c r="AB11" s="165"/>
      <c r="AC11" s="165"/>
    </row>
    <row r="12" spans="1:50" s="144" customFormat="1" ht="13.35" customHeight="1" x14ac:dyDescent="0.25">
      <c r="A12" s="177" t="s">
        <v>779</v>
      </c>
      <c r="B12" s="173">
        <v>0</v>
      </c>
      <c r="C12" s="173">
        <v>10671</v>
      </c>
      <c r="D12" s="174">
        <f>SUM(B12:C12)</f>
        <v>10671</v>
      </c>
      <c r="E12" s="152"/>
      <c r="F12" s="152"/>
      <c r="M12" s="383" t="s">
        <v>773</v>
      </c>
      <c r="N12" s="383"/>
      <c r="O12" s="178">
        <v>6252</v>
      </c>
      <c r="P12" s="152"/>
      <c r="Q12" s="152"/>
      <c r="R12" s="152"/>
      <c r="S12" s="152"/>
      <c r="T12" s="152"/>
      <c r="U12" s="170"/>
      <c r="V12" s="171"/>
      <c r="W12" s="170"/>
      <c r="X12" s="155"/>
      <c r="Y12" s="155"/>
      <c r="Z12" s="155"/>
      <c r="AA12" s="155"/>
      <c r="AB12" s="165"/>
      <c r="AC12" s="165"/>
    </row>
    <row r="13" spans="1:50" s="144" customFormat="1" ht="13.35" customHeight="1" x14ac:dyDescent="0.25">
      <c r="A13" s="177" t="s">
        <v>780</v>
      </c>
      <c r="B13" s="173">
        <v>0</v>
      </c>
      <c r="C13" s="173">
        <v>2855</v>
      </c>
      <c r="D13" s="174">
        <f>SUM(B13:C13)</f>
        <v>2855</v>
      </c>
      <c r="E13" s="152"/>
      <c r="F13" s="152"/>
      <c r="G13" s="152"/>
      <c r="H13" s="152"/>
      <c r="I13" s="152"/>
      <c r="J13" s="152"/>
      <c r="K13" s="152"/>
      <c r="R13" s="152"/>
      <c r="S13" s="152"/>
      <c r="T13" s="152"/>
      <c r="U13" s="170"/>
      <c r="V13" s="171"/>
      <c r="W13" s="170"/>
      <c r="X13" s="155"/>
      <c r="Y13" s="155"/>
      <c r="Z13" s="155"/>
      <c r="AA13" s="155"/>
      <c r="AB13" s="165"/>
      <c r="AC13" s="165"/>
    </row>
    <row r="14" spans="1:50" s="144" customFormat="1" ht="13.35" customHeight="1" x14ac:dyDescent="0.25">
      <c r="A14" s="177" t="s">
        <v>781</v>
      </c>
      <c r="B14" s="173">
        <v>0</v>
      </c>
      <c r="C14" s="173">
        <v>1013</v>
      </c>
      <c r="D14" s="174">
        <f>SUM(B14:C14)</f>
        <v>1013</v>
      </c>
      <c r="E14" s="152"/>
      <c r="F14" s="152"/>
      <c r="G14" s="152"/>
      <c r="H14" s="152"/>
      <c r="I14" s="152"/>
      <c r="J14" s="152"/>
      <c r="K14" s="152"/>
      <c r="L14" s="152"/>
      <c r="M14" s="152"/>
      <c r="N14" s="152"/>
      <c r="O14" s="152"/>
      <c r="P14" s="152"/>
      <c r="Q14" s="152"/>
      <c r="R14" s="152"/>
      <c r="S14" s="152"/>
      <c r="T14" s="152"/>
      <c r="U14" s="170"/>
      <c r="V14" s="171"/>
      <c r="W14" s="170"/>
      <c r="X14" s="155"/>
      <c r="Y14" s="155"/>
      <c r="Z14" s="155"/>
      <c r="AA14" s="155"/>
      <c r="AB14" s="165"/>
      <c r="AC14" s="165"/>
    </row>
    <row r="15" spans="1:50" s="144" customFormat="1" ht="16.5" customHeight="1" x14ac:dyDescent="0.25">
      <c r="A15" s="179"/>
      <c r="B15" s="180"/>
      <c r="C15" s="180"/>
      <c r="D15" s="180"/>
      <c r="E15" s="180"/>
      <c r="F15" s="180"/>
      <c r="G15" s="152"/>
      <c r="H15" s="152"/>
      <c r="I15" s="152"/>
      <c r="J15" s="152"/>
      <c r="K15" s="152"/>
      <c r="L15" s="152"/>
      <c r="M15" s="152"/>
      <c r="N15" s="152"/>
      <c r="O15" s="152"/>
      <c r="P15" s="152"/>
      <c r="Q15" s="152"/>
      <c r="R15" s="152"/>
      <c r="S15" s="152"/>
      <c r="T15" s="152"/>
      <c r="U15" s="152"/>
      <c r="V15" s="154"/>
      <c r="W15" s="155"/>
      <c r="X15" s="155"/>
      <c r="Y15" s="155"/>
      <c r="Z15" s="155"/>
      <c r="AA15" s="155"/>
      <c r="AB15" s="165"/>
      <c r="AC15" s="165"/>
      <c r="AK15" s="165"/>
      <c r="AL15" s="165"/>
    </row>
    <row r="16" spans="1:50" s="144" customFormat="1" ht="16.5" customHeight="1" x14ac:dyDescent="0.25">
      <c r="A16" s="384"/>
      <c r="B16" s="385"/>
      <c r="C16" s="385"/>
      <c r="D16" s="385"/>
      <c r="E16" s="385"/>
      <c r="F16" s="385"/>
      <c r="G16" s="385"/>
      <c r="H16" s="385"/>
      <c r="I16" s="385"/>
      <c r="J16" s="385"/>
      <c r="K16" s="385"/>
      <c r="L16" s="385"/>
      <c r="M16" s="385"/>
      <c r="N16" s="385"/>
      <c r="O16" s="385"/>
      <c r="P16" s="385"/>
      <c r="Q16" s="385"/>
      <c r="R16" s="385"/>
      <c r="S16" s="385"/>
      <c r="T16" s="385"/>
      <c r="U16" s="385"/>
      <c r="V16" s="386"/>
      <c r="W16" s="155"/>
      <c r="X16" s="165"/>
      <c r="Y16" s="155"/>
      <c r="Z16" s="155"/>
      <c r="AK16" s="165"/>
    </row>
    <row r="17" spans="1:38" s="144" customFormat="1" ht="16.5" customHeight="1" x14ac:dyDescent="0.25">
      <c r="A17" s="151"/>
      <c r="B17" s="152"/>
      <c r="C17" s="152"/>
      <c r="D17" s="152"/>
      <c r="E17" s="152"/>
      <c r="F17" s="152"/>
      <c r="G17" s="152"/>
      <c r="H17" s="152"/>
      <c r="I17" s="152"/>
      <c r="J17" s="152"/>
      <c r="K17" s="152"/>
      <c r="L17" s="152"/>
      <c r="M17" s="152"/>
      <c r="N17" s="152"/>
      <c r="O17" s="152"/>
      <c r="P17" s="152"/>
      <c r="Q17" s="152"/>
      <c r="R17" s="152"/>
      <c r="S17" s="152"/>
      <c r="T17" s="152"/>
      <c r="U17" s="152"/>
      <c r="V17" s="154"/>
      <c r="W17" s="155"/>
      <c r="X17" s="155"/>
      <c r="Y17" s="155"/>
      <c r="Z17" s="155"/>
      <c r="AF17" s="165"/>
      <c r="AK17" s="165"/>
    </row>
    <row r="18" spans="1:38" s="181" customFormat="1" ht="27.6" customHeight="1" x14ac:dyDescent="0.25">
      <c r="A18" s="387" t="s">
        <v>782</v>
      </c>
      <c r="B18" s="388"/>
      <c r="C18" s="388"/>
      <c r="D18" s="388"/>
      <c r="E18" s="388"/>
      <c r="F18" s="388"/>
      <c r="I18" s="382" t="s">
        <v>783</v>
      </c>
      <c r="J18" s="382"/>
      <c r="K18" s="382"/>
      <c r="L18" s="382"/>
      <c r="M18" s="382"/>
      <c r="N18" s="382"/>
      <c r="O18" s="382"/>
      <c r="P18" s="382"/>
      <c r="Q18" s="382"/>
      <c r="R18" s="382"/>
      <c r="S18" s="382"/>
      <c r="T18" s="382"/>
      <c r="U18" s="382"/>
      <c r="V18" s="400"/>
      <c r="W18" s="182"/>
      <c r="X18" s="182"/>
      <c r="Y18" s="182"/>
      <c r="AE18" s="144"/>
      <c r="AF18" s="165"/>
      <c r="AG18" s="144"/>
      <c r="AH18" s="144"/>
      <c r="AI18" s="144"/>
      <c r="AJ18" s="144"/>
      <c r="AK18" s="144"/>
      <c r="AL18" s="165"/>
    </row>
    <row r="19" spans="1:38" s="146" customFormat="1" ht="28.8" customHeight="1" x14ac:dyDescent="0.25">
      <c r="A19" s="71" t="s">
        <v>784</v>
      </c>
      <c r="B19" s="71" t="s">
        <v>75</v>
      </c>
      <c r="C19" s="71" t="s">
        <v>785</v>
      </c>
      <c r="D19" s="71" t="s">
        <v>59</v>
      </c>
      <c r="E19" s="71" t="s">
        <v>786</v>
      </c>
      <c r="F19" s="71" t="s">
        <v>0</v>
      </c>
      <c r="I19" s="71" t="s">
        <v>787</v>
      </c>
      <c r="J19" s="71" t="s">
        <v>788</v>
      </c>
      <c r="K19" s="71" t="s">
        <v>789</v>
      </c>
      <c r="L19" s="71" t="s">
        <v>790</v>
      </c>
      <c r="M19" s="71" t="s">
        <v>791</v>
      </c>
      <c r="N19" s="71" t="s">
        <v>792</v>
      </c>
      <c r="O19" s="71" t="s">
        <v>793</v>
      </c>
      <c r="P19" s="71" t="s">
        <v>794</v>
      </c>
      <c r="Q19" s="71" t="s">
        <v>795</v>
      </c>
      <c r="R19" s="71" t="s">
        <v>796</v>
      </c>
      <c r="S19" s="71" t="s">
        <v>797</v>
      </c>
      <c r="T19" s="71" t="s">
        <v>798</v>
      </c>
      <c r="U19" s="71" t="s">
        <v>799</v>
      </c>
      <c r="V19" s="71" t="s">
        <v>0</v>
      </c>
      <c r="W19" s="183"/>
      <c r="X19" s="184"/>
      <c r="Y19" s="184"/>
      <c r="Z19" s="185"/>
      <c r="AA19" s="186"/>
      <c r="AB19" s="187"/>
      <c r="AC19" s="187"/>
      <c r="AD19" s="187"/>
      <c r="AE19" s="188"/>
      <c r="AF19" s="187"/>
      <c r="AG19" s="187"/>
      <c r="AH19" s="187"/>
      <c r="AI19" s="187"/>
      <c r="AJ19" s="187"/>
      <c r="AK19" s="187"/>
    </row>
    <row r="20" spans="1:38" s="146" customFormat="1" ht="18" customHeight="1" thickBot="1" x14ac:dyDescent="0.3">
      <c r="A20" s="166" t="s">
        <v>0</v>
      </c>
      <c r="B20" s="167">
        <f>SUM(B21:B23)</f>
        <v>8191</v>
      </c>
      <c r="C20" s="189">
        <f>IF(ISERROR(B20/F20),0,B20/F20)</f>
        <v>0.2730242325255825</v>
      </c>
      <c r="D20" s="167">
        <f>SUM(D21:D23)</f>
        <v>21810</v>
      </c>
      <c r="E20" s="189">
        <f>IF(ISERROR(D20/F20),0,D20/F20)</f>
        <v>0.7269757674744175</v>
      </c>
      <c r="F20" s="167">
        <f>B20+D20</f>
        <v>30001</v>
      </c>
      <c r="I20" s="190" t="s">
        <v>0</v>
      </c>
      <c r="J20" s="191">
        <f t="shared" ref="J20:U20" si="0">SUM(J21:J22)</f>
        <v>22418</v>
      </c>
      <c r="K20" s="192">
        <f t="shared" si="0"/>
        <v>13030</v>
      </c>
      <c r="L20" s="191">
        <f t="shared" si="0"/>
        <v>0</v>
      </c>
      <c r="M20" s="191">
        <f t="shared" si="0"/>
        <v>0</v>
      </c>
      <c r="N20" s="191">
        <f t="shared" si="0"/>
        <v>0</v>
      </c>
      <c r="O20" s="191">
        <f t="shared" si="0"/>
        <v>0</v>
      </c>
      <c r="P20" s="191">
        <f t="shared" si="0"/>
        <v>0</v>
      </c>
      <c r="Q20" s="191">
        <f t="shared" si="0"/>
        <v>0</v>
      </c>
      <c r="R20" s="191">
        <f t="shared" si="0"/>
        <v>0</v>
      </c>
      <c r="S20" s="191">
        <f t="shared" si="0"/>
        <v>0</v>
      </c>
      <c r="T20" s="191">
        <f t="shared" si="0"/>
        <v>0</v>
      </c>
      <c r="U20" s="191">
        <f t="shared" si="0"/>
        <v>0</v>
      </c>
      <c r="V20" s="193">
        <f>SUM(J20:U20)</f>
        <v>35448</v>
      </c>
      <c r="W20" s="183"/>
      <c r="X20" s="183"/>
      <c r="Y20" s="184"/>
      <c r="Z20" s="184"/>
      <c r="AA20" s="187"/>
      <c r="AB20" s="187"/>
      <c r="AC20" s="187"/>
      <c r="AD20" s="187"/>
      <c r="AE20" s="188"/>
      <c r="AF20" s="187"/>
      <c r="AG20" s="187"/>
    </row>
    <row r="21" spans="1:38" s="146" customFormat="1" ht="15" customHeight="1" thickTop="1" x14ac:dyDescent="0.25">
      <c r="A21" s="172" t="s">
        <v>800</v>
      </c>
      <c r="B21" s="194">
        <v>5769</v>
      </c>
      <c r="C21" s="195">
        <f>IF(ISERROR(B21/F21),0,B21/F21)</f>
        <v>0.83778681382515252</v>
      </c>
      <c r="D21" s="194">
        <v>1117</v>
      </c>
      <c r="E21" s="195">
        <f>IF(ISERROR(D21/F21),0,D21/F21)</f>
        <v>0.16221318617484751</v>
      </c>
      <c r="F21" s="196">
        <f>B21+D21</f>
        <v>6886</v>
      </c>
      <c r="I21" s="196" t="s">
        <v>59</v>
      </c>
      <c r="J21" s="197">
        <v>15922</v>
      </c>
      <c r="K21" s="197">
        <v>8608</v>
      </c>
      <c r="L21" s="197">
        <v>0</v>
      </c>
      <c r="M21" s="197">
        <v>0</v>
      </c>
      <c r="N21" s="197">
        <v>0</v>
      </c>
      <c r="O21" s="197">
        <v>0</v>
      </c>
      <c r="P21" s="197">
        <v>0</v>
      </c>
      <c r="Q21" s="197">
        <v>0</v>
      </c>
      <c r="R21" s="197">
        <v>0</v>
      </c>
      <c r="S21" s="197">
        <v>0</v>
      </c>
      <c r="T21" s="197">
        <v>0</v>
      </c>
      <c r="U21" s="197">
        <v>0</v>
      </c>
      <c r="V21" s="198">
        <f>SUM(J21:U21)</f>
        <v>24530</v>
      </c>
      <c r="W21" s="183"/>
      <c r="X21" s="199"/>
      <c r="Y21" s="199"/>
      <c r="Z21" s="184"/>
      <c r="AA21" s="187"/>
      <c r="AB21" s="188"/>
      <c r="AC21" s="188"/>
      <c r="AD21" s="188"/>
      <c r="AE21" s="188"/>
      <c r="AF21" s="188"/>
      <c r="AG21" s="188"/>
      <c r="AH21" s="188"/>
      <c r="AI21" s="188"/>
      <c r="AJ21" s="188"/>
      <c r="AK21" s="188"/>
      <c r="AL21" s="188"/>
    </row>
    <row r="22" spans="1:38" s="146" customFormat="1" ht="15" customHeight="1" x14ac:dyDescent="0.25">
      <c r="A22" s="177" t="s">
        <v>801</v>
      </c>
      <c r="B22" s="200">
        <v>1968</v>
      </c>
      <c r="C22" s="201">
        <f>IF(ISERROR(B22/F22),0,B22/F22)</f>
        <v>0.82515723270440255</v>
      </c>
      <c r="D22" s="200">
        <v>417</v>
      </c>
      <c r="E22" s="201">
        <f>IF(ISERROR(D22/F22),0,D22/F22)</f>
        <v>0.17484276729559747</v>
      </c>
      <c r="F22" s="72">
        <f>B22+D22</f>
        <v>2385</v>
      </c>
      <c r="I22" s="72" t="s">
        <v>802</v>
      </c>
      <c r="J22" s="202">
        <v>6496</v>
      </c>
      <c r="K22" s="197">
        <v>4422</v>
      </c>
      <c r="L22" s="197">
        <v>0</v>
      </c>
      <c r="M22" s="197">
        <v>0</v>
      </c>
      <c r="N22" s="197">
        <v>0</v>
      </c>
      <c r="O22" s="197">
        <v>0</v>
      </c>
      <c r="P22" s="197">
        <v>0</v>
      </c>
      <c r="Q22" s="197">
        <v>0</v>
      </c>
      <c r="R22" s="197">
        <v>0</v>
      </c>
      <c r="S22" s="197">
        <v>0</v>
      </c>
      <c r="T22" s="197">
        <v>0</v>
      </c>
      <c r="U22" s="197">
        <v>0</v>
      </c>
      <c r="V22" s="203">
        <f>SUM(J22:U22)</f>
        <v>10918</v>
      </c>
      <c r="W22" s="183"/>
      <c r="X22" s="199"/>
      <c r="Y22" s="199"/>
      <c r="Z22" s="199"/>
      <c r="AA22" s="188"/>
      <c r="AB22" s="188"/>
      <c r="AC22" s="188"/>
      <c r="AD22" s="188"/>
      <c r="AE22" s="188"/>
      <c r="AF22" s="188"/>
      <c r="AG22" s="188"/>
      <c r="AH22" s="188"/>
      <c r="AI22" s="188"/>
      <c r="AJ22" s="188"/>
      <c r="AK22" s="188"/>
      <c r="AL22" s="188"/>
    </row>
    <row r="23" spans="1:38" s="146" customFormat="1" ht="15" customHeight="1" x14ac:dyDescent="0.25">
      <c r="A23" s="177" t="s">
        <v>803</v>
      </c>
      <c r="B23" s="200">
        <v>454</v>
      </c>
      <c r="C23" s="201">
        <f>IF(ISERROR(B23/F23),0,B23/F23)</f>
        <v>2.1900627110467922E-2</v>
      </c>
      <c r="D23" s="200">
        <v>20276</v>
      </c>
      <c r="E23" s="201">
        <f>IF(ISERROR(D23/F23),0,D23/F23)</f>
        <v>0.97809937288953208</v>
      </c>
      <c r="F23" s="72">
        <f>B23+D23</f>
        <v>20730</v>
      </c>
      <c r="T23" s="155"/>
      <c r="U23" s="155"/>
      <c r="V23" s="164"/>
      <c r="W23" s="183"/>
      <c r="X23" s="199"/>
      <c r="Y23" s="199"/>
      <c r="Z23" s="199"/>
      <c r="AA23" s="188"/>
      <c r="AB23" s="188"/>
      <c r="AC23" s="188"/>
      <c r="AD23" s="188"/>
      <c r="AE23" s="188"/>
      <c r="AF23" s="188"/>
      <c r="AG23" s="188"/>
      <c r="AH23" s="188"/>
      <c r="AI23" s="188"/>
      <c r="AJ23" s="188"/>
      <c r="AK23" s="188"/>
      <c r="AL23" s="188"/>
    </row>
    <row r="24" spans="1:38" s="146" customFormat="1" ht="12" x14ac:dyDescent="0.25">
      <c r="A24" s="204"/>
      <c r="T24" s="155"/>
      <c r="U24" s="155"/>
      <c r="V24" s="164"/>
      <c r="W24" s="183"/>
      <c r="X24" s="183"/>
      <c r="Y24" s="199"/>
      <c r="Z24" s="199"/>
      <c r="AA24" s="188"/>
      <c r="AB24" s="188"/>
      <c r="AC24" s="188"/>
      <c r="AD24" s="188"/>
      <c r="AE24" s="188"/>
      <c r="AF24" s="188"/>
      <c r="AG24" s="188"/>
      <c r="AH24" s="188"/>
      <c r="AK24" s="188"/>
      <c r="AL24" s="188"/>
    </row>
    <row r="25" spans="1:38" s="144" customFormat="1" ht="16.5" customHeight="1" x14ac:dyDescent="0.25">
      <c r="A25" s="384"/>
      <c r="B25" s="385"/>
      <c r="C25" s="385"/>
      <c r="D25" s="385"/>
      <c r="E25" s="385"/>
      <c r="F25" s="385"/>
      <c r="G25" s="385"/>
      <c r="H25" s="385"/>
      <c r="I25" s="385"/>
      <c r="J25" s="385"/>
      <c r="K25" s="385"/>
      <c r="L25" s="385"/>
      <c r="M25" s="385"/>
      <c r="N25" s="385"/>
      <c r="O25" s="385"/>
      <c r="P25" s="385"/>
      <c r="Q25" s="385"/>
      <c r="R25" s="385"/>
      <c r="S25" s="385"/>
      <c r="T25" s="385"/>
      <c r="U25" s="385"/>
      <c r="V25" s="386"/>
      <c r="W25" s="155"/>
      <c r="X25" s="155"/>
      <c r="Y25" s="155"/>
      <c r="Z25" s="170"/>
      <c r="AA25" s="165"/>
      <c r="AB25" s="165"/>
      <c r="AC25" s="165"/>
      <c r="AD25" s="165"/>
      <c r="AE25" s="165"/>
      <c r="AF25" s="165"/>
      <c r="AG25" s="165"/>
    </row>
    <row r="26" spans="1:38" s="146" customFormat="1" ht="12" x14ac:dyDescent="0.25">
      <c r="A26" s="204"/>
      <c r="T26" s="155"/>
      <c r="U26" s="155"/>
      <c r="V26" s="164"/>
      <c r="W26" s="183"/>
      <c r="X26" s="183"/>
      <c r="Y26" s="183"/>
      <c r="Z26" s="199"/>
      <c r="AA26" s="188"/>
      <c r="AB26" s="188"/>
      <c r="AC26" s="188"/>
      <c r="AG26" s="188"/>
    </row>
    <row r="27" spans="1:38" s="144" customFormat="1" ht="21.6" customHeight="1" x14ac:dyDescent="0.25">
      <c r="A27" s="401" t="s">
        <v>804</v>
      </c>
      <c r="B27" s="402"/>
      <c r="C27" s="402"/>
      <c r="D27" s="402"/>
      <c r="E27" s="402"/>
      <c r="F27" s="205"/>
      <c r="H27" s="402" t="s">
        <v>805</v>
      </c>
      <c r="I27" s="402"/>
      <c r="J27" s="402"/>
      <c r="K27" s="402"/>
      <c r="L27" s="402"/>
      <c r="M27" s="205"/>
      <c r="N27" s="403" t="s">
        <v>806</v>
      </c>
      <c r="O27" s="403"/>
      <c r="P27" s="403"/>
      <c r="Q27" s="403"/>
      <c r="R27" s="403"/>
      <c r="S27" s="205"/>
      <c r="V27" s="206"/>
      <c r="W27" s="207"/>
      <c r="X27" s="208"/>
      <c r="Y27" s="208"/>
      <c r="Z27" s="208"/>
      <c r="AA27" s="209"/>
      <c r="AB27" s="209"/>
      <c r="AC27" s="209"/>
      <c r="AD27" s="209"/>
      <c r="AE27" s="165"/>
      <c r="AF27" s="165"/>
      <c r="AG27" s="165"/>
      <c r="AH27" s="209"/>
      <c r="AI27" s="209"/>
    </row>
    <row r="28" spans="1:38" s="146" customFormat="1" ht="37.5" customHeight="1" x14ac:dyDescent="0.25">
      <c r="A28" s="71" t="s">
        <v>807</v>
      </c>
      <c r="B28" s="71" t="s">
        <v>800</v>
      </c>
      <c r="C28" s="71" t="s">
        <v>801</v>
      </c>
      <c r="D28" s="71" t="s">
        <v>803</v>
      </c>
      <c r="E28" s="71" t="s">
        <v>0</v>
      </c>
      <c r="H28" s="391" t="s">
        <v>807</v>
      </c>
      <c r="I28" s="391"/>
      <c r="J28" s="163" t="s">
        <v>0</v>
      </c>
      <c r="K28" s="155"/>
      <c r="L28" s="155"/>
      <c r="M28" s="155"/>
      <c r="N28" s="392"/>
      <c r="O28" s="393"/>
      <c r="P28" s="210" t="s">
        <v>808</v>
      </c>
      <c r="U28" s="155"/>
      <c r="V28" s="211"/>
      <c r="W28" s="183"/>
      <c r="X28" s="183"/>
      <c r="Y28" s="183"/>
      <c r="Z28" s="188"/>
      <c r="AD28" s="188"/>
      <c r="AE28" s="188"/>
      <c r="AF28" s="188"/>
      <c r="AG28" s="188"/>
    </row>
    <row r="29" spans="1:38" s="146" customFormat="1" ht="15" customHeight="1" thickBot="1" x14ac:dyDescent="0.3">
      <c r="A29" s="166" t="s">
        <v>0</v>
      </c>
      <c r="B29" s="167">
        <f>SUM(B30:B31)</f>
        <v>7819</v>
      </c>
      <c r="C29" s="167">
        <f>SUM(C30:C31)</f>
        <v>3022</v>
      </c>
      <c r="D29" s="167">
        <f>SUM(D30:D31)</f>
        <v>24607</v>
      </c>
      <c r="E29" s="192">
        <f>SUM(B29:D29)</f>
        <v>35448</v>
      </c>
      <c r="H29" s="394" t="s">
        <v>0</v>
      </c>
      <c r="I29" s="394"/>
      <c r="J29" s="212">
        <f>SUM(J30:J31)</f>
        <v>17792</v>
      </c>
      <c r="K29" s="155"/>
      <c r="L29" s="155"/>
      <c r="M29" s="155"/>
      <c r="N29" s="395" t="s">
        <v>0</v>
      </c>
      <c r="O29" s="396"/>
      <c r="P29" s="213">
        <v>13572</v>
      </c>
      <c r="U29" s="170"/>
      <c r="V29" s="214"/>
      <c r="W29" s="183"/>
      <c r="X29" s="199"/>
      <c r="Y29" s="199"/>
      <c r="Z29" s="188"/>
      <c r="AA29" s="188"/>
      <c r="AB29" s="188"/>
      <c r="AC29" s="188"/>
      <c r="AD29" s="188"/>
      <c r="AE29" s="188"/>
      <c r="AF29" s="188"/>
      <c r="AG29" s="188"/>
      <c r="AH29" s="188"/>
      <c r="AI29" s="188"/>
      <c r="AJ29" s="188"/>
    </row>
    <row r="30" spans="1:38" s="146" customFormat="1" ht="15" customHeight="1" thickTop="1" x14ac:dyDescent="0.25">
      <c r="A30" s="172" t="s">
        <v>772</v>
      </c>
      <c r="B30" s="194">
        <v>0</v>
      </c>
      <c r="C30" s="194">
        <v>0</v>
      </c>
      <c r="D30" s="194">
        <v>0</v>
      </c>
      <c r="E30" s="196">
        <f>SUM(B30:D30)</f>
        <v>0</v>
      </c>
      <c r="F30" s="144"/>
      <c r="G30" s="144"/>
      <c r="H30" s="397" t="s">
        <v>772</v>
      </c>
      <c r="I30" s="397"/>
      <c r="J30" s="176">
        <v>0</v>
      </c>
      <c r="K30" s="155"/>
      <c r="L30" s="155"/>
      <c r="M30" s="155"/>
      <c r="N30" s="398" t="s">
        <v>809</v>
      </c>
      <c r="O30" s="399"/>
      <c r="P30" s="176">
        <v>33</v>
      </c>
      <c r="U30" s="170"/>
      <c r="V30" s="214"/>
      <c r="W30" s="183"/>
      <c r="X30" s="199"/>
      <c r="Y30" s="199"/>
      <c r="Z30" s="188"/>
      <c r="AA30" s="188"/>
      <c r="AB30" s="188"/>
      <c r="AC30" s="188"/>
      <c r="AD30" s="188"/>
      <c r="AE30" s="188"/>
      <c r="AF30" s="188"/>
      <c r="AG30" s="188"/>
      <c r="AH30" s="188"/>
      <c r="AI30" s="188"/>
      <c r="AJ30" s="188"/>
    </row>
    <row r="31" spans="1:38" s="146" customFormat="1" ht="14.55" customHeight="1" x14ac:dyDescent="0.25">
      <c r="A31" s="177" t="s">
        <v>773</v>
      </c>
      <c r="B31" s="200">
        <v>7819</v>
      </c>
      <c r="C31" s="200">
        <v>3022</v>
      </c>
      <c r="D31" s="200">
        <v>24607</v>
      </c>
      <c r="E31" s="196">
        <f>SUM(B31:D31)</f>
        <v>35448</v>
      </c>
      <c r="F31" s="144"/>
      <c r="G31" s="144"/>
      <c r="H31" s="383" t="s">
        <v>773</v>
      </c>
      <c r="I31" s="383"/>
      <c r="J31" s="178">
        <v>17792</v>
      </c>
      <c r="K31" s="155"/>
      <c r="L31" s="155"/>
      <c r="M31" s="155"/>
      <c r="N31" s="155"/>
      <c r="O31" s="155"/>
      <c r="P31" s="155"/>
      <c r="Q31" s="155"/>
      <c r="R31" s="155"/>
      <c r="U31" s="170"/>
      <c r="V31" s="214"/>
      <c r="W31" s="183"/>
      <c r="X31" s="199"/>
      <c r="Y31" s="199"/>
      <c r="Z31" s="188"/>
      <c r="AA31" s="188"/>
      <c r="AB31" s="188"/>
      <c r="AC31" s="188"/>
      <c r="AD31" s="188"/>
      <c r="AE31" s="188"/>
      <c r="AF31" s="188"/>
      <c r="AG31" s="188"/>
      <c r="AH31" s="188"/>
      <c r="AI31" s="188"/>
      <c r="AJ31" s="188"/>
    </row>
    <row r="32" spans="1:38" s="146" customFormat="1" ht="12" x14ac:dyDescent="0.25">
      <c r="A32" s="204"/>
      <c r="F32" s="144"/>
      <c r="G32" s="144"/>
      <c r="H32" s="144"/>
      <c r="K32" s="144"/>
      <c r="L32" s="155"/>
      <c r="M32" s="155"/>
      <c r="N32" s="155"/>
      <c r="O32" s="155"/>
      <c r="P32" s="155"/>
      <c r="Q32" s="155"/>
      <c r="R32" s="155"/>
      <c r="S32" s="155"/>
      <c r="T32" s="155"/>
      <c r="U32" s="170"/>
      <c r="V32" s="164"/>
      <c r="W32" s="183"/>
      <c r="X32" s="199"/>
      <c r="Y32" s="199"/>
      <c r="Z32" s="199"/>
      <c r="AA32" s="188"/>
      <c r="AB32" s="188"/>
      <c r="AC32" s="188"/>
      <c r="AD32" s="188"/>
      <c r="AE32" s="188"/>
      <c r="AF32" s="188"/>
      <c r="AG32" s="188"/>
    </row>
    <row r="33" spans="1:45" s="144" customFormat="1" ht="16.5" customHeight="1" x14ac:dyDescent="0.25">
      <c r="A33" s="384"/>
      <c r="B33" s="385"/>
      <c r="C33" s="385"/>
      <c r="D33" s="385"/>
      <c r="E33" s="385"/>
      <c r="F33" s="385"/>
      <c r="G33" s="385"/>
      <c r="H33" s="385"/>
      <c r="I33" s="385"/>
      <c r="J33" s="385"/>
      <c r="K33" s="385"/>
      <c r="L33" s="385"/>
      <c r="M33" s="385"/>
      <c r="N33" s="385"/>
      <c r="O33" s="385"/>
      <c r="P33" s="385"/>
      <c r="Q33" s="385"/>
      <c r="R33" s="385"/>
      <c r="S33" s="385"/>
      <c r="T33" s="385"/>
      <c r="U33" s="385"/>
      <c r="V33" s="386"/>
      <c r="W33" s="155"/>
      <c r="X33" s="155"/>
      <c r="Y33" s="155"/>
      <c r="Z33" s="170"/>
      <c r="AA33" s="165"/>
      <c r="AB33" s="165"/>
      <c r="AC33" s="165"/>
      <c r="AD33" s="165"/>
      <c r="AE33" s="165"/>
      <c r="AF33" s="165"/>
      <c r="AG33" s="165"/>
    </row>
    <row r="34" spans="1:45" s="146" customFormat="1" ht="12" x14ac:dyDescent="0.25">
      <c r="A34" s="204"/>
      <c r="F34" s="144"/>
      <c r="G34" s="144"/>
      <c r="H34" s="144"/>
      <c r="I34" s="188"/>
      <c r="K34" s="144"/>
      <c r="L34" s="155"/>
      <c r="M34" s="155"/>
      <c r="N34" s="155"/>
      <c r="O34" s="155"/>
      <c r="P34" s="155"/>
      <c r="Q34" s="155"/>
      <c r="R34" s="155"/>
      <c r="S34" s="155"/>
      <c r="T34" s="155"/>
      <c r="U34" s="155"/>
      <c r="V34" s="215"/>
      <c r="W34" s="183"/>
      <c r="X34" s="183"/>
      <c r="Y34" s="183"/>
      <c r="Z34" s="199"/>
      <c r="AA34" s="188"/>
      <c r="AB34" s="188"/>
      <c r="AC34" s="188"/>
      <c r="AD34" s="188"/>
      <c r="AE34" s="188"/>
    </row>
    <row r="35" spans="1:45" s="146" customFormat="1" ht="12" x14ac:dyDescent="0.25">
      <c r="A35" s="204"/>
      <c r="F35" s="144"/>
      <c r="G35" s="144"/>
      <c r="H35" s="144"/>
      <c r="I35" s="187"/>
      <c r="J35" s="187"/>
      <c r="K35" s="209"/>
      <c r="L35" s="216"/>
      <c r="M35" s="216"/>
      <c r="N35" s="216"/>
      <c r="O35" s="216"/>
      <c r="P35" s="216"/>
      <c r="Q35" s="216"/>
      <c r="R35" s="216"/>
      <c r="S35" s="216"/>
      <c r="T35" s="155"/>
      <c r="U35" s="155"/>
      <c r="V35" s="164"/>
      <c r="W35" s="183"/>
      <c r="X35" s="183"/>
      <c r="Y35" s="183"/>
      <c r="Z35" s="199"/>
      <c r="AB35" s="188"/>
      <c r="AC35" s="188"/>
      <c r="AE35" s="188"/>
    </row>
    <row r="36" spans="1:45" s="146" customFormat="1" ht="22.5" customHeight="1" x14ac:dyDescent="0.25">
      <c r="A36" s="387" t="s">
        <v>810</v>
      </c>
      <c r="B36" s="388"/>
      <c r="C36" s="388"/>
      <c r="D36" s="388"/>
      <c r="E36" s="388"/>
      <c r="F36" s="205"/>
      <c r="G36" s="144"/>
      <c r="H36" s="144"/>
      <c r="I36" s="144"/>
      <c r="J36" s="144"/>
      <c r="K36" s="144"/>
      <c r="L36" s="144"/>
      <c r="M36" s="144"/>
      <c r="N36" s="144"/>
      <c r="O36" s="144"/>
      <c r="P36" s="144"/>
      <c r="Q36" s="144"/>
      <c r="R36" s="165"/>
      <c r="S36" s="144"/>
      <c r="T36" s="144"/>
      <c r="U36" s="144"/>
      <c r="V36" s="217"/>
      <c r="W36" s="183"/>
      <c r="X36" s="183"/>
      <c r="Y36" s="183"/>
      <c r="Z36" s="199"/>
      <c r="AB36" s="188"/>
      <c r="AC36" s="188"/>
      <c r="AE36" s="188"/>
    </row>
    <row r="37" spans="1:45" s="146" customFormat="1" ht="38.549999999999997" customHeight="1" x14ac:dyDescent="0.25">
      <c r="A37" s="218" t="s">
        <v>811</v>
      </c>
      <c r="B37" s="71" t="s">
        <v>784</v>
      </c>
      <c r="C37" s="71" t="s">
        <v>788</v>
      </c>
      <c r="D37" s="71" t="s">
        <v>789</v>
      </c>
      <c r="E37" s="71" t="s">
        <v>790</v>
      </c>
      <c r="F37" s="71" t="s">
        <v>791</v>
      </c>
      <c r="G37" s="71" t="s">
        <v>792</v>
      </c>
      <c r="H37" s="71" t="s">
        <v>793</v>
      </c>
      <c r="I37" s="71" t="s">
        <v>794</v>
      </c>
      <c r="J37" s="71" t="s">
        <v>795</v>
      </c>
      <c r="K37" s="71" t="s">
        <v>796</v>
      </c>
      <c r="L37" s="71" t="s">
        <v>797</v>
      </c>
      <c r="M37" s="71" t="s">
        <v>798</v>
      </c>
      <c r="N37" s="71" t="s">
        <v>799</v>
      </c>
      <c r="O37" s="71" t="s">
        <v>0</v>
      </c>
      <c r="P37" s="144"/>
      <c r="Q37" s="144"/>
      <c r="R37" s="165"/>
      <c r="S37" s="144"/>
      <c r="T37" s="144"/>
      <c r="U37" s="144"/>
      <c r="V37" s="217"/>
      <c r="W37" s="144"/>
      <c r="X37" s="144"/>
      <c r="Y37" s="144"/>
      <c r="Z37" s="144"/>
      <c r="AA37" s="144"/>
      <c r="AB37" s="144"/>
      <c r="AC37" s="144"/>
      <c r="AD37" s="183"/>
      <c r="AE37" s="183"/>
      <c r="AI37" s="188"/>
      <c r="AJ37" s="188"/>
      <c r="AL37" s="188"/>
    </row>
    <row r="38" spans="1:45" s="146" customFormat="1" ht="15.75" customHeight="1" thickBot="1" x14ac:dyDescent="0.3">
      <c r="A38" s="219" t="s">
        <v>0</v>
      </c>
      <c r="B38" s="167"/>
      <c r="C38" s="220">
        <f t="shared" ref="C38:N38" si="1">SUM(C39,C51,C55,C59)</f>
        <v>9730</v>
      </c>
      <c r="D38" s="220">
        <f t="shared" si="1"/>
        <v>8062</v>
      </c>
      <c r="E38" s="220">
        <f t="shared" si="1"/>
        <v>0</v>
      </c>
      <c r="F38" s="220">
        <f t="shared" si="1"/>
        <v>0</v>
      </c>
      <c r="G38" s="220">
        <f t="shared" si="1"/>
        <v>0</v>
      </c>
      <c r="H38" s="220">
        <f t="shared" si="1"/>
        <v>0</v>
      </c>
      <c r="I38" s="220">
        <f t="shared" si="1"/>
        <v>0</v>
      </c>
      <c r="J38" s="220">
        <f t="shared" si="1"/>
        <v>0</v>
      </c>
      <c r="K38" s="220">
        <f t="shared" si="1"/>
        <v>0</v>
      </c>
      <c r="L38" s="220">
        <f t="shared" si="1"/>
        <v>0</v>
      </c>
      <c r="M38" s="220">
        <f t="shared" si="1"/>
        <v>0</v>
      </c>
      <c r="N38" s="220">
        <f t="shared" si="1"/>
        <v>0</v>
      </c>
      <c r="O38" s="221">
        <f>SUM(C38:N38)</f>
        <v>17792</v>
      </c>
      <c r="P38" s="144"/>
      <c r="Q38" s="144"/>
      <c r="R38" s="165"/>
      <c r="S38" s="144"/>
      <c r="T38" s="144"/>
      <c r="U38" s="165"/>
      <c r="V38" s="222"/>
      <c r="W38" s="165"/>
      <c r="X38" s="165"/>
      <c r="Y38" s="165"/>
      <c r="Z38" s="165"/>
      <c r="AA38" s="165"/>
      <c r="AB38" s="165"/>
      <c r="AC38" s="165"/>
      <c r="AD38" s="199"/>
      <c r="AE38" s="199"/>
      <c r="AF38" s="188"/>
      <c r="AG38" s="188"/>
      <c r="AH38" s="188"/>
      <c r="AI38" s="188"/>
      <c r="AJ38" s="188"/>
      <c r="AL38" s="188"/>
      <c r="AP38" s="188"/>
      <c r="AQ38" s="188"/>
      <c r="AR38" s="188"/>
      <c r="AS38" s="188"/>
    </row>
    <row r="39" spans="1:45" s="146" customFormat="1" ht="15" customHeight="1" thickTop="1" x14ac:dyDescent="0.25">
      <c r="A39" s="223" t="s">
        <v>812</v>
      </c>
      <c r="B39" s="223" t="s">
        <v>0</v>
      </c>
      <c r="C39" s="224">
        <f t="shared" ref="C39:N39" si="2">SUM(C40:C42)</f>
        <v>2681</v>
      </c>
      <c r="D39" s="224">
        <f t="shared" si="2"/>
        <v>1842</v>
      </c>
      <c r="E39" s="224">
        <f t="shared" si="2"/>
        <v>0</v>
      </c>
      <c r="F39" s="224">
        <f t="shared" si="2"/>
        <v>0</v>
      </c>
      <c r="G39" s="224">
        <f t="shared" si="2"/>
        <v>0</v>
      </c>
      <c r="H39" s="224">
        <f t="shared" si="2"/>
        <v>0</v>
      </c>
      <c r="I39" s="224">
        <f t="shared" si="2"/>
        <v>0</v>
      </c>
      <c r="J39" s="224">
        <f t="shared" si="2"/>
        <v>0</v>
      </c>
      <c r="K39" s="224">
        <f t="shared" si="2"/>
        <v>0</v>
      </c>
      <c r="L39" s="224">
        <f t="shared" si="2"/>
        <v>0</v>
      </c>
      <c r="M39" s="224">
        <f t="shared" si="2"/>
        <v>0</v>
      </c>
      <c r="N39" s="224">
        <f t="shared" si="2"/>
        <v>0</v>
      </c>
      <c r="O39" s="224">
        <f>SUM(C39:N39)</f>
        <v>4523</v>
      </c>
      <c r="P39" s="225"/>
      <c r="Q39" s="225"/>
      <c r="R39" s="165"/>
      <c r="S39" s="165"/>
      <c r="T39" s="165"/>
      <c r="U39" s="165"/>
      <c r="V39" s="222"/>
      <c r="W39" s="165"/>
      <c r="X39" s="165"/>
      <c r="Y39" s="165"/>
      <c r="Z39" s="165"/>
      <c r="AA39" s="165"/>
      <c r="AB39" s="165"/>
      <c r="AC39" s="165"/>
      <c r="AD39" s="199"/>
      <c r="AE39" s="199"/>
      <c r="AF39" s="188"/>
      <c r="AG39" s="188"/>
      <c r="AH39" s="188"/>
      <c r="AI39" s="188"/>
      <c r="AS39" s="188"/>
    </row>
    <row r="40" spans="1:45" s="146" customFormat="1" ht="15" customHeight="1" x14ac:dyDescent="0.25">
      <c r="A40" s="72"/>
      <c r="B40" s="72" t="s">
        <v>800</v>
      </c>
      <c r="C40" s="226">
        <v>171</v>
      </c>
      <c r="D40" s="226">
        <v>115</v>
      </c>
      <c r="E40" s="226">
        <v>0</v>
      </c>
      <c r="F40" s="226">
        <v>0</v>
      </c>
      <c r="G40" s="226">
        <v>0</v>
      </c>
      <c r="H40" s="226">
        <v>0</v>
      </c>
      <c r="I40" s="226">
        <v>0</v>
      </c>
      <c r="J40" s="226">
        <v>0</v>
      </c>
      <c r="K40" s="226">
        <v>0</v>
      </c>
      <c r="L40" s="227">
        <v>0</v>
      </c>
      <c r="M40" s="227">
        <v>0</v>
      </c>
      <c r="N40" s="227">
        <v>0</v>
      </c>
      <c r="O40" s="228">
        <f>O44+O48</f>
        <v>286</v>
      </c>
      <c r="P40" s="144"/>
      <c r="Q40" s="144"/>
      <c r="R40" s="165"/>
      <c r="S40" s="144"/>
      <c r="T40" s="144"/>
      <c r="U40" s="165"/>
      <c r="V40" s="222"/>
      <c r="W40" s="144"/>
      <c r="X40" s="144"/>
      <c r="Y40" s="144"/>
      <c r="Z40" s="144"/>
      <c r="AA40" s="165"/>
      <c r="AB40" s="165"/>
      <c r="AC40" s="165"/>
      <c r="AD40" s="199"/>
      <c r="AE40" s="199"/>
      <c r="AF40" s="188"/>
      <c r="AG40" s="188"/>
      <c r="AH40" s="188"/>
      <c r="AI40" s="188"/>
      <c r="AS40" s="188"/>
    </row>
    <row r="41" spans="1:45" s="146" customFormat="1" ht="15" customHeight="1" x14ac:dyDescent="0.25">
      <c r="A41" s="72"/>
      <c r="B41" s="72" t="s">
        <v>801</v>
      </c>
      <c r="C41" s="226">
        <v>224</v>
      </c>
      <c r="D41" s="226">
        <v>173</v>
      </c>
      <c r="E41" s="226">
        <v>0</v>
      </c>
      <c r="F41" s="226">
        <v>0</v>
      </c>
      <c r="G41" s="226">
        <v>0</v>
      </c>
      <c r="H41" s="226">
        <v>0</v>
      </c>
      <c r="I41" s="226">
        <v>0</v>
      </c>
      <c r="J41" s="226">
        <v>0</v>
      </c>
      <c r="K41" s="226">
        <v>0</v>
      </c>
      <c r="L41" s="227">
        <v>0</v>
      </c>
      <c r="M41" s="227">
        <v>0</v>
      </c>
      <c r="N41" s="227">
        <v>0</v>
      </c>
      <c r="O41" s="228">
        <f>O45+O49</f>
        <v>397</v>
      </c>
      <c r="P41" s="144"/>
      <c r="Q41" s="144"/>
      <c r="R41" s="144"/>
      <c r="S41" s="165"/>
      <c r="T41" s="165"/>
      <c r="U41" s="165"/>
      <c r="V41" s="222"/>
      <c r="W41" s="144"/>
      <c r="X41" s="144"/>
      <c r="Y41" s="144"/>
      <c r="Z41" s="144"/>
      <c r="AA41" s="144"/>
      <c r="AB41" s="165"/>
      <c r="AC41" s="144"/>
      <c r="AD41" s="199"/>
      <c r="AE41" s="183"/>
      <c r="AF41" s="188"/>
      <c r="AH41" s="188"/>
      <c r="AS41" s="188"/>
    </row>
    <row r="42" spans="1:45" s="146" customFormat="1" ht="15" customHeight="1" x14ac:dyDescent="0.25">
      <c r="A42" s="72"/>
      <c r="B42" s="72" t="s">
        <v>803</v>
      </c>
      <c r="C42" s="226">
        <v>2286</v>
      </c>
      <c r="D42" s="226">
        <v>1554</v>
      </c>
      <c r="E42" s="226">
        <v>0</v>
      </c>
      <c r="F42" s="226">
        <v>0</v>
      </c>
      <c r="G42" s="226">
        <v>0</v>
      </c>
      <c r="H42" s="226">
        <v>0</v>
      </c>
      <c r="I42" s="226">
        <v>0</v>
      </c>
      <c r="J42" s="226">
        <v>0</v>
      </c>
      <c r="K42" s="226">
        <v>0</v>
      </c>
      <c r="L42" s="227">
        <v>0</v>
      </c>
      <c r="M42" s="227">
        <v>0</v>
      </c>
      <c r="N42" s="227">
        <v>0</v>
      </c>
      <c r="O42" s="228">
        <f>O46+O50</f>
        <v>3840</v>
      </c>
      <c r="P42" s="144"/>
      <c r="Q42" s="144"/>
      <c r="R42" s="144"/>
      <c r="S42" s="144"/>
      <c r="T42" s="144"/>
      <c r="U42" s="165"/>
      <c r="V42" s="217"/>
      <c r="W42" s="144"/>
      <c r="X42" s="144"/>
      <c r="Y42" s="144"/>
      <c r="Z42" s="144"/>
      <c r="AA42" s="144"/>
      <c r="AB42" s="165"/>
      <c r="AC42" s="144"/>
      <c r="AD42" s="183"/>
      <c r="AE42" s="183"/>
      <c r="AS42" s="188"/>
    </row>
    <row r="43" spans="1:45" s="146" customFormat="1" ht="14.55" customHeight="1" x14ac:dyDescent="0.25">
      <c r="A43" s="229" t="s">
        <v>813</v>
      </c>
      <c r="B43" s="230" t="s">
        <v>0</v>
      </c>
      <c r="C43" s="231">
        <f t="shared" ref="C43:N43" si="3">SUM(C44:C46)</f>
        <v>1584</v>
      </c>
      <c r="D43" s="231">
        <f t="shared" si="3"/>
        <v>924</v>
      </c>
      <c r="E43" s="231">
        <f t="shared" si="3"/>
        <v>0</v>
      </c>
      <c r="F43" s="231">
        <f t="shared" si="3"/>
        <v>0</v>
      </c>
      <c r="G43" s="231">
        <f t="shared" si="3"/>
        <v>0</v>
      </c>
      <c r="H43" s="231">
        <f t="shared" si="3"/>
        <v>0</v>
      </c>
      <c r="I43" s="231">
        <f t="shared" si="3"/>
        <v>0</v>
      </c>
      <c r="J43" s="231">
        <f t="shared" si="3"/>
        <v>0</v>
      </c>
      <c r="K43" s="231">
        <f t="shared" si="3"/>
        <v>0</v>
      </c>
      <c r="L43" s="231">
        <f t="shared" si="3"/>
        <v>0</v>
      </c>
      <c r="M43" s="231">
        <f t="shared" si="3"/>
        <v>0</v>
      </c>
      <c r="N43" s="231">
        <f t="shared" si="3"/>
        <v>0</v>
      </c>
      <c r="O43" s="231">
        <f t="shared" ref="O43:O62" si="4">SUM(C43:N43)</f>
        <v>2508</v>
      </c>
      <c r="P43" s="225"/>
      <c r="Q43" s="144"/>
      <c r="R43" s="144"/>
      <c r="S43" s="144"/>
      <c r="T43" s="144"/>
      <c r="U43" s="144"/>
      <c r="V43" s="217"/>
      <c r="W43" s="144"/>
      <c r="X43" s="144"/>
      <c r="Y43" s="144"/>
      <c r="Z43" s="144"/>
      <c r="AA43" s="144"/>
      <c r="AB43" s="165"/>
      <c r="AC43" s="144"/>
      <c r="AD43" s="183"/>
      <c r="AE43" s="183"/>
      <c r="AF43" s="188"/>
      <c r="AG43" s="188"/>
      <c r="AH43" s="188"/>
      <c r="AQ43" s="188"/>
      <c r="AR43" s="188"/>
      <c r="AS43" s="188"/>
    </row>
    <row r="44" spans="1:45" s="146" customFormat="1" ht="14.55" customHeight="1" x14ac:dyDescent="0.25">
      <c r="A44" s="118"/>
      <c r="B44" s="72" t="s">
        <v>800</v>
      </c>
      <c r="C44" s="226">
        <v>29</v>
      </c>
      <c r="D44" s="226">
        <v>9</v>
      </c>
      <c r="E44" s="226">
        <v>0</v>
      </c>
      <c r="F44" s="226">
        <v>0</v>
      </c>
      <c r="G44" s="226">
        <v>0</v>
      </c>
      <c r="H44" s="226">
        <v>0</v>
      </c>
      <c r="I44" s="226">
        <v>0</v>
      </c>
      <c r="J44" s="226">
        <v>0</v>
      </c>
      <c r="K44" s="226">
        <v>0</v>
      </c>
      <c r="L44" s="227">
        <v>0</v>
      </c>
      <c r="M44" s="227">
        <v>0</v>
      </c>
      <c r="N44" s="227">
        <v>0</v>
      </c>
      <c r="O44" s="232">
        <f t="shared" si="4"/>
        <v>38</v>
      </c>
      <c r="P44" s="225"/>
      <c r="Q44" s="144"/>
      <c r="R44" s="144"/>
      <c r="S44" s="144"/>
      <c r="T44" s="144"/>
      <c r="U44" s="144"/>
      <c r="V44" s="217"/>
      <c r="W44" s="144"/>
      <c r="X44" s="144"/>
      <c r="Y44" s="144"/>
      <c r="Z44" s="144"/>
      <c r="AA44" s="144"/>
      <c r="AB44" s="165"/>
      <c r="AC44" s="165"/>
      <c r="AD44" s="183"/>
      <c r="AE44" s="199"/>
      <c r="AF44" s="188"/>
      <c r="AG44" s="188"/>
      <c r="AH44" s="188"/>
      <c r="AI44" s="188"/>
      <c r="AQ44" s="188"/>
      <c r="AR44" s="188"/>
      <c r="AS44" s="188"/>
    </row>
    <row r="45" spans="1:45" s="146" customFormat="1" ht="14.55" customHeight="1" x14ac:dyDescent="0.25">
      <c r="A45" s="118"/>
      <c r="B45" s="72" t="s">
        <v>801</v>
      </c>
      <c r="C45" s="226">
        <v>60</v>
      </c>
      <c r="D45" s="226">
        <v>45</v>
      </c>
      <c r="E45" s="226">
        <v>0</v>
      </c>
      <c r="F45" s="226">
        <v>0</v>
      </c>
      <c r="G45" s="226">
        <v>0</v>
      </c>
      <c r="H45" s="226">
        <v>0</v>
      </c>
      <c r="I45" s="226">
        <v>0</v>
      </c>
      <c r="J45" s="226">
        <v>0</v>
      </c>
      <c r="K45" s="226">
        <v>0</v>
      </c>
      <c r="L45" s="227">
        <v>0</v>
      </c>
      <c r="M45" s="227">
        <v>0</v>
      </c>
      <c r="N45" s="227">
        <v>0</v>
      </c>
      <c r="O45" s="232">
        <f t="shared" si="4"/>
        <v>105</v>
      </c>
      <c r="P45" s="144"/>
      <c r="Q45" s="144"/>
      <c r="R45" s="144"/>
      <c r="S45" s="144"/>
      <c r="T45" s="144"/>
      <c r="U45" s="144"/>
      <c r="V45" s="217"/>
      <c r="W45" s="144"/>
      <c r="X45" s="144"/>
      <c r="Y45" s="144"/>
      <c r="Z45" s="144"/>
      <c r="AA45" s="144"/>
      <c r="AB45" s="165"/>
      <c r="AC45" s="144"/>
      <c r="AD45" s="199"/>
      <c r="AE45" s="183"/>
      <c r="AF45" s="188"/>
      <c r="AG45" s="188"/>
      <c r="AH45" s="188"/>
      <c r="AI45" s="188"/>
      <c r="AQ45" s="188"/>
      <c r="AR45" s="188"/>
      <c r="AS45" s="188"/>
    </row>
    <row r="46" spans="1:45" s="146" customFormat="1" ht="14.55" customHeight="1" x14ac:dyDescent="0.25">
      <c r="A46" s="118"/>
      <c r="B46" s="72" t="s">
        <v>803</v>
      </c>
      <c r="C46" s="226">
        <v>1495</v>
      </c>
      <c r="D46" s="226">
        <v>870</v>
      </c>
      <c r="E46" s="226">
        <v>0</v>
      </c>
      <c r="F46" s="226">
        <v>0</v>
      </c>
      <c r="G46" s="226">
        <v>0</v>
      </c>
      <c r="H46" s="226">
        <v>0</v>
      </c>
      <c r="I46" s="226">
        <v>0</v>
      </c>
      <c r="J46" s="226">
        <v>0</v>
      </c>
      <c r="K46" s="226">
        <v>0</v>
      </c>
      <c r="L46" s="227">
        <v>0</v>
      </c>
      <c r="M46" s="227">
        <v>0</v>
      </c>
      <c r="N46" s="227">
        <v>0</v>
      </c>
      <c r="O46" s="232">
        <f t="shared" si="4"/>
        <v>2365</v>
      </c>
      <c r="P46" s="144"/>
      <c r="Q46" s="144"/>
      <c r="R46" s="144"/>
      <c r="S46" s="144"/>
      <c r="T46" s="144"/>
      <c r="U46" s="144"/>
      <c r="V46" s="217"/>
      <c r="W46" s="144"/>
      <c r="X46" s="144"/>
      <c r="Y46" s="144"/>
      <c r="Z46" s="144"/>
      <c r="AA46" s="144"/>
      <c r="AB46" s="165"/>
      <c r="AC46" s="144"/>
      <c r="AD46" s="199"/>
      <c r="AE46" s="183"/>
      <c r="AF46" s="188"/>
      <c r="AG46" s="188"/>
      <c r="AH46" s="188"/>
      <c r="AI46" s="188"/>
      <c r="AQ46" s="188"/>
      <c r="AR46" s="188"/>
      <c r="AS46" s="188"/>
    </row>
    <row r="47" spans="1:45" s="146" customFormat="1" ht="14.55" customHeight="1" x14ac:dyDescent="0.25">
      <c r="A47" s="229" t="s">
        <v>814</v>
      </c>
      <c r="B47" s="230" t="s">
        <v>0</v>
      </c>
      <c r="C47" s="231">
        <f t="shared" ref="C47:N47" si="5">SUM(C48:C50)</f>
        <v>1097</v>
      </c>
      <c r="D47" s="231">
        <f t="shared" si="5"/>
        <v>918</v>
      </c>
      <c r="E47" s="231">
        <f t="shared" si="5"/>
        <v>0</v>
      </c>
      <c r="F47" s="231">
        <f t="shared" si="5"/>
        <v>0</v>
      </c>
      <c r="G47" s="231">
        <f t="shared" si="5"/>
        <v>0</v>
      </c>
      <c r="H47" s="231">
        <f t="shared" si="5"/>
        <v>0</v>
      </c>
      <c r="I47" s="231">
        <f t="shared" si="5"/>
        <v>0</v>
      </c>
      <c r="J47" s="231">
        <f t="shared" si="5"/>
        <v>0</v>
      </c>
      <c r="K47" s="231">
        <f t="shared" si="5"/>
        <v>0</v>
      </c>
      <c r="L47" s="231">
        <f t="shared" si="5"/>
        <v>0</v>
      </c>
      <c r="M47" s="231">
        <f t="shared" si="5"/>
        <v>0</v>
      </c>
      <c r="N47" s="231">
        <f t="shared" si="5"/>
        <v>0</v>
      </c>
      <c r="O47" s="231">
        <f t="shared" si="4"/>
        <v>2015</v>
      </c>
      <c r="P47" s="144"/>
      <c r="Q47" s="144"/>
      <c r="R47" s="144"/>
      <c r="S47" s="144"/>
      <c r="T47" s="144"/>
      <c r="U47" s="144"/>
      <c r="V47" s="217"/>
      <c r="W47" s="144"/>
      <c r="X47" s="144"/>
      <c r="Y47" s="144"/>
      <c r="Z47" s="144"/>
      <c r="AA47" s="144"/>
      <c r="AB47" s="165"/>
      <c r="AC47" s="144"/>
      <c r="AD47" s="199"/>
      <c r="AE47" s="183"/>
      <c r="AF47" s="188"/>
      <c r="AG47" s="188"/>
      <c r="AH47" s="188"/>
      <c r="AI47" s="188"/>
      <c r="AP47" s="188"/>
      <c r="AQ47" s="188"/>
      <c r="AR47" s="188"/>
      <c r="AS47" s="188"/>
    </row>
    <row r="48" spans="1:45" s="146" customFormat="1" ht="14.55" customHeight="1" x14ac:dyDescent="0.25">
      <c r="A48" s="118"/>
      <c r="B48" s="72" t="s">
        <v>800</v>
      </c>
      <c r="C48" s="226">
        <v>142</v>
      </c>
      <c r="D48" s="226">
        <v>106</v>
      </c>
      <c r="E48" s="226">
        <v>0</v>
      </c>
      <c r="F48" s="226">
        <v>0</v>
      </c>
      <c r="G48" s="226">
        <v>0</v>
      </c>
      <c r="H48" s="226">
        <v>0</v>
      </c>
      <c r="I48" s="226">
        <v>0</v>
      </c>
      <c r="J48" s="226">
        <v>0</v>
      </c>
      <c r="K48" s="226">
        <v>0</v>
      </c>
      <c r="L48" s="227">
        <v>0</v>
      </c>
      <c r="M48" s="227">
        <v>0</v>
      </c>
      <c r="N48" s="227">
        <v>0</v>
      </c>
      <c r="O48" s="232">
        <f t="shared" si="4"/>
        <v>248</v>
      </c>
      <c r="P48" s="144"/>
      <c r="Q48" s="144"/>
      <c r="R48" s="144"/>
      <c r="S48" s="144"/>
      <c r="T48" s="144"/>
      <c r="U48" s="144"/>
      <c r="V48" s="222"/>
      <c r="W48" s="165"/>
      <c r="X48" s="165"/>
      <c r="Y48" s="165"/>
      <c r="Z48" s="165"/>
      <c r="AA48" s="165"/>
      <c r="AB48" s="165"/>
      <c r="AC48" s="165"/>
      <c r="AD48" s="199"/>
      <c r="AE48" s="199"/>
      <c r="AF48" s="188"/>
      <c r="AG48" s="188"/>
      <c r="AH48" s="188"/>
      <c r="AI48" s="188"/>
      <c r="AP48" s="188"/>
      <c r="AQ48" s="188"/>
      <c r="AR48" s="188"/>
      <c r="AS48" s="188"/>
    </row>
    <row r="49" spans="1:45" s="146" customFormat="1" ht="14.55" customHeight="1" x14ac:dyDescent="0.25">
      <c r="A49" s="118"/>
      <c r="B49" s="72" t="s">
        <v>801</v>
      </c>
      <c r="C49" s="226">
        <v>164</v>
      </c>
      <c r="D49" s="226">
        <v>128</v>
      </c>
      <c r="E49" s="226">
        <v>0</v>
      </c>
      <c r="F49" s="226">
        <v>0</v>
      </c>
      <c r="G49" s="226">
        <v>0</v>
      </c>
      <c r="H49" s="226">
        <v>0</v>
      </c>
      <c r="I49" s="226">
        <v>0</v>
      </c>
      <c r="J49" s="226">
        <v>0</v>
      </c>
      <c r="K49" s="226">
        <v>0</v>
      </c>
      <c r="L49" s="227">
        <v>0</v>
      </c>
      <c r="M49" s="227">
        <v>0</v>
      </c>
      <c r="N49" s="227">
        <v>0</v>
      </c>
      <c r="O49" s="232">
        <f t="shared" si="4"/>
        <v>292</v>
      </c>
      <c r="P49" s="144"/>
      <c r="Q49" s="144"/>
      <c r="R49" s="144"/>
      <c r="S49" s="144"/>
      <c r="T49" s="144"/>
      <c r="U49" s="165"/>
      <c r="V49" s="222"/>
      <c r="W49" s="165"/>
      <c r="X49" s="165"/>
      <c r="Y49" s="165"/>
      <c r="Z49" s="165"/>
      <c r="AA49" s="165"/>
      <c r="AB49" s="165"/>
      <c r="AC49" s="165"/>
      <c r="AD49" s="199"/>
      <c r="AE49" s="199"/>
      <c r="AF49" s="188"/>
      <c r="AG49" s="188"/>
      <c r="AH49" s="188"/>
      <c r="AI49" s="188"/>
      <c r="AL49" s="188"/>
      <c r="AM49" s="188"/>
      <c r="AN49" s="188"/>
      <c r="AO49" s="188"/>
      <c r="AP49" s="188"/>
      <c r="AQ49" s="188"/>
      <c r="AR49" s="188"/>
      <c r="AS49" s="188"/>
    </row>
    <row r="50" spans="1:45" s="146" customFormat="1" ht="14.55" customHeight="1" x14ac:dyDescent="0.25">
      <c r="A50" s="118"/>
      <c r="B50" s="72" t="s">
        <v>803</v>
      </c>
      <c r="C50" s="226">
        <v>791</v>
      </c>
      <c r="D50" s="226">
        <v>684</v>
      </c>
      <c r="E50" s="226">
        <v>0</v>
      </c>
      <c r="F50" s="226">
        <v>0</v>
      </c>
      <c r="G50" s="226">
        <v>0</v>
      </c>
      <c r="H50" s="226">
        <v>0</v>
      </c>
      <c r="I50" s="226">
        <v>0</v>
      </c>
      <c r="J50" s="226">
        <v>0</v>
      </c>
      <c r="K50" s="226">
        <v>0</v>
      </c>
      <c r="L50" s="227">
        <v>0</v>
      </c>
      <c r="M50" s="227">
        <v>0</v>
      </c>
      <c r="N50" s="227">
        <v>0</v>
      </c>
      <c r="O50" s="232">
        <f t="shared" si="4"/>
        <v>1475</v>
      </c>
      <c r="P50" s="144"/>
      <c r="Q50" s="144"/>
      <c r="R50" s="144"/>
      <c r="S50" s="144"/>
      <c r="T50" s="144"/>
      <c r="U50" s="144"/>
      <c r="V50" s="217"/>
      <c r="W50" s="144"/>
      <c r="X50" s="144"/>
      <c r="Y50" s="144"/>
      <c r="Z50" s="144"/>
      <c r="AA50" s="144"/>
      <c r="AB50" s="144"/>
      <c r="AC50" s="144"/>
      <c r="AD50" s="199"/>
      <c r="AE50" s="183"/>
      <c r="AF50" s="188"/>
      <c r="AG50" s="188"/>
      <c r="AH50" s="188"/>
      <c r="AI50" s="188"/>
      <c r="AP50" s="188"/>
      <c r="AQ50" s="188"/>
      <c r="AR50" s="188"/>
      <c r="AS50" s="188"/>
    </row>
    <row r="51" spans="1:45" s="146" customFormat="1" ht="14.55" customHeight="1" x14ac:dyDescent="0.25">
      <c r="A51" s="230" t="s">
        <v>1</v>
      </c>
      <c r="B51" s="230" t="s">
        <v>0</v>
      </c>
      <c r="C51" s="231">
        <f t="shared" ref="C51:N51" si="6">SUM(C52:C54)</f>
        <v>1874</v>
      </c>
      <c r="D51" s="231">
        <f t="shared" si="6"/>
        <v>1270</v>
      </c>
      <c r="E51" s="231">
        <f t="shared" si="6"/>
        <v>0</v>
      </c>
      <c r="F51" s="231">
        <f t="shared" si="6"/>
        <v>0</v>
      </c>
      <c r="G51" s="231">
        <f t="shared" si="6"/>
        <v>0</v>
      </c>
      <c r="H51" s="231">
        <f t="shared" si="6"/>
        <v>0</v>
      </c>
      <c r="I51" s="231">
        <f t="shared" si="6"/>
        <v>0</v>
      </c>
      <c r="J51" s="231">
        <f t="shared" si="6"/>
        <v>0</v>
      </c>
      <c r="K51" s="231">
        <f t="shared" si="6"/>
        <v>0</v>
      </c>
      <c r="L51" s="231">
        <f t="shared" si="6"/>
        <v>0</v>
      </c>
      <c r="M51" s="231">
        <f t="shared" si="6"/>
        <v>0</v>
      </c>
      <c r="N51" s="231">
        <f t="shared" si="6"/>
        <v>0</v>
      </c>
      <c r="O51" s="231">
        <f t="shared" si="4"/>
        <v>3144</v>
      </c>
      <c r="P51" s="144"/>
      <c r="Q51" s="144"/>
      <c r="R51" s="144"/>
      <c r="S51" s="144"/>
      <c r="T51" s="144"/>
      <c r="U51" s="165"/>
      <c r="V51" s="222"/>
      <c r="W51" s="165"/>
      <c r="X51" s="165"/>
      <c r="Y51" s="165"/>
      <c r="Z51" s="165"/>
      <c r="AA51" s="165"/>
      <c r="AB51" s="165"/>
      <c r="AC51" s="165"/>
      <c r="AD51" s="199"/>
      <c r="AE51" s="199"/>
      <c r="AF51" s="188"/>
      <c r="AG51" s="188"/>
      <c r="AH51" s="188"/>
      <c r="AI51" s="188"/>
      <c r="AP51" s="188"/>
      <c r="AQ51" s="188"/>
      <c r="AR51" s="188"/>
      <c r="AS51" s="188"/>
    </row>
    <row r="52" spans="1:45" s="146" customFormat="1" ht="14.55" customHeight="1" x14ac:dyDescent="0.25">
      <c r="A52" s="72"/>
      <c r="B52" s="72" t="s">
        <v>800</v>
      </c>
      <c r="C52" s="226">
        <v>131</v>
      </c>
      <c r="D52" s="226">
        <v>103</v>
      </c>
      <c r="E52" s="226">
        <v>0</v>
      </c>
      <c r="F52" s="226">
        <v>0</v>
      </c>
      <c r="G52" s="226">
        <v>0</v>
      </c>
      <c r="H52" s="226">
        <v>0</v>
      </c>
      <c r="I52" s="226">
        <v>0</v>
      </c>
      <c r="J52" s="226">
        <v>0</v>
      </c>
      <c r="K52" s="226">
        <v>0</v>
      </c>
      <c r="L52" s="227">
        <v>0</v>
      </c>
      <c r="M52" s="227">
        <v>0</v>
      </c>
      <c r="N52" s="227">
        <v>0</v>
      </c>
      <c r="O52" s="232">
        <f t="shared" si="4"/>
        <v>234</v>
      </c>
      <c r="P52" s="144"/>
      <c r="Q52" s="144"/>
      <c r="R52" s="144"/>
      <c r="S52" s="144"/>
      <c r="T52" s="144"/>
      <c r="U52" s="144"/>
      <c r="V52" s="217"/>
      <c r="W52" s="144"/>
      <c r="X52" s="165"/>
      <c r="Y52" s="165"/>
      <c r="Z52" s="165"/>
      <c r="AA52" s="165"/>
      <c r="AB52" s="165"/>
      <c r="AC52" s="165"/>
      <c r="AD52" s="199"/>
      <c r="AE52" s="199"/>
      <c r="AF52" s="188"/>
      <c r="AG52" s="188"/>
      <c r="AH52" s="188"/>
      <c r="AI52" s="188"/>
      <c r="AO52" s="188"/>
      <c r="AP52" s="188"/>
      <c r="AQ52" s="188"/>
      <c r="AR52" s="188"/>
      <c r="AS52" s="188"/>
    </row>
    <row r="53" spans="1:45" s="146" customFormat="1" ht="14.55" customHeight="1" x14ac:dyDescent="0.25">
      <c r="A53" s="72"/>
      <c r="B53" s="72" t="s">
        <v>801</v>
      </c>
      <c r="C53" s="226">
        <v>266</v>
      </c>
      <c r="D53" s="226">
        <v>215</v>
      </c>
      <c r="E53" s="226">
        <v>0</v>
      </c>
      <c r="F53" s="226">
        <v>0</v>
      </c>
      <c r="G53" s="226">
        <v>0</v>
      </c>
      <c r="H53" s="226">
        <v>0</v>
      </c>
      <c r="I53" s="226">
        <v>0</v>
      </c>
      <c r="J53" s="226">
        <v>0</v>
      </c>
      <c r="K53" s="226">
        <v>0</v>
      </c>
      <c r="L53" s="227">
        <v>0</v>
      </c>
      <c r="M53" s="227">
        <v>0</v>
      </c>
      <c r="N53" s="227">
        <v>0</v>
      </c>
      <c r="O53" s="232">
        <f t="shared" si="4"/>
        <v>481</v>
      </c>
      <c r="P53" s="144"/>
      <c r="Q53" s="144"/>
      <c r="R53" s="144"/>
      <c r="S53" s="144"/>
      <c r="T53" s="144"/>
      <c r="U53" s="144"/>
      <c r="V53" s="217"/>
      <c r="W53" s="144"/>
      <c r="X53" s="144"/>
      <c r="Y53" s="165"/>
      <c r="Z53" s="165"/>
      <c r="AA53" s="165"/>
      <c r="AB53" s="165"/>
      <c r="AC53" s="144"/>
      <c r="AD53" s="199"/>
      <c r="AE53" s="183"/>
      <c r="AF53" s="188"/>
      <c r="AG53" s="188"/>
      <c r="AH53" s="188"/>
      <c r="AI53" s="188"/>
      <c r="AP53" s="188"/>
      <c r="AQ53" s="188"/>
      <c r="AR53" s="188"/>
      <c r="AS53" s="188"/>
    </row>
    <row r="54" spans="1:45" s="146" customFormat="1" ht="14.55" customHeight="1" x14ac:dyDescent="0.25">
      <c r="A54" s="72"/>
      <c r="B54" s="72" t="s">
        <v>803</v>
      </c>
      <c r="C54" s="226">
        <v>1477</v>
      </c>
      <c r="D54" s="226">
        <v>952</v>
      </c>
      <c r="E54" s="226">
        <v>0</v>
      </c>
      <c r="F54" s="226">
        <v>0</v>
      </c>
      <c r="G54" s="226">
        <v>0</v>
      </c>
      <c r="H54" s="226">
        <v>0</v>
      </c>
      <c r="I54" s="226">
        <v>0</v>
      </c>
      <c r="J54" s="226">
        <v>0</v>
      </c>
      <c r="K54" s="226">
        <v>0</v>
      </c>
      <c r="L54" s="227">
        <v>0</v>
      </c>
      <c r="M54" s="227">
        <v>0</v>
      </c>
      <c r="N54" s="227">
        <v>0</v>
      </c>
      <c r="O54" s="232">
        <f t="shared" si="4"/>
        <v>2429</v>
      </c>
      <c r="P54" s="144"/>
      <c r="Q54" s="144"/>
      <c r="R54" s="144"/>
      <c r="S54" s="144"/>
      <c r="T54" s="144"/>
      <c r="U54" s="144"/>
      <c r="V54" s="217"/>
      <c r="W54" s="144"/>
      <c r="X54" s="165"/>
      <c r="Y54" s="165"/>
      <c r="Z54" s="165"/>
      <c r="AA54" s="165"/>
      <c r="AB54" s="165"/>
      <c r="AC54" s="165"/>
      <c r="AD54" s="199"/>
      <c r="AE54" s="199"/>
      <c r="AF54" s="188"/>
      <c r="AG54" s="188"/>
      <c r="AH54" s="188"/>
      <c r="AI54" s="188"/>
      <c r="AP54" s="188"/>
      <c r="AQ54" s="188"/>
      <c r="AR54" s="188"/>
      <c r="AS54" s="188"/>
    </row>
    <row r="55" spans="1:45" s="146" customFormat="1" ht="14.55" customHeight="1" x14ac:dyDescent="0.25">
      <c r="A55" s="230" t="s">
        <v>2</v>
      </c>
      <c r="B55" s="230" t="s">
        <v>0</v>
      </c>
      <c r="C55" s="231">
        <f t="shared" ref="C55:N55" si="7">SUM(C56:C58)</f>
        <v>431</v>
      </c>
      <c r="D55" s="231">
        <f t="shared" si="7"/>
        <v>214</v>
      </c>
      <c r="E55" s="231">
        <f t="shared" si="7"/>
        <v>0</v>
      </c>
      <c r="F55" s="231">
        <f t="shared" si="7"/>
        <v>0</v>
      </c>
      <c r="G55" s="231">
        <f t="shared" si="7"/>
        <v>0</v>
      </c>
      <c r="H55" s="231">
        <f t="shared" si="7"/>
        <v>0</v>
      </c>
      <c r="I55" s="231">
        <f t="shared" si="7"/>
        <v>0</v>
      </c>
      <c r="J55" s="231">
        <f t="shared" si="7"/>
        <v>0</v>
      </c>
      <c r="K55" s="231">
        <f t="shared" si="7"/>
        <v>0</v>
      </c>
      <c r="L55" s="231">
        <f t="shared" si="7"/>
        <v>0</v>
      </c>
      <c r="M55" s="231">
        <f t="shared" si="7"/>
        <v>0</v>
      </c>
      <c r="N55" s="231">
        <f t="shared" si="7"/>
        <v>0</v>
      </c>
      <c r="O55" s="231">
        <f t="shared" si="4"/>
        <v>645</v>
      </c>
      <c r="P55" s="144"/>
      <c r="Q55" s="144"/>
      <c r="R55" s="144"/>
      <c r="S55" s="144"/>
      <c r="T55" s="144"/>
      <c r="U55" s="144"/>
      <c r="V55" s="217"/>
      <c r="W55" s="144"/>
      <c r="X55" s="144"/>
      <c r="Y55" s="165"/>
      <c r="Z55" s="165"/>
      <c r="AA55" s="144"/>
      <c r="AB55" s="165"/>
      <c r="AC55" s="144"/>
      <c r="AD55" s="183"/>
      <c r="AE55" s="183"/>
      <c r="AF55" s="188"/>
      <c r="AG55" s="188"/>
      <c r="AH55" s="188"/>
      <c r="AI55" s="188"/>
      <c r="AP55" s="188"/>
      <c r="AQ55" s="188"/>
      <c r="AR55" s="188"/>
      <c r="AS55" s="188"/>
    </row>
    <row r="56" spans="1:45" s="146" customFormat="1" ht="14.55" customHeight="1" x14ac:dyDescent="0.25">
      <c r="A56" s="72"/>
      <c r="B56" s="72" t="s">
        <v>800</v>
      </c>
      <c r="C56" s="226">
        <v>117</v>
      </c>
      <c r="D56" s="226">
        <v>78</v>
      </c>
      <c r="E56" s="226">
        <v>0</v>
      </c>
      <c r="F56" s="226">
        <v>0</v>
      </c>
      <c r="G56" s="226">
        <v>0</v>
      </c>
      <c r="H56" s="226">
        <v>0</v>
      </c>
      <c r="I56" s="226">
        <v>0</v>
      </c>
      <c r="J56" s="226">
        <v>0</v>
      </c>
      <c r="K56" s="226">
        <v>0</v>
      </c>
      <c r="L56" s="227">
        <v>0</v>
      </c>
      <c r="M56" s="227">
        <v>0</v>
      </c>
      <c r="N56" s="227">
        <v>0</v>
      </c>
      <c r="O56" s="232">
        <f t="shared" si="4"/>
        <v>195</v>
      </c>
      <c r="P56" s="144"/>
      <c r="Q56" s="144"/>
      <c r="R56" s="144"/>
      <c r="S56" s="144"/>
      <c r="T56" s="144"/>
      <c r="U56" s="144"/>
      <c r="V56" s="217"/>
      <c r="W56" s="144"/>
      <c r="X56" s="144"/>
      <c r="Y56" s="144"/>
      <c r="Z56" s="165"/>
      <c r="AA56" s="165"/>
      <c r="AB56" s="165"/>
      <c r="AC56" s="165"/>
      <c r="AD56" s="199"/>
      <c r="AE56" s="199"/>
      <c r="AF56" s="188"/>
      <c r="AG56" s="188"/>
      <c r="AH56" s="188"/>
      <c r="AP56" s="188"/>
      <c r="AQ56" s="188"/>
      <c r="AR56" s="188"/>
      <c r="AS56" s="188"/>
    </row>
    <row r="57" spans="1:45" s="146" customFormat="1" ht="14.55" customHeight="1" x14ac:dyDescent="0.25">
      <c r="A57" s="72"/>
      <c r="B57" s="72" t="s">
        <v>801</v>
      </c>
      <c r="C57" s="226">
        <v>45</v>
      </c>
      <c r="D57" s="226">
        <v>40</v>
      </c>
      <c r="E57" s="226">
        <v>0</v>
      </c>
      <c r="F57" s="226">
        <v>0</v>
      </c>
      <c r="G57" s="226">
        <v>0</v>
      </c>
      <c r="H57" s="226">
        <v>0</v>
      </c>
      <c r="I57" s="226">
        <v>0</v>
      </c>
      <c r="J57" s="226">
        <v>0</v>
      </c>
      <c r="K57" s="226">
        <v>0</v>
      </c>
      <c r="L57" s="227">
        <v>0</v>
      </c>
      <c r="M57" s="227">
        <v>0</v>
      </c>
      <c r="N57" s="227">
        <v>0</v>
      </c>
      <c r="O57" s="232">
        <f t="shared" si="4"/>
        <v>85</v>
      </c>
      <c r="P57" s="144"/>
      <c r="Q57" s="144"/>
      <c r="R57" s="144"/>
      <c r="S57" s="144"/>
      <c r="T57" s="144"/>
      <c r="U57" s="144"/>
      <c r="V57" s="222"/>
      <c r="W57" s="165"/>
      <c r="X57" s="165"/>
      <c r="Y57" s="165"/>
      <c r="Z57" s="165"/>
      <c r="AA57" s="165"/>
      <c r="AB57" s="165"/>
      <c r="AC57" s="165"/>
      <c r="AD57" s="199"/>
      <c r="AE57" s="199"/>
      <c r="AF57" s="188"/>
      <c r="AG57" s="188"/>
      <c r="AH57" s="188"/>
      <c r="AI57" s="188"/>
      <c r="AP57" s="188"/>
      <c r="AQ57" s="188"/>
      <c r="AR57" s="188"/>
      <c r="AS57" s="188"/>
    </row>
    <row r="58" spans="1:45" s="146" customFormat="1" ht="14.55" customHeight="1" x14ac:dyDescent="0.25">
      <c r="A58" s="72"/>
      <c r="B58" s="72" t="s">
        <v>803</v>
      </c>
      <c r="C58" s="226">
        <v>269</v>
      </c>
      <c r="D58" s="226">
        <v>96</v>
      </c>
      <c r="E58" s="226">
        <v>0</v>
      </c>
      <c r="F58" s="226">
        <v>0</v>
      </c>
      <c r="G58" s="226">
        <v>0</v>
      </c>
      <c r="H58" s="226">
        <v>0</v>
      </c>
      <c r="I58" s="226">
        <v>0</v>
      </c>
      <c r="J58" s="226">
        <v>0</v>
      </c>
      <c r="K58" s="226">
        <v>0</v>
      </c>
      <c r="L58" s="227">
        <v>0</v>
      </c>
      <c r="M58" s="227">
        <v>0</v>
      </c>
      <c r="N58" s="227">
        <v>0</v>
      </c>
      <c r="O58" s="232">
        <f t="shared" si="4"/>
        <v>365</v>
      </c>
      <c r="P58" s="144"/>
      <c r="Q58" s="144"/>
      <c r="R58" s="144"/>
      <c r="S58" s="144"/>
      <c r="T58" s="144"/>
      <c r="U58" s="144"/>
      <c r="V58" s="222"/>
      <c r="W58" s="165"/>
      <c r="X58" s="165"/>
      <c r="Y58" s="165"/>
      <c r="Z58" s="165"/>
      <c r="AA58" s="165"/>
      <c r="AB58" s="165"/>
      <c r="AC58" s="144"/>
      <c r="AD58" s="183"/>
      <c r="AE58" s="183"/>
      <c r="AF58" s="188"/>
      <c r="AG58" s="188"/>
      <c r="AI58" s="188"/>
      <c r="AP58" s="188"/>
      <c r="AQ58" s="188"/>
      <c r="AR58" s="188"/>
      <c r="AS58" s="188"/>
    </row>
    <row r="59" spans="1:45" s="146" customFormat="1" ht="14.55" customHeight="1" x14ac:dyDescent="0.25">
      <c r="A59" s="230" t="s">
        <v>815</v>
      </c>
      <c r="B59" s="230" t="s">
        <v>0</v>
      </c>
      <c r="C59" s="231">
        <f t="shared" ref="C59:N59" si="8">SUM(C60:C62)</f>
        <v>4744</v>
      </c>
      <c r="D59" s="231">
        <f t="shared" si="8"/>
        <v>4736</v>
      </c>
      <c r="E59" s="231">
        <f t="shared" si="8"/>
        <v>0</v>
      </c>
      <c r="F59" s="231">
        <f t="shared" si="8"/>
        <v>0</v>
      </c>
      <c r="G59" s="231">
        <f t="shared" si="8"/>
        <v>0</v>
      </c>
      <c r="H59" s="231">
        <f t="shared" si="8"/>
        <v>0</v>
      </c>
      <c r="I59" s="231">
        <f t="shared" si="8"/>
        <v>0</v>
      </c>
      <c r="J59" s="231">
        <f t="shared" si="8"/>
        <v>0</v>
      </c>
      <c r="K59" s="231">
        <f t="shared" si="8"/>
        <v>0</v>
      </c>
      <c r="L59" s="231">
        <f t="shared" si="8"/>
        <v>0</v>
      </c>
      <c r="M59" s="231">
        <f t="shared" si="8"/>
        <v>0</v>
      </c>
      <c r="N59" s="231">
        <f t="shared" si="8"/>
        <v>0</v>
      </c>
      <c r="O59" s="231">
        <f t="shared" si="4"/>
        <v>9480</v>
      </c>
      <c r="P59" s="144"/>
      <c r="Q59" s="144"/>
      <c r="R59" s="144"/>
      <c r="S59" s="144"/>
      <c r="T59" s="144"/>
      <c r="U59" s="144"/>
      <c r="V59" s="217"/>
      <c r="W59" s="144"/>
      <c r="X59" s="144"/>
      <c r="Y59" s="165"/>
      <c r="Z59" s="165"/>
      <c r="AA59" s="165"/>
      <c r="AB59" s="165"/>
      <c r="AC59" s="165"/>
      <c r="AD59" s="199"/>
      <c r="AE59" s="199"/>
      <c r="AF59" s="188"/>
      <c r="AG59" s="188"/>
      <c r="AH59" s="188"/>
      <c r="AI59" s="188"/>
      <c r="AP59" s="188"/>
      <c r="AQ59" s="188"/>
      <c r="AR59" s="188"/>
      <c r="AS59" s="188"/>
    </row>
    <row r="60" spans="1:45" s="146" customFormat="1" ht="14.55" customHeight="1" x14ac:dyDescent="0.25">
      <c r="A60" s="72"/>
      <c r="B60" s="72" t="s">
        <v>800</v>
      </c>
      <c r="C60" s="226">
        <v>29</v>
      </c>
      <c r="D60" s="226">
        <v>23</v>
      </c>
      <c r="E60" s="226">
        <v>0</v>
      </c>
      <c r="F60" s="226">
        <v>0</v>
      </c>
      <c r="G60" s="226">
        <v>0</v>
      </c>
      <c r="H60" s="226">
        <v>0</v>
      </c>
      <c r="I60" s="226">
        <v>0</v>
      </c>
      <c r="J60" s="226">
        <v>0</v>
      </c>
      <c r="K60" s="226">
        <v>0</v>
      </c>
      <c r="L60" s="227">
        <v>0</v>
      </c>
      <c r="M60" s="227">
        <v>0</v>
      </c>
      <c r="N60" s="227">
        <v>0</v>
      </c>
      <c r="O60" s="232">
        <f t="shared" si="4"/>
        <v>52</v>
      </c>
      <c r="P60" s="144"/>
      <c r="Q60" s="144"/>
      <c r="R60" s="144"/>
      <c r="S60" s="144"/>
      <c r="T60" s="144"/>
      <c r="U60" s="144"/>
      <c r="V60" s="217"/>
      <c r="W60" s="144"/>
      <c r="X60" s="144"/>
      <c r="Y60" s="165"/>
      <c r="Z60" s="165"/>
      <c r="AA60" s="165"/>
      <c r="AB60" s="165"/>
      <c r="AC60" s="165"/>
      <c r="AD60" s="199"/>
      <c r="AE60" s="199"/>
      <c r="AF60" s="188"/>
      <c r="AG60" s="188"/>
      <c r="AH60" s="188"/>
      <c r="AP60" s="188"/>
      <c r="AQ60" s="188"/>
      <c r="AR60" s="188"/>
      <c r="AS60" s="188"/>
    </row>
    <row r="61" spans="1:45" s="146" customFormat="1" ht="14.55" customHeight="1" x14ac:dyDescent="0.25">
      <c r="A61" s="72"/>
      <c r="B61" s="72" t="s">
        <v>801</v>
      </c>
      <c r="C61" s="226">
        <v>45</v>
      </c>
      <c r="D61" s="226">
        <v>42</v>
      </c>
      <c r="E61" s="226">
        <v>0</v>
      </c>
      <c r="F61" s="226">
        <v>0</v>
      </c>
      <c r="G61" s="226">
        <v>0</v>
      </c>
      <c r="H61" s="226">
        <v>0</v>
      </c>
      <c r="I61" s="226">
        <v>0</v>
      </c>
      <c r="J61" s="226">
        <v>0</v>
      </c>
      <c r="K61" s="226">
        <v>0</v>
      </c>
      <c r="L61" s="227">
        <v>0</v>
      </c>
      <c r="M61" s="227">
        <v>0</v>
      </c>
      <c r="N61" s="227">
        <v>0</v>
      </c>
      <c r="O61" s="232">
        <f t="shared" si="4"/>
        <v>87</v>
      </c>
      <c r="P61" s="144"/>
      <c r="Q61" s="144"/>
      <c r="R61" s="144"/>
      <c r="S61" s="144"/>
      <c r="T61" s="144"/>
      <c r="U61" s="144"/>
      <c r="V61" s="217"/>
      <c r="W61" s="144"/>
      <c r="X61" s="144"/>
      <c r="Y61" s="165"/>
      <c r="Z61" s="165"/>
      <c r="AA61" s="165"/>
      <c r="AB61" s="165"/>
      <c r="AC61" s="165"/>
      <c r="AD61" s="199"/>
      <c r="AE61" s="199"/>
      <c r="AF61" s="188"/>
      <c r="AG61" s="188"/>
      <c r="AH61" s="188"/>
      <c r="AK61" s="188"/>
      <c r="AL61" s="188"/>
      <c r="AM61" s="188"/>
      <c r="AN61" s="188"/>
      <c r="AO61" s="188"/>
      <c r="AP61" s="188"/>
      <c r="AQ61" s="188"/>
      <c r="AR61" s="188"/>
      <c r="AS61" s="188"/>
    </row>
    <row r="62" spans="1:45" s="146" customFormat="1" ht="14.55" customHeight="1" x14ac:dyDescent="0.25">
      <c r="A62" s="72"/>
      <c r="B62" s="72" t="s">
        <v>803</v>
      </c>
      <c r="C62" s="226">
        <v>4670</v>
      </c>
      <c r="D62" s="226">
        <v>4671</v>
      </c>
      <c r="E62" s="226">
        <v>0</v>
      </c>
      <c r="F62" s="226">
        <v>0</v>
      </c>
      <c r="G62" s="226">
        <v>0</v>
      </c>
      <c r="H62" s="226">
        <v>0</v>
      </c>
      <c r="I62" s="226">
        <v>0</v>
      </c>
      <c r="J62" s="226">
        <v>0</v>
      </c>
      <c r="K62" s="226">
        <v>0</v>
      </c>
      <c r="L62" s="227">
        <v>0</v>
      </c>
      <c r="M62" s="227">
        <v>0</v>
      </c>
      <c r="N62" s="227">
        <v>0</v>
      </c>
      <c r="O62" s="232">
        <f t="shared" si="4"/>
        <v>9341</v>
      </c>
      <c r="P62" s="144"/>
      <c r="Q62" s="144"/>
      <c r="R62" s="144"/>
      <c r="S62" s="144"/>
      <c r="T62" s="144"/>
      <c r="U62" s="144"/>
      <c r="V62" s="217"/>
      <c r="W62" s="144"/>
      <c r="X62" s="144"/>
      <c r="Y62" s="165"/>
      <c r="Z62" s="165"/>
      <c r="AA62" s="165"/>
      <c r="AB62" s="165"/>
      <c r="AC62" s="165"/>
      <c r="AD62" s="199"/>
      <c r="AE62" s="199"/>
      <c r="AF62" s="188"/>
      <c r="AG62" s="188"/>
      <c r="AI62" s="188"/>
      <c r="AP62" s="188"/>
      <c r="AQ62" s="188"/>
      <c r="AR62" s="188"/>
      <c r="AS62" s="188"/>
    </row>
    <row r="63" spans="1:45" s="146" customFormat="1" ht="12" x14ac:dyDescent="0.25">
      <c r="A63" s="204"/>
      <c r="E63" s="144"/>
      <c r="F63" s="144"/>
      <c r="G63" s="144"/>
      <c r="Q63" s="144"/>
      <c r="R63" s="155"/>
      <c r="S63" s="155"/>
      <c r="T63" s="170"/>
      <c r="U63" s="170"/>
      <c r="V63" s="233"/>
      <c r="W63" s="155"/>
      <c r="X63" s="170"/>
      <c r="Y63" s="170"/>
      <c r="Z63" s="155"/>
      <c r="AA63" s="155"/>
      <c r="AB63" s="155"/>
      <c r="AC63" s="183"/>
      <c r="AD63" s="183"/>
      <c r="AE63" s="183"/>
      <c r="AF63" s="183"/>
      <c r="AQ63" s="188"/>
      <c r="AS63" s="188"/>
    </row>
    <row r="64" spans="1:45" s="144" customFormat="1" ht="18" customHeight="1" x14ac:dyDescent="0.25">
      <c r="A64" s="389"/>
      <c r="B64" s="379"/>
      <c r="C64" s="379"/>
      <c r="D64" s="379"/>
      <c r="E64" s="379"/>
      <c r="F64" s="379"/>
      <c r="G64" s="379"/>
      <c r="H64" s="379"/>
      <c r="I64" s="379"/>
      <c r="J64" s="379"/>
      <c r="K64" s="379"/>
      <c r="L64" s="379"/>
      <c r="M64" s="379"/>
      <c r="N64" s="379"/>
      <c r="O64" s="379"/>
      <c r="P64" s="379"/>
      <c r="Q64" s="379"/>
      <c r="R64" s="379"/>
      <c r="S64" s="379"/>
      <c r="T64" s="379"/>
      <c r="U64" s="379"/>
      <c r="V64" s="390"/>
      <c r="W64" s="155"/>
      <c r="X64" s="155"/>
      <c r="Y64" s="155"/>
      <c r="Z64" s="155"/>
    </row>
    <row r="65" spans="1:33" s="146" customFormat="1" ht="12" x14ac:dyDescent="0.25">
      <c r="A65" s="204"/>
      <c r="F65" s="144"/>
      <c r="G65" s="144"/>
      <c r="H65" s="144"/>
      <c r="K65" s="144"/>
      <c r="L65" s="155"/>
      <c r="M65" s="155"/>
      <c r="N65" s="155"/>
      <c r="O65" s="155"/>
      <c r="P65" s="155"/>
      <c r="Q65" s="155"/>
      <c r="R65" s="155"/>
      <c r="S65" s="155"/>
      <c r="T65" s="155"/>
      <c r="U65" s="155"/>
      <c r="V65" s="164"/>
      <c r="W65" s="183"/>
      <c r="X65" s="183"/>
      <c r="Y65" s="183"/>
      <c r="Z65" s="183"/>
    </row>
    <row r="66" spans="1:33" s="146" customFormat="1" ht="23.25" customHeight="1" x14ac:dyDescent="0.25">
      <c r="A66" s="377" t="s">
        <v>816</v>
      </c>
      <c r="B66" s="376"/>
      <c r="C66" s="376"/>
      <c r="D66" s="376"/>
      <c r="E66" s="376"/>
      <c r="F66" s="376"/>
      <c r="G66" s="376"/>
      <c r="H66" s="376"/>
      <c r="I66" s="376"/>
      <c r="J66" s="376"/>
      <c r="K66" s="376"/>
      <c r="L66" s="376"/>
      <c r="M66" s="376"/>
      <c r="N66" s="376"/>
      <c r="O66" s="155"/>
      <c r="P66" s="155"/>
      <c r="Q66" s="216"/>
      <c r="R66" s="216"/>
      <c r="S66" s="216"/>
      <c r="T66" s="216"/>
      <c r="U66" s="216"/>
      <c r="V66" s="234"/>
      <c r="W66" s="184"/>
      <c r="X66" s="184"/>
      <c r="Y66" s="184"/>
      <c r="Z66" s="184"/>
      <c r="AA66" s="187"/>
      <c r="AB66" s="187"/>
    </row>
    <row r="67" spans="1:33" s="146" customFormat="1" ht="22.5" customHeight="1" x14ac:dyDescent="0.25">
      <c r="A67" s="71" t="s">
        <v>787</v>
      </c>
      <c r="B67" s="71" t="s">
        <v>788</v>
      </c>
      <c r="C67" s="71" t="s">
        <v>789</v>
      </c>
      <c r="D67" s="71" t="s">
        <v>790</v>
      </c>
      <c r="E67" s="71" t="s">
        <v>791</v>
      </c>
      <c r="F67" s="71" t="s">
        <v>792</v>
      </c>
      <c r="G67" s="71" t="s">
        <v>793</v>
      </c>
      <c r="H67" s="71" t="s">
        <v>794</v>
      </c>
      <c r="I67" s="71" t="s">
        <v>795</v>
      </c>
      <c r="J67" s="71" t="s">
        <v>796</v>
      </c>
      <c r="K67" s="71" t="s">
        <v>797</v>
      </c>
      <c r="L67" s="71" t="s">
        <v>798</v>
      </c>
      <c r="M67" s="71" t="s">
        <v>799</v>
      </c>
      <c r="N67" s="71" t="s">
        <v>817</v>
      </c>
      <c r="O67" s="155"/>
      <c r="P67" s="216"/>
      <c r="Q67" s="216"/>
      <c r="R67" s="216"/>
      <c r="S67" s="216"/>
      <c r="T67" s="216"/>
      <c r="U67" s="216"/>
      <c r="V67" s="234"/>
      <c r="W67" s="184"/>
      <c r="X67" s="184"/>
      <c r="Y67" s="184"/>
      <c r="Z67" s="184"/>
      <c r="AA67" s="187"/>
      <c r="AB67" s="187"/>
      <c r="AC67" s="187"/>
      <c r="AD67" s="187"/>
      <c r="AE67" s="187"/>
      <c r="AF67" s="187"/>
    </row>
    <row r="68" spans="1:33" s="146" customFormat="1" ht="12" x14ac:dyDescent="0.25">
      <c r="A68" s="235" t="s">
        <v>818</v>
      </c>
      <c r="B68" s="236">
        <v>20639.419354838701</v>
      </c>
      <c r="C68" s="237">
        <v>21974.210526315801</v>
      </c>
      <c r="D68" s="238">
        <v>0</v>
      </c>
      <c r="E68" s="237">
        <v>0</v>
      </c>
      <c r="F68" s="238">
        <v>0</v>
      </c>
      <c r="G68" s="237">
        <v>0</v>
      </c>
      <c r="H68" s="237">
        <v>0</v>
      </c>
      <c r="I68" s="238">
        <v>0</v>
      </c>
      <c r="J68" s="237">
        <v>0</v>
      </c>
      <c r="K68" s="238">
        <v>0</v>
      </c>
      <c r="L68" s="238">
        <v>0</v>
      </c>
      <c r="M68" s="237">
        <v>0</v>
      </c>
      <c r="N68" s="238">
        <v>21146.639999999999</v>
      </c>
      <c r="O68" s="239"/>
      <c r="P68" s="240"/>
      <c r="Q68" s="240"/>
      <c r="R68" s="240"/>
      <c r="S68" s="240"/>
      <c r="T68" s="240"/>
      <c r="U68" s="240"/>
      <c r="V68" s="241"/>
      <c r="W68" s="242"/>
      <c r="X68" s="242"/>
      <c r="Y68" s="242"/>
      <c r="Z68" s="242"/>
      <c r="AA68" s="243"/>
      <c r="AB68" s="243"/>
    </row>
    <row r="69" spans="1:33" s="146" customFormat="1" ht="12" x14ac:dyDescent="0.25">
      <c r="A69" s="244" t="s">
        <v>800</v>
      </c>
      <c r="B69" s="202">
        <v>990.19354838709705</v>
      </c>
      <c r="C69" s="245">
        <v>985.21052631578902</v>
      </c>
      <c r="D69" s="245">
        <v>0</v>
      </c>
      <c r="E69" s="245">
        <v>0</v>
      </c>
      <c r="F69" s="245">
        <v>0</v>
      </c>
      <c r="G69" s="245">
        <v>0</v>
      </c>
      <c r="H69" s="245">
        <v>0</v>
      </c>
      <c r="I69" s="245">
        <v>0</v>
      </c>
      <c r="J69" s="245">
        <v>0</v>
      </c>
      <c r="K69" s="245">
        <v>0</v>
      </c>
      <c r="L69" s="245">
        <v>0</v>
      </c>
      <c r="M69" s="245">
        <v>0</v>
      </c>
      <c r="N69" s="245">
        <v>988.3</v>
      </c>
      <c r="O69" s="155"/>
      <c r="P69" s="240"/>
      <c r="Q69" s="240"/>
      <c r="R69" s="240"/>
      <c r="S69" s="240"/>
      <c r="T69" s="240"/>
      <c r="U69" s="170"/>
      <c r="V69" s="241"/>
      <c r="W69" s="242"/>
      <c r="X69" s="242"/>
      <c r="Y69" s="242"/>
      <c r="Z69" s="242"/>
      <c r="AA69" s="243"/>
      <c r="AB69" s="243"/>
      <c r="AC69" s="243"/>
      <c r="AD69" s="243"/>
      <c r="AE69" s="243"/>
      <c r="AF69" s="243"/>
      <c r="AG69" s="243"/>
    </row>
    <row r="70" spans="1:33" s="146" customFormat="1" ht="12" x14ac:dyDescent="0.25">
      <c r="A70" s="246" t="s">
        <v>801</v>
      </c>
      <c r="B70" s="202">
        <v>377</v>
      </c>
      <c r="C70" s="245">
        <v>383.26315789473699</v>
      </c>
      <c r="D70" s="245">
        <v>0</v>
      </c>
      <c r="E70" s="245">
        <v>0</v>
      </c>
      <c r="F70" s="245">
        <v>0</v>
      </c>
      <c r="G70" s="245">
        <v>0</v>
      </c>
      <c r="H70" s="245">
        <v>0</v>
      </c>
      <c r="I70" s="245">
        <v>0</v>
      </c>
      <c r="J70" s="245">
        <v>0</v>
      </c>
      <c r="K70" s="245">
        <v>0</v>
      </c>
      <c r="L70" s="245">
        <v>0</v>
      </c>
      <c r="M70" s="245">
        <v>0</v>
      </c>
      <c r="N70" s="245">
        <v>379.38</v>
      </c>
      <c r="O70" s="155"/>
      <c r="P70" s="216"/>
      <c r="Q70" s="216"/>
      <c r="R70" s="216"/>
      <c r="S70" s="216"/>
      <c r="T70" s="216"/>
      <c r="U70" s="216"/>
      <c r="V70" s="234"/>
      <c r="W70" s="184"/>
      <c r="X70" s="184"/>
      <c r="Y70" s="184"/>
      <c r="Z70" s="184"/>
      <c r="AA70" s="243"/>
      <c r="AB70" s="243"/>
      <c r="AC70" s="243"/>
      <c r="AG70" s="243"/>
    </row>
    <row r="71" spans="1:33" s="248" customFormat="1" ht="12" x14ac:dyDescent="0.25">
      <c r="A71" s="246" t="s">
        <v>803</v>
      </c>
      <c r="B71" s="202">
        <v>19272.225806451599</v>
      </c>
      <c r="C71" s="245">
        <v>20605.7368421053</v>
      </c>
      <c r="D71" s="245">
        <v>0</v>
      </c>
      <c r="E71" s="245">
        <v>0</v>
      </c>
      <c r="F71" s="245">
        <v>0</v>
      </c>
      <c r="G71" s="245">
        <v>0</v>
      </c>
      <c r="H71" s="245">
        <v>0</v>
      </c>
      <c r="I71" s="245">
        <v>0</v>
      </c>
      <c r="J71" s="245">
        <v>0</v>
      </c>
      <c r="K71" s="245">
        <v>0</v>
      </c>
      <c r="L71" s="245">
        <v>0</v>
      </c>
      <c r="M71" s="245">
        <v>0</v>
      </c>
      <c r="N71" s="245">
        <v>19778.96</v>
      </c>
      <c r="O71" s="240"/>
      <c r="P71" s="240"/>
      <c r="Q71" s="240"/>
      <c r="R71" s="240"/>
      <c r="S71" s="240"/>
      <c r="T71" s="240"/>
      <c r="U71" s="240"/>
      <c r="V71" s="241"/>
      <c r="W71" s="247"/>
      <c r="X71" s="247"/>
      <c r="Y71" s="247"/>
      <c r="Z71" s="247"/>
      <c r="AA71" s="247"/>
      <c r="AB71" s="247"/>
      <c r="AC71" s="247"/>
      <c r="AD71" s="247"/>
      <c r="AE71" s="247"/>
      <c r="AF71" s="247"/>
      <c r="AG71" s="247"/>
    </row>
    <row r="72" spans="1:33" s="146" customFormat="1" ht="12" x14ac:dyDescent="0.25">
      <c r="A72" s="235" t="s">
        <v>819</v>
      </c>
      <c r="B72" s="236">
        <v>8189.8064516128998</v>
      </c>
      <c r="C72" s="237">
        <v>8471.7368421052597</v>
      </c>
      <c r="D72" s="238">
        <v>0</v>
      </c>
      <c r="E72" s="237">
        <v>0</v>
      </c>
      <c r="F72" s="238">
        <v>0</v>
      </c>
      <c r="G72" s="237">
        <v>0</v>
      </c>
      <c r="H72" s="237">
        <v>0</v>
      </c>
      <c r="I72" s="238">
        <v>0</v>
      </c>
      <c r="J72" s="237">
        <v>0</v>
      </c>
      <c r="K72" s="238">
        <v>0</v>
      </c>
      <c r="L72" s="238">
        <v>0</v>
      </c>
      <c r="M72" s="237">
        <v>0</v>
      </c>
      <c r="N72" s="238">
        <v>8296.94</v>
      </c>
      <c r="O72" s="155"/>
      <c r="P72" s="240"/>
      <c r="Q72" s="240"/>
      <c r="R72" s="240"/>
      <c r="S72" s="240"/>
      <c r="T72" s="240"/>
      <c r="U72" s="240"/>
      <c r="V72" s="241"/>
      <c r="W72" s="243"/>
      <c r="X72" s="243"/>
      <c r="Y72" s="243"/>
      <c r="Z72" s="243"/>
      <c r="AA72" s="243"/>
      <c r="AB72" s="243"/>
      <c r="AC72" s="243"/>
      <c r="AD72" s="243"/>
      <c r="AE72" s="243"/>
      <c r="AF72" s="243"/>
      <c r="AG72" s="243"/>
    </row>
    <row r="73" spans="1:33" s="146" customFormat="1" ht="12" x14ac:dyDescent="0.25">
      <c r="A73" s="244" t="s">
        <v>800</v>
      </c>
      <c r="B73" s="202">
        <v>5806.0322580645197</v>
      </c>
      <c r="C73" s="245">
        <v>5939.2631578947403</v>
      </c>
      <c r="D73" s="245">
        <v>0</v>
      </c>
      <c r="E73" s="245">
        <v>0</v>
      </c>
      <c r="F73" s="245">
        <v>0</v>
      </c>
      <c r="G73" s="245">
        <v>0</v>
      </c>
      <c r="H73" s="245">
        <v>0</v>
      </c>
      <c r="I73" s="245">
        <v>0</v>
      </c>
      <c r="J73" s="245">
        <v>0</v>
      </c>
      <c r="K73" s="245">
        <v>0</v>
      </c>
      <c r="L73" s="245">
        <v>0</v>
      </c>
      <c r="M73" s="245">
        <v>0</v>
      </c>
      <c r="N73" s="245">
        <v>5856.66</v>
      </c>
      <c r="O73" s="155"/>
      <c r="P73" s="240"/>
      <c r="Q73" s="240"/>
      <c r="R73" s="240"/>
      <c r="S73" s="240"/>
      <c r="T73" s="240"/>
      <c r="U73" s="240"/>
      <c r="V73" s="241"/>
      <c r="W73" s="243"/>
      <c r="X73" s="243"/>
      <c r="Y73" s="243"/>
      <c r="Z73" s="243"/>
      <c r="AA73" s="243"/>
      <c r="AB73" s="243"/>
      <c r="AC73" s="188"/>
      <c r="AD73" s="243"/>
      <c r="AE73" s="243"/>
      <c r="AF73" s="243"/>
      <c r="AG73" s="243"/>
    </row>
    <row r="74" spans="1:33" s="146" customFormat="1" ht="12" x14ac:dyDescent="0.25">
      <c r="A74" s="246" t="s">
        <v>801</v>
      </c>
      <c r="B74" s="202">
        <v>1849</v>
      </c>
      <c r="C74" s="245">
        <v>2030.4210526315801</v>
      </c>
      <c r="D74" s="245">
        <v>0</v>
      </c>
      <c r="E74" s="245">
        <v>0</v>
      </c>
      <c r="F74" s="245">
        <v>0</v>
      </c>
      <c r="G74" s="245">
        <v>0</v>
      </c>
      <c r="H74" s="245">
        <v>0</v>
      </c>
      <c r="I74" s="245">
        <v>0</v>
      </c>
      <c r="J74" s="245">
        <v>0</v>
      </c>
      <c r="K74" s="245">
        <v>0</v>
      </c>
      <c r="L74" s="245">
        <v>0</v>
      </c>
      <c r="M74" s="245">
        <v>0</v>
      </c>
      <c r="N74" s="245">
        <v>1917.94</v>
      </c>
      <c r="O74" s="155"/>
      <c r="P74" s="240"/>
      <c r="Q74" s="240"/>
      <c r="R74" s="240"/>
      <c r="S74" s="240"/>
      <c r="T74" s="170"/>
      <c r="U74" s="240"/>
      <c r="V74" s="241"/>
      <c r="W74" s="243"/>
      <c r="X74" s="243"/>
      <c r="Y74" s="243"/>
      <c r="Z74" s="243"/>
      <c r="AA74" s="243"/>
      <c r="AB74" s="243"/>
      <c r="AC74" s="243"/>
      <c r="AD74" s="243"/>
      <c r="AE74" s="243"/>
      <c r="AF74" s="243"/>
      <c r="AG74" s="243"/>
    </row>
    <row r="75" spans="1:33" s="146" customFormat="1" ht="12" x14ac:dyDescent="0.25">
      <c r="A75" s="246" t="s">
        <v>803</v>
      </c>
      <c r="B75" s="245">
        <v>534.77419354838696</v>
      </c>
      <c r="C75" s="245">
        <v>502.052631578947</v>
      </c>
      <c r="D75" s="245">
        <v>0</v>
      </c>
      <c r="E75" s="245">
        <v>0</v>
      </c>
      <c r="F75" s="245">
        <v>0</v>
      </c>
      <c r="G75" s="245">
        <v>0</v>
      </c>
      <c r="H75" s="245">
        <v>0</v>
      </c>
      <c r="I75" s="245">
        <v>0</v>
      </c>
      <c r="J75" s="245">
        <v>0</v>
      </c>
      <c r="K75" s="245">
        <v>0</v>
      </c>
      <c r="L75" s="245">
        <v>0</v>
      </c>
      <c r="M75" s="245">
        <v>0</v>
      </c>
      <c r="N75" s="245">
        <v>522.34</v>
      </c>
      <c r="O75" s="155"/>
      <c r="P75" s="240"/>
      <c r="Q75" s="240"/>
      <c r="R75" s="240"/>
      <c r="S75" s="240"/>
      <c r="T75" s="240"/>
      <c r="U75" s="240"/>
      <c r="V75" s="241"/>
      <c r="W75" s="243"/>
      <c r="X75" s="243"/>
      <c r="Y75" s="243"/>
      <c r="Z75" s="188"/>
      <c r="AA75" s="243"/>
      <c r="AB75" s="243"/>
      <c r="AC75" s="243"/>
      <c r="AD75" s="243"/>
      <c r="AG75" s="243"/>
    </row>
    <row r="76" spans="1:33" s="146" customFormat="1" ht="12" x14ac:dyDescent="0.25">
      <c r="A76" s="235" t="s">
        <v>820</v>
      </c>
      <c r="B76" s="236">
        <v>28829.225806451599</v>
      </c>
      <c r="C76" s="237">
        <v>30445.947368421101</v>
      </c>
      <c r="D76" s="238">
        <v>0</v>
      </c>
      <c r="E76" s="237">
        <v>0</v>
      </c>
      <c r="F76" s="238">
        <v>0</v>
      </c>
      <c r="G76" s="237">
        <v>0</v>
      </c>
      <c r="H76" s="237">
        <v>0</v>
      </c>
      <c r="I76" s="238">
        <v>0</v>
      </c>
      <c r="J76" s="237">
        <v>0</v>
      </c>
      <c r="K76" s="238">
        <v>0</v>
      </c>
      <c r="L76" s="238">
        <v>0</v>
      </c>
      <c r="M76" s="237">
        <v>0</v>
      </c>
      <c r="N76" s="238">
        <v>29443.58</v>
      </c>
      <c r="O76" s="155"/>
      <c r="P76" s="240"/>
      <c r="Q76" s="240"/>
      <c r="R76" s="240"/>
      <c r="S76" s="240"/>
      <c r="T76" s="240"/>
      <c r="U76" s="240"/>
      <c r="V76" s="241"/>
      <c r="W76" s="243"/>
      <c r="X76" s="243"/>
      <c r="Y76" s="243"/>
      <c r="Z76" s="243"/>
      <c r="AA76" s="243"/>
      <c r="AB76" s="243"/>
      <c r="AC76" s="243"/>
      <c r="AD76" s="243"/>
      <c r="AG76" s="243"/>
    </row>
    <row r="77" spans="1:33" s="146" customFormat="1" ht="12" x14ac:dyDescent="0.25">
      <c r="A77" s="244" t="s">
        <v>800</v>
      </c>
      <c r="B77" s="202">
        <v>6796.22580645161</v>
      </c>
      <c r="C77" s="245">
        <v>6924.4736842105303</v>
      </c>
      <c r="D77" s="245">
        <v>0</v>
      </c>
      <c r="E77" s="245">
        <v>0</v>
      </c>
      <c r="F77" s="245">
        <v>0</v>
      </c>
      <c r="G77" s="245">
        <v>0</v>
      </c>
      <c r="H77" s="245">
        <v>0</v>
      </c>
      <c r="I77" s="245">
        <v>0</v>
      </c>
      <c r="J77" s="245">
        <v>0</v>
      </c>
      <c r="K77" s="245">
        <v>0</v>
      </c>
      <c r="L77" s="245">
        <v>0</v>
      </c>
      <c r="M77" s="245">
        <v>0</v>
      </c>
      <c r="N77" s="245">
        <v>6844.96</v>
      </c>
      <c r="O77" s="155"/>
      <c r="P77" s="240"/>
      <c r="Q77" s="240"/>
      <c r="R77" s="243"/>
      <c r="S77" s="240"/>
      <c r="T77" s="240"/>
      <c r="U77" s="240"/>
      <c r="V77" s="241"/>
      <c r="W77" s="243"/>
      <c r="X77" s="243"/>
      <c r="Y77" s="243"/>
      <c r="Z77" s="243"/>
      <c r="AA77" s="243"/>
      <c r="AB77" s="243"/>
    </row>
    <row r="78" spans="1:33" s="146" customFormat="1" ht="12" x14ac:dyDescent="0.25">
      <c r="A78" s="246" t="s">
        <v>801</v>
      </c>
      <c r="B78" s="202">
        <v>2226</v>
      </c>
      <c r="C78" s="245">
        <v>2413.6842105263099</v>
      </c>
      <c r="D78" s="245">
        <v>0</v>
      </c>
      <c r="E78" s="245">
        <v>0</v>
      </c>
      <c r="F78" s="245">
        <v>0</v>
      </c>
      <c r="G78" s="245">
        <v>0</v>
      </c>
      <c r="H78" s="245">
        <v>0</v>
      </c>
      <c r="I78" s="245">
        <v>0</v>
      </c>
      <c r="J78" s="245">
        <v>0</v>
      </c>
      <c r="K78" s="245">
        <v>0</v>
      </c>
      <c r="L78" s="245">
        <v>0</v>
      </c>
      <c r="M78" s="245">
        <v>0</v>
      </c>
      <c r="N78" s="245">
        <v>2297.3200000000002</v>
      </c>
      <c r="O78" s="155"/>
      <c r="P78" s="240"/>
      <c r="Q78" s="240"/>
      <c r="R78" s="170"/>
      <c r="S78" s="240"/>
      <c r="T78" s="240"/>
      <c r="U78" s="240"/>
      <c r="V78" s="241"/>
      <c r="W78" s="243"/>
      <c r="X78" s="243"/>
      <c r="Y78" s="243"/>
      <c r="Z78" s="243"/>
      <c r="AA78" s="243"/>
      <c r="AB78" s="243"/>
    </row>
    <row r="79" spans="1:33" s="146" customFormat="1" ht="12" x14ac:dyDescent="0.25">
      <c r="A79" s="246" t="s">
        <v>803</v>
      </c>
      <c r="B79" s="202">
        <v>19807</v>
      </c>
      <c r="C79" s="245">
        <v>21107.789473684199</v>
      </c>
      <c r="D79" s="245">
        <v>0</v>
      </c>
      <c r="E79" s="245">
        <v>0</v>
      </c>
      <c r="F79" s="245">
        <v>0</v>
      </c>
      <c r="G79" s="245">
        <v>0</v>
      </c>
      <c r="H79" s="245">
        <v>0</v>
      </c>
      <c r="I79" s="245">
        <v>0</v>
      </c>
      <c r="J79" s="245">
        <v>0</v>
      </c>
      <c r="K79" s="245">
        <v>0</v>
      </c>
      <c r="L79" s="245">
        <v>0</v>
      </c>
      <c r="M79" s="245">
        <v>0</v>
      </c>
      <c r="N79" s="245">
        <v>20301.3</v>
      </c>
      <c r="O79" s="155"/>
      <c r="P79" s="240"/>
      <c r="Q79" s="240"/>
      <c r="R79" s="170"/>
      <c r="S79" s="170"/>
      <c r="T79" s="240"/>
      <c r="U79" s="240"/>
      <c r="V79" s="241"/>
      <c r="W79" s="243"/>
      <c r="X79" s="243"/>
      <c r="Y79" s="243"/>
      <c r="Z79" s="243"/>
      <c r="AA79" s="243"/>
      <c r="AB79" s="243"/>
    </row>
    <row r="80" spans="1:33" s="146" customFormat="1" ht="12" x14ac:dyDescent="0.25">
      <c r="A80" s="204"/>
      <c r="F80" s="144"/>
      <c r="G80" s="144"/>
      <c r="H80" s="144"/>
      <c r="I80" s="144"/>
      <c r="J80" s="144"/>
      <c r="K80" s="144"/>
      <c r="L80" s="155"/>
      <c r="M80" s="155"/>
      <c r="N80" s="155"/>
      <c r="O80" s="155"/>
      <c r="P80" s="240"/>
      <c r="Q80" s="240"/>
      <c r="R80" s="240"/>
      <c r="S80" s="170"/>
      <c r="T80" s="240"/>
      <c r="U80" s="240"/>
      <c r="V80" s="241"/>
      <c r="W80" s="243"/>
      <c r="X80" s="243"/>
      <c r="Y80" s="243"/>
      <c r="Z80" s="243"/>
      <c r="AA80" s="243"/>
      <c r="AB80" s="243"/>
    </row>
    <row r="81" spans="1:34" s="146" customFormat="1" ht="12" customHeight="1" x14ac:dyDescent="0.25">
      <c r="A81" s="378"/>
      <c r="B81" s="379"/>
      <c r="C81" s="379"/>
      <c r="D81" s="379"/>
      <c r="E81" s="379"/>
      <c r="F81" s="379"/>
      <c r="G81" s="379"/>
      <c r="H81" s="379"/>
      <c r="I81" s="379"/>
      <c r="J81" s="379"/>
      <c r="K81" s="379"/>
      <c r="L81" s="379"/>
      <c r="M81" s="379"/>
      <c r="N81" s="379"/>
      <c r="O81" s="379"/>
      <c r="P81" s="379"/>
      <c r="Q81" s="379"/>
      <c r="R81" s="379"/>
      <c r="S81" s="379"/>
      <c r="T81" s="379"/>
      <c r="U81" s="379"/>
      <c r="V81" s="380"/>
    </row>
    <row r="82" spans="1:34" s="146" customFormat="1" ht="12" x14ac:dyDescent="0.25">
      <c r="A82" s="204"/>
      <c r="F82" s="144"/>
      <c r="G82" s="144"/>
      <c r="H82" s="144"/>
      <c r="I82" s="144"/>
      <c r="J82" s="144"/>
      <c r="K82" s="144"/>
      <c r="L82" s="155"/>
      <c r="M82" s="155"/>
      <c r="N82" s="155"/>
      <c r="O82" s="155"/>
      <c r="P82" s="155"/>
      <c r="Q82" s="155"/>
      <c r="R82" s="155"/>
      <c r="S82" s="155"/>
      <c r="T82" s="155"/>
      <c r="U82" s="155"/>
      <c r="V82" s="164"/>
      <c r="AA82" s="187"/>
      <c r="AB82" s="187"/>
      <c r="AC82" s="187"/>
      <c r="AD82" s="187"/>
      <c r="AE82" s="187"/>
      <c r="AF82" s="187"/>
      <c r="AG82" s="187"/>
    </row>
    <row r="83" spans="1:34" s="146" customFormat="1" ht="24.75" customHeight="1" x14ac:dyDescent="0.25">
      <c r="A83" s="377" t="s">
        <v>821</v>
      </c>
      <c r="B83" s="376"/>
      <c r="C83" s="376"/>
      <c r="D83" s="376"/>
      <c r="E83" s="376"/>
      <c r="F83" s="376"/>
      <c r="G83" s="376"/>
      <c r="H83" s="376"/>
      <c r="I83" s="376"/>
      <c r="J83" s="376"/>
      <c r="K83" s="376"/>
      <c r="L83" s="376"/>
      <c r="M83" s="376"/>
      <c r="N83" s="376"/>
      <c r="O83" s="155"/>
      <c r="P83" s="155"/>
      <c r="Q83" s="216"/>
      <c r="R83" s="216"/>
      <c r="S83" s="216"/>
      <c r="T83" s="216"/>
      <c r="U83" s="216"/>
      <c r="V83" s="234"/>
      <c r="W83" s="187"/>
      <c r="X83" s="187"/>
      <c r="Y83" s="187"/>
      <c r="Z83" s="187"/>
      <c r="AA83" s="187"/>
      <c r="AB83" s="187"/>
    </row>
    <row r="84" spans="1:34" s="146" customFormat="1" ht="12" x14ac:dyDescent="0.25">
      <c r="A84" s="71" t="s">
        <v>787</v>
      </c>
      <c r="B84" s="71" t="s">
        <v>788</v>
      </c>
      <c r="C84" s="71" t="s">
        <v>789</v>
      </c>
      <c r="D84" s="71" t="s">
        <v>790</v>
      </c>
      <c r="E84" s="71" t="s">
        <v>791</v>
      </c>
      <c r="F84" s="71" t="s">
        <v>792</v>
      </c>
      <c r="G84" s="71" t="s">
        <v>793</v>
      </c>
      <c r="H84" s="71" t="s">
        <v>794</v>
      </c>
      <c r="I84" s="71" t="s">
        <v>795</v>
      </c>
      <c r="J84" s="71" t="s">
        <v>796</v>
      </c>
      <c r="K84" s="71" t="s">
        <v>797</v>
      </c>
      <c r="L84" s="71" t="s">
        <v>798</v>
      </c>
      <c r="M84" s="71" t="s">
        <v>799</v>
      </c>
      <c r="N84" s="71" t="s">
        <v>817</v>
      </c>
      <c r="O84" s="155"/>
      <c r="P84" s="216"/>
      <c r="Q84" s="216"/>
      <c r="R84" s="216"/>
      <c r="S84" s="216"/>
      <c r="T84" s="216"/>
      <c r="U84" s="216"/>
      <c r="V84" s="234"/>
      <c r="W84" s="187"/>
      <c r="X84" s="187"/>
      <c r="Y84" s="187"/>
      <c r="Z84" s="187"/>
      <c r="AA84" s="187"/>
      <c r="AB84" s="187"/>
      <c r="AC84" s="243"/>
      <c r="AD84" s="243"/>
      <c r="AE84" s="243"/>
      <c r="AF84" s="243"/>
      <c r="AG84" s="243"/>
      <c r="AH84" s="243"/>
    </row>
    <row r="85" spans="1:34" s="146" customFormat="1" ht="12.75" customHeight="1" x14ac:dyDescent="0.25">
      <c r="A85" s="235" t="s">
        <v>818</v>
      </c>
      <c r="B85" s="249">
        <v>43.238196852493999</v>
      </c>
      <c r="C85" s="250">
        <v>43.051171791012699</v>
      </c>
      <c r="D85" s="251">
        <v>0</v>
      </c>
      <c r="E85" s="250">
        <v>0</v>
      </c>
      <c r="F85" s="251">
        <v>0</v>
      </c>
      <c r="G85" s="250">
        <v>0</v>
      </c>
      <c r="H85" s="250">
        <v>0</v>
      </c>
      <c r="I85" s="251">
        <v>0</v>
      </c>
      <c r="J85" s="250">
        <v>0</v>
      </c>
      <c r="K85" s="251">
        <v>0</v>
      </c>
      <c r="L85" s="251">
        <v>0</v>
      </c>
      <c r="M85" s="250">
        <v>0</v>
      </c>
      <c r="N85" s="251">
        <v>43.1535354518468</v>
      </c>
      <c r="O85" s="155"/>
      <c r="P85" s="155"/>
      <c r="Q85" s="216"/>
      <c r="R85" s="216"/>
      <c r="S85" s="216"/>
      <c r="T85" s="216"/>
      <c r="U85" s="216"/>
      <c r="V85" s="234"/>
      <c r="W85" s="187"/>
      <c r="X85" s="187"/>
      <c r="Y85" s="187"/>
      <c r="Z85" s="187"/>
      <c r="AA85" s="187"/>
      <c r="AB85" s="187"/>
      <c r="AC85" s="243"/>
      <c r="AD85" s="243"/>
      <c r="AE85" s="243"/>
      <c r="AF85" s="243"/>
      <c r="AG85" s="243"/>
      <c r="AH85" s="243"/>
    </row>
    <row r="86" spans="1:34" s="146" customFormat="1" ht="12" x14ac:dyDescent="0.25">
      <c r="A86" s="244" t="s">
        <v>800</v>
      </c>
      <c r="B86" s="252">
        <v>26.970443349753701</v>
      </c>
      <c r="C86" s="253">
        <v>41.2156862745098</v>
      </c>
      <c r="D86" s="253">
        <v>0</v>
      </c>
      <c r="E86" s="253">
        <v>0</v>
      </c>
      <c r="F86" s="253">
        <v>0</v>
      </c>
      <c r="G86" s="253">
        <v>0</v>
      </c>
      <c r="H86" s="253">
        <v>0</v>
      </c>
      <c r="I86" s="253">
        <v>0</v>
      </c>
      <c r="J86" s="253">
        <v>0</v>
      </c>
      <c r="K86" s="253">
        <v>0</v>
      </c>
      <c r="L86" s="253">
        <v>0</v>
      </c>
      <c r="M86" s="253">
        <v>0</v>
      </c>
      <c r="N86" s="253">
        <v>32.465960665658102</v>
      </c>
      <c r="O86" s="155"/>
      <c r="P86" s="155"/>
      <c r="Q86" s="155"/>
      <c r="R86" s="216"/>
      <c r="S86" s="216"/>
      <c r="T86" s="216"/>
      <c r="U86" s="216"/>
      <c r="V86" s="234"/>
      <c r="W86" s="187"/>
      <c r="X86" s="187"/>
      <c r="Y86" s="187"/>
      <c r="Z86" s="187"/>
      <c r="AA86" s="243"/>
      <c r="AB86" s="243"/>
      <c r="AC86" s="188"/>
      <c r="AD86" s="243"/>
      <c r="AE86" s="243"/>
      <c r="AF86" s="243"/>
      <c r="AH86" s="243"/>
    </row>
    <row r="87" spans="1:34" s="146" customFormat="1" ht="12" x14ac:dyDescent="0.25">
      <c r="A87" s="246" t="s">
        <v>801</v>
      </c>
      <c r="B87" s="252">
        <v>44.106382978723403</v>
      </c>
      <c r="C87" s="253">
        <v>49.9402985074627</v>
      </c>
      <c r="D87" s="253">
        <v>0</v>
      </c>
      <c r="E87" s="253">
        <v>0</v>
      </c>
      <c r="F87" s="253">
        <v>0</v>
      </c>
      <c r="G87" s="253">
        <v>0</v>
      </c>
      <c r="H87" s="253">
        <v>0</v>
      </c>
      <c r="I87" s="253">
        <v>0</v>
      </c>
      <c r="J87" s="253">
        <v>0</v>
      </c>
      <c r="K87" s="253">
        <v>0</v>
      </c>
      <c r="L87" s="253">
        <v>0</v>
      </c>
      <c r="M87" s="253">
        <v>0</v>
      </c>
      <c r="N87" s="253">
        <v>46.534161490683204</v>
      </c>
      <c r="O87" s="155"/>
      <c r="P87" s="155"/>
      <c r="Q87" s="216"/>
      <c r="R87" s="216"/>
      <c r="S87" s="216"/>
      <c r="T87" s="216"/>
      <c r="U87" s="216"/>
      <c r="V87" s="234"/>
      <c r="W87" s="187"/>
      <c r="X87" s="187"/>
      <c r="AA87" s="243"/>
      <c r="AB87" s="243"/>
      <c r="AC87" s="243"/>
      <c r="AD87" s="243"/>
      <c r="AE87" s="243"/>
      <c r="AF87" s="243"/>
      <c r="AG87" s="243"/>
      <c r="AH87" s="243"/>
    </row>
    <row r="88" spans="1:34" s="146" customFormat="1" ht="12" x14ac:dyDescent="0.25">
      <c r="A88" s="246" t="s">
        <v>803</v>
      </c>
      <c r="B88" s="252">
        <v>44.511369181223799</v>
      </c>
      <c r="C88" s="253">
        <v>43.052668052667997</v>
      </c>
      <c r="D88" s="253">
        <v>0</v>
      </c>
      <c r="E88" s="253">
        <v>0</v>
      </c>
      <c r="F88" s="253">
        <v>0</v>
      </c>
      <c r="G88" s="253">
        <v>0</v>
      </c>
      <c r="H88" s="253">
        <v>0</v>
      </c>
      <c r="I88" s="253">
        <v>0</v>
      </c>
      <c r="J88" s="253">
        <v>0</v>
      </c>
      <c r="K88" s="253">
        <v>0</v>
      </c>
      <c r="L88" s="253">
        <v>0</v>
      </c>
      <c r="M88" s="253">
        <v>0</v>
      </c>
      <c r="N88" s="253">
        <v>43.843321872520498</v>
      </c>
      <c r="O88" s="155"/>
      <c r="P88" s="216"/>
      <c r="Q88" s="216"/>
      <c r="R88" s="216"/>
      <c r="S88" s="216"/>
      <c r="T88" s="216"/>
      <c r="U88" s="216"/>
      <c r="V88" s="234"/>
      <c r="W88" s="187"/>
      <c r="X88" s="187"/>
      <c r="Y88" s="187"/>
      <c r="Z88" s="187"/>
    </row>
    <row r="89" spans="1:34" s="146" customFormat="1" ht="12" x14ac:dyDescent="0.25">
      <c r="A89" s="235" t="s">
        <v>819</v>
      </c>
      <c r="B89" s="249">
        <v>33.907505812022599</v>
      </c>
      <c r="C89" s="250">
        <v>33.895573997233697</v>
      </c>
      <c r="D89" s="251">
        <v>0</v>
      </c>
      <c r="E89" s="250">
        <v>0</v>
      </c>
      <c r="F89" s="251">
        <v>0</v>
      </c>
      <c r="G89" s="250">
        <v>0</v>
      </c>
      <c r="H89" s="250">
        <v>0</v>
      </c>
      <c r="I89" s="251">
        <v>0</v>
      </c>
      <c r="J89" s="250">
        <v>0</v>
      </c>
      <c r="K89" s="251">
        <v>0</v>
      </c>
      <c r="L89" s="251">
        <v>0</v>
      </c>
      <c r="M89" s="250">
        <v>0</v>
      </c>
      <c r="N89" s="251">
        <v>33.9025096525097</v>
      </c>
      <c r="O89" s="155"/>
      <c r="P89" s="216"/>
      <c r="Q89" s="216"/>
      <c r="R89" s="240"/>
      <c r="S89" s="240"/>
      <c r="T89" s="240"/>
      <c r="U89" s="240"/>
      <c r="V89" s="164"/>
      <c r="Z89" s="187"/>
      <c r="AA89" s="187"/>
      <c r="AB89" s="187"/>
      <c r="AC89" s="187"/>
      <c r="AD89" s="187"/>
      <c r="AE89" s="187"/>
      <c r="AF89" s="187"/>
    </row>
    <row r="90" spans="1:34" s="146" customFormat="1" ht="12" x14ac:dyDescent="0.25">
      <c r="A90" s="244" t="s">
        <v>800</v>
      </c>
      <c r="B90" s="252">
        <v>41.1021978021978</v>
      </c>
      <c r="C90" s="253">
        <v>41.7608182533438</v>
      </c>
      <c r="D90" s="253">
        <v>0</v>
      </c>
      <c r="E90" s="253">
        <v>0</v>
      </c>
      <c r="F90" s="253">
        <v>0</v>
      </c>
      <c r="G90" s="253">
        <v>0</v>
      </c>
      <c r="H90" s="253">
        <v>0</v>
      </c>
      <c r="I90" s="253">
        <v>0</v>
      </c>
      <c r="J90" s="253">
        <v>0</v>
      </c>
      <c r="K90" s="253">
        <v>0</v>
      </c>
      <c r="L90" s="253">
        <v>0</v>
      </c>
      <c r="M90" s="253">
        <v>0</v>
      </c>
      <c r="N90" s="253">
        <v>41.373018440634098</v>
      </c>
      <c r="O90" s="155"/>
      <c r="P90" s="216"/>
      <c r="Q90" s="216"/>
      <c r="R90" s="216"/>
      <c r="S90" s="216"/>
      <c r="T90" s="216"/>
      <c r="U90" s="240"/>
      <c r="V90" s="234"/>
      <c r="W90" s="187"/>
      <c r="X90" s="187"/>
      <c r="Y90" s="187"/>
      <c r="Z90" s="187"/>
      <c r="AA90" s="187"/>
      <c r="AB90" s="187"/>
      <c r="AC90" s="187"/>
    </row>
    <row r="91" spans="1:34" s="146" customFormat="1" ht="12" customHeight="1" x14ac:dyDescent="0.25">
      <c r="A91" s="246" t="s">
        <v>801</v>
      </c>
      <c r="B91" s="252">
        <v>29.237593984962398</v>
      </c>
      <c r="C91" s="253">
        <v>29.733658536585398</v>
      </c>
      <c r="D91" s="253">
        <v>0</v>
      </c>
      <c r="E91" s="253">
        <v>0</v>
      </c>
      <c r="F91" s="253">
        <v>0</v>
      </c>
      <c r="G91" s="253">
        <v>0</v>
      </c>
      <c r="H91" s="253">
        <v>0</v>
      </c>
      <c r="I91" s="253">
        <v>0</v>
      </c>
      <c r="J91" s="253">
        <v>0</v>
      </c>
      <c r="K91" s="253">
        <v>0</v>
      </c>
      <c r="L91" s="253">
        <v>0</v>
      </c>
      <c r="M91" s="253">
        <v>0</v>
      </c>
      <c r="N91" s="253">
        <v>29.453503184713401</v>
      </c>
      <c r="O91" s="155"/>
      <c r="P91" s="216"/>
      <c r="Q91" s="216"/>
      <c r="R91" s="240"/>
      <c r="S91" s="240"/>
      <c r="T91" s="240"/>
      <c r="U91" s="240"/>
      <c r="V91" s="234"/>
      <c r="W91" s="187"/>
      <c r="X91" s="187"/>
      <c r="Y91" s="187"/>
      <c r="Z91" s="187"/>
      <c r="AA91" s="187"/>
      <c r="AB91" s="187"/>
    </row>
    <row r="92" spans="1:34" s="146" customFormat="1" ht="12" x14ac:dyDescent="0.25">
      <c r="A92" s="246" t="s">
        <v>803</v>
      </c>
      <c r="B92" s="252">
        <v>14.917300380228101</v>
      </c>
      <c r="C92" s="253">
        <v>13.496757457846901</v>
      </c>
      <c r="D92" s="253">
        <v>0</v>
      </c>
      <c r="E92" s="253">
        <v>0</v>
      </c>
      <c r="F92" s="253">
        <v>0</v>
      </c>
      <c r="G92" s="253">
        <v>0</v>
      </c>
      <c r="H92" s="253">
        <v>0</v>
      </c>
      <c r="I92" s="253">
        <v>0</v>
      </c>
      <c r="J92" s="253">
        <v>0</v>
      </c>
      <c r="K92" s="253">
        <v>0</v>
      </c>
      <c r="L92" s="253">
        <v>0</v>
      </c>
      <c r="M92" s="253">
        <v>0</v>
      </c>
      <c r="N92" s="253">
        <v>14.3165112452002</v>
      </c>
      <c r="O92" s="155"/>
      <c r="P92" s="216"/>
      <c r="Q92" s="216"/>
      <c r="R92" s="216"/>
      <c r="S92" s="216"/>
      <c r="T92" s="216"/>
      <c r="U92" s="216"/>
      <c r="V92" s="234"/>
      <c r="W92" s="187"/>
      <c r="X92" s="187"/>
      <c r="Y92" s="187"/>
      <c r="Z92" s="187"/>
      <c r="AA92" s="187"/>
      <c r="AB92" s="187"/>
    </row>
    <row r="93" spans="1:34" s="146" customFormat="1" ht="12" x14ac:dyDescent="0.25">
      <c r="A93" s="235" t="s">
        <v>820</v>
      </c>
      <c r="B93" s="249">
        <v>39.984422954426996</v>
      </c>
      <c r="C93" s="250">
        <v>40.139369501466298</v>
      </c>
      <c r="D93" s="251">
        <v>0</v>
      </c>
      <c r="E93" s="250">
        <v>0</v>
      </c>
      <c r="F93" s="251">
        <v>0</v>
      </c>
      <c r="G93" s="250">
        <v>0</v>
      </c>
      <c r="H93" s="250">
        <v>0</v>
      </c>
      <c r="I93" s="251">
        <v>0</v>
      </c>
      <c r="J93" s="250">
        <v>0</v>
      </c>
      <c r="K93" s="251">
        <v>0</v>
      </c>
      <c r="L93" s="251">
        <v>0</v>
      </c>
      <c r="M93" s="250">
        <v>0</v>
      </c>
      <c r="N93" s="251">
        <v>40.052800155294598</v>
      </c>
      <c r="O93" s="155"/>
      <c r="P93" s="155"/>
      <c r="Q93" s="155"/>
      <c r="R93" s="155"/>
      <c r="S93" s="155"/>
      <c r="T93" s="155"/>
      <c r="U93" s="155"/>
      <c r="V93" s="164"/>
    </row>
    <row r="94" spans="1:34" s="146" customFormat="1" ht="12" x14ac:dyDescent="0.25">
      <c r="A94" s="244" t="s">
        <v>800</v>
      </c>
      <c r="B94" s="252">
        <v>38.5247079964061</v>
      </c>
      <c r="C94" s="253">
        <v>41.669724770642198</v>
      </c>
      <c r="D94" s="253">
        <v>0</v>
      </c>
      <c r="E94" s="253">
        <v>0</v>
      </c>
      <c r="F94" s="253">
        <v>0</v>
      </c>
      <c r="G94" s="253">
        <v>0</v>
      </c>
      <c r="H94" s="253">
        <v>0</v>
      </c>
      <c r="I94" s="253">
        <v>0</v>
      </c>
      <c r="J94" s="253">
        <v>0</v>
      </c>
      <c r="K94" s="253">
        <v>0</v>
      </c>
      <c r="L94" s="253">
        <v>0</v>
      </c>
      <c r="M94" s="253">
        <v>0</v>
      </c>
      <c r="N94" s="253">
        <v>39.803837953091701</v>
      </c>
      <c r="O94" s="155"/>
      <c r="P94" s="155"/>
      <c r="Q94" s="155"/>
      <c r="R94" s="155"/>
      <c r="S94" s="155"/>
      <c r="T94" s="155"/>
      <c r="U94" s="155"/>
      <c r="V94" s="164"/>
    </row>
    <row r="95" spans="1:34" s="146" customFormat="1" ht="12" x14ac:dyDescent="0.25">
      <c r="A95" s="246" t="s">
        <v>801</v>
      </c>
      <c r="B95" s="252">
        <v>31.0790513833992</v>
      </c>
      <c r="C95" s="253">
        <v>32.069887834339902</v>
      </c>
      <c r="D95" s="253">
        <v>0</v>
      </c>
      <c r="E95" s="253">
        <v>0</v>
      </c>
      <c r="F95" s="253">
        <v>0</v>
      </c>
      <c r="G95" s="253">
        <v>0</v>
      </c>
      <c r="H95" s="253">
        <v>0</v>
      </c>
      <c r="I95" s="253">
        <v>0</v>
      </c>
      <c r="J95" s="253">
        <v>0</v>
      </c>
      <c r="K95" s="253">
        <v>0</v>
      </c>
      <c r="L95" s="253">
        <v>0</v>
      </c>
      <c r="M95" s="253">
        <v>0</v>
      </c>
      <c r="N95" s="253">
        <v>31.508031378408699</v>
      </c>
      <c r="O95" s="155"/>
      <c r="P95" s="155"/>
      <c r="Q95" s="155"/>
      <c r="R95" s="155"/>
      <c r="S95" s="155"/>
      <c r="T95" s="155"/>
      <c r="U95" s="155"/>
      <c r="V95" s="164"/>
    </row>
    <row r="96" spans="1:34" s="146" customFormat="1" ht="12" x14ac:dyDescent="0.25">
      <c r="A96" s="246" t="s">
        <v>803</v>
      </c>
      <c r="B96" s="252">
        <v>41.755996105850102</v>
      </c>
      <c r="C96" s="253">
        <v>40.635910488917197</v>
      </c>
      <c r="D96" s="253">
        <v>0</v>
      </c>
      <c r="E96" s="253">
        <v>0</v>
      </c>
      <c r="F96" s="253">
        <v>0</v>
      </c>
      <c r="G96" s="253">
        <v>0</v>
      </c>
      <c r="H96" s="253">
        <v>0</v>
      </c>
      <c r="I96" s="253">
        <v>0</v>
      </c>
      <c r="J96" s="253">
        <v>0</v>
      </c>
      <c r="K96" s="253">
        <v>0</v>
      </c>
      <c r="L96" s="253">
        <v>0</v>
      </c>
      <c r="M96" s="253">
        <v>0</v>
      </c>
      <c r="N96" s="253">
        <v>41.246478193747599</v>
      </c>
      <c r="O96" s="155"/>
      <c r="P96" s="155"/>
      <c r="Q96" s="155"/>
      <c r="R96" s="155"/>
      <c r="S96" s="155"/>
      <c r="T96" s="155"/>
      <c r="U96" s="155"/>
      <c r="V96" s="164"/>
    </row>
    <row r="97" spans="1:33" s="146" customFormat="1" ht="12" x14ac:dyDescent="0.25">
      <c r="A97" s="204"/>
      <c r="F97" s="144"/>
      <c r="G97" s="144"/>
      <c r="H97" s="144"/>
      <c r="I97" s="144"/>
      <c r="J97" s="144"/>
      <c r="K97" s="144"/>
      <c r="L97" s="155"/>
      <c r="M97" s="155"/>
      <c r="N97" s="155"/>
      <c r="O97" s="155"/>
      <c r="P97" s="155"/>
      <c r="Q97" s="155"/>
      <c r="R97" s="155"/>
      <c r="S97" s="155"/>
      <c r="T97" s="155"/>
      <c r="U97" s="155"/>
      <c r="V97" s="164"/>
    </row>
    <row r="98" spans="1:33" s="146" customFormat="1" ht="12" x14ac:dyDescent="0.25">
      <c r="A98" s="378"/>
      <c r="B98" s="379"/>
      <c r="C98" s="379"/>
      <c r="D98" s="379"/>
      <c r="E98" s="379"/>
      <c r="F98" s="379"/>
      <c r="G98" s="379"/>
      <c r="H98" s="379"/>
      <c r="I98" s="379"/>
      <c r="J98" s="379"/>
      <c r="K98" s="379"/>
      <c r="L98" s="379"/>
      <c r="M98" s="379"/>
      <c r="N98" s="379"/>
      <c r="O98" s="379"/>
      <c r="P98" s="379"/>
      <c r="Q98" s="379"/>
      <c r="R98" s="379"/>
      <c r="S98" s="379"/>
      <c r="T98" s="379"/>
      <c r="U98" s="379"/>
      <c r="V98" s="380"/>
    </row>
    <row r="99" spans="1:33" s="146" customFormat="1" ht="12" x14ac:dyDescent="0.25">
      <c r="A99" s="204"/>
      <c r="F99" s="144"/>
      <c r="G99" s="144"/>
      <c r="H99" s="144"/>
      <c r="I99" s="144"/>
      <c r="J99" s="144"/>
      <c r="K99" s="144"/>
      <c r="L99" s="155"/>
      <c r="M99" s="155"/>
      <c r="N99" s="155"/>
      <c r="O99" s="155"/>
      <c r="P99" s="155"/>
      <c r="Q99" s="155"/>
      <c r="R99" s="155"/>
      <c r="S99" s="216"/>
      <c r="T99" s="216"/>
      <c r="U99" s="216"/>
      <c r="V99" s="234"/>
    </row>
    <row r="100" spans="1:33" s="144" customFormat="1" ht="24.75" customHeight="1" x14ac:dyDescent="0.25">
      <c r="A100" s="381" t="s">
        <v>822</v>
      </c>
      <c r="B100" s="382"/>
      <c r="C100" s="382"/>
      <c r="D100" s="382"/>
      <c r="E100" s="382"/>
      <c r="F100" s="382"/>
      <c r="G100" s="382"/>
      <c r="H100" s="382"/>
      <c r="I100" s="382"/>
      <c r="J100" s="382"/>
      <c r="K100" s="382"/>
      <c r="L100" s="382"/>
      <c r="M100" s="382"/>
      <c r="N100" s="382"/>
      <c r="O100" s="155"/>
      <c r="P100" s="216"/>
      <c r="Q100" s="216"/>
      <c r="R100" s="216"/>
      <c r="S100" s="216"/>
      <c r="T100" s="216"/>
      <c r="U100" s="216"/>
      <c r="V100" s="234"/>
      <c r="W100" s="209"/>
      <c r="X100" s="209"/>
      <c r="Y100" s="209"/>
      <c r="Z100" s="209"/>
      <c r="AA100" s="209"/>
      <c r="AB100" s="209"/>
    </row>
    <row r="101" spans="1:33" s="146" customFormat="1" ht="12" x14ac:dyDescent="0.25">
      <c r="A101" s="161" t="s">
        <v>807</v>
      </c>
      <c r="B101" s="71" t="s">
        <v>788</v>
      </c>
      <c r="C101" s="71" t="s">
        <v>789</v>
      </c>
      <c r="D101" s="71" t="s">
        <v>790</v>
      </c>
      <c r="E101" s="71" t="s">
        <v>791</v>
      </c>
      <c r="F101" s="71" t="s">
        <v>792</v>
      </c>
      <c r="G101" s="71" t="s">
        <v>793</v>
      </c>
      <c r="H101" s="71" t="s">
        <v>794</v>
      </c>
      <c r="I101" s="71" t="s">
        <v>795</v>
      </c>
      <c r="J101" s="71" t="s">
        <v>796</v>
      </c>
      <c r="K101" s="71" t="s">
        <v>797</v>
      </c>
      <c r="L101" s="71" t="s">
        <v>798</v>
      </c>
      <c r="M101" s="71" t="s">
        <v>799</v>
      </c>
      <c r="N101" s="71" t="s">
        <v>817</v>
      </c>
      <c r="O101" s="155"/>
      <c r="P101" s="240"/>
      <c r="Q101" s="216"/>
      <c r="R101" s="216"/>
      <c r="S101" s="216"/>
      <c r="T101" s="216"/>
      <c r="U101" s="216"/>
      <c r="V101" s="234"/>
      <c r="W101" s="187"/>
      <c r="X101" s="187"/>
      <c r="Y101" s="187"/>
      <c r="Z101" s="187"/>
      <c r="AA101" s="187"/>
      <c r="AB101" s="187"/>
      <c r="AC101" s="187"/>
      <c r="AD101" s="187"/>
      <c r="AE101" s="187"/>
      <c r="AF101" s="187"/>
    </row>
    <row r="102" spans="1:33" s="146" customFormat="1" ht="12.75" customHeight="1" thickBot="1" x14ac:dyDescent="0.3">
      <c r="A102" s="166" t="s">
        <v>0</v>
      </c>
      <c r="B102" s="236">
        <v>28829.225806451599</v>
      </c>
      <c r="C102" s="237">
        <v>30445.947368421101</v>
      </c>
      <c r="D102" s="238">
        <v>0</v>
      </c>
      <c r="E102" s="237">
        <v>0</v>
      </c>
      <c r="F102" s="238">
        <v>0</v>
      </c>
      <c r="G102" s="237">
        <v>0</v>
      </c>
      <c r="H102" s="237">
        <v>0</v>
      </c>
      <c r="I102" s="238">
        <v>0</v>
      </c>
      <c r="J102" s="237">
        <v>0</v>
      </c>
      <c r="K102" s="238">
        <v>0</v>
      </c>
      <c r="L102" s="238">
        <v>0</v>
      </c>
      <c r="M102" s="237">
        <v>0</v>
      </c>
      <c r="N102" s="236">
        <v>29443.58</v>
      </c>
      <c r="O102" s="155"/>
      <c r="P102" s="240"/>
      <c r="Q102" s="240"/>
      <c r="R102" s="240"/>
      <c r="S102" s="240"/>
      <c r="T102" s="170"/>
      <c r="U102" s="240"/>
      <c r="V102" s="241"/>
      <c r="W102" s="243"/>
      <c r="X102" s="243"/>
      <c r="Y102" s="243"/>
      <c r="Z102" s="243"/>
      <c r="AA102" s="243"/>
      <c r="AB102" s="243"/>
    </row>
    <row r="103" spans="1:33" s="146" customFormat="1" ht="12.6" thickTop="1" x14ac:dyDescent="0.25">
      <c r="A103" s="172" t="s">
        <v>772</v>
      </c>
      <c r="B103" s="202">
        <v>0</v>
      </c>
      <c r="C103" s="245">
        <v>0</v>
      </c>
      <c r="D103" s="245">
        <v>0</v>
      </c>
      <c r="E103" s="245">
        <v>0</v>
      </c>
      <c r="F103" s="245">
        <v>0</v>
      </c>
      <c r="G103" s="245">
        <v>0</v>
      </c>
      <c r="H103" s="245">
        <v>0</v>
      </c>
      <c r="I103" s="245">
        <v>0</v>
      </c>
      <c r="J103" s="245">
        <v>0</v>
      </c>
      <c r="K103" s="245">
        <v>0</v>
      </c>
      <c r="L103" s="245">
        <v>0</v>
      </c>
      <c r="M103" s="245">
        <v>0</v>
      </c>
      <c r="N103" s="245">
        <v>0</v>
      </c>
      <c r="O103" s="155"/>
      <c r="P103" s="240"/>
      <c r="Q103" s="240"/>
      <c r="R103" s="240"/>
      <c r="S103" s="240"/>
      <c r="T103" s="240"/>
      <c r="U103" s="240"/>
      <c r="V103" s="241"/>
      <c r="W103" s="243"/>
      <c r="X103" s="243"/>
      <c r="Y103" s="243"/>
      <c r="Z103" s="243"/>
      <c r="AA103" s="243"/>
      <c r="AB103" s="243"/>
      <c r="AC103" s="243"/>
      <c r="AD103" s="243"/>
      <c r="AE103" s="243"/>
      <c r="AF103" s="243"/>
      <c r="AG103" s="243"/>
    </row>
    <row r="104" spans="1:33" s="146" customFormat="1" ht="12" x14ac:dyDescent="0.25">
      <c r="A104" s="177" t="s">
        <v>773</v>
      </c>
      <c r="B104" s="202">
        <v>28829.225806451599</v>
      </c>
      <c r="C104" s="245">
        <v>30445.947368421101</v>
      </c>
      <c r="D104" s="245">
        <v>0</v>
      </c>
      <c r="E104" s="245">
        <v>0</v>
      </c>
      <c r="F104" s="245">
        <v>0</v>
      </c>
      <c r="G104" s="245">
        <v>0</v>
      </c>
      <c r="H104" s="245">
        <v>0</v>
      </c>
      <c r="I104" s="245">
        <v>0</v>
      </c>
      <c r="J104" s="245">
        <v>0</v>
      </c>
      <c r="K104" s="245">
        <v>0</v>
      </c>
      <c r="L104" s="245">
        <v>0</v>
      </c>
      <c r="M104" s="245">
        <v>0</v>
      </c>
      <c r="N104" s="202">
        <v>29443.58</v>
      </c>
      <c r="O104" s="155"/>
      <c r="P104" s="240"/>
      <c r="Q104" s="240"/>
      <c r="R104" s="240"/>
      <c r="S104" s="240"/>
      <c r="T104" s="240"/>
      <c r="U104" s="240"/>
      <c r="V104" s="241"/>
      <c r="W104" s="243"/>
      <c r="X104" s="243"/>
      <c r="Y104" s="243"/>
      <c r="Z104" s="243"/>
      <c r="AA104" s="187"/>
      <c r="AB104" s="243"/>
      <c r="AF104" s="243"/>
      <c r="AG104" s="243"/>
    </row>
    <row r="105" spans="1:33" s="255" customFormat="1" ht="23.25" customHeight="1" x14ac:dyDescent="0.25">
      <c r="A105" s="204"/>
      <c r="B105" s="146"/>
      <c r="C105" s="146"/>
      <c r="D105" s="146"/>
      <c r="E105" s="146"/>
      <c r="F105" s="144"/>
      <c r="G105" s="144"/>
      <c r="H105" s="144"/>
      <c r="I105" s="144"/>
      <c r="J105" s="144"/>
      <c r="K105" s="144"/>
      <c r="L105" s="155"/>
      <c r="M105" s="155"/>
      <c r="N105" s="155"/>
      <c r="O105" s="155"/>
      <c r="P105" s="240"/>
      <c r="Q105" s="240"/>
      <c r="R105" s="240"/>
      <c r="S105" s="240"/>
      <c r="T105" s="240"/>
      <c r="U105" s="240"/>
      <c r="V105" s="241"/>
      <c r="W105" s="254"/>
      <c r="X105" s="254"/>
      <c r="Y105" s="254"/>
      <c r="Z105" s="254"/>
      <c r="AA105" s="254"/>
      <c r="AB105" s="254"/>
      <c r="AC105" s="254"/>
      <c r="AD105" s="254"/>
      <c r="AE105" s="254"/>
      <c r="AF105" s="254"/>
      <c r="AG105" s="254"/>
    </row>
    <row r="106" spans="1:33" s="146" customFormat="1" ht="12.75" customHeight="1" x14ac:dyDescent="0.25">
      <c r="A106" s="381" t="s">
        <v>823</v>
      </c>
      <c r="B106" s="382"/>
      <c r="C106" s="382"/>
      <c r="D106" s="382"/>
      <c r="E106" s="382"/>
      <c r="F106" s="382"/>
      <c r="G106" s="382"/>
      <c r="H106" s="382"/>
      <c r="I106" s="382"/>
      <c r="J106" s="382"/>
      <c r="K106" s="382"/>
      <c r="L106" s="382"/>
      <c r="M106" s="382"/>
      <c r="N106" s="382"/>
      <c r="O106" s="155"/>
      <c r="P106" s="155"/>
      <c r="Q106" s="240"/>
      <c r="R106" s="240"/>
      <c r="S106" s="216"/>
      <c r="T106" s="216"/>
      <c r="U106" s="216"/>
      <c r="V106" s="241"/>
      <c r="W106" s="243"/>
      <c r="X106" s="243"/>
      <c r="Y106" s="243"/>
      <c r="Z106" s="243"/>
      <c r="AA106" s="243"/>
    </row>
    <row r="107" spans="1:33" s="146" customFormat="1" ht="12.75" customHeight="1" x14ac:dyDescent="0.25">
      <c r="A107" s="161" t="s">
        <v>807</v>
      </c>
      <c r="B107" s="71" t="s">
        <v>788</v>
      </c>
      <c r="C107" s="71" t="s">
        <v>789</v>
      </c>
      <c r="D107" s="71" t="s">
        <v>790</v>
      </c>
      <c r="E107" s="71" t="s">
        <v>791</v>
      </c>
      <c r="F107" s="71" t="s">
        <v>792</v>
      </c>
      <c r="G107" s="71" t="s">
        <v>793</v>
      </c>
      <c r="H107" s="71" t="s">
        <v>794</v>
      </c>
      <c r="I107" s="71" t="s">
        <v>795</v>
      </c>
      <c r="J107" s="71" t="s">
        <v>796</v>
      </c>
      <c r="K107" s="71" t="s">
        <v>797</v>
      </c>
      <c r="L107" s="71" t="s">
        <v>798</v>
      </c>
      <c r="M107" s="71" t="s">
        <v>799</v>
      </c>
      <c r="N107" s="71" t="s">
        <v>817</v>
      </c>
      <c r="O107" s="155"/>
      <c r="P107" s="216"/>
      <c r="Q107" s="216"/>
      <c r="R107" s="216"/>
      <c r="S107" s="216"/>
      <c r="T107" s="216"/>
      <c r="U107" s="216"/>
      <c r="V107" s="234"/>
      <c r="W107" s="187"/>
      <c r="X107" s="187"/>
      <c r="Y107" s="187"/>
      <c r="Z107" s="187"/>
      <c r="AA107" s="187"/>
      <c r="AB107" s="187"/>
      <c r="AC107" s="187"/>
      <c r="AD107" s="187"/>
      <c r="AE107" s="187"/>
      <c r="AF107" s="187"/>
    </row>
    <row r="108" spans="1:33" s="144" customFormat="1" ht="14.25" customHeight="1" thickBot="1" x14ac:dyDescent="0.3">
      <c r="A108" s="166" t="s">
        <v>0</v>
      </c>
      <c r="B108" s="249">
        <v>39.984422954426996</v>
      </c>
      <c r="C108" s="250">
        <v>40.139369501466298</v>
      </c>
      <c r="D108" s="251">
        <v>0</v>
      </c>
      <c r="E108" s="250">
        <v>0</v>
      </c>
      <c r="F108" s="251">
        <v>0</v>
      </c>
      <c r="G108" s="250">
        <v>0</v>
      </c>
      <c r="H108" s="250">
        <v>0</v>
      </c>
      <c r="I108" s="251">
        <v>0</v>
      </c>
      <c r="J108" s="250">
        <v>0</v>
      </c>
      <c r="K108" s="251">
        <v>0</v>
      </c>
      <c r="L108" s="251">
        <v>0</v>
      </c>
      <c r="M108" s="250">
        <v>0</v>
      </c>
      <c r="N108" s="251">
        <v>40.052800155294598</v>
      </c>
      <c r="P108" s="209"/>
      <c r="Q108" s="209"/>
      <c r="R108" s="209"/>
      <c r="S108" s="209"/>
      <c r="T108" s="209"/>
      <c r="U108" s="209"/>
      <c r="V108" s="256"/>
      <c r="W108" s="209"/>
      <c r="X108" s="209"/>
      <c r="Y108" s="209"/>
      <c r="Z108" s="209"/>
      <c r="AA108" s="257"/>
      <c r="AB108" s="209"/>
    </row>
    <row r="109" spans="1:33" s="146" customFormat="1" ht="12.6" thickTop="1" x14ac:dyDescent="0.25">
      <c r="A109" s="172" t="s">
        <v>772</v>
      </c>
      <c r="B109" s="252">
        <v>0</v>
      </c>
      <c r="C109" s="253">
        <v>0</v>
      </c>
      <c r="D109" s="253">
        <v>0</v>
      </c>
      <c r="E109" s="253">
        <v>0</v>
      </c>
      <c r="F109" s="253">
        <v>0</v>
      </c>
      <c r="G109" s="253">
        <v>0</v>
      </c>
      <c r="H109" s="253">
        <v>0</v>
      </c>
      <c r="I109" s="253">
        <v>0</v>
      </c>
      <c r="J109" s="253">
        <v>0</v>
      </c>
      <c r="K109" s="253">
        <v>0</v>
      </c>
      <c r="L109" s="253">
        <v>0</v>
      </c>
      <c r="M109" s="253">
        <v>0</v>
      </c>
      <c r="N109" s="253">
        <v>0</v>
      </c>
      <c r="O109" s="155"/>
      <c r="P109" s="155"/>
      <c r="Q109" s="155"/>
      <c r="R109" s="155"/>
      <c r="S109" s="155"/>
      <c r="T109" s="155"/>
      <c r="U109" s="155"/>
      <c r="V109" s="258"/>
    </row>
    <row r="110" spans="1:33" s="146" customFormat="1" ht="12.75" customHeight="1" x14ac:dyDescent="0.25">
      <c r="A110" s="177" t="s">
        <v>773</v>
      </c>
      <c r="B110" s="252">
        <v>39.984422954426996</v>
      </c>
      <c r="C110" s="253">
        <v>40.139369501466298</v>
      </c>
      <c r="D110" s="253">
        <v>0</v>
      </c>
      <c r="E110" s="253">
        <v>0</v>
      </c>
      <c r="F110" s="253">
        <v>0</v>
      </c>
      <c r="G110" s="253">
        <v>0</v>
      </c>
      <c r="H110" s="253">
        <v>0</v>
      </c>
      <c r="I110" s="253">
        <v>0</v>
      </c>
      <c r="J110" s="253">
        <v>0</v>
      </c>
      <c r="K110" s="253">
        <v>0</v>
      </c>
      <c r="L110" s="253">
        <v>0</v>
      </c>
      <c r="M110" s="253">
        <v>0</v>
      </c>
      <c r="N110" s="253">
        <v>40.052800155294598</v>
      </c>
      <c r="O110" s="155"/>
      <c r="P110" s="155"/>
      <c r="Q110" s="155"/>
      <c r="R110" s="216"/>
      <c r="S110" s="216"/>
      <c r="T110" s="216"/>
      <c r="U110" s="216"/>
      <c r="V110" s="259"/>
      <c r="W110" s="187"/>
      <c r="X110" s="187"/>
      <c r="Y110" s="187"/>
      <c r="Z110" s="187"/>
      <c r="AA110" s="187"/>
      <c r="AB110" s="187"/>
      <c r="AC110" s="187"/>
    </row>
    <row r="111" spans="1:33" s="146" customFormat="1" ht="12.75" customHeight="1" x14ac:dyDescent="0.25">
      <c r="A111" s="179"/>
      <c r="B111" s="260"/>
      <c r="C111" s="260"/>
      <c r="D111" s="260"/>
      <c r="E111" s="260"/>
      <c r="F111" s="260"/>
      <c r="G111" s="260"/>
      <c r="H111" s="260"/>
      <c r="I111" s="260"/>
      <c r="J111" s="260"/>
      <c r="K111" s="260"/>
      <c r="L111" s="260"/>
      <c r="M111" s="260"/>
      <c r="N111" s="260"/>
      <c r="O111" s="155"/>
      <c r="P111" s="155"/>
      <c r="Q111" s="155"/>
      <c r="R111" s="155"/>
      <c r="S111" s="155"/>
      <c r="T111" s="155"/>
      <c r="U111" s="155"/>
      <c r="V111" s="258"/>
    </row>
    <row r="112" spans="1:33" s="146" customFormat="1" ht="12" x14ac:dyDescent="0.25">
      <c r="A112" s="381" t="s">
        <v>824</v>
      </c>
      <c r="B112" s="382"/>
      <c r="C112" s="382"/>
      <c r="D112" s="382"/>
      <c r="E112" s="382"/>
      <c r="F112" s="382"/>
      <c r="G112" s="382"/>
      <c r="H112" s="382"/>
      <c r="I112" s="382"/>
      <c r="J112" s="382"/>
      <c r="K112" s="382"/>
      <c r="L112" s="382"/>
      <c r="M112" s="382"/>
      <c r="N112" s="382"/>
      <c r="O112" s="155"/>
      <c r="P112" s="155"/>
      <c r="Q112" s="155"/>
      <c r="R112" s="216"/>
      <c r="S112" s="216"/>
      <c r="T112" s="216"/>
      <c r="U112" s="216"/>
      <c r="V112" s="259"/>
      <c r="W112" s="187"/>
      <c r="X112" s="187"/>
      <c r="Y112" s="187"/>
      <c r="Z112" s="187"/>
      <c r="AA112" s="187"/>
      <c r="AB112" s="187"/>
      <c r="AC112" s="187"/>
    </row>
    <row r="113" spans="1:29" s="146" customFormat="1" ht="12" x14ac:dyDescent="0.25">
      <c r="A113" s="161" t="s">
        <v>825</v>
      </c>
      <c r="B113" s="71" t="s">
        <v>788</v>
      </c>
      <c r="C113" s="71" t="s">
        <v>789</v>
      </c>
      <c r="D113" s="71" t="s">
        <v>790</v>
      </c>
      <c r="E113" s="71" t="s">
        <v>791</v>
      </c>
      <c r="F113" s="71" t="s">
        <v>792</v>
      </c>
      <c r="G113" s="71" t="s">
        <v>793</v>
      </c>
      <c r="H113" s="71" t="s">
        <v>794</v>
      </c>
      <c r="I113" s="71" t="s">
        <v>795</v>
      </c>
      <c r="J113" s="71" t="s">
        <v>796</v>
      </c>
      <c r="K113" s="71" t="s">
        <v>797</v>
      </c>
      <c r="L113" s="71" t="s">
        <v>798</v>
      </c>
      <c r="M113" s="71" t="s">
        <v>799</v>
      </c>
      <c r="N113" s="71" t="s">
        <v>817</v>
      </c>
      <c r="O113" s="155"/>
      <c r="P113" s="155"/>
      <c r="Q113" s="155"/>
      <c r="R113" s="216"/>
      <c r="S113" s="216"/>
      <c r="T113" s="216"/>
      <c r="U113" s="216"/>
      <c r="V113" s="259"/>
      <c r="W113" s="187"/>
      <c r="X113" s="187"/>
      <c r="Y113" s="187"/>
      <c r="Z113" s="187"/>
      <c r="AA113" s="187"/>
      <c r="AB113" s="187"/>
      <c r="AC113" s="187"/>
    </row>
    <row r="114" spans="1:29" ht="15" thickBot="1" x14ac:dyDescent="0.35">
      <c r="A114" s="166" t="s">
        <v>0</v>
      </c>
      <c r="B114" s="249">
        <v>39.984422954426996</v>
      </c>
      <c r="C114" s="250">
        <v>40.139369501466298</v>
      </c>
      <c r="D114" s="251">
        <v>0</v>
      </c>
      <c r="E114" s="250">
        <v>0</v>
      </c>
      <c r="F114" s="251">
        <v>0</v>
      </c>
      <c r="G114" s="250">
        <v>0</v>
      </c>
      <c r="H114" s="250">
        <v>0</v>
      </c>
      <c r="I114" s="251">
        <v>0</v>
      </c>
      <c r="J114" s="250">
        <v>0</v>
      </c>
      <c r="K114" s="251">
        <v>0</v>
      </c>
      <c r="L114" s="251">
        <v>0</v>
      </c>
      <c r="M114" s="250">
        <v>0</v>
      </c>
      <c r="N114" s="251">
        <v>40.052800155294598</v>
      </c>
      <c r="V114" s="258"/>
    </row>
    <row r="115" spans="1:29" ht="15" thickTop="1" x14ac:dyDescent="0.3">
      <c r="A115" s="172" t="s">
        <v>59</v>
      </c>
      <c r="B115" s="252">
        <v>43.238196852493999</v>
      </c>
      <c r="C115" s="253">
        <v>43.051171791012699</v>
      </c>
      <c r="D115" s="253">
        <v>0</v>
      </c>
      <c r="E115" s="253">
        <v>0</v>
      </c>
      <c r="F115" s="253">
        <v>0</v>
      </c>
      <c r="G115" s="253">
        <v>0</v>
      </c>
      <c r="H115" s="253">
        <v>0</v>
      </c>
      <c r="I115" s="253">
        <v>0</v>
      </c>
      <c r="J115" s="253">
        <v>0</v>
      </c>
      <c r="K115" s="253">
        <v>0</v>
      </c>
      <c r="L115" s="253">
        <v>0</v>
      </c>
      <c r="M115" s="253">
        <v>0</v>
      </c>
      <c r="N115" s="253">
        <v>43.1535354518468</v>
      </c>
      <c r="V115" s="258"/>
    </row>
    <row r="116" spans="1:29" x14ac:dyDescent="0.3">
      <c r="A116" s="177" t="s">
        <v>75</v>
      </c>
      <c r="B116" s="252">
        <v>33.907505812022599</v>
      </c>
      <c r="C116" s="253">
        <v>33.895573997233697</v>
      </c>
      <c r="D116" s="253">
        <v>0</v>
      </c>
      <c r="E116" s="253">
        <v>0</v>
      </c>
      <c r="F116" s="253">
        <v>0</v>
      </c>
      <c r="G116" s="253">
        <v>0</v>
      </c>
      <c r="H116" s="253">
        <v>0</v>
      </c>
      <c r="I116" s="253">
        <v>0</v>
      </c>
      <c r="J116" s="253">
        <v>0</v>
      </c>
      <c r="K116" s="253">
        <v>0</v>
      </c>
      <c r="L116" s="253">
        <v>0</v>
      </c>
      <c r="M116" s="253">
        <v>0</v>
      </c>
      <c r="N116" s="253">
        <v>33.9025096525097</v>
      </c>
      <c r="O116" s="261"/>
      <c r="V116" s="258"/>
    </row>
    <row r="117" spans="1:29" x14ac:dyDescent="0.3">
      <c r="A117" s="180"/>
      <c r="B117" s="260"/>
      <c r="C117" s="260"/>
      <c r="D117" s="260"/>
      <c r="E117" s="260"/>
      <c r="F117" s="260"/>
      <c r="G117" s="260"/>
      <c r="H117" s="260"/>
      <c r="I117" s="260"/>
      <c r="J117" s="260"/>
      <c r="K117" s="262"/>
      <c r="L117" s="260"/>
      <c r="M117" s="260"/>
      <c r="N117" s="263"/>
      <c r="O117" s="261"/>
      <c r="V117" s="258"/>
    </row>
    <row r="118" spans="1:29" x14ac:dyDescent="0.3">
      <c r="A118" s="264" t="s">
        <v>826</v>
      </c>
      <c r="B118" s="260"/>
      <c r="C118" s="260"/>
      <c r="D118" s="260"/>
      <c r="E118" s="260"/>
      <c r="F118" s="260"/>
      <c r="G118" s="260"/>
      <c r="H118" s="260"/>
      <c r="I118" s="260"/>
      <c r="J118" s="260"/>
      <c r="K118" s="262"/>
      <c r="L118" s="260"/>
      <c r="M118" s="260"/>
      <c r="N118" s="263"/>
      <c r="O118" s="261"/>
      <c r="V118" s="258"/>
    </row>
    <row r="119" spans="1:29" x14ac:dyDescent="0.3">
      <c r="A119" s="161" t="s">
        <v>827</v>
      </c>
      <c r="B119" s="265" t="s">
        <v>788</v>
      </c>
      <c r="C119" s="265" t="s">
        <v>789</v>
      </c>
      <c r="D119" s="265" t="s">
        <v>790</v>
      </c>
      <c r="E119" s="265" t="s">
        <v>791</v>
      </c>
      <c r="F119" s="265" t="s">
        <v>792</v>
      </c>
      <c r="G119" s="265" t="s">
        <v>793</v>
      </c>
      <c r="H119" s="265" t="s">
        <v>794</v>
      </c>
      <c r="I119" s="265" t="s">
        <v>795</v>
      </c>
      <c r="J119" s="265" t="s">
        <v>796</v>
      </c>
      <c r="K119" s="265" t="s">
        <v>797</v>
      </c>
      <c r="L119" s="265" t="s">
        <v>798</v>
      </c>
      <c r="M119" s="265" t="s">
        <v>799</v>
      </c>
      <c r="N119" s="265" t="s">
        <v>817</v>
      </c>
      <c r="O119" s="261"/>
      <c r="V119" s="258"/>
      <c r="W119" s="146"/>
    </row>
    <row r="120" spans="1:29" x14ac:dyDescent="0.3">
      <c r="A120" s="266" t="s">
        <v>777</v>
      </c>
      <c r="B120" s="202">
        <v>345</v>
      </c>
      <c r="C120" s="245">
        <v>229</v>
      </c>
      <c r="D120" s="245">
        <v>0</v>
      </c>
      <c r="E120" s="245">
        <v>0</v>
      </c>
      <c r="F120" s="245">
        <v>0</v>
      </c>
      <c r="G120" s="245">
        <v>0</v>
      </c>
      <c r="H120" s="245">
        <v>0</v>
      </c>
      <c r="I120" s="245">
        <v>0</v>
      </c>
      <c r="J120" s="245">
        <v>0</v>
      </c>
      <c r="K120" s="245">
        <v>0</v>
      </c>
      <c r="L120" s="245">
        <v>0</v>
      </c>
      <c r="M120" s="245">
        <v>0</v>
      </c>
      <c r="N120" s="245">
        <f>SUM(B120:M120)</f>
        <v>574</v>
      </c>
      <c r="O120" s="261"/>
      <c r="V120" s="258"/>
      <c r="W120" s="146"/>
    </row>
    <row r="121" spans="1:29" x14ac:dyDescent="0.3">
      <c r="A121" s="266" t="s">
        <v>828</v>
      </c>
      <c r="B121" s="202">
        <v>475</v>
      </c>
      <c r="C121" s="245">
        <v>215</v>
      </c>
      <c r="D121" s="245">
        <v>233</v>
      </c>
      <c r="E121" s="245">
        <v>178</v>
      </c>
      <c r="F121" s="245">
        <v>317</v>
      </c>
      <c r="G121" s="245">
        <v>277</v>
      </c>
      <c r="H121" s="245">
        <v>84</v>
      </c>
      <c r="I121" s="245">
        <v>66</v>
      </c>
      <c r="J121" s="245">
        <v>123</v>
      </c>
      <c r="K121" s="245">
        <v>193</v>
      </c>
      <c r="L121" s="245">
        <v>155</v>
      </c>
      <c r="M121" s="245">
        <v>202</v>
      </c>
      <c r="N121" s="245">
        <f>SUM(B121:M121)</f>
        <v>2518</v>
      </c>
      <c r="O121" s="261"/>
      <c r="V121" s="258"/>
      <c r="W121" s="146"/>
    </row>
    <row r="122" spans="1:29" x14ac:dyDescent="0.3">
      <c r="A122" s="267" t="s">
        <v>829</v>
      </c>
      <c r="B122" s="202">
        <v>26</v>
      </c>
      <c r="C122" s="245">
        <v>26</v>
      </c>
      <c r="D122" s="245">
        <v>85</v>
      </c>
      <c r="E122" s="245">
        <v>91</v>
      </c>
      <c r="F122" s="245">
        <v>64</v>
      </c>
      <c r="G122" s="245">
        <v>44</v>
      </c>
      <c r="H122" s="245">
        <v>110</v>
      </c>
      <c r="I122" s="245">
        <v>116</v>
      </c>
      <c r="J122" s="245">
        <v>165</v>
      </c>
      <c r="K122" s="245">
        <v>1040</v>
      </c>
      <c r="L122" s="245">
        <v>897</v>
      </c>
      <c r="M122" s="245">
        <v>519</v>
      </c>
      <c r="N122" s="245">
        <f>SUM(B122:M122)</f>
        <v>3183</v>
      </c>
      <c r="O122" s="261"/>
      <c r="V122" s="258"/>
      <c r="W122" s="146"/>
    </row>
    <row r="123" spans="1:29" x14ac:dyDescent="0.3">
      <c r="A123" s="268"/>
      <c r="B123" s="180"/>
      <c r="C123" s="269"/>
      <c r="D123" s="269"/>
      <c r="E123" s="269"/>
      <c r="F123" s="269"/>
      <c r="G123" s="269"/>
      <c r="H123" s="269"/>
      <c r="I123" s="269"/>
      <c r="J123" s="269"/>
      <c r="K123" s="269"/>
      <c r="L123" s="262"/>
      <c r="M123" s="269"/>
      <c r="N123" s="269"/>
      <c r="O123" s="261"/>
      <c r="P123" s="261"/>
      <c r="V123" s="258"/>
      <c r="W123" s="146"/>
    </row>
    <row r="124" spans="1:29" x14ac:dyDescent="0.3">
      <c r="A124" s="264" t="s">
        <v>830</v>
      </c>
      <c r="B124" s="260"/>
      <c r="C124" s="260"/>
      <c r="D124" s="260"/>
      <c r="E124" s="260"/>
      <c r="F124" s="260"/>
      <c r="G124" s="260"/>
      <c r="H124" s="260"/>
      <c r="I124" s="260"/>
      <c r="J124" s="260"/>
      <c r="K124" s="262"/>
      <c r="L124" s="260"/>
      <c r="M124" s="260"/>
      <c r="N124" s="263"/>
      <c r="O124" s="261"/>
      <c r="V124" s="258"/>
    </row>
    <row r="125" spans="1:29" x14ac:dyDescent="0.3">
      <c r="A125" s="161" t="s">
        <v>827</v>
      </c>
      <c r="B125" s="161" t="s">
        <v>831</v>
      </c>
      <c r="C125" s="265" t="s">
        <v>788</v>
      </c>
      <c r="D125" s="265" t="s">
        <v>789</v>
      </c>
      <c r="E125" s="265" t="s">
        <v>790</v>
      </c>
      <c r="F125" s="265" t="s">
        <v>791</v>
      </c>
      <c r="G125" s="265" t="s">
        <v>792</v>
      </c>
      <c r="H125" s="265" t="s">
        <v>793</v>
      </c>
      <c r="I125" s="265" t="s">
        <v>794</v>
      </c>
      <c r="J125" s="265" t="s">
        <v>795</v>
      </c>
      <c r="K125" s="265" t="s">
        <v>796</v>
      </c>
      <c r="L125" s="265" t="s">
        <v>797</v>
      </c>
      <c r="M125" s="265" t="s">
        <v>798</v>
      </c>
      <c r="N125" s="265" t="s">
        <v>799</v>
      </c>
      <c r="O125" s="265" t="s">
        <v>817</v>
      </c>
      <c r="P125" s="261"/>
      <c r="V125" s="258"/>
    </row>
    <row r="126" spans="1:29" x14ac:dyDescent="0.3">
      <c r="A126" s="374" t="s">
        <v>777</v>
      </c>
      <c r="B126" s="72" t="s">
        <v>832</v>
      </c>
      <c r="C126" s="202">
        <v>274</v>
      </c>
      <c r="D126" s="245">
        <v>215</v>
      </c>
      <c r="E126" s="245">
        <v>0</v>
      </c>
      <c r="F126" s="245">
        <v>0</v>
      </c>
      <c r="G126" s="245">
        <v>0</v>
      </c>
      <c r="H126" s="245">
        <v>0</v>
      </c>
      <c r="I126" s="245">
        <v>0</v>
      </c>
      <c r="J126" s="245">
        <v>0</v>
      </c>
      <c r="K126" s="245">
        <v>0</v>
      </c>
      <c r="L126" s="245">
        <v>0</v>
      </c>
      <c r="M126" s="245">
        <v>0</v>
      </c>
      <c r="N126" s="245">
        <v>0</v>
      </c>
      <c r="O126" s="270">
        <f>SUM(C126:N126)</f>
        <v>489</v>
      </c>
      <c r="P126" s="261"/>
      <c r="V126" s="258"/>
    </row>
    <row r="127" spans="1:29" x14ac:dyDescent="0.3">
      <c r="A127" s="375"/>
      <c r="B127" s="72" t="s">
        <v>833</v>
      </c>
      <c r="C127" s="202">
        <v>46</v>
      </c>
      <c r="D127" s="245">
        <v>10</v>
      </c>
      <c r="E127" s="245">
        <v>0</v>
      </c>
      <c r="F127" s="245">
        <v>0</v>
      </c>
      <c r="G127" s="245">
        <v>0</v>
      </c>
      <c r="H127" s="245">
        <v>0</v>
      </c>
      <c r="I127" s="245">
        <v>0</v>
      </c>
      <c r="J127" s="245">
        <v>0</v>
      </c>
      <c r="K127" s="245">
        <v>0</v>
      </c>
      <c r="L127" s="245">
        <v>0</v>
      </c>
      <c r="M127" s="245">
        <v>0</v>
      </c>
      <c r="N127" s="245">
        <v>0</v>
      </c>
      <c r="O127" s="270">
        <f t="shared" ref="O127" si="9">SUM(C127:N127)</f>
        <v>56</v>
      </c>
      <c r="P127" s="261"/>
      <c r="V127" s="258"/>
    </row>
    <row r="128" spans="1:29" x14ac:dyDescent="0.3">
      <c r="A128" s="374" t="s">
        <v>828</v>
      </c>
      <c r="B128" s="72" t="s">
        <v>832</v>
      </c>
      <c r="C128" s="202">
        <v>390</v>
      </c>
      <c r="D128" s="245">
        <v>207</v>
      </c>
      <c r="E128" s="245">
        <v>211</v>
      </c>
      <c r="F128" s="245">
        <v>129</v>
      </c>
      <c r="G128" s="245">
        <v>266</v>
      </c>
      <c r="H128" s="245">
        <v>237</v>
      </c>
      <c r="I128" s="245">
        <v>56</v>
      </c>
      <c r="J128" s="245">
        <v>46</v>
      </c>
      <c r="K128" s="245">
        <v>101</v>
      </c>
      <c r="L128" s="245">
        <v>185</v>
      </c>
      <c r="M128" s="245">
        <v>131</v>
      </c>
      <c r="N128" s="245">
        <v>140</v>
      </c>
      <c r="O128" s="270">
        <f>SUM(C128:N128)</f>
        <v>2099</v>
      </c>
      <c r="P128" s="261"/>
      <c r="V128" s="258"/>
    </row>
    <row r="129" spans="1:22" x14ac:dyDescent="0.3">
      <c r="A129" s="375"/>
      <c r="B129" s="72" t="s">
        <v>833</v>
      </c>
      <c r="C129" s="202">
        <v>4</v>
      </c>
      <c r="D129" s="245">
        <v>10</v>
      </c>
      <c r="E129" s="245">
        <v>2</v>
      </c>
      <c r="F129" s="245">
        <v>11</v>
      </c>
      <c r="G129" s="245">
        <v>22</v>
      </c>
      <c r="H129" s="245">
        <v>11</v>
      </c>
      <c r="I129" s="245">
        <v>20</v>
      </c>
      <c r="J129" s="245">
        <v>14</v>
      </c>
      <c r="K129" s="245">
        <v>8</v>
      </c>
      <c r="L129" s="245">
        <v>8</v>
      </c>
      <c r="M129" s="245">
        <v>20</v>
      </c>
      <c r="N129" s="245">
        <v>49</v>
      </c>
      <c r="O129" s="270">
        <f t="shared" ref="O129:O131" si="10">SUM(C129:N129)</f>
        <v>179</v>
      </c>
      <c r="P129" s="261"/>
      <c r="V129" s="258"/>
    </row>
    <row r="130" spans="1:22" x14ac:dyDescent="0.3">
      <c r="A130" s="374" t="s">
        <v>829</v>
      </c>
      <c r="B130" s="72" t="s">
        <v>832</v>
      </c>
      <c r="C130" s="202">
        <v>21</v>
      </c>
      <c r="D130" s="245">
        <v>13</v>
      </c>
      <c r="E130" s="245">
        <v>71</v>
      </c>
      <c r="F130" s="245">
        <v>69</v>
      </c>
      <c r="G130" s="245">
        <v>53</v>
      </c>
      <c r="H130" s="245">
        <v>15</v>
      </c>
      <c r="I130" s="245">
        <v>23</v>
      </c>
      <c r="J130" s="245">
        <v>49</v>
      </c>
      <c r="K130" s="245">
        <v>48</v>
      </c>
      <c r="L130" s="245">
        <v>973</v>
      </c>
      <c r="M130" s="245">
        <v>903</v>
      </c>
      <c r="N130" s="245">
        <v>476</v>
      </c>
      <c r="O130" s="270">
        <f t="shared" si="10"/>
        <v>2714</v>
      </c>
      <c r="P130" s="261"/>
      <c r="V130" s="258"/>
    </row>
    <row r="131" spans="1:22" x14ac:dyDescent="0.3">
      <c r="A131" s="375"/>
      <c r="B131" s="72" t="s">
        <v>833</v>
      </c>
      <c r="C131" s="202">
        <v>1</v>
      </c>
      <c r="D131" s="245">
        <v>3</v>
      </c>
      <c r="E131" s="245">
        <v>15</v>
      </c>
      <c r="F131" s="245">
        <v>9</v>
      </c>
      <c r="G131" s="245">
        <v>5</v>
      </c>
      <c r="H131" s="245">
        <v>17</v>
      </c>
      <c r="I131" s="245">
        <v>39</v>
      </c>
      <c r="J131" s="245">
        <v>42</v>
      </c>
      <c r="K131" s="245">
        <v>38</v>
      </c>
      <c r="L131" s="245">
        <v>44</v>
      </c>
      <c r="M131" s="245">
        <v>19</v>
      </c>
      <c r="N131" s="245">
        <v>13</v>
      </c>
      <c r="O131" s="270">
        <f t="shared" si="10"/>
        <v>245</v>
      </c>
      <c r="P131" s="261"/>
      <c r="V131" s="258"/>
    </row>
    <row r="132" spans="1:22" x14ac:dyDescent="0.3">
      <c r="B132" s="261"/>
      <c r="C132" s="261"/>
      <c r="D132" s="261"/>
      <c r="E132" s="261"/>
      <c r="F132" s="261"/>
      <c r="G132" s="261"/>
      <c r="H132" s="261"/>
      <c r="I132" s="261"/>
      <c r="J132" s="261"/>
      <c r="K132" s="261"/>
      <c r="L132" s="261"/>
      <c r="M132" s="261"/>
      <c r="V132" s="258"/>
    </row>
    <row r="133" spans="1:22" ht="15" thickBot="1" x14ac:dyDescent="0.35">
      <c r="A133" s="271"/>
      <c r="B133" s="271"/>
      <c r="C133" s="271"/>
      <c r="D133" s="271"/>
      <c r="E133" s="271"/>
      <c r="F133" s="271"/>
      <c r="G133" s="271"/>
      <c r="H133" s="271"/>
      <c r="I133" s="271"/>
      <c r="J133" s="271"/>
      <c r="K133" s="271"/>
      <c r="L133" s="271"/>
      <c r="M133" s="271"/>
      <c r="N133" s="271"/>
      <c r="O133" s="271"/>
      <c r="P133" s="271"/>
      <c r="Q133" s="271"/>
      <c r="R133" s="271"/>
      <c r="S133" s="271"/>
      <c r="T133" s="271"/>
      <c r="U133" s="271"/>
      <c r="V133" s="272"/>
    </row>
    <row r="134" spans="1:22" x14ac:dyDescent="0.3">
      <c r="B134" s="273"/>
      <c r="C134" s="273"/>
      <c r="D134" s="273"/>
      <c r="E134" s="273"/>
      <c r="F134" s="273"/>
      <c r="G134" s="273"/>
      <c r="H134" s="273"/>
      <c r="I134" s="273"/>
      <c r="J134" s="273"/>
      <c r="K134" s="273"/>
      <c r="L134" s="273"/>
      <c r="M134" s="273"/>
      <c r="P134" s="273"/>
    </row>
    <row r="135" spans="1:22" x14ac:dyDescent="0.3">
      <c r="A135" s="376"/>
      <c r="B135" s="376"/>
      <c r="C135" s="376"/>
      <c r="D135" s="376"/>
      <c r="E135" s="376"/>
      <c r="F135" s="376"/>
      <c r="G135" s="376"/>
      <c r="H135" s="376"/>
      <c r="I135" s="376"/>
      <c r="J135" s="376"/>
      <c r="K135" s="376"/>
      <c r="L135" s="376"/>
      <c r="M135" s="376"/>
      <c r="N135" s="376"/>
    </row>
    <row r="136" spans="1:22" x14ac:dyDescent="0.3">
      <c r="A136" s="274"/>
      <c r="B136" s="274"/>
      <c r="C136" s="275"/>
      <c r="D136" s="273"/>
      <c r="E136" s="273"/>
      <c r="F136" s="273"/>
      <c r="G136" s="273"/>
      <c r="H136" s="273"/>
      <c r="I136" s="273"/>
      <c r="J136" s="273"/>
      <c r="K136" s="273"/>
      <c r="L136" s="273"/>
      <c r="M136" s="261"/>
      <c r="P136" s="273"/>
    </row>
    <row r="137" spans="1:22" x14ac:dyDescent="0.3">
      <c r="A137" s="276"/>
      <c r="B137" s="276"/>
      <c r="C137" s="276"/>
      <c r="D137" s="273"/>
      <c r="E137" s="273"/>
      <c r="F137" s="273"/>
      <c r="G137" s="273"/>
      <c r="H137" s="261"/>
      <c r="I137" s="261"/>
    </row>
    <row r="138" spans="1:22" x14ac:dyDescent="0.3">
      <c r="A138" s="276"/>
      <c r="B138" s="276"/>
      <c r="C138" s="276"/>
      <c r="D138" s="261"/>
      <c r="E138" s="273"/>
      <c r="F138" s="261"/>
    </row>
    <row r="139" spans="1:22" x14ac:dyDescent="0.3">
      <c r="A139" s="276"/>
      <c r="B139" s="276"/>
      <c r="C139" s="276"/>
    </row>
    <row r="140" spans="1:22" x14ac:dyDescent="0.3">
      <c r="A140" s="276"/>
      <c r="B140" s="276"/>
      <c r="C140" s="276"/>
    </row>
  </sheetData>
  <mergeCells count="46">
    <mergeCell ref="A3:D3"/>
    <mergeCell ref="A1:D1"/>
    <mergeCell ref="A2:D2"/>
    <mergeCell ref="E2:H2"/>
    <mergeCell ref="I2:L2"/>
    <mergeCell ref="M2:P2"/>
    <mergeCell ref="A16:V16"/>
    <mergeCell ref="A4:V4"/>
    <mergeCell ref="A6:V6"/>
    <mergeCell ref="A8:D8"/>
    <mergeCell ref="G8:K8"/>
    <mergeCell ref="M8:Q8"/>
    <mergeCell ref="G9:H9"/>
    <mergeCell ref="M9:N9"/>
    <mergeCell ref="G10:H10"/>
    <mergeCell ref="M10:N10"/>
    <mergeCell ref="G11:H11"/>
    <mergeCell ref="M11:N11"/>
    <mergeCell ref="M12:N12"/>
    <mergeCell ref="A18:F18"/>
    <mergeCell ref="I18:V18"/>
    <mergeCell ref="A25:V25"/>
    <mergeCell ref="A27:E27"/>
    <mergeCell ref="H27:L27"/>
    <mergeCell ref="N27:R27"/>
    <mergeCell ref="A81:V81"/>
    <mergeCell ref="H28:I28"/>
    <mergeCell ref="N28:O28"/>
    <mergeCell ref="H29:I29"/>
    <mergeCell ref="N29:O29"/>
    <mergeCell ref="H30:I30"/>
    <mergeCell ref="N30:O30"/>
    <mergeCell ref="H31:I31"/>
    <mergeCell ref="A33:V33"/>
    <mergeCell ref="A36:E36"/>
    <mergeCell ref="A64:V64"/>
    <mergeCell ref="A66:N66"/>
    <mergeCell ref="A128:A129"/>
    <mergeCell ref="A130:A131"/>
    <mergeCell ref="A135:N135"/>
    <mergeCell ref="A83:N83"/>
    <mergeCell ref="A98:V98"/>
    <mergeCell ref="A100:N100"/>
    <mergeCell ref="A106:N106"/>
    <mergeCell ref="A112:N112"/>
    <mergeCell ref="A126:A127"/>
  </mergeCells>
  <pageMargins left="0.25" right="0.25" top="0.5" bottom="0.25" header="0.3" footer="0.3"/>
  <pageSetup scale="65" fitToWidth="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2653E-89DA-400B-95DD-C7810227F14E}">
  <dimension ref="A1:BJ55"/>
  <sheetViews>
    <sheetView showGridLines="0" zoomScale="80" zoomScaleNormal="80" workbookViewId="0"/>
  </sheetViews>
  <sheetFormatPr defaultColWidth="9.21875" defaultRowHeight="15.6" x14ac:dyDescent="0.3"/>
  <cols>
    <col min="1" max="1" width="71.21875" style="75" customWidth="1"/>
    <col min="2" max="2" width="7.44140625" style="75" bestFit="1" customWidth="1"/>
    <col min="3" max="4" width="7.77734375" style="75" bestFit="1" customWidth="1"/>
    <col min="5" max="5" width="7.44140625" style="75" bestFit="1" customWidth="1"/>
    <col min="6" max="6" width="8.21875" style="75" bestFit="1" customWidth="1"/>
    <col min="7" max="9" width="7.77734375" style="75" bestFit="1" customWidth="1"/>
    <col min="10" max="12" width="7.44140625" style="75" bestFit="1" customWidth="1"/>
    <col min="13" max="15" width="7.77734375" style="75" bestFit="1" customWidth="1"/>
    <col min="16" max="16" width="8.44140625" style="75" customWidth="1"/>
    <col min="17" max="17" width="8.5546875" style="75" customWidth="1"/>
    <col min="18" max="18" width="7.44140625" style="75" customWidth="1"/>
    <col min="19" max="19" width="8.21875" style="75" customWidth="1"/>
    <col min="20" max="22" width="7.77734375" style="75" bestFit="1" customWidth="1"/>
    <col min="23" max="25" width="8.21875" style="75" bestFit="1" customWidth="1"/>
    <col min="26" max="26" width="7.77734375" style="75" bestFit="1" customWidth="1"/>
    <col min="27" max="28" width="8.21875" style="75" bestFit="1" customWidth="1"/>
    <col min="29" max="55" width="9.21875" style="75"/>
    <col min="56" max="56" width="9.88671875" style="75" customWidth="1"/>
    <col min="57" max="16384" width="9.21875" style="75"/>
  </cols>
  <sheetData>
    <row r="1" spans="1:61" x14ac:dyDescent="0.3">
      <c r="A1" s="277" t="s">
        <v>834</v>
      </c>
      <c r="B1" s="277"/>
      <c r="C1" s="277"/>
      <c r="D1" s="277"/>
      <c r="E1" s="277"/>
      <c r="F1" s="277"/>
      <c r="G1" s="277"/>
      <c r="H1" s="277"/>
      <c r="I1" s="277"/>
      <c r="J1" s="277"/>
      <c r="K1" s="277"/>
      <c r="L1" s="277"/>
      <c r="M1" s="277"/>
      <c r="N1" s="277"/>
      <c r="O1" s="277"/>
      <c r="P1" s="277"/>
      <c r="Q1" s="277"/>
      <c r="R1" s="277"/>
      <c r="S1" s="277"/>
      <c r="T1" s="277"/>
      <c r="U1" s="277"/>
      <c r="V1" s="277"/>
      <c r="W1" s="277"/>
      <c r="X1" s="277"/>
      <c r="Y1" s="277"/>
      <c r="Z1" s="277"/>
      <c r="AA1" s="277"/>
    </row>
    <row r="2" spans="1:61" x14ac:dyDescent="0.3">
      <c r="A2" s="277"/>
    </row>
    <row r="3" spans="1:61" x14ac:dyDescent="0.3">
      <c r="A3" s="277"/>
    </row>
    <row r="4" spans="1:61" x14ac:dyDescent="0.3">
      <c r="A4" s="422" t="s">
        <v>835</v>
      </c>
      <c r="B4" s="278">
        <v>2020</v>
      </c>
      <c r="C4" s="279"/>
      <c r="D4" s="279"/>
      <c r="E4" s="279"/>
      <c r="F4" s="279"/>
      <c r="G4" s="279"/>
      <c r="H4" s="279"/>
      <c r="I4" s="279"/>
      <c r="J4" s="279"/>
      <c r="K4" s="279"/>
      <c r="L4" s="279"/>
      <c r="M4" s="280"/>
      <c r="N4" s="281">
        <v>2021</v>
      </c>
      <c r="O4" s="282"/>
      <c r="P4" s="282"/>
      <c r="Q4" s="282"/>
      <c r="R4" s="282"/>
      <c r="S4" s="282"/>
      <c r="T4" s="282"/>
      <c r="U4" s="282"/>
      <c r="V4" s="282"/>
      <c r="W4" s="282"/>
      <c r="X4" s="282"/>
      <c r="Y4" s="282"/>
      <c r="Z4" s="282"/>
      <c r="AA4" s="282"/>
      <c r="AB4" s="282"/>
      <c r="AC4" s="282"/>
      <c r="AD4" s="282"/>
      <c r="AE4" s="282"/>
      <c r="AF4" s="282"/>
      <c r="AG4" s="282"/>
      <c r="AH4" s="282"/>
      <c r="AI4" s="282"/>
      <c r="AJ4" s="282"/>
      <c r="AK4" s="283"/>
      <c r="AL4" s="284">
        <v>2022</v>
      </c>
      <c r="AM4" s="285"/>
      <c r="AN4" s="285"/>
      <c r="AO4" s="285"/>
      <c r="AP4" s="285"/>
      <c r="AQ4" s="285"/>
      <c r="AR4" s="285"/>
      <c r="AS4" s="285"/>
      <c r="AT4" s="285"/>
      <c r="AU4" s="285"/>
      <c r="AV4" s="285"/>
      <c r="AW4" s="285"/>
      <c r="AX4" s="285"/>
      <c r="AY4" s="285"/>
      <c r="AZ4" s="285"/>
      <c r="BA4" s="285"/>
      <c r="BB4" s="285"/>
      <c r="BC4" s="285"/>
      <c r="BD4" s="286">
        <v>2023</v>
      </c>
      <c r="BE4" s="287"/>
      <c r="BF4" s="287"/>
      <c r="BG4" s="288"/>
    </row>
    <row r="5" spans="1:61" x14ac:dyDescent="0.3">
      <c r="A5" s="422"/>
      <c r="B5" s="419" t="s">
        <v>836</v>
      </c>
      <c r="C5" s="420"/>
      <c r="D5" s="419" t="s">
        <v>837</v>
      </c>
      <c r="E5" s="420"/>
      <c r="F5" s="419" t="s">
        <v>838</v>
      </c>
      <c r="G5" s="420"/>
      <c r="H5" s="419" t="s">
        <v>839</v>
      </c>
      <c r="I5" s="420"/>
      <c r="J5" s="419" t="s">
        <v>840</v>
      </c>
      <c r="K5" s="420"/>
      <c r="L5" s="419" t="s">
        <v>841</v>
      </c>
      <c r="M5" s="420"/>
      <c r="N5" s="417" t="s">
        <v>842</v>
      </c>
      <c r="O5" s="418"/>
      <c r="P5" s="417" t="s">
        <v>843</v>
      </c>
      <c r="Q5" s="418"/>
      <c r="R5" s="417" t="s">
        <v>844</v>
      </c>
      <c r="S5" s="418"/>
      <c r="T5" s="417" t="s">
        <v>845</v>
      </c>
      <c r="U5" s="418"/>
      <c r="V5" s="417" t="s">
        <v>795</v>
      </c>
      <c r="W5" s="418"/>
      <c r="X5" s="417" t="s">
        <v>846</v>
      </c>
      <c r="Y5" s="418"/>
      <c r="Z5" s="417" t="s">
        <v>836</v>
      </c>
      <c r="AA5" s="418"/>
      <c r="AB5" s="417" t="s">
        <v>837</v>
      </c>
      <c r="AC5" s="418"/>
      <c r="AD5" s="417" t="s">
        <v>838</v>
      </c>
      <c r="AE5" s="418"/>
      <c r="AF5" s="417" t="s">
        <v>839</v>
      </c>
      <c r="AG5" s="418"/>
      <c r="AH5" s="417" t="s">
        <v>840</v>
      </c>
      <c r="AI5" s="418"/>
      <c r="AJ5" s="417" t="s">
        <v>841</v>
      </c>
      <c r="AK5" s="418"/>
      <c r="AL5" s="413" t="s">
        <v>842</v>
      </c>
      <c r="AM5" s="414"/>
      <c r="AN5" s="413" t="s">
        <v>843</v>
      </c>
      <c r="AO5" s="414"/>
      <c r="AP5" s="413" t="s">
        <v>844</v>
      </c>
      <c r="AQ5" s="414"/>
      <c r="AR5" s="413" t="s">
        <v>845</v>
      </c>
      <c r="AS5" s="414"/>
      <c r="AT5" s="413" t="s">
        <v>795</v>
      </c>
      <c r="AU5" s="414"/>
      <c r="AV5" s="413" t="s">
        <v>846</v>
      </c>
      <c r="AW5" s="414"/>
      <c r="AX5" s="413" t="s">
        <v>836</v>
      </c>
      <c r="AY5" s="414"/>
      <c r="AZ5" s="413" t="s">
        <v>837</v>
      </c>
      <c r="BA5" s="414"/>
      <c r="BB5" s="413" t="s">
        <v>838</v>
      </c>
      <c r="BC5" s="414"/>
      <c r="BD5" s="415" t="s">
        <v>839</v>
      </c>
      <c r="BE5" s="416"/>
      <c r="BF5" s="415" t="s">
        <v>840</v>
      </c>
      <c r="BG5" s="416"/>
      <c r="BH5" s="289"/>
      <c r="BI5" s="289"/>
    </row>
    <row r="6" spans="1:61" x14ac:dyDescent="0.3">
      <c r="A6" s="422"/>
      <c r="B6" s="290" t="s">
        <v>847</v>
      </c>
      <c r="C6" s="290" t="s">
        <v>848</v>
      </c>
      <c r="D6" s="290" t="s">
        <v>847</v>
      </c>
      <c r="E6" s="290" t="s">
        <v>848</v>
      </c>
      <c r="F6" s="290" t="s">
        <v>847</v>
      </c>
      <c r="G6" s="290" t="s">
        <v>848</v>
      </c>
      <c r="H6" s="290" t="s">
        <v>847</v>
      </c>
      <c r="I6" s="290" t="s">
        <v>848</v>
      </c>
      <c r="J6" s="290" t="s">
        <v>847</v>
      </c>
      <c r="K6" s="290" t="s">
        <v>848</v>
      </c>
      <c r="L6" s="290" t="s">
        <v>847</v>
      </c>
      <c r="M6" s="290" t="s">
        <v>848</v>
      </c>
      <c r="N6" s="291" t="s">
        <v>847</v>
      </c>
      <c r="O6" s="291" t="s">
        <v>848</v>
      </c>
      <c r="P6" s="291" t="s">
        <v>847</v>
      </c>
      <c r="Q6" s="291" t="s">
        <v>848</v>
      </c>
      <c r="R6" s="291" t="s">
        <v>847</v>
      </c>
      <c r="S6" s="291" t="s">
        <v>848</v>
      </c>
      <c r="T6" s="291" t="s">
        <v>847</v>
      </c>
      <c r="U6" s="291" t="s">
        <v>848</v>
      </c>
      <c r="V6" s="291" t="s">
        <v>847</v>
      </c>
      <c r="W6" s="291" t="s">
        <v>848</v>
      </c>
      <c r="X6" s="291" t="s">
        <v>847</v>
      </c>
      <c r="Y6" s="291" t="s">
        <v>848</v>
      </c>
      <c r="Z6" s="291" t="s">
        <v>847</v>
      </c>
      <c r="AA6" s="291" t="s">
        <v>848</v>
      </c>
      <c r="AB6" s="291" t="s">
        <v>847</v>
      </c>
      <c r="AC6" s="291" t="s">
        <v>848</v>
      </c>
      <c r="AD6" s="291" t="s">
        <v>847</v>
      </c>
      <c r="AE6" s="291" t="s">
        <v>848</v>
      </c>
      <c r="AF6" s="291" t="s">
        <v>847</v>
      </c>
      <c r="AG6" s="291" t="s">
        <v>848</v>
      </c>
      <c r="AH6" s="291" t="s">
        <v>847</v>
      </c>
      <c r="AI6" s="291" t="s">
        <v>848</v>
      </c>
      <c r="AJ6" s="291" t="s">
        <v>847</v>
      </c>
      <c r="AK6" s="291" t="s">
        <v>848</v>
      </c>
      <c r="AL6" s="292" t="s">
        <v>847</v>
      </c>
      <c r="AM6" s="292" t="s">
        <v>848</v>
      </c>
      <c r="AN6" s="292" t="s">
        <v>847</v>
      </c>
      <c r="AO6" s="292" t="s">
        <v>848</v>
      </c>
      <c r="AP6" s="292" t="s">
        <v>847</v>
      </c>
      <c r="AQ6" s="292" t="s">
        <v>848</v>
      </c>
      <c r="AR6" s="292" t="s">
        <v>847</v>
      </c>
      <c r="AS6" s="292" t="s">
        <v>848</v>
      </c>
      <c r="AT6" s="292" t="s">
        <v>849</v>
      </c>
      <c r="AU6" s="292" t="s">
        <v>848</v>
      </c>
      <c r="AV6" s="292" t="s">
        <v>849</v>
      </c>
      <c r="AW6" s="292" t="s">
        <v>848</v>
      </c>
      <c r="AX6" s="292" t="s">
        <v>847</v>
      </c>
      <c r="AY6" s="292" t="s">
        <v>848</v>
      </c>
      <c r="AZ6" s="292" t="s">
        <v>847</v>
      </c>
      <c r="BA6" s="292" t="s">
        <v>848</v>
      </c>
      <c r="BB6" s="292" t="s">
        <v>847</v>
      </c>
      <c r="BC6" s="292" t="s">
        <v>848</v>
      </c>
      <c r="BD6" s="293" t="s">
        <v>847</v>
      </c>
      <c r="BE6" s="293" t="s">
        <v>848</v>
      </c>
      <c r="BF6" s="293" t="s">
        <v>847</v>
      </c>
      <c r="BG6" s="293" t="s">
        <v>848</v>
      </c>
    </row>
    <row r="7" spans="1:61" x14ac:dyDescent="0.3">
      <c r="A7" s="294" t="s">
        <v>850</v>
      </c>
      <c r="B7" s="295">
        <v>166.45621</v>
      </c>
      <c r="C7" s="295">
        <v>166.60888</v>
      </c>
      <c r="D7" s="295">
        <v>166.07884000000001</v>
      </c>
      <c r="E7" s="295">
        <v>163.90737999999999</v>
      </c>
      <c r="F7" s="295">
        <v>162.40288000000001</v>
      </c>
      <c r="G7" s="295">
        <v>156.58816999999999</v>
      </c>
      <c r="H7" s="295">
        <v>155.78474</v>
      </c>
      <c r="I7" s="295">
        <v>156.10682</v>
      </c>
      <c r="J7" s="295">
        <v>154.09211999999999</v>
      </c>
      <c r="K7" s="295">
        <v>148.91552999999999</v>
      </c>
      <c r="L7" s="295">
        <v>140.98845</v>
      </c>
      <c r="M7" s="295">
        <v>143.2731</v>
      </c>
      <c r="N7" s="296">
        <v>144.33805000000001</v>
      </c>
      <c r="O7" s="296">
        <v>142.70872</v>
      </c>
      <c r="P7" s="296">
        <v>143.90504999999999</v>
      </c>
      <c r="Q7" s="296">
        <v>142.70633000000001</v>
      </c>
      <c r="R7" s="296">
        <v>128.1009</v>
      </c>
      <c r="S7" s="296">
        <v>111.64449999999999</v>
      </c>
      <c r="T7" s="296">
        <v>92.941900000000004</v>
      </c>
      <c r="U7" s="296">
        <v>76.255539999999996</v>
      </c>
      <c r="V7" s="296">
        <v>65.216229999999996</v>
      </c>
      <c r="W7" s="296">
        <v>63.734160000000003</v>
      </c>
      <c r="X7" s="296">
        <v>59.766379999999998</v>
      </c>
      <c r="Y7" s="296">
        <v>60.389389999999999</v>
      </c>
      <c r="Z7" s="296">
        <v>58.88015</v>
      </c>
      <c r="AA7" s="296">
        <v>61.948590000000003</v>
      </c>
      <c r="AB7" s="296">
        <v>57.586829999999999</v>
      </c>
      <c r="AC7" s="296">
        <v>61.311149999999998</v>
      </c>
      <c r="AD7" s="296">
        <v>64.787239999999997</v>
      </c>
      <c r="AE7" s="296">
        <v>64.646240000000006</v>
      </c>
      <c r="AF7" s="296">
        <v>44.154554401010898</v>
      </c>
      <c r="AG7" s="296">
        <v>44.824032582755201</v>
      </c>
      <c r="AH7" s="296">
        <v>45.275060081533901</v>
      </c>
      <c r="AI7" s="296">
        <v>47.455098767350698</v>
      </c>
      <c r="AJ7" s="296">
        <v>42.9106217903486</v>
      </c>
      <c r="AK7" s="296">
        <v>42.100637807385702</v>
      </c>
      <c r="AL7" s="296">
        <v>45.180865929946201</v>
      </c>
      <c r="AM7" s="296">
        <v>43.264011174744297</v>
      </c>
      <c r="AN7" s="296">
        <v>44.783241272557802</v>
      </c>
      <c r="AO7" s="296">
        <v>44.825933267184297</v>
      </c>
      <c r="AP7" s="296">
        <v>38.050886408754501</v>
      </c>
      <c r="AQ7" s="296">
        <v>37.614841619556103</v>
      </c>
      <c r="AR7" s="296">
        <v>39.802419240077597</v>
      </c>
      <c r="AS7" s="296">
        <v>36.116219323386296</v>
      </c>
      <c r="AT7" s="296">
        <v>36.954498202469601</v>
      </c>
      <c r="AU7" s="296">
        <v>36.475766763157701</v>
      </c>
      <c r="AV7" s="296">
        <v>40.699771629606701</v>
      </c>
      <c r="AW7" s="296">
        <v>42.644444494601103</v>
      </c>
      <c r="AX7" s="296">
        <v>45.388587662147302</v>
      </c>
      <c r="AY7" s="296">
        <v>45.977150018795903</v>
      </c>
      <c r="AZ7" s="296">
        <v>44.364639771571298</v>
      </c>
      <c r="BA7" s="296">
        <v>43.038809706464498</v>
      </c>
      <c r="BB7" s="296">
        <v>47.193868789853397</v>
      </c>
      <c r="BC7" s="296">
        <v>47.0747471094476</v>
      </c>
      <c r="BD7" s="297">
        <v>44.866557617791301</v>
      </c>
      <c r="BE7" s="297">
        <v>44.924265893518097</v>
      </c>
      <c r="BF7" s="297">
        <v>46.358565455869901</v>
      </c>
      <c r="BG7" s="297">
        <v>0</v>
      </c>
    </row>
    <row r="8" spans="1:61" x14ac:dyDescent="0.3">
      <c r="A8" s="294" t="s">
        <v>851</v>
      </c>
      <c r="B8" s="295">
        <v>83.423079999999999</v>
      </c>
      <c r="C8" s="295">
        <v>92.953590000000005</v>
      </c>
      <c r="D8" s="295">
        <v>128.72662</v>
      </c>
      <c r="E8" s="295">
        <v>116.94904</v>
      </c>
      <c r="F8" s="295">
        <v>137.77778000000001</v>
      </c>
      <c r="G8" s="295">
        <v>63.13308</v>
      </c>
      <c r="H8" s="295">
        <v>60.2</v>
      </c>
      <c r="I8" s="295">
        <v>73.017650000000003</v>
      </c>
      <c r="J8" s="295">
        <v>66.228070000000002</v>
      </c>
      <c r="K8" s="295">
        <v>54.49785</v>
      </c>
      <c r="L8" s="295">
        <v>65.342860000000002</v>
      </c>
      <c r="M8" s="295">
        <v>33.012549999999997</v>
      </c>
      <c r="N8" s="296">
        <v>41.149430000000002</v>
      </c>
      <c r="O8" s="296">
        <v>16.395389999999999</v>
      </c>
      <c r="P8" s="296">
        <v>12.27163</v>
      </c>
      <c r="Q8" s="296">
        <v>13.5214</v>
      </c>
      <c r="R8" s="296">
        <v>3.4177</v>
      </c>
      <c r="S8" s="296">
        <v>4.7975500000000002</v>
      </c>
      <c r="T8" s="296">
        <v>7.6909400000000003</v>
      </c>
      <c r="U8" s="296">
        <v>4.40313</v>
      </c>
      <c r="V8" s="296">
        <v>5.7128100000000002</v>
      </c>
      <c r="W8" s="296">
        <v>4.3956</v>
      </c>
      <c r="X8" s="296">
        <v>5.35121</v>
      </c>
      <c r="Y8" s="296">
        <v>4.3433200000000003</v>
      </c>
      <c r="Z8" s="296">
        <v>4.0528599999999999</v>
      </c>
      <c r="AA8" s="296">
        <v>5.9111700000000003</v>
      </c>
      <c r="AB8" s="296">
        <v>4.9472800000000001</v>
      </c>
      <c r="AC8" s="296">
        <v>2.9433500000000001</v>
      </c>
      <c r="AD8" s="296">
        <v>2.59226</v>
      </c>
      <c r="AE8" s="296">
        <v>2.8071100000000002</v>
      </c>
      <c r="AF8" s="296">
        <v>3.6378281373111698</v>
      </c>
      <c r="AG8" s="296">
        <v>1.8878057980334599</v>
      </c>
      <c r="AH8" s="296">
        <v>1.9686303291812399</v>
      </c>
      <c r="AI8" s="296">
        <v>1.46399768039324</v>
      </c>
      <c r="AJ8" s="296">
        <v>1.5154991448716</v>
      </c>
      <c r="AK8" s="296">
        <v>2.8028270609341899</v>
      </c>
      <c r="AL8" s="296">
        <v>3.6791555733016001</v>
      </c>
      <c r="AM8" s="296">
        <v>5.4827323717945502</v>
      </c>
      <c r="AN8" s="296">
        <v>3.5738236961479601</v>
      </c>
      <c r="AO8" s="296">
        <v>3.7543745275898002</v>
      </c>
      <c r="AP8" s="296">
        <v>2.4237222222230002</v>
      </c>
      <c r="AQ8" s="296">
        <v>0</v>
      </c>
      <c r="AR8" s="296">
        <v>0</v>
      </c>
      <c r="AS8" s="296">
        <v>0</v>
      </c>
      <c r="AT8" s="296">
        <v>0</v>
      </c>
      <c r="AU8" s="296">
        <v>0</v>
      </c>
      <c r="AV8" s="296">
        <v>0</v>
      </c>
      <c r="AW8" s="296">
        <v>0</v>
      </c>
      <c r="AX8" s="296">
        <v>0</v>
      </c>
      <c r="AY8" s="296">
        <v>0</v>
      </c>
      <c r="AZ8" s="296">
        <v>0</v>
      </c>
      <c r="BA8" s="296">
        <v>0</v>
      </c>
      <c r="BB8" s="296">
        <v>0</v>
      </c>
      <c r="BC8" s="296">
        <v>0</v>
      </c>
      <c r="BD8" s="296">
        <v>0</v>
      </c>
      <c r="BE8" s="296">
        <v>0</v>
      </c>
      <c r="BF8" s="296">
        <v>0</v>
      </c>
      <c r="BG8" s="296">
        <v>0</v>
      </c>
    </row>
    <row r="9" spans="1:61" x14ac:dyDescent="0.3">
      <c r="A9" s="294" t="s">
        <v>852</v>
      </c>
      <c r="B9" s="295">
        <v>287.27668999999997</v>
      </c>
      <c r="C9" s="295">
        <v>299.18414000000001</v>
      </c>
      <c r="D9" s="295">
        <v>303.41052000000002</v>
      </c>
      <c r="E9" s="295">
        <v>321.93230999999997</v>
      </c>
      <c r="F9" s="295">
        <v>334.91737000000001</v>
      </c>
      <c r="G9" s="295">
        <v>346.06366000000003</v>
      </c>
      <c r="H9" s="295">
        <v>350.20936999999998</v>
      </c>
      <c r="I9" s="295">
        <v>359.56124999999997</v>
      </c>
      <c r="J9" s="295">
        <v>368.41888999999998</v>
      </c>
      <c r="K9" s="295">
        <v>366.08258000000001</v>
      </c>
      <c r="L9" s="295">
        <v>361.91541000000001</v>
      </c>
      <c r="M9" s="295">
        <v>359.04696999999999</v>
      </c>
      <c r="N9" s="296">
        <v>344.00698999999997</v>
      </c>
      <c r="O9" s="296">
        <v>341.17102</v>
      </c>
      <c r="P9" s="296">
        <v>321.68135000000001</v>
      </c>
      <c r="Q9" s="296">
        <v>290.20193</v>
      </c>
      <c r="R9" s="296">
        <v>231.52411000000001</v>
      </c>
      <c r="S9" s="296">
        <v>117.73972999999999</v>
      </c>
      <c r="T9" s="296">
        <v>87.502520000000004</v>
      </c>
      <c r="U9" s="296">
        <v>70.530349999999999</v>
      </c>
      <c r="V9" s="296">
        <v>66.206050000000005</v>
      </c>
      <c r="W9" s="296">
        <v>69.484939999999995</v>
      </c>
      <c r="X9" s="296">
        <v>72.395160000000004</v>
      </c>
      <c r="Y9" s="296">
        <v>72.542649999999995</v>
      </c>
      <c r="Z9" s="296">
        <v>74.830719999999999</v>
      </c>
      <c r="AA9" s="296">
        <v>75.550510000000003</v>
      </c>
      <c r="AB9" s="296">
        <v>79.833640000000003</v>
      </c>
      <c r="AC9" s="296">
        <v>77.329480000000004</v>
      </c>
      <c r="AD9" s="296">
        <v>82.778530000000003</v>
      </c>
      <c r="AE9" s="296">
        <v>78.386970000000005</v>
      </c>
      <c r="AF9" s="296">
        <v>59.823434446351598</v>
      </c>
      <c r="AG9" s="296">
        <v>60.863062630001998</v>
      </c>
      <c r="AH9" s="296">
        <v>57.651975203662197</v>
      </c>
      <c r="AI9" s="296">
        <v>59.838787453183102</v>
      </c>
      <c r="AJ9" s="296">
        <v>64.734013500849997</v>
      </c>
      <c r="AK9" s="296">
        <v>68.851337414515996</v>
      </c>
      <c r="AL9" s="296">
        <v>71.120745308523993</v>
      </c>
      <c r="AM9" s="296">
        <v>70.199213305390899</v>
      </c>
      <c r="AN9" s="296">
        <v>68.780505812107407</v>
      </c>
      <c r="AO9" s="296">
        <v>73.710562305166206</v>
      </c>
      <c r="AP9" s="296">
        <v>73.103892102133798</v>
      </c>
      <c r="AQ9" s="296">
        <v>79.141287123227599</v>
      </c>
      <c r="AR9" s="296">
        <v>76.454734484372395</v>
      </c>
      <c r="AS9" s="296">
        <v>77.253974251188197</v>
      </c>
      <c r="AT9" s="296">
        <v>81.896812731283205</v>
      </c>
      <c r="AU9" s="296">
        <v>82.168077149831305</v>
      </c>
      <c r="AV9" s="296">
        <v>67.085352950057</v>
      </c>
      <c r="AW9" s="296">
        <v>66.751348146526695</v>
      </c>
      <c r="AX9" s="296">
        <v>67.829326005942605</v>
      </c>
      <c r="AY9" s="296">
        <v>66.454162800747994</v>
      </c>
      <c r="AZ9" s="296">
        <v>64.966637289524897</v>
      </c>
      <c r="BA9" s="296">
        <v>66.038758137015606</v>
      </c>
      <c r="BB9" s="296">
        <v>65.737939343726495</v>
      </c>
      <c r="BC9" s="296">
        <v>65.534771700775593</v>
      </c>
      <c r="BD9" s="296">
        <v>71.8260878306628</v>
      </c>
      <c r="BE9" s="296">
        <v>69.172830975126701</v>
      </c>
      <c r="BF9" s="296">
        <v>64.832315558400694</v>
      </c>
      <c r="BG9" s="296">
        <v>0</v>
      </c>
    </row>
    <row r="10" spans="1:61" ht="16.2" thickBot="1" x14ac:dyDescent="0.35">
      <c r="A10" s="298" t="s">
        <v>853</v>
      </c>
      <c r="B10" s="299">
        <v>201.67815999999999</v>
      </c>
      <c r="C10" s="299">
        <v>174.51886999999999</v>
      </c>
      <c r="D10" s="299">
        <v>198.4898</v>
      </c>
      <c r="E10" s="299">
        <v>239.60975999999999</v>
      </c>
      <c r="F10" s="299">
        <v>296.81159000000002</v>
      </c>
      <c r="G10" s="299">
        <v>272.23077000000001</v>
      </c>
      <c r="H10" s="299">
        <v>186.91011</v>
      </c>
      <c r="I10" s="299">
        <v>177.17142999999999</v>
      </c>
      <c r="J10" s="299">
        <v>247.56863000000001</v>
      </c>
      <c r="K10" s="299">
        <v>147.31578999999999</v>
      </c>
      <c r="L10" s="299">
        <v>206.96666999999999</v>
      </c>
      <c r="M10" s="299">
        <v>46.453130000000002</v>
      </c>
      <c r="N10" s="300">
        <v>27.838709999999999</v>
      </c>
      <c r="O10" s="300">
        <v>13.11842</v>
      </c>
      <c r="P10" s="300">
        <v>22.243590000000001</v>
      </c>
      <c r="Q10" s="300">
        <v>23.435479999999998</v>
      </c>
      <c r="R10" s="300">
        <v>0</v>
      </c>
      <c r="S10" s="300">
        <v>0</v>
      </c>
      <c r="T10" s="300">
        <v>0</v>
      </c>
      <c r="U10" s="300">
        <v>0</v>
      </c>
      <c r="V10" s="300">
        <v>0</v>
      </c>
      <c r="W10" s="300">
        <v>0</v>
      </c>
      <c r="X10" s="300">
        <v>0</v>
      </c>
      <c r="Y10" s="300">
        <v>0</v>
      </c>
      <c r="Z10" s="300">
        <v>0</v>
      </c>
      <c r="AA10" s="300">
        <v>10</v>
      </c>
      <c r="AB10" s="300">
        <v>0</v>
      </c>
      <c r="AC10" s="300">
        <v>0</v>
      </c>
      <c r="AD10" s="300">
        <v>0</v>
      </c>
      <c r="AE10" s="300">
        <v>0</v>
      </c>
      <c r="AF10" s="300">
        <v>8.2493055555500003</v>
      </c>
      <c r="AG10" s="300">
        <v>0</v>
      </c>
      <c r="AH10" s="300">
        <v>0.85833333334999995</v>
      </c>
      <c r="AI10" s="300">
        <v>3.9953703703666701</v>
      </c>
      <c r="AJ10" s="300">
        <v>0</v>
      </c>
      <c r="AK10" s="300">
        <v>0</v>
      </c>
      <c r="AL10" s="300">
        <v>0</v>
      </c>
      <c r="AM10" s="300">
        <v>0</v>
      </c>
      <c r="AN10" s="300">
        <v>0</v>
      </c>
      <c r="AO10" s="300">
        <v>0</v>
      </c>
      <c r="AP10" s="300">
        <v>0</v>
      </c>
      <c r="AQ10" s="300">
        <v>0</v>
      </c>
      <c r="AR10" s="300">
        <v>0</v>
      </c>
      <c r="AS10" s="300">
        <v>0</v>
      </c>
      <c r="AT10" s="300">
        <v>0</v>
      </c>
      <c r="AU10" s="300">
        <v>0</v>
      </c>
      <c r="AV10" s="300">
        <v>0</v>
      </c>
      <c r="AW10" s="300">
        <v>0</v>
      </c>
      <c r="AX10" s="300">
        <v>0</v>
      </c>
      <c r="AY10" s="300">
        <v>0</v>
      </c>
      <c r="AZ10" s="300">
        <v>0</v>
      </c>
      <c r="BA10" s="300">
        <v>0</v>
      </c>
      <c r="BB10" s="300">
        <v>0</v>
      </c>
      <c r="BC10" s="300">
        <v>0</v>
      </c>
      <c r="BD10" s="300">
        <v>0</v>
      </c>
      <c r="BE10" s="300">
        <v>0</v>
      </c>
      <c r="BF10" s="300">
        <v>0</v>
      </c>
      <c r="BG10" s="300">
        <v>0</v>
      </c>
    </row>
    <row r="11" spans="1:61" x14ac:dyDescent="0.3">
      <c r="A11" s="301" t="s">
        <v>0</v>
      </c>
      <c r="B11" s="302">
        <v>183.48498000000001</v>
      </c>
      <c r="C11" s="302">
        <v>184.75197</v>
      </c>
      <c r="D11" s="302">
        <v>185.28295</v>
      </c>
      <c r="E11" s="302">
        <v>184.77921000000001</v>
      </c>
      <c r="F11" s="302">
        <v>184.77745999999999</v>
      </c>
      <c r="G11" s="302">
        <v>178.81926999999999</v>
      </c>
      <c r="H11" s="302">
        <v>177.94882999999999</v>
      </c>
      <c r="I11" s="302">
        <v>180.06950000000001</v>
      </c>
      <c r="J11" s="302">
        <v>178.56487000000001</v>
      </c>
      <c r="K11" s="302">
        <v>171.97140999999999</v>
      </c>
      <c r="L11" s="302">
        <v>164.59678</v>
      </c>
      <c r="M11" s="302">
        <v>164.15828999999999</v>
      </c>
      <c r="N11" s="303">
        <v>165.49565000000001</v>
      </c>
      <c r="O11" s="303">
        <v>158.70374000000001</v>
      </c>
      <c r="P11" s="303">
        <v>159.12960000000001</v>
      </c>
      <c r="Q11" s="303">
        <v>157.29579000000001</v>
      </c>
      <c r="R11" s="303">
        <v>131.27873</v>
      </c>
      <c r="S11" s="303">
        <v>103.40934</v>
      </c>
      <c r="T11" s="303">
        <v>86.666300000000007</v>
      </c>
      <c r="U11" s="303">
        <v>74.191019999999995</v>
      </c>
      <c r="V11" s="303">
        <v>63.978670000000001</v>
      </c>
      <c r="W11" s="303">
        <v>61.497920000000001</v>
      </c>
      <c r="X11" s="303">
        <v>59.282859999999999</v>
      </c>
      <c r="Y11" s="303">
        <v>60.462649999999996</v>
      </c>
      <c r="Z11" s="303">
        <v>58.61598</v>
      </c>
      <c r="AA11" s="303">
        <v>61.378810000000001</v>
      </c>
      <c r="AB11" s="303">
        <v>57.492809999999999</v>
      </c>
      <c r="AC11" s="303">
        <v>60.223689999999998</v>
      </c>
      <c r="AD11" s="303">
        <v>64.523359999999997</v>
      </c>
      <c r="AE11" s="303">
        <v>64.557969999999997</v>
      </c>
      <c r="AF11" s="303">
        <v>43.7638250097773</v>
      </c>
      <c r="AG11" s="303">
        <v>44.518678614644301</v>
      </c>
      <c r="AH11" s="303">
        <v>44.553691967691101</v>
      </c>
      <c r="AI11" s="303">
        <v>45.858365113914502</v>
      </c>
      <c r="AJ11" s="303">
        <v>42.898138079517103</v>
      </c>
      <c r="AK11" s="303">
        <v>43.630866319495603</v>
      </c>
      <c r="AL11" s="303">
        <v>46.1711106060622</v>
      </c>
      <c r="AM11" s="303">
        <v>44.563703115515402</v>
      </c>
      <c r="AN11" s="303">
        <v>46.094717440189598</v>
      </c>
      <c r="AO11" s="303">
        <v>46.722388919686601</v>
      </c>
      <c r="AP11" s="303">
        <v>40.2444274650111</v>
      </c>
      <c r="AQ11" s="303">
        <v>39.8424348537268</v>
      </c>
      <c r="AR11" s="303">
        <v>41.913481706491503</v>
      </c>
      <c r="AS11" s="303">
        <v>38.4188928429502</v>
      </c>
      <c r="AT11" s="303">
        <v>39.105015132562698</v>
      </c>
      <c r="AU11" s="303">
        <v>38.218015056969499</v>
      </c>
      <c r="AV11" s="303">
        <v>42.342764390891197</v>
      </c>
      <c r="AW11" s="303">
        <v>44.310309432910401</v>
      </c>
      <c r="AX11" s="303">
        <v>47.1650678691121</v>
      </c>
      <c r="AY11" s="303">
        <v>47.645173351659103</v>
      </c>
      <c r="AZ11" s="303">
        <v>46.110957370861698</v>
      </c>
      <c r="BA11" s="303">
        <v>44.996448176880001</v>
      </c>
      <c r="BB11" s="303">
        <v>49.083773304952999</v>
      </c>
      <c r="BC11" s="303">
        <v>49.033594717403901</v>
      </c>
      <c r="BD11" s="303">
        <v>47.232148464471202</v>
      </c>
      <c r="BE11" s="303">
        <v>47.049760238523398</v>
      </c>
      <c r="BF11" s="303">
        <v>48.223828933365297</v>
      </c>
      <c r="BG11" s="303">
        <v>0</v>
      </c>
    </row>
    <row r="13" spans="1:61" x14ac:dyDescent="0.3">
      <c r="A13" s="277" t="s">
        <v>854</v>
      </c>
      <c r="B13"/>
      <c r="C13"/>
      <c r="D13"/>
      <c r="E13"/>
      <c r="F13"/>
      <c r="G13"/>
      <c r="H13"/>
      <c r="I13"/>
      <c r="J13"/>
      <c r="K13"/>
      <c r="L13"/>
      <c r="M13"/>
      <c r="N13"/>
      <c r="O13"/>
      <c r="P13"/>
      <c r="Q13"/>
      <c r="R13"/>
      <c r="S13"/>
      <c r="T13"/>
      <c r="U13"/>
      <c r="V13"/>
      <c r="W13"/>
      <c r="X13"/>
      <c r="Y13"/>
      <c r="Z13"/>
      <c r="AA13"/>
    </row>
    <row r="14" spans="1:61" x14ac:dyDescent="0.3">
      <c r="A14" s="304"/>
      <c r="B14"/>
      <c r="C14"/>
      <c r="D14"/>
      <c r="E14"/>
      <c r="F14"/>
      <c r="G14"/>
      <c r="H14"/>
      <c r="I14"/>
      <c r="J14"/>
      <c r="K14"/>
      <c r="L14"/>
      <c r="M14"/>
      <c r="N14"/>
      <c r="O14"/>
      <c r="P14"/>
      <c r="Q14"/>
      <c r="R14"/>
      <c r="S14"/>
      <c r="T14"/>
      <c r="U14"/>
      <c r="V14"/>
      <c r="W14"/>
      <c r="X14"/>
      <c r="Y14"/>
      <c r="Z14"/>
      <c r="AA14"/>
    </row>
    <row r="15" spans="1:61" x14ac:dyDescent="0.3">
      <c r="A15" s="304"/>
      <c r="B15"/>
      <c r="C15"/>
      <c r="D15"/>
      <c r="E15"/>
      <c r="F15"/>
      <c r="G15"/>
      <c r="H15"/>
      <c r="I15"/>
      <c r="J15"/>
      <c r="K15"/>
      <c r="L15"/>
      <c r="M15"/>
      <c r="N15"/>
      <c r="O15"/>
      <c r="P15"/>
      <c r="Q15"/>
      <c r="R15"/>
      <c r="S15"/>
      <c r="T15"/>
      <c r="U15"/>
      <c r="V15"/>
      <c r="W15"/>
      <c r="X15"/>
      <c r="Y15"/>
      <c r="Z15"/>
      <c r="AA15"/>
    </row>
    <row r="16" spans="1:61" x14ac:dyDescent="0.3">
      <c r="A16" s="421" t="s">
        <v>835</v>
      </c>
      <c r="B16" s="278">
        <v>2020</v>
      </c>
      <c r="C16" s="279"/>
      <c r="D16" s="279"/>
      <c r="E16" s="279"/>
      <c r="F16" s="279"/>
      <c r="G16" s="279"/>
      <c r="H16" s="279"/>
      <c r="I16" s="279"/>
      <c r="J16" s="279"/>
      <c r="K16" s="279"/>
      <c r="L16" s="279"/>
      <c r="M16" s="280"/>
      <c r="N16" s="281">
        <v>2021</v>
      </c>
      <c r="O16" s="282"/>
      <c r="P16" s="282"/>
      <c r="Q16" s="282"/>
      <c r="R16" s="282"/>
      <c r="S16" s="282"/>
      <c r="T16" s="282"/>
      <c r="U16" s="282"/>
      <c r="V16" s="282"/>
      <c r="W16" s="282"/>
      <c r="X16" s="282"/>
      <c r="Y16" s="282"/>
      <c r="Z16" s="282"/>
      <c r="AA16" s="282"/>
      <c r="AB16" s="282"/>
      <c r="AC16" s="282"/>
      <c r="AD16" s="282"/>
      <c r="AE16" s="283"/>
      <c r="AF16" s="282"/>
      <c r="AG16" s="283"/>
      <c r="AH16" s="282"/>
      <c r="AI16" s="283"/>
      <c r="AJ16" s="282"/>
      <c r="AK16" s="283"/>
      <c r="AL16" s="284">
        <v>2022</v>
      </c>
      <c r="AM16" s="285"/>
      <c r="AN16" s="285"/>
      <c r="AO16" s="285"/>
      <c r="AP16" s="285"/>
      <c r="AQ16" s="285"/>
      <c r="AR16" s="285"/>
      <c r="AS16" s="285"/>
      <c r="AT16" s="285"/>
      <c r="AU16" s="285"/>
      <c r="AV16" s="285"/>
      <c r="AW16" s="285"/>
      <c r="AX16" s="285"/>
      <c r="AY16" s="285"/>
      <c r="AZ16" s="285"/>
      <c r="BA16" s="285"/>
      <c r="BB16" s="285"/>
      <c r="BC16" s="305"/>
      <c r="BD16" s="286">
        <v>2023</v>
      </c>
      <c r="BE16" s="287"/>
      <c r="BF16" s="287"/>
      <c r="BG16" s="288"/>
    </row>
    <row r="17" spans="1:62" x14ac:dyDescent="0.3">
      <c r="A17" s="421"/>
      <c r="B17" s="419" t="s">
        <v>836</v>
      </c>
      <c r="C17" s="420"/>
      <c r="D17" s="419" t="s">
        <v>837</v>
      </c>
      <c r="E17" s="420"/>
      <c r="F17" s="419" t="s">
        <v>838</v>
      </c>
      <c r="G17" s="420"/>
      <c r="H17" s="419" t="s">
        <v>839</v>
      </c>
      <c r="I17" s="420"/>
      <c r="J17" s="419" t="s">
        <v>840</v>
      </c>
      <c r="K17" s="420"/>
      <c r="L17" s="419" t="s">
        <v>841</v>
      </c>
      <c r="M17" s="420"/>
      <c r="N17" s="417" t="s">
        <v>842</v>
      </c>
      <c r="O17" s="418"/>
      <c r="P17" s="417" t="s">
        <v>843</v>
      </c>
      <c r="Q17" s="418"/>
      <c r="R17" s="417" t="s">
        <v>844</v>
      </c>
      <c r="S17" s="418"/>
      <c r="T17" s="417" t="s">
        <v>845</v>
      </c>
      <c r="U17" s="418"/>
      <c r="V17" s="417" t="s">
        <v>795</v>
      </c>
      <c r="W17" s="418"/>
      <c r="X17" s="417" t="s">
        <v>846</v>
      </c>
      <c r="Y17" s="418"/>
      <c r="Z17" s="417" t="s">
        <v>836</v>
      </c>
      <c r="AA17" s="418"/>
      <c r="AB17" s="417" t="s">
        <v>837</v>
      </c>
      <c r="AC17" s="418"/>
      <c r="AD17" s="417" t="s">
        <v>838</v>
      </c>
      <c r="AE17" s="418"/>
      <c r="AF17" s="417" t="s">
        <v>839</v>
      </c>
      <c r="AG17" s="418"/>
      <c r="AH17" s="417" t="s">
        <v>840</v>
      </c>
      <c r="AI17" s="418"/>
      <c r="AJ17" s="417" t="s">
        <v>841</v>
      </c>
      <c r="AK17" s="418"/>
      <c r="AL17" s="413" t="s">
        <v>842</v>
      </c>
      <c r="AM17" s="414"/>
      <c r="AN17" s="413" t="s">
        <v>843</v>
      </c>
      <c r="AO17" s="414"/>
      <c r="AP17" s="413" t="s">
        <v>844</v>
      </c>
      <c r="AQ17" s="414"/>
      <c r="AR17" s="413" t="s">
        <v>845</v>
      </c>
      <c r="AS17" s="414"/>
      <c r="AT17" s="413" t="s">
        <v>795</v>
      </c>
      <c r="AU17" s="414"/>
      <c r="AV17" s="413" t="s">
        <v>846</v>
      </c>
      <c r="AW17" s="414"/>
      <c r="AX17" s="413" t="s">
        <v>836</v>
      </c>
      <c r="AY17" s="414"/>
      <c r="AZ17" s="413" t="s">
        <v>837</v>
      </c>
      <c r="BA17" s="414"/>
      <c r="BB17" s="413" t="s">
        <v>838</v>
      </c>
      <c r="BC17" s="414"/>
      <c r="BD17" s="415" t="s">
        <v>839</v>
      </c>
      <c r="BE17" s="416"/>
      <c r="BF17" s="415" t="s">
        <v>840</v>
      </c>
      <c r="BG17" s="416"/>
    </row>
    <row r="18" spans="1:62" x14ac:dyDescent="0.3">
      <c r="A18" s="421"/>
      <c r="B18" s="290" t="s">
        <v>847</v>
      </c>
      <c r="C18" s="290" t="s">
        <v>848</v>
      </c>
      <c r="D18" s="290" t="s">
        <v>847</v>
      </c>
      <c r="E18" s="290" t="s">
        <v>848</v>
      </c>
      <c r="F18" s="290" t="s">
        <v>847</v>
      </c>
      <c r="G18" s="290" t="s">
        <v>848</v>
      </c>
      <c r="H18" s="290" t="s">
        <v>847</v>
      </c>
      <c r="I18" s="290" t="s">
        <v>848</v>
      </c>
      <c r="J18" s="290" t="s">
        <v>847</v>
      </c>
      <c r="K18" s="290" t="s">
        <v>848</v>
      </c>
      <c r="L18" s="290" t="s">
        <v>847</v>
      </c>
      <c r="M18" s="290" t="s">
        <v>848</v>
      </c>
      <c r="N18" s="291" t="s">
        <v>847</v>
      </c>
      <c r="O18" s="291" t="s">
        <v>848</v>
      </c>
      <c r="P18" s="291" t="s">
        <v>847</v>
      </c>
      <c r="Q18" s="291" t="s">
        <v>848</v>
      </c>
      <c r="R18" s="291" t="s">
        <v>847</v>
      </c>
      <c r="S18" s="291" t="s">
        <v>848</v>
      </c>
      <c r="T18" s="291" t="s">
        <v>847</v>
      </c>
      <c r="U18" s="291" t="s">
        <v>848</v>
      </c>
      <c r="V18" s="291" t="s">
        <v>847</v>
      </c>
      <c r="W18" s="291" t="s">
        <v>848</v>
      </c>
      <c r="X18" s="291" t="s">
        <v>847</v>
      </c>
      <c r="Y18" s="291" t="s">
        <v>848</v>
      </c>
      <c r="Z18" s="291" t="s">
        <v>847</v>
      </c>
      <c r="AA18" s="291" t="s">
        <v>848</v>
      </c>
      <c r="AB18" s="291" t="s">
        <v>847</v>
      </c>
      <c r="AC18" s="291" t="s">
        <v>848</v>
      </c>
      <c r="AD18" s="291" t="s">
        <v>847</v>
      </c>
      <c r="AE18" s="291" t="s">
        <v>848</v>
      </c>
      <c r="AF18" s="291" t="s">
        <v>847</v>
      </c>
      <c r="AG18" s="291" t="s">
        <v>848</v>
      </c>
      <c r="AH18" s="291" t="s">
        <v>847</v>
      </c>
      <c r="AI18" s="291" t="s">
        <v>848</v>
      </c>
      <c r="AJ18" s="291" t="s">
        <v>847</v>
      </c>
      <c r="AK18" s="291" t="s">
        <v>848</v>
      </c>
      <c r="AL18" s="292" t="s">
        <v>847</v>
      </c>
      <c r="AM18" s="292" t="s">
        <v>848</v>
      </c>
      <c r="AN18" s="292" t="s">
        <v>847</v>
      </c>
      <c r="AO18" s="292" t="s">
        <v>848</v>
      </c>
      <c r="AP18" s="292" t="s">
        <v>847</v>
      </c>
      <c r="AQ18" s="292" t="s">
        <v>848</v>
      </c>
      <c r="AR18" s="292" t="s">
        <v>847</v>
      </c>
      <c r="AS18" s="292" t="s">
        <v>848</v>
      </c>
      <c r="AT18" s="292" t="s">
        <v>849</v>
      </c>
      <c r="AU18" s="292" t="s">
        <v>848</v>
      </c>
      <c r="AV18" s="292" t="s">
        <v>849</v>
      </c>
      <c r="AW18" s="292" t="s">
        <v>848</v>
      </c>
      <c r="AX18" s="292" t="s">
        <v>847</v>
      </c>
      <c r="AY18" s="292" t="s">
        <v>848</v>
      </c>
      <c r="AZ18" s="292" t="s">
        <v>847</v>
      </c>
      <c r="BA18" s="292" t="s">
        <v>848</v>
      </c>
      <c r="BB18" s="292" t="s">
        <v>847</v>
      </c>
      <c r="BC18" s="292" t="s">
        <v>848</v>
      </c>
      <c r="BD18" s="293" t="s">
        <v>847</v>
      </c>
      <c r="BE18" s="293" t="s">
        <v>848</v>
      </c>
      <c r="BF18" s="293" t="s">
        <v>847</v>
      </c>
      <c r="BG18" s="293" t="s">
        <v>848</v>
      </c>
      <c r="BH18" s="289"/>
      <c r="BI18" s="289"/>
      <c r="BJ18" s="289"/>
    </row>
    <row r="19" spans="1:62" x14ac:dyDescent="0.3">
      <c r="A19" s="306" t="s">
        <v>850</v>
      </c>
      <c r="B19" s="307"/>
      <c r="C19" s="307"/>
      <c r="D19" s="307"/>
      <c r="E19" s="307"/>
      <c r="F19" s="307"/>
      <c r="G19" s="307"/>
      <c r="H19" s="307"/>
      <c r="I19" s="307"/>
      <c r="J19" s="307"/>
      <c r="K19" s="307"/>
      <c r="L19" s="307"/>
      <c r="M19" s="307"/>
      <c r="N19" s="307"/>
      <c r="O19" s="307"/>
      <c r="P19" s="307"/>
      <c r="Q19" s="307"/>
      <c r="R19" s="307"/>
      <c r="S19" s="307"/>
      <c r="T19" s="307"/>
      <c r="U19" s="307"/>
      <c r="V19" s="307"/>
      <c r="W19" s="307"/>
      <c r="X19" s="307"/>
      <c r="Y19" s="307"/>
      <c r="Z19" s="307"/>
      <c r="AA19" s="307"/>
      <c r="AB19" s="307"/>
      <c r="AC19" s="307"/>
      <c r="AD19" s="307"/>
      <c r="AE19" s="307"/>
      <c r="AF19" s="307"/>
      <c r="AG19" s="307"/>
      <c r="AH19" s="307"/>
      <c r="AI19" s="307"/>
      <c r="AJ19" s="307"/>
      <c r="AK19" s="307"/>
      <c r="AL19" s="307"/>
      <c r="AM19" s="307"/>
      <c r="AN19" s="307"/>
      <c r="AO19" s="307"/>
      <c r="AP19" s="307"/>
      <c r="AQ19" s="307"/>
      <c r="AR19" s="307"/>
      <c r="AS19" s="307"/>
      <c r="AT19" s="307"/>
      <c r="AU19" s="307"/>
      <c r="AV19" s="307"/>
      <c r="AW19" s="307"/>
      <c r="AX19" s="307"/>
      <c r="AY19" s="307"/>
      <c r="AZ19" s="307"/>
      <c r="BA19" s="307"/>
      <c r="BB19" s="307"/>
      <c r="BC19" s="307"/>
      <c r="BD19" s="307"/>
      <c r="BE19" s="307"/>
      <c r="BF19" s="307"/>
      <c r="BG19" s="307"/>
    </row>
    <row r="20" spans="1:62" x14ac:dyDescent="0.3">
      <c r="A20" s="308" t="s">
        <v>855</v>
      </c>
      <c r="B20" s="308">
        <v>13186</v>
      </c>
      <c r="C20" s="308">
        <v>12606</v>
      </c>
      <c r="D20" s="308">
        <v>12273</v>
      </c>
      <c r="E20" s="308">
        <v>11957</v>
      </c>
      <c r="F20" s="308">
        <v>11316</v>
      </c>
      <c r="G20" s="308">
        <v>11543</v>
      </c>
      <c r="H20" s="308">
        <v>11306</v>
      </c>
      <c r="I20" s="308">
        <v>10536</v>
      </c>
      <c r="J20" s="308">
        <v>10371</v>
      </c>
      <c r="K20" s="308">
        <v>10663</v>
      </c>
      <c r="L20" s="308">
        <v>10827</v>
      </c>
      <c r="M20" s="308">
        <v>10573</v>
      </c>
      <c r="N20" s="308">
        <v>9822</v>
      </c>
      <c r="O20" s="308">
        <v>9711</v>
      </c>
      <c r="P20" s="308">
        <v>9211</v>
      </c>
      <c r="Q20" s="308">
        <v>9245</v>
      </c>
      <c r="R20" s="308">
        <v>9567</v>
      </c>
      <c r="S20" s="308">
        <v>9524</v>
      </c>
      <c r="T20" s="308">
        <v>10749</v>
      </c>
      <c r="U20" s="308">
        <v>13033</v>
      </c>
      <c r="V20" s="308">
        <v>16183</v>
      </c>
      <c r="W20" s="308">
        <v>17902</v>
      </c>
      <c r="X20" s="308">
        <v>20206</v>
      </c>
      <c r="Y20" s="308">
        <v>20688</v>
      </c>
      <c r="Z20" s="308">
        <v>21653</v>
      </c>
      <c r="AA20" s="308">
        <v>20009</v>
      </c>
      <c r="AB20" s="308">
        <v>21005</v>
      </c>
      <c r="AC20" s="308">
        <v>19286</v>
      </c>
      <c r="AD20" s="308">
        <v>18236</v>
      </c>
      <c r="AE20" s="308">
        <v>17904</v>
      </c>
      <c r="AF20" s="308">
        <v>19511</v>
      </c>
      <c r="AG20" s="308">
        <v>20275</v>
      </c>
      <c r="AH20" s="308">
        <v>20907</v>
      </c>
      <c r="AI20" s="308">
        <v>19359</v>
      </c>
      <c r="AJ20" s="308">
        <v>19262</v>
      </c>
      <c r="AK20" s="308">
        <v>19985</v>
      </c>
      <c r="AL20" s="308">
        <v>18749</v>
      </c>
      <c r="AM20" s="308">
        <v>19730</v>
      </c>
      <c r="AN20" s="308">
        <v>18318</v>
      </c>
      <c r="AO20" s="308">
        <v>17090</v>
      </c>
      <c r="AP20" s="308">
        <v>19116</v>
      </c>
      <c r="AQ20" s="308">
        <v>19065</v>
      </c>
      <c r="AR20" s="308">
        <v>17631</v>
      </c>
      <c r="AS20" s="308">
        <v>20127</v>
      </c>
      <c r="AT20" s="308">
        <v>22507</v>
      </c>
      <c r="AU20" s="308">
        <v>24749</v>
      </c>
      <c r="AV20" s="308">
        <v>22751</v>
      </c>
      <c r="AW20" s="308">
        <v>22268</v>
      </c>
      <c r="AX20" s="308">
        <v>21174</v>
      </c>
      <c r="AY20" s="308">
        <v>21205</v>
      </c>
      <c r="AZ20" s="308">
        <v>23196</v>
      </c>
      <c r="BA20" s="308">
        <v>24291</v>
      </c>
      <c r="BB20" s="308">
        <v>22682</v>
      </c>
      <c r="BC20" s="308">
        <v>22822</v>
      </c>
      <c r="BD20" s="308">
        <v>25362</v>
      </c>
      <c r="BE20" s="308">
        <v>27741</v>
      </c>
      <c r="BF20" s="308">
        <v>27523</v>
      </c>
      <c r="BG20" s="308">
        <v>0</v>
      </c>
      <c r="BH20" s="309"/>
      <c r="BI20" s="309"/>
      <c r="BJ20" s="309"/>
    </row>
    <row r="21" spans="1:62" x14ac:dyDescent="0.3">
      <c r="A21" s="308" t="s">
        <v>856</v>
      </c>
      <c r="B21" s="308">
        <v>3921</v>
      </c>
      <c r="C21" s="308">
        <v>3963</v>
      </c>
      <c r="D21" s="308">
        <v>4050</v>
      </c>
      <c r="E21" s="308">
        <v>4095</v>
      </c>
      <c r="F21" s="308">
        <v>4222</v>
      </c>
      <c r="G21" s="308">
        <v>3678</v>
      </c>
      <c r="H21" s="308">
        <v>3132</v>
      </c>
      <c r="I21" s="308">
        <v>2500</v>
      </c>
      <c r="J21" s="308">
        <v>2182</v>
      </c>
      <c r="K21" s="308">
        <v>1958</v>
      </c>
      <c r="L21" s="308">
        <v>1720</v>
      </c>
      <c r="M21" s="308">
        <v>1580</v>
      </c>
      <c r="N21" s="308">
        <v>1425</v>
      </c>
      <c r="O21" s="308">
        <v>1335</v>
      </c>
      <c r="P21" s="308">
        <v>1254</v>
      </c>
      <c r="Q21" s="308">
        <v>1176</v>
      </c>
      <c r="R21" s="308">
        <v>1060</v>
      </c>
      <c r="S21" s="308">
        <v>939</v>
      </c>
      <c r="T21" s="308">
        <v>889</v>
      </c>
      <c r="U21" s="308">
        <v>848</v>
      </c>
      <c r="V21" s="308">
        <v>824</v>
      </c>
      <c r="W21" s="308">
        <v>818</v>
      </c>
      <c r="X21" s="308">
        <v>836</v>
      </c>
      <c r="Y21" s="308">
        <v>808</v>
      </c>
      <c r="Z21" s="308">
        <v>761</v>
      </c>
      <c r="AA21" s="308">
        <v>703</v>
      </c>
      <c r="AB21" s="308">
        <v>649</v>
      </c>
      <c r="AC21" s="308">
        <v>623</v>
      </c>
      <c r="AD21" s="308">
        <v>631</v>
      </c>
      <c r="AE21" s="308">
        <v>626</v>
      </c>
      <c r="AF21" s="308">
        <v>372</v>
      </c>
      <c r="AG21" s="308">
        <v>390</v>
      </c>
      <c r="AH21" s="308">
        <v>395</v>
      </c>
      <c r="AI21" s="308">
        <v>425</v>
      </c>
      <c r="AJ21" s="308">
        <v>437</v>
      </c>
      <c r="AK21" s="308">
        <v>474</v>
      </c>
      <c r="AL21" s="308">
        <v>528</v>
      </c>
      <c r="AM21" s="308">
        <v>590</v>
      </c>
      <c r="AN21" s="308">
        <v>619</v>
      </c>
      <c r="AO21" s="308">
        <v>612</v>
      </c>
      <c r="AP21" s="308">
        <v>597</v>
      </c>
      <c r="AQ21" s="308">
        <v>593</v>
      </c>
      <c r="AR21" s="308">
        <v>578</v>
      </c>
      <c r="AS21" s="308">
        <v>551</v>
      </c>
      <c r="AT21" s="308">
        <v>579</v>
      </c>
      <c r="AU21" s="308">
        <v>601</v>
      </c>
      <c r="AV21" s="308">
        <v>590</v>
      </c>
      <c r="AW21" s="308">
        <v>586</v>
      </c>
      <c r="AX21" s="308">
        <v>591</v>
      </c>
      <c r="AY21" s="308">
        <v>591</v>
      </c>
      <c r="AZ21" s="308">
        <v>589</v>
      </c>
      <c r="BA21" s="308">
        <v>581</v>
      </c>
      <c r="BB21" s="308">
        <v>661</v>
      </c>
      <c r="BC21" s="308">
        <v>720</v>
      </c>
      <c r="BD21" s="308">
        <v>749</v>
      </c>
      <c r="BE21" s="308">
        <v>866</v>
      </c>
      <c r="BF21" s="308">
        <v>898</v>
      </c>
      <c r="BG21" s="308">
        <v>0</v>
      </c>
    </row>
    <row r="22" spans="1:62" x14ac:dyDescent="0.3">
      <c r="A22" s="308" t="s">
        <v>857</v>
      </c>
      <c r="B22" s="308">
        <v>1426</v>
      </c>
      <c r="C22" s="308">
        <v>1456</v>
      </c>
      <c r="D22" s="308">
        <v>1487</v>
      </c>
      <c r="E22" s="308">
        <v>1531</v>
      </c>
      <c r="F22" s="308">
        <v>1556</v>
      </c>
      <c r="G22" s="308">
        <v>1569</v>
      </c>
      <c r="H22" s="308">
        <v>1600</v>
      </c>
      <c r="I22" s="308">
        <v>1556</v>
      </c>
      <c r="J22" s="308">
        <v>1526</v>
      </c>
      <c r="K22" s="308">
        <v>1529</v>
      </c>
      <c r="L22" s="308">
        <v>1406</v>
      </c>
      <c r="M22" s="308">
        <v>1349</v>
      </c>
      <c r="N22" s="308">
        <v>1295</v>
      </c>
      <c r="O22" s="308">
        <v>1284</v>
      </c>
      <c r="P22" s="308">
        <v>1253</v>
      </c>
      <c r="Q22" s="308">
        <v>1269</v>
      </c>
      <c r="R22" s="308">
        <v>1113</v>
      </c>
      <c r="S22" s="308">
        <v>838</v>
      </c>
      <c r="T22" s="308">
        <v>704</v>
      </c>
      <c r="U22" s="308">
        <v>620</v>
      </c>
      <c r="V22" s="308">
        <v>589</v>
      </c>
      <c r="W22" s="308">
        <v>527</v>
      </c>
      <c r="X22" s="308">
        <v>494</v>
      </c>
      <c r="Y22" s="308">
        <v>457</v>
      </c>
      <c r="Z22" s="308">
        <v>433</v>
      </c>
      <c r="AA22" s="308">
        <v>419</v>
      </c>
      <c r="AB22" s="308">
        <v>413</v>
      </c>
      <c r="AC22" s="308">
        <v>408</v>
      </c>
      <c r="AD22" s="308">
        <v>408</v>
      </c>
      <c r="AE22" s="308">
        <v>392</v>
      </c>
      <c r="AF22" s="308">
        <v>238</v>
      </c>
      <c r="AG22" s="308">
        <v>231</v>
      </c>
      <c r="AH22" s="308">
        <v>221</v>
      </c>
      <c r="AI22" s="308">
        <v>225</v>
      </c>
      <c r="AJ22" s="308">
        <v>212</v>
      </c>
      <c r="AK22" s="308">
        <v>217</v>
      </c>
      <c r="AL22" s="308">
        <v>208</v>
      </c>
      <c r="AM22" s="308">
        <v>211</v>
      </c>
      <c r="AN22" s="308">
        <v>198</v>
      </c>
      <c r="AO22" s="308">
        <v>189</v>
      </c>
      <c r="AP22" s="308">
        <v>178</v>
      </c>
      <c r="AQ22" s="308">
        <v>167</v>
      </c>
      <c r="AR22" s="308">
        <v>154</v>
      </c>
      <c r="AS22" s="308">
        <v>146</v>
      </c>
      <c r="AT22" s="308">
        <v>144</v>
      </c>
      <c r="AU22" s="308">
        <v>136</v>
      </c>
      <c r="AV22" s="308">
        <v>147</v>
      </c>
      <c r="AW22" s="308">
        <v>153</v>
      </c>
      <c r="AX22" s="308">
        <v>176</v>
      </c>
      <c r="AY22" s="308">
        <v>183</v>
      </c>
      <c r="AZ22" s="308">
        <v>181</v>
      </c>
      <c r="BA22" s="308">
        <v>181</v>
      </c>
      <c r="BB22" s="308">
        <v>191</v>
      </c>
      <c r="BC22" s="308">
        <v>197</v>
      </c>
      <c r="BD22" s="308">
        <v>194</v>
      </c>
      <c r="BE22" s="308">
        <v>197</v>
      </c>
      <c r="BF22" s="308">
        <v>201</v>
      </c>
      <c r="BG22" s="308">
        <v>0</v>
      </c>
      <c r="BH22" s="289"/>
    </row>
    <row r="23" spans="1:62" ht="16.2" thickBot="1" x14ac:dyDescent="0.35">
      <c r="A23" s="310" t="s">
        <v>858</v>
      </c>
      <c r="B23" s="310">
        <v>432</v>
      </c>
      <c r="C23" s="310">
        <v>445</v>
      </c>
      <c r="D23" s="310">
        <v>443</v>
      </c>
      <c r="E23" s="310">
        <v>469</v>
      </c>
      <c r="F23" s="310">
        <v>447</v>
      </c>
      <c r="G23" s="310">
        <v>433</v>
      </c>
      <c r="H23" s="310">
        <v>440</v>
      </c>
      <c r="I23" s="310">
        <v>415</v>
      </c>
      <c r="J23" s="310">
        <v>392</v>
      </c>
      <c r="K23" s="310">
        <v>364</v>
      </c>
      <c r="L23" s="310">
        <v>338</v>
      </c>
      <c r="M23" s="310">
        <v>332</v>
      </c>
      <c r="N23" s="310">
        <v>317</v>
      </c>
      <c r="O23" s="310">
        <v>304</v>
      </c>
      <c r="P23" s="310">
        <v>288</v>
      </c>
      <c r="Q23" s="310">
        <v>276</v>
      </c>
      <c r="R23" s="310">
        <v>262</v>
      </c>
      <c r="S23" s="310">
        <v>232</v>
      </c>
      <c r="T23" s="310">
        <v>206</v>
      </c>
      <c r="U23" s="310">
        <v>201</v>
      </c>
      <c r="V23" s="310">
        <v>195</v>
      </c>
      <c r="W23" s="310">
        <v>201</v>
      </c>
      <c r="X23" s="310">
        <v>200</v>
      </c>
      <c r="Y23" s="310">
        <v>197</v>
      </c>
      <c r="Z23" s="310">
        <v>190</v>
      </c>
      <c r="AA23" s="310">
        <v>189</v>
      </c>
      <c r="AB23" s="310">
        <v>183</v>
      </c>
      <c r="AC23" s="310">
        <v>181</v>
      </c>
      <c r="AD23" s="310">
        <v>179</v>
      </c>
      <c r="AE23" s="310">
        <v>190</v>
      </c>
      <c r="AF23" s="310">
        <v>93</v>
      </c>
      <c r="AG23" s="310">
        <v>94</v>
      </c>
      <c r="AH23" s="310">
        <v>95</v>
      </c>
      <c r="AI23" s="310">
        <v>96</v>
      </c>
      <c r="AJ23" s="310">
        <v>88</v>
      </c>
      <c r="AK23" s="310">
        <v>92</v>
      </c>
      <c r="AL23" s="310">
        <v>90</v>
      </c>
      <c r="AM23" s="310">
        <v>88</v>
      </c>
      <c r="AN23" s="310">
        <v>82</v>
      </c>
      <c r="AO23" s="310">
        <v>82</v>
      </c>
      <c r="AP23" s="310">
        <v>76</v>
      </c>
      <c r="AQ23" s="310">
        <v>75</v>
      </c>
      <c r="AR23" s="310">
        <v>77</v>
      </c>
      <c r="AS23" s="310">
        <v>72</v>
      </c>
      <c r="AT23" s="310">
        <v>71</v>
      </c>
      <c r="AU23" s="310">
        <v>68</v>
      </c>
      <c r="AV23" s="310">
        <v>65</v>
      </c>
      <c r="AW23" s="310">
        <v>69</v>
      </c>
      <c r="AX23" s="310">
        <v>67</v>
      </c>
      <c r="AY23" s="310">
        <v>66</v>
      </c>
      <c r="AZ23" s="310">
        <v>69</v>
      </c>
      <c r="BA23" s="310">
        <v>67</v>
      </c>
      <c r="BB23" s="310">
        <v>65</v>
      </c>
      <c r="BC23" s="310">
        <v>67</v>
      </c>
      <c r="BD23" s="310">
        <v>71</v>
      </c>
      <c r="BE23" s="310">
        <v>69</v>
      </c>
      <c r="BF23" s="310">
        <v>67</v>
      </c>
      <c r="BG23" s="310">
        <v>0</v>
      </c>
    </row>
    <row r="24" spans="1:62" x14ac:dyDescent="0.3">
      <c r="A24" s="311" t="s">
        <v>0</v>
      </c>
      <c r="B24" s="311">
        <f>SUM(B20:B23)</f>
        <v>18965</v>
      </c>
      <c r="C24" s="311">
        <f t="shared" ref="C24:M24" si="0">SUM(C20:C23)</f>
        <v>18470</v>
      </c>
      <c r="D24" s="311">
        <f t="shared" si="0"/>
        <v>18253</v>
      </c>
      <c r="E24" s="311">
        <f t="shared" si="0"/>
        <v>18052</v>
      </c>
      <c r="F24" s="311">
        <f t="shared" si="0"/>
        <v>17541</v>
      </c>
      <c r="G24" s="311">
        <f t="shared" si="0"/>
        <v>17223</v>
      </c>
      <c r="H24" s="311">
        <f t="shared" si="0"/>
        <v>16478</v>
      </c>
      <c r="I24" s="311">
        <f t="shared" si="0"/>
        <v>15007</v>
      </c>
      <c r="J24" s="311">
        <f t="shared" si="0"/>
        <v>14471</v>
      </c>
      <c r="K24" s="311">
        <f t="shared" si="0"/>
        <v>14514</v>
      </c>
      <c r="L24" s="311">
        <f t="shared" si="0"/>
        <v>14291</v>
      </c>
      <c r="M24" s="311">
        <f t="shared" si="0"/>
        <v>13834</v>
      </c>
      <c r="N24" s="311">
        <v>12859</v>
      </c>
      <c r="O24" s="311">
        <v>12634</v>
      </c>
      <c r="P24" s="311">
        <v>12006</v>
      </c>
      <c r="Q24" s="311">
        <v>11966</v>
      </c>
      <c r="R24" s="311">
        <v>12002</v>
      </c>
      <c r="S24" s="311">
        <v>11533</v>
      </c>
      <c r="T24" s="311">
        <v>12548</v>
      </c>
      <c r="U24" s="311">
        <v>14702</v>
      </c>
      <c r="V24" s="311">
        <v>17791</v>
      </c>
      <c r="W24" s="311">
        <v>19448</v>
      </c>
      <c r="X24" s="311">
        <v>21736</v>
      </c>
      <c r="Y24" s="311">
        <v>22150</v>
      </c>
      <c r="Z24" s="311">
        <v>23037</v>
      </c>
      <c r="AA24" s="311">
        <v>21320</v>
      </c>
      <c r="AB24" s="311">
        <v>22250</v>
      </c>
      <c r="AC24" s="311">
        <v>20498</v>
      </c>
      <c r="AD24" s="311">
        <v>19454</v>
      </c>
      <c r="AE24" s="311">
        <v>19112</v>
      </c>
      <c r="AF24" s="311">
        <v>20214</v>
      </c>
      <c r="AG24" s="311">
        <v>20990</v>
      </c>
      <c r="AH24" s="311">
        <v>21618</v>
      </c>
      <c r="AI24" s="311">
        <v>20105</v>
      </c>
      <c r="AJ24" s="311">
        <v>19999</v>
      </c>
      <c r="AK24" s="311">
        <v>20768</v>
      </c>
      <c r="AL24" s="311">
        <v>19575</v>
      </c>
      <c r="AM24" s="311">
        <v>20619</v>
      </c>
      <c r="AN24" s="311">
        <v>19217</v>
      </c>
      <c r="AO24" s="311">
        <v>17973</v>
      </c>
      <c r="AP24" s="311">
        <v>19967</v>
      </c>
      <c r="AQ24" s="311">
        <v>19900</v>
      </c>
      <c r="AR24" s="311">
        <v>18440</v>
      </c>
      <c r="AS24" s="311">
        <v>20896</v>
      </c>
      <c r="AT24" s="311">
        <v>23301</v>
      </c>
      <c r="AU24" s="311">
        <v>25554</v>
      </c>
      <c r="AV24" s="311">
        <v>23553</v>
      </c>
      <c r="AW24" s="311">
        <v>23076</v>
      </c>
      <c r="AX24" s="311">
        <v>22008</v>
      </c>
      <c r="AY24" s="311">
        <v>22045</v>
      </c>
      <c r="AZ24" s="311">
        <v>24035</v>
      </c>
      <c r="BA24" s="311">
        <v>25120</v>
      </c>
      <c r="BB24" s="311">
        <v>23599</v>
      </c>
      <c r="BC24" s="311">
        <v>23806</v>
      </c>
      <c r="BD24" s="311">
        <v>26376</v>
      </c>
      <c r="BE24" s="311">
        <v>28873</v>
      </c>
      <c r="BF24" s="311">
        <v>28689</v>
      </c>
      <c r="BG24" s="311">
        <v>0</v>
      </c>
      <c r="BH24" s="309"/>
      <c r="BI24" s="309"/>
      <c r="BJ24" s="309"/>
    </row>
    <row r="25" spans="1:62" x14ac:dyDescent="0.3">
      <c r="A25" s="306" t="s">
        <v>851</v>
      </c>
      <c r="B25" s="307"/>
      <c r="C25" s="307"/>
      <c r="D25" s="307"/>
      <c r="E25" s="307"/>
      <c r="F25" s="307"/>
      <c r="G25" s="307"/>
      <c r="H25" s="307"/>
      <c r="I25" s="307"/>
      <c r="J25" s="307"/>
      <c r="K25" s="307"/>
      <c r="L25" s="307"/>
      <c r="M25" s="307"/>
      <c r="N25" s="307"/>
      <c r="O25" s="307"/>
      <c r="P25" s="307"/>
      <c r="Q25" s="307"/>
      <c r="R25" s="307"/>
      <c r="S25" s="307"/>
      <c r="T25" s="307"/>
      <c r="U25" s="307"/>
      <c r="V25" s="307"/>
      <c r="W25" s="307"/>
      <c r="X25" s="307"/>
      <c r="Y25" s="307"/>
      <c r="Z25" s="307"/>
      <c r="AA25" s="307"/>
      <c r="AB25" s="307"/>
      <c r="AC25" s="307"/>
      <c r="AD25" s="307"/>
      <c r="AE25" s="307"/>
      <c r="AF25" s="307"/>
      <c r="AG25" s="307"/>
      <c r="AH25" s="307"/>
      <c r="AI25" s="307"/>
      <c r="AJ25" s="307"/>
      <c r="AK25" s="307"/>
      <c r="AL25" s="307"/>
      <c r="AM25" s="307"/>
      <c r="AN25" s="307"/>
      <c r="AO25" s="307"/>
      <c r="AP25" s="307"/>
      <c r="AQ25" s="307"/>
      <c r="AR25" s="307"/>
      <c r="AS25" s="307"/>
      <c r="AT25" s="307"/>
      <c r="AU25" s="307"/>
      <c r="AV25" s="307"/>
      <c r="AW25" s="307"/>
      <c r="AX25" s="307"/>
      <c r="AY25" s="307"/>
      <c r="AZ25" s="307"/>
      <c r="BA25" s="307"/>
      <c r="BB25" s="307"/>
      <c r="BC25" s="307"/>
      <c r="BD25" s="307"/>
      <c r="BE25" s="307"/>
      <c r="BF25" s="307"/>
      <c r="BG25" s="307"/>
      <c r="BH25" s="309"/>
    </row>
    <row r="26" spans="1:62" x14ac:dyDescent="0.3">
      <c r="A26" s="308" t="s">
        <v>855</v>
      </c>
      <c r="B26" s="308">
        <v>244</v>
      </c>
      <c r="C26" s="308">
        <v>197</v>
      </c>
      <c r="D26" s="308">
        <v>99</v>
      </c>
      <c r="E26" s="308">
        <v>116</v>
      </c>
      <c r="F26" s="308">
        <v>89</v>
      </c>
      <c r="G26" s="308">
        <v>228</v>
      </c>
      <c r="H26" s="308">
        <v>209</v>
      </c>
      <c r="I26" s="308">
        <v>146</v>
      </c>
      <c r="J26" s="308">
        <v>149</v>
      </c>
      <c r="K26" s="308">
        <v>211</v>
      </c>
      <c r="L26" s="308">
        <v>153</v>
      </c>
      <c r="M26" s="308">
        <v>227</v>
      </c>
      <c r="N26" s="308">
        <v>164</v>
      </c>
      <c r="O26" s="308">
        <v>554</v>
      </c>
      <c r="P26" s="308">
        <v>416</v>
      </c>
      <c r="Q26" s="308">
        <v>257</v>
      </c>
      <c r="R26" s="308">
        <v>1051</v>
      </c>
      <c r="S26" s="308">
        <v>1225</v>
      </c>
      <c r="T26" s="308">
        <v>1016</v>
      </c>
      <c r="U26" s="308">
        <v>320</v>
      </c>
      <c r="V26" s="308">
        <v>484</v>
      </c>
      <c r="W26" s="308">
        <v>1226</v>
      </c>
      <c r="X26" s="308">
        <v>1119</v>
      </c>
      <c r="Y26" s="308">
        <v>935</v>
      </c>
      <c r="Z26" s="308">
        <v>1135</v>
      </c>
      <c r="AA26" s="308">
        <v>1092</v>
      </c>
      <c r="AB26" s="308">
        <v>1195</v>
      </c>
      <c r="AC26" s="308">
        <v>1165</v>
      </c>
      <c r="AD26" s="308">
        <v>775</v>
      </c>
      <c r="AE26" s="308">
        <v>591</v>
      </c>
      <c r="AF26" s="308">
        <v>1128</v>
      </c>
      <c r="AG26" s="308">
        <v>1031</v>
      </c>
      <c r="AH26" s="308">
        <v>1178</v>
      </c>
      <c r="AI26" s="308">
        <v>1449</v>
      </c>
      <c r="AJ26" s="308">
        <v>1007</v>
      </c>
      <c r="AK26" s="308">
        <v>155</v>
      </c>
      <c r="AL26" s="308">
        <v>313</v>
      </c>
      <c r="AM26" s="308">
        <v>312</v>
      </c>
      <c r="AN26" s="308">
        <v>294</v>
      </c>
      <c r="AO26" s="308">
        <v>147</v>
      </c>
      <c r="AP26" s="308">
        <v>100</v>
      </c>
      <c r="AQ26" s="308">
        <v>0</v>
      </c>
      <c r="AR26" s="308">
        <v>0</v>
      </c>
      <c r="AS26" s="308">
        <v>0</v>
      </c>
      <c r="AT26" s="308">
        <v>0</v>
      </c>
      <c r="AU26" s="308">
        <v>0</v>
      </c>
      <c r="AV26" s="308">
        <v>0</v>
      </c>
      <c r="AW26" s="308">
        <v>0</v>
      </c>
      <c r="AX26" s="308">
        <v>0</v>
      </c>
      <c r="AY26" s="308">
        <v>0</v>
      </c>
      <c r="AZ26" s="308">
        <v>0</v>
      </c>
      <c r="BA26" s="308">
        <v>0</v>
      </c>
      <c r="BB26" s="308">
        <v>0</v>
      </c>
      <c r="BC26" s="308">
        <v>0</v>
      </c>
      <c r="BD26" s="308">
        <v>0</v>
      </c>
      <c r="BE26" s="308">
        <v>0</v>
      </c>
      <c r="BF26" s="308">
        <v>0</v>
      </c>
      <c r="BG26" s="308">
        <v>0</v>
      </c>
    </row>
    <row r="27" spans="1:62" x14ac:dyDescent="0.3">
      <c r="A27" s="308" t="s">
        <v>856</v>
      </c>
      <c r="B27" s="308">
        <v>42</v>
      </c>
      <c r="C27" s="308">
        <v>40</v>
      </c>
      <c r="D27" s="308">
        <v>40</v>
      </c>
      <c r="E27" s="308">
        <v>26</v>
      </c>
      <c r="F27" s="308">
        <v>12</v>
      </c>
      <c r="G27" s="308">
        <v>10</v>
      </c>
      <c r="H27" s="308">
        <v>12</v>
      </c>
      <c r="I27" s="308">
        <v>2</v>
      </c>
      <c r="J27" s="308">
        <v>2</v>
      </c>
      <c r="K27" s="308">
        <v>2</v>
      </c>
      <c r="L27" s="308">
        <v>2</v>
      </c>
      <c r="M27" s="308">
        <v>0</v>
      </c>
      <c r="N27" s="308">
        <v>0</v>
      </c>
      <c r="O27" s="308">
        <v>0</v>
      </c>
      <c r="P27" s="308">
        <v>0</v>
      </c>
      <c r="Q27" s="308">
        <v>0</v>
      </c>
      <c r="R27" s="308">
        <v>0</v>
      </c>
      <c r="S27" s="308">
        <v>0</v>
      </c>
      <c r="T27" s="308">
        <v>0</v>
      </c>
      <c r="U27" s="308">
        <v>0</v>
      </c>
      <c r="V27" s="308">
        <v>0</v>
      </c>
      <c r="W27" s="308">
        <v>0</v>
      </c>
      <c r="X27" s="308">
        <v>0</v>
      </c>
      <c r="Y27" s="308">
        <v>0</v>
      </c>
      <c r="Z27" s="308">
        <v>0</v>
      </c>
      <c r="AA27" s="308">
        <v>0</v>
      </c>
      <c r="AB27" s="308">
        <v>0</v>
      </c>
      <c r="AC27" s="308">
        <v>0</v>
      </c>
      <c r="AD27" s="308">
        <v>0</v>
      </c>
      <c r="AE27" s="308">
        <v>0</v>
      </c>
      <c r="AF27" s="308">
        <v>0</v>
      </c>
      <c r="AG27" s="308">
        <v>0</v>
      </c>
      <c r="AH27" s="308">
        <v>0</v>
      </c>
      <c r="AI27" s="308">
        <v>0</v>
      </c>
      <c r="AJ27" s="308">
        <v>0</v>
      </c>
      <c r="AK27" s="308">
        <v>0</v>
      </c>
      <c r="AL27" s="308">
        <v>0</v>
      </c>
      <c r="AM27" s="308">
        <v>0</v>
      </c>
      <c r="AN27" s="308">
        <v>0</v>
      </c>
      <c r="AO27" s="308">
        <v>0</v>
      </c>
      <c r="AP27" s="308">
        <v>0</v>
      </c>
      <c r="AQ27" s="308">
        <v>0</v>
      </c>
      <c r="AR27" s="308">
        <v>0</v>
      </c>
      <c r="AS27" s="308">
        <v>0</v>
      </c>
      <c r="AT27" s="308">
        <v>0</v>
      </c>
      <c r="AU27" s="308">
        <v>0</v>
      </c>
      <c r="AV27" s="308">
        <v>0</v>
      </c>
      <c r="AW27" s="308">
        <v>0</v>
      </c>
      <c r="AX27" s="308">
        <v>0</v>
      </c>
      <c r="AY27" s="308">
        <v>0</v>
      </c>
      <c r="AZ27" s="308">
        <v>0</v>
      </c>
      <c r="BA27" s="308">
        <v>0</v>
      </c>
      <c r="BB27" s="308">
        <v>0</v>
      </c>
      <c r="BC27" s="308">
        <v>0</v>
      </c>
      <c r="BD27" s="308">
        <v>0</v>
      </c>
      <c r="BE27" s="308">
        <v>0</v>
      </c>
      <c r="BF27" s="308">
        <v>0</v>
      </c>
      <c r="BG27" s="308">
        <v>0</v>
      </c>
      <c r="BH27" s="309"/>
    </row>
    <row r="28" spans="1:62" x14ac:dyDescent="0.3">
      <c r="A28" s="308" t="s">
        <v>857</v>
      </c>
      <c r="B28" s="308">
        <v>0</v>
      </c>
      <c r="C28" s="308">
        <v>0</v>
      </c>
      <c r="D28" s="308">
        <v>0</v>
      </c>
      <c r="E28" s="308">
        <v>15</v>
      </c>
      <c r="F28" s="308">
        <v>25</v>
      </c>
      <c r="G28" s="308">
        <v>25</v>
      </c>
      <c r="H28" s="308">
        <v>24</v>
      </c>
      <c r="I28" s="308">
        <v>22</v>
      </c>
      <c r="J28" s="308">
        <v>20</v>
      </c>
      <c r="K28" s="308">
        <v>20</v>
      </c>
      <c r="L28" s="308">
        <v>20</v>
      </c>
      <c r="M28" s="308">
        <v>12</v>
      </c>
      <c r="N28" s="308">
        <v>10</v>
      </c>
      <c r="O28" s="308">
        <v>10</v>
      </c>
      <c r="P28" s="308">
        <v>0</v>
      </c>
      <c r="Q28" s="308">
        <v>0</v>
      </c>
      <c r="R28" s="308">
        <v>0</v>
      </c>
      <c r="S28" s="308">
        <v>0</v>
      </c>
      <c r="T28" s="308">
        <v>0</v>
      </c>
      <c r="U28" s="308">
        <v>0</v>
      </c>
      <c r="V28" s="308">
        <v>0</v>
      </c>
      <c r="W28" s="308">
        <v>0</v>
      </c>
      <c r="X28" s="308">
        <v>0</v>
      </c>
      <c r="Y28" s="308">
        <v>0</v>
      </c>
      <c r="Z28" s="308">
        <v>0</v>
      </c>
      <c r="AA28" s="308">
        <v>0</v>
      </c>
      <c r="AB28" s="308">
        <v>0</v>
      </c>
      <c r="AC28" s="308">
        <v>0</v>
      </c>
      <c r="AD28" s="308">
        <v>0</v>
      </c>
      <c r="AE28" s="308">
        <v>0</v>
      </c>
      <c r="AF28" s="308">
        <v>0</v>
      </c>
      <c r="AG28" s="308">
        <v>0</v>
      </c>
      <c r="AH28" s="308">
        <v>0</v>
      </c>
      <c r="AI28" s="308">
        <v>0</v>
      </c>
      <c r="AJ28" s="308">
        <v>0</v>
      </c>
      <c r="AK28" s="308">
        <v>0</v>
      </c>
      <c r="AL28" s="308">
        <v>0</v>
      </c>
      <c r="AM28" s="308">
        <v>0</v>
      </c>
      <c r="AN28" s="308">
        <v>0</v>
      </c>
      <c r="AO28" s="308">
        <v>0</v>
      </c>
      <c r="AP28" s="308">
        <v>0</v>
      </c>
      <c r="AQ28" s="308">
        <v>0</v>
      </c>
      <c r="AR28" s="308">
        <v>0</v>
      </c>
      <c r="AS28" s="308">
        <v>0</v>
      </c>
      <c r="AT28" s="308">
        <v>0</v>
      </c>
      <c r="AU28" s="308">
        <v>0</v>
      </c>
      <c r="AV28" s="308">
        <v>0</v>
      </c>
      <c r="AW28" s="308">
        <v>0</v>
      </c>
      <c r="AX28" s="308">
        <v>0</v>
      </c>
      <c r="AY28" s="308">
        <v>0</v>
      </c>
      <c r="AZ28" s="308">
        <v>0</v>
      </c>
      <c r="BA28" s="308">
        <v>0</v>
      </c>
      <c r="BB28" s="308">
        <v>0</v>
      </c>
      <c r="BC28" s="308">
        <v>0</v>
      </c>
      <c r="BD28" s="308">
        <v>0</v>
      </c>
      <c r="BE28" s="308">
        <v>0</v>
      </c>
      <c r="BF28" s="308">
        <v>0</v>
      </c>
      <c r="BG28" s="308">
        <v>0</v>
      </c>
      <c r="BH28" s="309"/>
      <c r="BI28" s="309"/>
      <c r="BJ28" s="309"/>
    </row>
    <row r="29" spans="1:62" ht="16.2" thickBot="1" x14ac:dyDescent="0.35">
      <c r="A29" s="310" t="s">
        <v>858</v>
      </c>
      <c r="B29" s="310">
        <v>0</v>
      </c>
      <c r="C29" s="310">
        <v>0</v>
      </c>
      <c r="D29" s="310">
        <v>0</v>
      </c>
      <c r="E29" s="310">
        <v>0</v>
      </c>
      <c r="F29" s="310">
        <v>0</v>
      </c>
      <c r="G29" s="310">
        <v>0</v>
      </c>
      <c r="H29" s="310">
        <v>0</v>
      </c>
      <c r="I29" s="310">
        <v>0</v>
      </c>
      <c r="J29" s="310">
        <v>0</v>
      </c>
      <c r="K29" s="310">
        <v>0</v>
      </c>
      <c r="L29" s="310">
        <v>0</v>
      </c>
      <c r="M29" s="310">
        <v>0</v>
      </c>
      <c r="N29" s="310">
        <v>0</v>
      </c>
      <c r="O29" s="310">
        <v>0</v>
      </c>
      <c r="P29" s="310">
        <v>0</v>
      </c>
      <c r="Q29" s="310">
        <v>0</v>
      </c>
      <c r="R29" s="310">
        <v>0</v>
      </c>
      <c r="S29" s="310">
        <v>0</v>
      </c>
      <c r="T29" s="310">
        <v>0</v>
      </c>
      <c r="U29" s="310">
        <v>0</v>
      </c>
      <c r="V29" s="310">
        <v>0</v>
      </c>
      <c r="W29" s="310">
        <v>0</v>
      </c>
      <c r="X29" s="310">
        <v>0</v>
      </c>
      <c r="Y29" s="310">
        <v>0</v>
      </c>
      <c r="Z29" s="310">
        <v>0</v>
      </c>
      <c r="AA29" s="310">
        <v>0</v>
      </c>
      <c r="AB29" s="310">
        <v>0</v>
      </c>
      <c r="AC29" s="310">
        <v>0</v>
      </c>
      <c r="AD29" s="310">
        <v>0</v>
      </c>
      <c r="AE29" s="310">
        <v>0</v>
      </c>
      <c r="AF29" s="310">
        <v>0</v>
      </c>
      <c r="AG29" s="310">
        <v>0</v>
      </c>
      <c r="AH29" s="310">
        <v>0</v>
      </c>
      <c r="AI29" s="310">
        <v>0</v>
      </c>
      <c r="AJ29" s="310">
        <v>0</v>
      </c>
      <c r="AK29" s="310">
        <v>0</v>
      </c>
      <c r="AL29" s="310">
        <v>0</v>
      </c>
      <c r="AM29" s="310">
        <v>0</v>
      </c>
      <c r="AN29" s="310">
        <v>0</v>
      </c>
      <c r="AO29" s="310">
        <v>0</v>
      </c>
      <c r="AP29" s="310">
        <v>0</v>
      </c>
      <c r="AQ29" s="310">
        <v>0</v>
      </c>
      <c r="AR29" s="310">
        <v>0</v>
      </c>
      <c r="AS29" s="310">
        <v>0</v>
      </c>
      <c r="AT29" s="310">
        <v>0</v>
      </c>
      <c r="AU29" s="310">
        <v>0</v>
      </c>
      <c r="AV29" s="310">
        <v>0</v>
      </c>
      <c r="AW29" s="310">
        <v>0</v>
      </c>
      <c r="AX29" s="310">
        <v>0</v>
      </c>
      <c r="AY29" s="310">
        <v>0</v>
      </c>
      <c r="AZ29" s="310">
        <v>0</v>
      </c>
      <c r="BA29" s="310">
        <v>0</v>
      </c>
      <c r="BB29" s="310">
        <v>0</v>
      </c>
      <c r="BC29" s="310">
        <v>0</v>
      </c>
      <c r="BD29" s="310">
        <v>0</v>
      </c>
      <c r="BE29" s="310">
        <v>0</v>
      </c>
      <c r="BF29" s="310">
        <v>0</v>
      </c>
      <c r="BG29" s="310">
        <v>0</v>
      </c>
    </row>
    <row r="30" spans="1:62" x14ac:dyDescent="0.3">
      <c r="A30" s="311" t="s">
        <v>0</v>
      </c>
      <c r="B30" s="311">
        <f>SUM(B26:B29)</f>
        <v>286</v>
      </c>
      <c r="C30" s="311">
        <f t="shared" ref="C30:M30" si="1">SUM(C26:C29)</f>
        <v>237</v>
      </c>
      <c r="D30" s="311">
        <f t="shared" si="1"/>
        <v>139</v>
      </c>
      <c r="E30" s="311">
        <f t="shared" si="1"/>
        <v>157</v>
      </c>
      <c r="F30" s="311">
        <f t="shared" si="1"/>
        <v>126</v>
      </c>
      <c r="G30" s="311">
        <f t="shared" si="1"/>
        <v>263</v>
      </c>
      <c r="H30" s="311">
        <f t="shared" si="1"/>
        <v>245</v>
      </c>
      <c r="I30" s="311">
        <f t="shared" si="1"/>
        <v>170</v>
      </c>
      <c r="J30" s="311">
        <f t="shared" si="1"/>
        <v>171</v>
      </c>
      <c r="K30" s="311">
        <f t="shared" si="1"/>
        <v>233</v>
      </c>
      <c r="L30" s="311">
        <f t="shared" si="1"/>
        <v>175</v>
      </c>
      <c r="M30" s="311">
        <f t="shared" si="1"/>
        <v>239</v>
      </c>
      <c r="N30" s="311">
        <v>174</v>
      </c>
      <c r="O30" s="311">
        <v>564</v>
      </c>
      <c r="P30" s="311">
        <v>416</v>
      </c>
      <c r="Q30" s="311">
        <v>257</v>
      </c>
      <c r="R30" s="311">
        <v>1051</v>
      </c>
      <c r="S30" s="311">
        <v>1225</v>
      </c>
      <c r="T30" s="311">
        <v>1016</v>
      </c>
      <c r="U30" s="311">
        <v>320</v>
      </c>
      <c r="V30" s="311">
        <v>484</v>
      </c>
      <c r="W30" s="311">
        <v>1226</v>
      </c>
      <c r="X30" s="311">
        <v>1119</v>
      </c>
      <c r="Y30" s="311">
        <v>935</v>
      </c>
      <c r="Z30" s="311">
        <v>1135</v>
      </c>
      <c r="AA30" s="311">
        <v>1092</v>
      </c>
      <c r="AB30" s="311">
        <v>1195</v>
      </c>
      <c r="AC30" s="311">
        <v>1165</v>
      </c>
      <c r="AD30" s="311">
        <v>775</v>
      </c>
      <c r="AE30" s="311">
        <v>591</v>
      </c>
      <c r="AF30" s="311">
        <v>1128</v>
      </c>
      <c r="AG30" s="311">
        <v>1031</v>
      </c>
      <c r="AH30" s="311">
        <v>1178</v>
      </c>
      <c r="AI30" s="311">
        <v>1449</v>
      </c>
      <c r="AJ30" s="311">
        <v>1007</v>
      </c>
      <c r="AK30" s="311">
        <v>155</v>
      </c>
      <c r="AL30" s="311">
        <v>313</v>
      </c>
      <c r="AM30" s="311">
        <v>312</v>
      </c>
      <c r="AN30" s="311">
        <v>294</v>
      </c>
      <c r="AO30" s="311">
        <v>147</v>
      </c>
      <c r="AP30" s="311">
        <v>100</v>
      </c>
      <c r="AQ30" s="311">
        <f t="shared" ref="AQ30:BG30" si="2">SUM(AQ26:AQ29)</f>
        <v>0</v>
      </c>
      <c r="AR30" s="311">
        <f t="shared" si="2"/>
        <v>0</v>
      </c>
      <c r="AS30" s="311">
        <f t="shared" si="2"/>
        <v>0</v>
      </c>
      <c r="AT30" s="311">
        <f t="shared" si="2"/>
        <v>0</v>
      </c>
      <c r="AU30" s="311">
        <f t="shared" si="2"/>
        <v>0</v>
      </c>
      <c r="AV30" s="311">
        <f t="shared" si="2"/>
        <v>0</v>
      </c>
      <c r="AW30" s="311">
        <f t="shared" si="2"/>
        <v>0</v>
      </c>
      <c r="AX30" s="311">
        <f t="shared" si="2"/>
        <v>0</v>
      </c>
      <c r="AY30" s="311">
        <f t="shared" si="2"/>
        <v>0</v>
      </c>
      <c r="AZ30" s="311">
        <f t="shared" si="2"/>
        <v>0</v>
      </c>
      <c r="BA30" s="311">
        <f t="shared" si="2"/>
        <v>0</v>
      </c>
      <c r="BB30" s="311">
        <f t="shared" si="2"/>
        <v>0</v>
      </c>
      <c r="BC30" s="311">
        <f t="shared" si="2"/>
        <v>0</v>
      </c>
      <c r="BD30" s="311">
        <f t="shared" si="2"/>
        <v>0</v>
      </c>
      <c r="BE30" s="311">
        <f t="shared" si="2"/>
        <v>0</v>
      </c>
      <c r="BF30" s="311">
        <f t="shared" si="2"/>
        <v>0</v>
      </c>
      <c r="BG30" s="311">
        <f t="shared" si="2"/>
        <v>0</v>
      </c>
    </row>
    <row r="31" spans="1:62" x14ac:dyDescent="0.3">
      <c r="A31" s="306" t="s">
        <v>852</v>
      </c>
      <c r="B31" s="307"/>
      <c r="C31" s="307"/>
      <c r="D31" s="307"/>
      <c r="E31" s="307"/>
      <c r="F31" s="307"/>
      <c r="G31" s="307"/>
      <c r="H31" s="307"/>
      <c r="I31" s="307"/>
      <c r="J31" s="307"/>
      <c r="K31" s="307"/>
      <c r="L31" s="307"/>
      <c r="M31" s="307"/>
      <c r="N31" s="307"/>
      <c r="O31" s="307"/>
      <c r="P31" s="307"/>
      <c r="Q31" s="307"/>
      <c r="R31" s="307"/>
      <c r="S31" s="307"/>
      <c r="T31" s="307"/>
      <c r="U31" s="307"/>
      <c r="V31" s="307"/>
      <c r="W31" s="307"/>
      <c r="X31" s="307"/>
      <c r="Y31" s="307"/>
      <c r="Z31" s="307"/>
      <c r="AA31" s="307"/>
      <c r="AB31" s="307"/>
      <c r="AC31" s="307"/>
      <c r="AD31" s="307"/>
      <c r="AE31" s="307"/>
      <c r="AF31" s="307"/>
      <c r="AG31" s="307"/>
      <c r="AH31" s="307"/>
      <c r="AI31" s="307"/>
      <c r="AJ31" s="307"/>
      <c r="AK31" s="307"/>
      <c r="AL31" s="307"/>
      <c r="AM31" s="307"/>
      <c r="AN31" s="307"/>
      <c r="AO31" s="307"/>
      <c r="AP31" s="307"/>
      <c r="AQ31" s="307"/>
      <c r="AR31" s="307"/>
      <c r="AS31" s="307"/>
      <c r="AT31" s="307"/>
      <c r="AU31" s="307"/>
      <c r="AV31" s="307"/>
      <c r="AW31" s="307"/>
      <c r="AX31" s="307"/>
      <c r="AY31" s="307"/>
      <c r="AZ31" s="307"/>
      <c r="BA31" s="307"/>
      <c r="BB31" s="307"/>
      <c r="BC31" s="307"/>
      <c r="BD31" s="307"/>
      <c r="BE31" s="307"/>
      <c r="BF31" s="307"/>
      <c r="BG31" s="307"/>
    </row>
    <row r="32" spans="1:62" x14ac:dyDescent="0.3">
      <c r="A32" s="308" t="s">
        <v>855</v>
      </c>
      <c r="B32" s="308">
        <v>1037</v>
      </c>
      <c r="C32" s="308">
        <v>855</v>
      </c>
      <c r="D32" s="308">
        <v>795</v>
      </c>
      <c r="E32" s="308">
        <v>644</v>
      </c>
      <c r="F32" s="308">
        <v>542</v>
      </c>
      <c r="G32" s="308">
        <v>502</v>
      </c>
      <c r="H32" s="308">
        <v>531</v>
      </c>
      <c r="I32" s="308">
        <v>511</v>
      </c>
      <c r="J32" s="308">
        <v>487</v>
      </c>
      <c r="K32" s="308">
        <v>519</v>
      </c>
      <c r="L32" s="308">
        <v>548</v>
      </c>
      <c r="M32" s="308">
        <v>560</v>
      </c>
      <c r="N32" s="308">
        <v>648</v>
      </c>
      <c r="O32" s="308">
        <v>637</v>
      </c>
      <c r="P32" s="308">
        <v>699</v>
      </c>
      <c r="Q32" s="308">
        <v>855</v>
      </c>
      <c r="R32" s="308">
        <v>1097</v>
      </c>
      <c r="S32" s="308">
        <v>1529</v>
      </c>
      <c r="T32" s="308">
        <v>1625</v>
      </c>
      <c r="U32" s="308">
        <v>2075</v>
      </c>
      <c r="V32" s="308">
        <v>2672</v>
      </c>
      <c r="W32" s="308">
        <v>3212</v>
      </c>
      <c r="X32" s="308">
        <v>3691</v>
      </c>
      <c r="Y32" s="308">
        <v>4359</v>
      </c>
      <c r="Z32" s="308">
        <v>3336</v>
      </c>
      <c r="AA32" s="308">
        <v>3326</v>
      </c>
      <c r="AB32" s="308">
        <v>2608</v>
      </c>
      <c r="AC32" s="308">
        <v>2484</v>
      </c>
      <c r="AD32" s="308">
        <v>2225</v>
      </c>
      <c r="AE32" s="308">
        <v>2397</v>
      </c>
      <c r="AF32" s="308">
        <v>2261</v>
      </c>
      <c r="AG32" s="308">
        <v>2216</v>
      </c>
      <c r="AH32" s="308">
        <v>2555</v>
      </c>
      <c r="AI32" s="308">
        <v>2223</v>
      </c>
      <c r="AJ32" s="308">
        <v>1816</v>
      </c>
      <c r="AK32" s="308">
        <v>1429</v>
      </c>
      <c r="AL32" s="308">
        <v>1225</v>
      </c>
      <c r="AM32" s="308">
        <v>1430</v>
      </c>
      <c r="AN32" s="308">
        <v>1580</v>
      </c>
      <c r="AO32" s="308">
        <v>1410</v>
      </c>
      <c r="AP32" s="308">
        <v>1365</v>
      </c>
      <c r="AQ32" s="308">
        <v>1038</v>
      </c>
      <c r="AR32" s="308">
        <v>1038</v>
      </c>
      <c r="AS32" s="308">
        <v>1151</v>
      </c>
      <c r="AT32" s="308">
        <v>1084</v>
      </c>
      <c r="AU32" s="308">
        <v>918</v>
      </c>
      <c r="AV32" s="308">
        <v>1461</v>
      </c>
      <c r="AW32" s="308">
        <v>1609</v>
      </c>
      <c r="AX32" s="308">
        <v>1782</v>
      </c>
      <c r="AY32" s="308">
        <v>1834</v>
      </c>
      <c r="AZ32" s="308">
        <v>2103</v>
      </c>
      <c r="BA32" s="308">
        <v>2215</v>
      </c>
      <c r="BB32" s="308">
        <v>2554</v>
      </c>
      <c r="BC32" s="308">
        <v>2700</v>
      </c>
      <c r="BD32" s="308">
        <v>2397</v>
      </c>
      <c r="BE32" s="308">
        <v>2625</v>
      </c>
      <c r="BF32" s="308">
        <v>3073</v>
      </c>
      <c r="BG32" s="308">
        <v>0</v>
      </c>
      <c r="BH32" s="309"/>
      <c r="BI32" s="309"/>
      <c r="BJ32" s="309"/>
    </row>
    <row r="33" spans="1:62" x14ac:dyDescent="0.3">
      <c r="A33" s="308" t="s">
        <v>856</v>
      </c>
      <c r="B33" s="308">
        <v>1207</v>
      </c>
      <c r="C33" s="308">
        <v>1052</v>
      </c>
      <c r="D33" s="308">
        <v>1013</v>
      </c>
      <c r="E33" s="308">
        <v>879</v>
      </c>
      <c r="F33" s="308">
        <v>781</v>
      </c>
      <c r="G33" s="308">
        <v>678</v>
      </c>
      <c r="H33" s="308">
        <v>552</v>
      </c>
      <c r="I33" s="308">
        <v>428</v>
      </c>
      <c r="J33" s="308">
        <v>343</v>
      </c>
      <c r="K33" s="308">
        <v>306</v>
      </c>
      <c r="L33" s="308">
        <v>257</v>
      </c>
      <c r="M33" s="308">
        <v>210</v>
      </c>
      <c r="N33" s="308">
        <v>189</v>
      </c>
      <c r="O33" s="308">
        <v>159</v>
      </c>
      <c r="P33" s="308">
        <v>130</v>
      </c>
      <c r="Q33" s="308">
        <v>112</v>
      </c>
      <c r="R33" s="308">
        <v>87</v>
      </c>
      <c r="S33" s="308">
        <v>57</v>
      </c>
      <c r="T33" s="308">
        <v>53</v>
      </c>
      <c r="U33" s="308">
        <v>46</v>
      </c>
      <c r="V33" s="308">
        <v>45</v>
      </c>
      <c r="W33" s="308">
        <v>56</v>
      </c>
      <c r="X33" s="308">
        <v>60</v>
      </c>
      <c r="Y33" s="308">
        <v>68</v>
      </c>
      <c r="Z33" s="308">
        <v>61</v>
      </c>
      <c r="AA33" s="308">
        <v>58</v>
      </c>
      <c r="AB33" s="308">
        <v>60</v>
      </c>
      <c r="AC33" s="308">
        <v>70</v>
      </c>
      <c r="AD33" s="308">
        <v>80</v>
      </c>
      <c r="AE33" s="308">
        <v>77</v>
      </c>
      <c r="AF33" s="308">
        <v>56</v>
      </c>
      <c r="AG33" s="308">
        <v>65</v>
      </c>
      <c r="AH33" s="308">
        <v>73</v>
      </c>
      <c r="AI33" s="308">
        <v>71</v>
      </c>
      <c r="AJ33" s="308">
        <v>62</v>
      </c>
      <c r="AK33" s="308">
        <v>64</v>
      </c>
      <c r="AL33" s="308">
        <v>67</v>
      </c>
      <c r="AM33" s="308">
        <v>72</v>
      </c>
      <c r="AN33" s="308">
        <v>63</v>
      </c>
      <c r="AO33" s="308">
        <v>65</v>
      </c>
      <c r="AP33" s="308">
        <v>63</v>
      </c>
      <c r="AQ33" s="308">
        <v>72</v>
      </c>
      <c r="AR33" s="308">
        <v>71</v>
      </c>
      <c r="AS33" s="308">
        <v>69</v>
      </c>
      <c r="AT33" s="308">
        <v>67</v>
      </c>
      <c r="AU33" s="308">
        <v>74</v>
      </c>
      <c r="AV33" s="308">
        <v>81</v>
      </c>
      <c r="AW33" s="308">
        <v>81</v>
      </c>
      <c r="AX33" s="308">
        <v>87</v>
      </c>
      <c r="AY33" s="308">
        <v>96</v>
      </c>
      <c r="AZ33" s="308">
        <v>96</v>
      </c>
      <c r="BA33" s="308">
        <v>96</v>
      </c>
      <c r="BB33" s="308">
        <v>95</v>
      </c>
      <c r="BC33" s="308">
        <v>95</v>
      </c>
      <c r="BD33" s="308">
        <v>106</v>
      </c>
      <c r="BE33" s="308">
        <v>116</v>
      </c>
      <c r="BF33" s="308">
        <v>119</v>
      </c>
      <c r="BG33" s="308">
        <v>0</v>
      </c>
    </row>
    <row r="34" spans="1:62" x14ac:dyDescent="0.3">
      <c r="A34" s="308" t="s">
        <v>857</v>
      </c>
      <c r="B34" s="308">
        <v>1127</v>
      </c>
      <c r="C34" s="308">
        <v>1220</v>
      </c>
      <c r="D34" s="308">
        <v>1214</v>
      </c>
      <c r="E34" s="308">
        <v>1268</v>
      </c>
      <c r="F34" s="308">
        <v>1278</v>
      </c>
      <c r="G34" s="308">
        <v>1245</v>
      </c>
      <c r="H34" s="308">
        <v>1188</v>
      </c>
      <c r="I34" s="308">
        <v>1150</v>
      </c>
      <c r="J34" s="308">
        <v>1098</v>
      </c>
      <c r="K34" s="308">
        <v>1029</v>
      </c>
      <c r="L34" s="308">
        <v>948</v>
      </c>
      <c r="M34" s="308">
        <v>874</v>
      </c>
      <c r="N34" s="308">
        <v>826</v>
      </c>
      <c r="O34" s="308">
        <v>755</v>
      </c>
      <c r="P34" s="308">
        <v>672</v>
      </c>
      <c r="Q34" s="308">
        <v>623</v>
      </c>
      <c r="R34" s="308">
        <v>477</v>
      </c>
      <c r="S34" s="308">
        <v>181</v>
      </c>
      <c r="T34" s="308">
        <v>84</v>
      </c>
      <c r="U34" s="308">
        <v>56</v>
      </c>
      <c r="V34" s="308">
        <v>48</v>
      </c>
      <c r="W34" s="308">
        <v>41</v>
      </c>
      <c r="X34" s="308">
        <v>40</v>
      </c>
      <c r="Y34" s="308">
        <v>41</v>
      </c>
      <c r="Z34" s="308">
        <v>36</v>
      </c>
      <c r="AA34" s="308">
        <v>40</v>
      </c>
      <c r="AB34" s="308">
        <v>36</v>
      </c>
      <c r="AC34" s="308">
        <v>32</v>
      </c>
      <c r="AD34" s="308">
        <v>30</v>
      </c>
      <c r="AE34" s="308">
        <v>30</v>
      </c>
      <c r="AF34" s="308">
        <v>12</v>
      </c>
      <c r="AG34" s="308">
        <v>15</v>
      </c>
      <c r="AH34" s="308">
        <v>17</v>
      </c>
      <c r="AI34" s="308">
        <v>18</v>
      </c>
      <c r="AJ34" s="308">
        <v>17</v>
      </c>
      <c r="AK34" s="308">
        <v>15</v>
      </c>
      <c r="AL34" s="308">
        <v>15</v>
      </c>
      <c r="AM34" s="308">
        <v>14</v>
      </c>
      <c r="AN34" s="308">
        <v>14</v>
      </c>
      <c r="AO34" s="308">
        <v>17</v>
      </c>
      <c r="AP34" s="308">
        <v>15</v>
      </c>
      <c r="AQ34" s="308">
        <v>12</v>
      </c>
      <c r="AR34" s="308">
        <v>13</v>
      </c>
      <c r="AS34" s="308">
        <v>13</v>
      </c>
      <c r="AT34" s="308">
        <v>15</v>
      </c>
      <c r="AU34" s="308">
        <v>16</v>
      </c>
      <c r="AV34" s="308">
        <v>17</v>
      </c>
      <c r="AW34" s="308">
        <v>16</v>
      </c>
      <c r="AX34" s="308">
        <v>16</v>
      </c>
      <c r="AY34" s="308">
        <v>18</v>
      </c>
      <c r="AZ34" s="308">
        <v>20</v>
      </c>
      <c r="BA34" s="308">
        <v>20</v>
      </c>
      <c r="BB34" s="308">
        <v>23</v>
      </c>
      <c r="BC34" s="308">
        <v>27</v>
      </c>
      <c r="BD34" s="308">
        <v>30</v>
      </c>
      <c r="BE34" s="308">
        <v>28</v>
      </c>
      <c r="BF34" s="308">
        <v>25</v>
      </c>
      <c r="BG34" s="308">
        <v>0</v>
      </c>
    </row>
    <row r="35" spans="1:62" ht="16.2" thickBot="1" x14ac:dyDescent="0.35">
      <c r="A35" s="310" t="s">
        <v>858</v>
      </c>
      <c r="B35" s="310">
        <v>1</v>
      </c>
      <c r="C35" s="310">
        <v>1</v>
      </c>
      <c r="D35" s="310">
        <v>1</v>
      </c>
      <c r="E35" s="310">
        <v>1</v>
      </c>
      <c r="F35" s="310">
        <v>1</v>
      </c>
      <c r="G35" s="310">
        <v>10</v>
      </c>
      <c r="H35" s="310">
        <v>12</v>
      </c>
      <c r="I35" s="310">
        <v>17</v>
      </c>
      <c r="J35" s="310">
        <v>20</v>
      </c>
      <c r="K35" s="310">
        <v>23</v>
      </c>
      <c r="L35" s="310">
        <v>32</v>
      </c>
      <c r="M35" s="310">
        <v>38</v>
      </c>
      <c r="N35" s="310">
        <v>54</v>
      </c>
      <c r="O35" s="310">
        <v>57</v>
      </c>
      <c r="P35" s="310">
        <v>65</v>
      </c>
      <c r="Q35" s="310">
        <v>64</v>
      </c>
      <c r="R35" s="310">
        <v>60</v>
      </c>
      <c r="S35" s="310">
        <v>35</v>
      </c>
      <c r="T35" s="310">
        <v>23</v>
      </c>
      <c r="U35" s="310">
        <v>14</v>
      </c>
      <c r="V35" s="310">
        <v>11</v>
      </c>
      <c r="W35" s="310">
        <v>11</v>
      </c>
      <c r="X35" s="310">
        <v>10</v>
      </c>
      <c r="Y35" s="310">
        <v>10</v>
      </c>
      <c r="Z35" s="310">
        <v>11</v>
      </c>
      <c r="AA35" s="310">
        <v>11</v>
      </c>
      <c r="AB35" s="310">
        <v>13</v>
      </c>
      <c r="AC35" s="310">
        <v>12</v>
      </c>
      <c r="AD35" s="310">
        <v>13</v>
      </c>
      <c r="AE35" s="310">
        <v>13</v>
      </c>
      <c r="AF35" s="310">
        <v>2</v>
      </c>
      <c r="AG35" s="310">
        <v>1</v>
      </c>
      <c r="AH35" s="310">
        <v>1</v>
      </c>
      <c r="AI35" s="310">
        <v>2</v>
      </c>
      <c r="AJ35" s="310">
        <v>2</v>
      </c>
      <c r="AK35" s="310">
        <v>3</v>
      </c>
      <c r="AL35" s="310">
        <v>3</v>
      </c>
      <c r="AM35" s="310">
        <v>5</v>
      </c>
      <c r="AN35" s="310">
        <v>5</v>
      </c>
      <c r="AO35" s="310">
        <v>5</v>
      </c>
      <c r="AP35" s="310">
        <v>5</v>
      </c>
      <c r="AQ35" s="310">
        <v>6</v>
      </c>
      <c r="AR35" s="310">
        <v>5</v>
      </c>
      <c r="AS35" s="310">
        <v>6</v>
      </c>
      <c r="AT35" s="310">
        <v>5</v>
      </c>
      <c r="AU35" s="310">
        <v>5</v>
      </c>
      <c r="AV35" s="310">
        <v>5</v>
      </c>
      <c r="AW35" s="310">
        <v>7</v>
      </c>
      <c r="AX35" s="310">
        <v>7</v>
      </c>
      <c r="AY35" s="310">
        <v>7</v>
      </c>
      <c r="AZ35" s="310">
        <v>7</v>
      </c>
      <c r="BA35" s="310">
        <v>6</v>
      </c>
      <c r="BB35" s="310">
        <v>6</v>
      </c>
      <c r="BC35" s="310">
        <v>4</v>
      </c>
      <c r="BD35" s="310">
        <v>4</v>
      </c>
      <c r="BE35" s="310">
        <v>5</v>
      </c>
      <c r="BF35" s="310">
        <v>5</v>
      </c>
      <c r="BG35" s="310">
        <v>0</v>
      </c>
    </row>
    <row r="36" spans="1:62" x14ac:dyDescent="0.3">
      <c r="A36" s="311" t="s">
        <v>0</v>
      </c>
      <c r="B36" s="311">
        <v>3372</v>
      </c>
      <c r="C36" s="311">
        <v>3128</v>
      </c>
      <c r="D36" s="311">
        <v>3023</v>
      </c>
      <c r="E36" s="311">
        <v>2792</v>
      </c>
      <c r="F36" s="311">
        <v>2602</v>
      </c>
      <c r="G36" s="311">
        <v>2435</v>
      </c>
      <c r="H36" s="311">
        <v>2283</v>
      </c>
      <c r="I36" s="311">
        <v>2106</v>
      </c>
      <c r="J36" s="311">
        <v>1948</v>
      </c>
      <c r="K36" s="311">
        <v>1877</v>
      </c>
      <c r="L36" s="311">
        <v>1785</v>
      </c>
      <c r="M36" s="311">
        <v>1682</v>
      </c>
      <c r="N36" s="311">
        <v>1717</v>
      </c>
      <c r="O36" s="311">
        <v>1608</v>
      </c>
      <c r="P36" s="311">
        <v>1566</v>
      </c>
      <c r="Q36" s="311">
        <v>1654</v>
      </c>
      <c r="R36" s="311">
        <v>1721</v>
      </c>
      <c r="S36" s="311">
        <v>1802</v>
      </c>
      <c r="T36" s="311">
        <v>1785</v>
      </c>
      <c r="U36" s="311">
        <v>2191</v>
      </c>
      <c r="V36" s="311">
        <v>2776</v>
      </c>
      <c r="W36" s="311">
        <v>3320</v>
      </c>
      <c r="X36" s="311">
        <v>3801</v>
      </c>
      <c r="Y36" s="311">
        <v>4478</v>
      </c>
      <c r="Z36" s="311">
        <v>3444</v>
      </c>
      <c r="AA36" s="311">
        <v>3435</v>
      </c>
      <c r="AB36" s="311">
        <v>2717</v>
      </c>
      <c r="AC36" s="311">
        <v>2598</v>
      </c>
      <c r="AD36" s="311">
        <v>2348</v>
      </c>
      <c r="AE36" s="311">
        <v>2517</v>
      </c>
      <c r="AF36" s="311">
        <v>2331</v>
      </c>
      <c r="AG36" s="311">
        <v>2297</v>
      </c>
      <c r="AH36" s="311">
        <v>2646</v>
      </c>
      <c r="AI36" s="311">
        <v>2314</v>
      </c>
      <c r="AJ36" s="311">
        <v>1897</v>
      </c>
      <c r="AK36" s="311">
        <v>1511</v>
      </c>
      <c r="AL36" s="311">
        <v>1310</v>
      </c>
      <c r="AM36" s="311">
        <v>1521</v>
      </c>
      <c r="AN36" s="311">
        <v>1662</v>
      </c>
      <c r="AO36" s="311">
        <v>1497</v>
      </c>
      <c r="AP36" s="311">
        <v>1448</v>
      </c>
      <c r="AQ36" s="311">
        <v>1128</v>
      </c>
      <c r="AR36" s="311">
        <v>1127</v>
      </c>
      <c r="AS36" s="311">
        <v>1239</v>
      </c>
      <c r="AT36" s="311">
        <v>1171</v>
      </c>
      <c r="AU36" s="311">
        <v>1013</v>
      </c>
      <c r="AV36" s="311">
        <v>1564</v>
      </c>
      <c r="AW36" s="311">
        <v>1713</v>
      </c>
      <c r="AX36" s="311">
        <v>1892</v>
      </c>
      <c r="AY36" s="311">
        <v>1955</v>
      </c>
      <c r="AZ36" s="311">
        <v>2226</v>
      </c>
      <c r="BA36" s="311">
        <v>2337</v>
      </c>
      <c r="BB36" s="311">
        <v>2678</v>
      </c>
      <c r="BC36" s="311">
        <v>2826</v>
      </c>
      <c r="BD36" s="311">
        <v>2537</v>
      </c>
      <c r="BE36" s="311">
        <v>2774</v>
      </c>
      <c r="BF36" s="311">
        <v>3222</v>
      </c>
      <c r="BG36" s="311">
        <v>0</v>
      </c>
      <c r="BH36" s="309"/>
      <c r="BI36" s="309"/>
      <c r="BJ36" s="309"/>
    </row>
    <row r="37" spans="1:62" x14ac:dyDescent="0.3">
      <c r="A37" s="306" t="s">
        <v>853</v>
      </c>
      <c r="B37" s="307"/>
      <c r="C37" s="307"/>
      <c r="D37" s="307"/>
      <c r="E37" s="307"/>
      <c r="F37" s="307"/>
      <c r="G37" s="307"/>
      <c r="H37" s="307"/>
      <c r="I37" s="307"/>
      <c r="J37" s="307"/>
      <c r="K37" s="307"/>
      <c r="L37" s="307"/>
      <c r="M37" s="307"/>
      <c r="N37" s="307"/>
      <c r="O37" s="307"/>
      <c r="P37" s="307"/>
      <c r="Q37" s="307"/>
      <c r="R37" s="307"/>
      <c r="S37" s="307"/>
      <c r="T37" s="307"/>
      <c r="U37" s="307"/>
      <c r="V37" s="307"/>
      <c r="W37" s="307"/>
      <c r="X37" s="307"/>
      <c r="Y37" s="307"/>
      <c r="Z37" s="307"/>
      <c r="AA37" s="307"/>
      <c r="AB37" s="307"/>
      <c r="AC37" s="307"/>
      <c r="AD37" s="307"/>
      <c r="AE37" s="307"/>
      <c r="AF37" s="307"/>
      <c r="AG37" s="307"/>
      <c r="AH37" s="307"/>
      <c r="AI37" s="307"/>
      <c r="AJ37" s="307"/>
      <c r="AK37" s="307"/>
      <c r="AL37" s="307"/>
      <c r="AM37" s="307"/>
      <c r="AN37" s="307"/>
      <c r="AO37" s="307"/>
      <c r="AP37" s="307"/>
      <c r="AQ37" s="307"/>
      <c r="AR37" s="307"/>
      <c r="AS37" s="307"/>
      <c r="AT37" s="307"/>
      <c r="AU37" s="307"/>
      <c r="AV37" s="307"/>
      <c r="AW37" s="307"/>
      <c r="AX37" s="307"/>
      <c r="AY37" s="307"/>
      <c r="AZ37" s="307"/>
      <c r="BA37" s="307"/>
      <c r="BB37" s="307"/>
      <c r="BC37" s="307"/>
      <c r="BD37" s="307"/>
      <c r="BE37" s="307"/>
      <c r="BF37" s="307"/>
      <c r="BG37" s="307"/>
    </row>
    <row r="38" spans="1:62" x14ac:dyDescent="0.3">
      <c r="A38" s="308" t="s">
        <v>855</v>
      </c>
      <c r="B38" s="308">
        <v>38</v>
      </c>
      <c r="C38" s="308">
        <v>54</v>
      </c>
      <c r="D38" s="308">
        <v>46</v>
      </c>
      <c r="E38" s="308">
        <v>30</v>
      </c>
      <c r="F38" s="308">
        <v>7</v>
      </c>
      <c r="G38" s="308">
        <v>13</v>
      </c>
      <c r="H38" s="308">
        <v>46</v>
      </c>
      <c r="I38" s="308">
        <v>39</v>
      </c>
      <c r="J38" s="308">
        <v>20</v>
      </c>
      <c r="K38" s="308">
        <v>64</v>
      </c>
      <c r="L38" s="308">
        <v>33</v>
      </c>
      <c r="M38" s="308">
        <v>58</v>
      </c>
      <c r="N38" s="308">
        <v>90</v>
      </c>
      <c r="O38" s="308">
        <v>76</v>
      </c>
      <c r="P38" s="308">
        <v>78</v>
      </c>
      <c r="Q38" s="308">
        <v>62</v>
      </c>
      <c r="R38" s="308">
        <v>0</v>
      </c>
      <c r="S38" s="308">
        <v>0</v>
      </c>
      <c r="T38" s="308">
        <v>0</v>
      </c>
      <c r="U38" s="308">
        <v>0</v>
      </c>
      <c r="V38" s="308">
        <v>0</v>
      </c>
      <c r="W38" s="308">
        <v>0</v>
      </c>
      <c r="X38" s="308">
        <v>0</v>
      </c>
      <c r="Y38" s="308">
        <v>0</v>
      </c>
      <c r="Z38" s="308">
        <v>0</v>
      </c>
      <c r="AA38" s="308">
        <v>5</v>
      </c>
      <c r="AB38" s="308">
        <v>0</v>
      </c>
      <c r="AC38" s="308">
        <v>0</v>
      </c>
      <c r="AD38" s="308">
        <v>0</v>
      </c>
      <c r="AE38" s="308">
        <v>0</v>
      </c>
      <c r="AF38" s="308">
        <v>2</v>
      </c>
      <c r="AG38" s="308">
        <v>0</v>
      </c>
      <c r="AH38" s="308">
        <v>2</v>
      </c>
      <c r="AI38" s="308">
        <v>3</v>
      </c>
      <c r="AJ38" s="308">
        <v>0</v>
      </c>
      <c r="AK38" s="308">
        <v>0</v>
      </c>
      <c r="AL38" s="308">
        <v>0</v>
      </c>
      <c r="AM38" s="308">
        <v>0</v>
      </c>
      <c r="AN38" s="308">
        <v>0</v>
      </c>
      <c r="AO38" s="308">
        <v>0</v>
      </c>
      <c r="AP38" s="308">
        <v>0</v>
      </c>
      <c r="AQ38" s="308">
        <v>0</v>
      </c>
      <c r="AR38" s="308">
        <v>0</v>
      </c>
      <c r="AS38" s="308">
        <v>0</v>
      </c>
      <c r="AT38" s="308">
        <v>0</v>
      </c>
      <c r="AU38" s="308">
        <v>0</v>
      </c>
      <c r="AV38" s="308">
        <v>0</v>
      </c>
      <c r="AW38" s="308">
        <v>0</v>
      </c>
      <c r="AX38" s="308"/>
      <c r="AY38" s="308"/>
      <c r="AZ38" s="308">
        <v>0</v>
      </c>
      <c r="BA38" s="308">
        <v>0</v>
      </c>
      <c r="BB38" s="308">
        <v>0</v>
      </c>
      <c r="BC38" s="308">
        <v>0</v>
      </c>
      <c r="BD38" s="308">
        <v>0</v>
      </c>
      <c r="BE38" s="308">
        <v>0</v>
      </c>
      <c r="BF38" s="308">
        <v>0</v>
      </c>
      <c r="BG38" s="308">
        <v>0</v>
      </c>
    </row>
    <row r="39" spans="1:62" x14ac:dyDescent="0.3">
      <c r="A39" s="308" t="s">
        <v>856</v>
      </c>
      <c r="B39" s="308">
        <v>49</v>
      </c>
      <c r="C39" s="308">
        <v>52</v>
      </c>
      <c r="D39" s="308">
        <v>52</v>
      </c>
      <c r="E39" s="308">
        <v>30</v>
      </c>
      <c r="F39" s="308">
        <v>36</v>
      </c>
      <c r="G39" s="308">
        <v>22</v>
      </c>
      <c r="H39" s="308">
        <v>10</v>
      </c>
      <c r="I39" s="308">
        <v>10</v>
      </c>
      <c r="J39" s="308">
        <v>10</v>
      </c>
      <c r="K39" s="308">
        <v>10</v>
      </c>
      <c r="L39" s="308">
        <v>6</v>
      </c>
      <c r="M39" s="308">
        <v>6</v>
      </c>
      <c r="N39" s="308">
        <v>3</v>
      </c>
      <c r="O39" s="308">
        <v>0</v>
      </c>
      <c r="P39" s="308">
        <v>0</v>
      </c>
      <c r="Q39" s="308">
        <v>0</v>
      </c>
      <c r="R39" s="308">
        <v>0</v>
      </c>
      <c r="S39" s="308">
        <v>0</v>
      </c>
      <c r="T39" s="308">
        <v>0</v>
      </c>
      <c r="U39" s="308">
        <v>0</v>
      </c>
      <c r="V39" s="308">
        <v>0</v>
      </c>
      <c r="W39" s="308">
        <v>0</v>
      </c>
      <c r="X39" s="308">
        <v>0</v>
      </c>
      <c r="Y39" s="308">
        <v>0</v>
      </c>
      <c r="Z39" s="308">
        <v>0</v>
      </c>
      <c r="AA39" s="308">
        <v>0</v>
      </c>
      <c r="AB39" s="308">
        <v>0</v>
      </c>
      <c r="AC39" s="308">
        <v>0</v>
      </c>
      <c r="AD39" s="308">
        <v>0</v>
      </c>
      <c r="AE39" s="308">
        <v>0</v>
      </c>
      <c r="AF39" s="308">
        <v>0</v>
      </c>
      <c r="AG39" s="308">
        <v>0</v>
      </c>
      <c r="AH39" s="308">
        <v>0</v>
      </c>
      <c r="AI39" s="308">
        <v>0</v>
      </c>
      <c r="AJ39" s="308">
        <v>0</v>
      </c>
      <c r="AK39" s="308">
        <v>0</v>
      </c>
      <c r="AL39" s="308">
        <v>0</v>
      </c>
      <c r="AM39" s="308">
        <v>0</v>
      </c>
      <c r="AN39" s="308">
        <v>0</v>
      </c>
      <c r="AO39" s="308">
        <v>0</v>
      </c>
      <c r="AP39" s="308">
        <v>0</v>
      </c>
      <c r="AQ39" s="308">
        <v>0</v>
      </c>
      <c r="AR39" s="308">
        <v>0</v>
      </c>
      <c r="AS39" s="308">
        <v>0</v>
      </c>
      <c r="AT39" s="308">
        <v>0</v>
      </c>
      <c r="AU39" s="308">
        <v>0</v>
      </c>
      <c r="AV39" s="308">
        <v>0</v>
      </c>
      <c r="AW39" s="308">
        <v>0</v>
      </c>
      <c r="AX39" s="308"/>
      <c r="AY39" s="308"/>
      <c r="AZ39" s="308">
        <v>0</v>
      </c>
      <c r="BA39" s="308">
        <v>0</v>
      </c>
      <c r="BB39" s="308">
        <v>0</v>
      </c>
      <c r="BC39" s="308">
        <v>0</v>
      </c>
      <c r="BD39" s="308">
        <v>0</v>
      </c>
      <c r="BE39" s="308">
        <v>0</v>
      </c>
      <c r="BF39" s="308">
        <v>0</v>
      </c>
      <c r="BG39" s="308">
        <v>0</v>
      </c>
    </row>
    <row r="40" spans="1:62" x14ac:dyDescent="0.3">
      <c r="A40" s="308" t="s">
        <v>857</v>
      </c>
      <c r="B40" s="308">
        <v>0</v>
      </c>
      <c r="C40" s="308">
        <v>0</v>
      </c>
      <c r="D40" s="308">
        <v>0</v>
      </c>
      <c r="E40" s="308">
        <v>22</v>
      </c>
      <c r="F40" s="308">
        <v>26</v>
      </c>
      <c r="G40" s="308">
        <v>30</v>
      </c>
      <c r="H40" s="308">
        <v>33</v>
      </c>
      <c r="I40" s="308">
        <v>21</v>
      </c>
      <c r="J40" s="308">
        <v>21</v>
      </c>
      <c r="K40" s="308">
        <v>21</v>
      </c>
      <c r="L40" s="308">
        <v>21</v>
      </c>
      <c r="M40" s="308">
        <v>0</v>
      </c>
      <c r="N40" s="308">
        <v>0</v>
      </c>
      <c r="O40" s="308">
        <v>0</v>
      </c>
      <c r="P40" s="308">
        <v>0</v>
      </c>
      <c r="Q40" s="308">
        <v>0</v>
      </c>
      <c r="R40" s="308">
        <v>0</v>
      </c>
      <c r="S40" s="308">
        <v>0</v>
      </c>
      <c r="T40" s="308">
        <v>0</v>
      </c>
      <c r="U40" s="308">
        <v>0</v>
      </c>
      <c r="V40" s="308">
        <v>0</v>
      </c>
      <c r="W40" s="308">
        <v>0</v>
      </c>
      <c r="X40" s="308">
        <v>0</v>
      </c>
      <c r="Y40" s="308">
        <v>0</v>
      </c>
      <c r="Z40" s="308">
        <v>0</v>
      </c>
      <c r="AA40" s="308">
        <v>0</v>
      </c>
      <c r="AB40" s="308">
        <v>0</v>
      </c>
      <c r="AC40" s="308">
        <v>0</v>
      </c>
      <c r="AD40" s="308">
        <v>0</v>
      </c>
      <c r="AE40" s="308">
        <v>0</v>
      </c>
      <c r="AF40" s="308">
        <v>0</v>
      </c>
      <c r="AG40" s="308">
        <v>0</v>
      </c>
      <c r="AH40" s="308">
        <v>0</v>
      </c>
      <c r="AI40" s="308">
        <v>0</v>
      </c>
      <c r="AJ40" s="308">
        <v>0</v>
      </c>
      <c r="AK40" s="308">
        <v>0</v>
      </c>
      <c r="AL40" s="308">
        <v>0</v>
      </c>
      <c r="AM40" s="308">
        <v>0</v>
      </c>
      <c r="AN40" s="308">
        <v>0</v>
      </c>
      <c r="AO40" s="308">
        <v>0</v>
      </c>
      <c r="AP40" s="308">
        <v>0</v>
      </c>
      <c r="AQ40" s="308">
        <v>0</v>
      </c>
      <c r="AR40" s="308">
        <v>0</v>
      </c>
      <c r="AS40" s="308">
        <v>0</v>
      </c>
      <c r="AT40" s="308">
        <v>0</v>
      </c>
      <c r="AU40" s="308">
        <v>0</v>
      </c>
      <c r="AV40" s="308">
        <v>0</v>
      </c>
      <c r="AW40" s="308">
        <v>0</v>
      </c>
      <c r="AX40" s="308"/>
      <c r="AY40" s="308"/>
      <c r="AZ40" s="308">
        <v>0</v>
      </c>
      <c r="BA40" s="308">
        <v>0</v>
      </c>
      <c r="BB40" s="308">
        <v>0</v>
      </c>
      <c r="BC40" s="308">
        <v>0</v>
      </c>
      <c r="BD40" s="308">
        <v>0</v>
      </c>
      <c r="BE40" s="308">
        <v>0</v>
      </c>
      <c r="BF40" s="308">
        <v>0</v>
      </c>
      <c r="BG40" s="308">
        <v>0</v>
      </c>
      <c r="BH40" s="309"/>
    </row>
    <row r="41" spans="1:62" ht="16.2" thickBot="1" x14ac:dyDescent="0.35">
      <c r="A41" s="310" t="s">
        <v>858</v>
      </c>
      <c r="B41" s="310">
        <v>0</v>
      </c>
      <c r="C41" s="310">
        <v>0</v>
      </c>
      <c r="D41" s="310">
        <v>0</v>
      </c>
      <c r="E41" s="310">
        <v>0</v>
      </c>
      <c r="F41" s="310">
        <v>0</v>
      </c>
      <c r="G41" s="310">
        <v>0</v>
      </c>
      <c r="H41" s="310">
        <v>0</v>
      </c>
      <c r="I41" s="310">
        <v>0</v>
      </c>
      <c r="J41" s="310">
        <v>0</v>
      </c>
      <c r="K41" s="310">
        <v>0</v>
      </c>
      <c r="L41" s="310">
        <v>0</v>
      </c>
      <c r="M41" s="310">
        <v>0</v>
      </c>
      <c r="N41" s="310">
        <v>0</v>
      </c>
      <c r="O41" s="310">
        <v>0</v>
      </c>
      <c r="P41" s="310">
        <v>0</v>
      </c>
      <c r="Q41" s="310">
        <v>0</v>
      </c>
      <c r="R41" s="310">
        <v>0</v>
      </c>
      <c r="S41" s="310">
        <v>0</v>
      </c>
      <c r="T41" s="310">
        <v>0</v>
      </c>
      <c r="U41" s="310">
        <v>0</v>
      </c>
      <c r="V41" s="310">
        <v>0</v>
      </c>
      <c r="W41" s="310">
        <v>0</v>
      </c>
      <c r="X41" s="310">
        <v>0</v>
      </c>
      <c r="Y41" s="310">
        <v>0</v>
      </c>
      <c r="Z41" s="310">
        <v>0</v>
      </c>
      <c r="AA41" s="310">
        <v>0</v>
      </c>
      <c r="AB41" s="310">
        <v>0</v>
      </c>
      <c r="AC41" s="310">
        <v>0</v>
      </c>
      <c r="AD41" s="310">
        <v>0</v>
      </c>
      <c r="AE41" s="310">
        <v>0</v>
      </c>
      <c r="AF41" s="310">
        <v>0</v>
      </c>
      <c r="AG41" s="310">
        <v>0</v>
      </c>
      <c r="AH41" s="310">
        <v>0</v>
      </c>
      <c r="AI41" s="310">
        <v>0</v>
      </c>
      <c r="AJ41" s="310">
        <v>0</v>
      </c>
      <c r="AK41" s="310">
        <v>0</v>
      </c>
      <c r="AL41" s="310">
        <v>0</v>
      </c>
      <c r="AM41" s="310">
        <v>0</v>
      </c>
      <c r="AN41" s="310">
        <v>0</v>
      </c>
      <c r="AO41" s="310">
        <v>0</v>
      </c>
      <c r="AP41" s="310">
        <v>0</v>
      </c>
      <c r="AQ41" s="310">
        <v>0</v>
      </c>
      <c r="AR41" s="310">
        <v>0</v>
      </c>
      <c r="AS41" s="310">
        <v>0</v>
      </c>
      <c r="AT41" s="310">
        <v>0</v>
      </c>
      <c r="AU41" s="310">
        <v>0</v>
      </c>
      <c r="AV41" s="310">
        <v>0</v>
      </c>
      <c r="AW41" s="310">
        <v>0</v>
      </c>
      <c r="AX41" s="310"/>
      <c r="AY41" s="310"/>
      <c r="AZ41" s="310">
        <v>0</v>
      </c>
      <c r="BA41" s="310">
        <v>0</v>
      </c>
      <c r="BB41" s="310">
        <v>0</v>
      </c>
      <c r="BC41" s="310">
        <v>0</v>
      </c>
      <c r="BD41" s="310">
        <v>0</v>
      </c>
      <c r="BE41" s="310">
        <v>0</v>
      </c>
      <c r="BF41" s="310">
        <v>0</v>
      </c>
      <c r="BG41" s="310">
        <v>0</v>
      </c>
    </row>
    <row r="42" spans="1:62" x14ac:dyDescent="0.3">
      <c r="A42" s="311" t="s">
        <v>0</v>
      </c>
      <c r="B42" s="311">
        <v>87</v>
      </c>
      <c r="C42" s="311">
        <v>106</v>
      </c>
      <c r="D42" s="311">
        <v>98</v>
      </c>
      <c r="E42" s="311">
        <v>82</v>
      </c>
      <c r="F42" s="311">
        <v>69</v>
      </c>
      <c r="G42" s="311">
        <v>65</v>
      </c>
      <c r="H42" s="311">
        <v>89</v>
      </c>
      <c r="I42" s="311">
        <v>70</v>
      </c>
      <c r="J42" s="311">
        <v>51</v>
      </c>
      <c r="K42" s="311">
        <v>95</v>
      </c>
      <c r="L42" s="311">
        <v>60</v>
      </c>
      <c r="M42" s="311">
        <v>64</v>
      </c>
      <c r="N42" s="311">
        <v>93</v>
      </c>
      <c r="O42" s="311">
        <v>76</v>
      </c>
      <c r="P42" s="311">
        <v>78</v>
      </c>
      <c r="Q42" s="311">
        <v>62</v>
      </c>
      <c r="R42" s="311">
        <v>0</v>
      </c>
      <c r="S42" s="311">
        <v>0</v>
      </c>
      <c r="T42" s="311">
        <v>0</v>
      </c>
      <c r="U42" s="311">
        <v>0</v>
      </c>
      <c r="V42" s="311">
        <v>0</v>
      </c>
      <c r="W42" s="311">
        <v>0</v>
      </c>
      <c r="X42" s="311">
        <v>0</v>
      </c>
      <c r="Y42" s="311">
        <v>0</v>
      </c>
      <c r="Z42" s="311">
        <v>0</v>
      </c>
      <c r="AA42" s="311">
        <v>5</v>
      </c>
      <c r="AB42" s="311">
        <v>0</v>
      </c>
      <c r="AC42" s="311">
        <v>0</v>
      </c>
      <c r="AD42" s="311">
        <v>0</v>
      </c>
      <c r="AE42" s="311">
        <v>0</v>
      </c>
      <c r="AF42" s="311">
        <v>2</v>
      </c>
      <c r="AG42" s="311">
        <v>0</v>
      </c>
      <c r="AH42" s="311">
        <v>2</v>
      </c>
      <c r="AI42" s="311">
        <v>3</v>
      </c>
      <c r="AJ42" s="311">
        <v>0</v>
      </c>
      <c r="AK42" s="311">
        <v>0</v>
      </c>
      <c r="AL42" s="311">
        <v>0</v>
      </c>
      <c r="AM42" s="311">
        <v>0</v>
      </c>
      <c r="AN42" s="311">
        <v>0</v>
      </c>
      <c r="AO42" s="311">
        <v>0</v>
      </c>
      <c r="AP42" s="311">
        <v>0</v>
      </c>
      <c r="AQ42" s="311">
        <v>0</v>
      </c>
      <c r="AR42" s="311">
        <v>0</v>
      </c>
      <c r="AS42" s="311">
        <v>0</v>
      </c>
      <c r="AT42" s="311">
        <v>0</v>
      </c>
      <c r="AU42" s="311">
        <v>0</v>
      </c>
      <c r="AV42" s="311">
        <v>0</v>
      </c>
      <c r="AW42" s="311">
        <v>0</v>
      </c>
      <c r="AX42" s="311"/>
      <c r="AY42" s="311"/>
      <c r="AZ42" s="311">
        <v>0</v>
      </c>
      <c r="BA42" s="311">
        <v>0</v>
      </c>
      <c r="BB42" s="311">
        <v>0</v>
      </c>
      <c r="BC42" s="311">
        <v>0</v>
      </c>
      <c r="BD42" s="311">
        <v>0</v>
      </c>
      <c r="BE42" s="311">
        <v>0</v>
      </c>
      <c r="BF42" s="311">
        <v>0</v>
      </c>
      <c r="BG42" s="311">
        <v>0</v>
      </c>
    </row>
    <row r="43" spans="1:62" x14ac:dyDescent="0.3">
      <c r="A43" s="306" t="s">
        <v>0</v>
      </c>
      <c r="B43" s="307"/>
      <c r="C43" s="307"/>
      <c r="D43" s="307"/>
      <c r="E43" s="307"/>
      <c r="F43" s="307"/>
      <c r="G43" s="307"/>
      <c r="H43" s="307"/>
      <c r="I43" s="307"/>
      <c r="J43" s="307"/>
      <c r="K43" s="307"/>
      <c r="L43" s="307"/>
      <c r="M43" s="307"/>
      <c r="N43" s="307"/>
      <c r="O43" s="307"/>
      <c r="P43" s="307"/>
      <c r="Q43" s="307"/>
      <c r="R43" s="307"/>
      <c r="S43" s="307"/>
      <c r="T43" s="307"/>
      <c r="U43" s="307"/>
      <c r="V43" s="307"/>
      <c r="W43" s="307"/>
      <c r="X43" s="307"/>
      <c r="Y43" s="307"/>
      <c r="Z43" s="307"/>
      <c r="AA43" s="307"/>
      <c r="AB43" s="307"/>
      <c r="AC43" s="307"/>
      <c r="AD43" s="307"/>
      <c r="AE43" s="307"/>
      <c r="AF43" s="307"/>
      <c r="AG43" s="307"/>
      <c r="AH43" s="307"/>
      <c r="AI43" s="307"/>
      <c r="AJ43" s="307"/>
      <c r="AK43" s="307"/>
      <c r="AL43" s="307"/>
      <c r="AM43" s="307"/>
      <c r="AN43" s="307"/>
      <c r="AO43" s="307"/>
      <c r="AP43" s="307"/>
      <c r="AQ43" s="307"/>
      <c r="AR43" s="307"/>
      <c r="AS43" s="307"/>
      <c r="AT43" s="307"/>
      <c r="AU43" s="307"/>
      <c r="AV43" s="307"/>
      <c r="AW43" s="307"/>
      <c r="AX43" s="307"/>
      <c r="AY43" s="307"/>
      <c r="AZ43" s="307"/>
      <c r="BA43" s="307"/>
      <c r="BB43" s="307"/>
      <c r="BC43" s="307"/>
      <c r="BD43" s="307"/>
      <c r="BE43" s="307"/>
      <c r="BF43" s="307"/>
      <c r="BG43" s="307"/>
    </row>
    <row r="44" spans="1:62" x14ac:dyDescent="0.3">
      <c r="A44" s="308" t="s">
        <v>855</v>
      </c>
      <c r="B44" s="308">
        <f t="shared" ref="B44:BG47" si="3">SUM(B20,B26,B32,B38)</f>
        <v>14505</v>
      </c>
      <c r="C44" s="308">
        <f t="shared" si="3"/>
        <v>13712</v>
      </c>
      <c r="D44" s="308">
        <f t="shared" si="3"/>
        <v>13213</v>
      </c>
      <c r="E44" s="308">
        <f t="shared" si="3"/>
        <v>12747</v>
      </c>
      <c r="F44" s="308">
        <f t="shared" si="3"/>
        <v>11954</v>
      </c>
      <c r="G44" s="308">
        <f t="shared" si="3"/>
        <v>12286</v>
      </c>
      <c r="H44" s="308">
        <f>SUM(H20,H26,H32,H38)</f>
        <v>12092</v>
      </c>
      <c r="I44" s="308">
        <f t="shared" si="3"/>
        <v>11232</v>
      </c>
      <c r="J44" s="308">
        <f t="shared" si="3"/>
        <v>11027</v>
      </c>
      <c r="K44" s="308">
        <f t="shared" si="3"/>
        <v>11457</v>
      </c>
      <c r="L44" s="308">
        <f t="shared" si="3"/>
        <v>11561</v>
      </c>
      <c r="M44" s="308">
        <f t="shared" si="3"/>
        <v>11418</v>
      </c>
      <c r="N44" s="308">
        <f t="shared" si="3"/>
        <v>10724</v>
      </c>
      <c r="O44" s="308">
        <f t="shared" si="3"/>
        <v>10978</v>
      </c>
      <c r="P44" s="308">
        <f t="shared" si="3"/>
        <v>10404</v>
      </c>
      <c r="Q44" s="308">
        <f t="shared" si="3"/>
        <v>10419</v>
      </c>
      <c r="R44" s="308">
        <f t="shared" si="3"/>
        <v>11715</v>
      </c>
      <c r="S44" s="308">
        <f t="shared" si="3"/>
        <v>12278</v>
      </c>
      <c r="T44" s="308">
        <f t="shared" si="3"/>
        <v>13390</v>
      </c>
      <c r="U44" s="308">
        <f t="shared" si="3"/>
        <v>15428</v>
      </c>
      <c r="V44" s="308">
        <f t="shared" si="3"/>
        <v>19339</v>
      </c>
      <c r="W44" s="308">
        <f t="shared" si="3"/>
        <v>22340</v>
      </c>
      <c r="X44" s="308">
        <f t="shared" si="3"/>
        <v>25016</v>
      </c>
      <c r="Y44" s="308">
        <f t="shared" si="3"/>
        <v>25982</v>
      </c>
      <c r="Z44" s="308">
        <f t="shared" si="3"/>
        <v>26124</v>
      </c>
      <c r="AA44" s="308">
        <f t="shared" si="3"/>
        <v>24432</v>
      </c>
      <c r="AB44" s="308">
        <f t="shared" si="3"/>
        <v>24808</v>
      </c>
      <c r="AC44" s="308">
        <f t="shared" si="3"/>
        <v>22935</v>
      </c>
      <c r="AD44" s="308">
        <f t="shared" si="3"/>
        <v>21236</v>
      </c>
      <c r="AE44" s="308">
        <f t="shared" si="3"/>
        <v>20892</v>
      </c>
      <c r="AF44" s="308">
        <f t="shared" si="3"/>
        <v>22902</v>
      </c>
      <c r="AG44" s="308">
        <f t="shared" si="3"/>
        <v>23522</v>
      </c>
      <c r="AH44" s="308">
        <f t="shared" si="3"/>
        <v>24642</v>
      </c>
      <c r="AI44" s="308">
        <f t="shared" si="3"/>
        <v>23034</v>
      </c>
      <c r="AJ44" s="308">
        <f t="shared" si="3"/>
        <v>22085</v>
      </c>
      <c r="AK44" s="308">
        <f t="shared" si="3"/>
        <v>21569</v>
      </c>
      <c r="AL44" s="308">
        <f t="shared" si="3"/>
        <v>20287</v>
      </c>
      <c r="AM44" s="308">
        <f t="shared" si="3"/>
        <v>21472</v>
      </c>
      <c r="AN44" s="308">
        <f t="shared" si="3"/>
        <v>20192</v>
      </c>
      <c r="AO44" s="308">
        <f t="shared" si="3"/>
        <v>18647</v>
      </c>
      <c r="AP44" s="308">
        <f t="shared" si="3"/>
        <v>20581</v>
      </c>
      <c r="AQ44" s="308">
        <f t="shared" si="3"/>
        <v>20103</v>
      </c>
      <c r="AR44" s="308">
        <f t="shared" si="3"/>
        <v>18669</v>
      </c>
      <c r="AS44" s="308">
        <f t="shared" si="3"/>
        <v>21278</v>
      </c>
      <c r="AT44" s="308">
        <f t="shared" si="3"/>
        <v>23591</v>
      </c>
      <c r="AU44" s="308">
        <f t="shared" si="3"/>
        <v>25667</v>
      </c>
      <c r="AV44" s="308">
        <f t="shared" si="3"/>
        <v>24212</v>
      </c>
      <c r="AW44" s="308">
        <f t="shared" si="3"/>
        <v>23877</v>
      </c>
      <c r="AX44" s="308">
        <f t="shared" si="3"/>
        <v>22956</v>
      </c>
      <c r="AY44" s="308">
        <f t="shared" si="3"/>
        <v>23039</v>
      </c>
      <c r="AZ44" s="308">
        <f t="shared" si="3"/>
        <v>25299</v>
      </c>
      <c r="BA44" s="308">
        <f t="shared" si="3"/>
        <v>26506</v>
      </c>
      <c r="BB44" s="308">
        <f t="shared" si="3"/>
        <v>25236</v>
      </c>
      <c r="BC44" s="308">
        <f t="shared" si="3"/>
        <v>25522</v>
      </c>
      <c r="BD44" s="308">
        <f t="shared" si="3"/>
        <v>27759</v>
      </c>
      <c r="BE44" s="308">
        <f t="shared" si="3"/>
        <v>30366</v>
      </c>
      <c r="BF44" s="308">
        <f t="shared" si="3"/>
        <v>30596</v>
      </c>
      <c r="BG44" s="308">
        <f t="shared" si="3"/>
        <v>0</v>
      </c>
    </row>
    <row r="45" spans="1:62" x14ac:dyDescent="0.3">
      <c r="A45" s="308" t="s">
        <v>856</v>
      </c>
      <c r="B45" s="308">
        <f t="shared" si="3"/>
        <v>5219</v>
      </c>
      <c r="C45" s="308">
        <f t="shared" si="3"/>
        <v>5107</v>
      </c>
      <c r="D45" s="308">
        <f t="shared" si="3"/>
        <v>5155</v>
      </c>
      <c r="E45" s="308">
        <f t="shared" si="3"/>
        <v>5030</v>
      </c>
      <c r="F45" s="308">
        <f t="shared" si="3"/>
        <v>5051</v>
      </c>
      <c r="G45" s="308">
        <f t="shared" si="3"/>
        <v>4388</v>
      </c>
      <c r="H45" s="308">
        <f t="shared" si="3"/>
        <v>3706</v>
      </c>
      <c r="I45" s="308">
        <f t="shared" si="3"/>
        <v>2940</v>
      </c>
      <c r="J45" s="308">
        <f t="shared" si="3"/>
        <v>2537</v>
      </c>
      <c r="K45" s="308">
        <f t="shared" si="3"/>
        <v>2276</v>
      </c>
      <c r="L45" s="308">
        <f t="shared" si="3"/>
        <v>1985</v>
      </c>
      <c r="M45" s="308">
        <f t="shared" si="3"/>
        <v>1796</v>
      </c>
      <c r="N45" s="308">
        <f t="shared" si="3"/>
        <v>1617</v>
      </c>
      <c r="O45" s="308">
        <f t="shared" si="3"/>
        <v>1494</v>
      </c>
      <c r="P45" s="308">
        <f t="shared" si="3"/>
        <v>1384</v>
      </c>
      <c r="Q45" s="308">
        <f t="shared" si="3"/>
        <v>1288</v>
      </c>
      <c r="R45" s="308">
        <f t="shared" si="3"/>
        <v>1147</v>
      </c>
      <c r="S45" s="308">
        <f t="shared" si="3"/>
        <v>996</v>
      </c>
      <c r="T45" s="308">
        <f t="shared" si="3"/>
        <v>942</v>
      </c>
      <c r="U45" s="308">
        <f t="shared" si="3"/>
        <v>894</v>
      </c>
      <c r="V45" s="308">
        <f t="shared" si="3"/>
        <v>869</v>
      </c>
      <c r="W45" s="308">
        <f t="shared" si="3"/>
        <v>874</v>
      </c>
      <c r="X45" s="308">
        <f t="shared" si="3"/>
        <v>896</v>
      </c>
      <c r="Y45" s="308">
        <f t="shared" si="3"/>
        <v>876</v>
      </c>
      <c r="Z45" s="308">
        <f t="shared" si="3"/>
        <v>822</v>
      </c>
      <c r="AA45" s="308">
        <f t="shared" si="3"/>
        <v>761</v>
      </c>
      <c r="AB45" s="308">
        <f t="shared" si="3"/>
        <v>709</v>
      </c>
      <c r="AC45" s="308">
        <f t="shared" si="3"/>
        <v>693</v>
      </c>
      <c r="AD45" s="308">
        <f t="shared" si="3"/>
        <v>711</v>
      </c>
      <c r="AE45" s="308">
        <f t="shared" si="3"/>
        <v>703</v>
      </c>
      <c r="AF45" s="308">
        <f t="shared" si="3"/>
        <v>428</v>
      </c>
      <c r="AG45" s="308">
        <f t="shared" si="3"/>
        <v>455</v>
      </c>
      <c r="AH45" s="308">
        <f t="shared" si="3"/>
        <v>468</v>
      </c>
      <c r="AI45" s="308">
        <f t="shared" si="3"/>
        <v>496</v>
      </c>
      <c r="AJ45" s="308">
        <f t="shared" si="3"/>
        <v>499</v>
      </c>
      <c r="AK45" s="308">
        <f t="shared" si="3"/>
        <v>538</v>
      </c>
      <c r="AL45" s="308">
        <f t="shared" si="3"/>
        <v>595</v>
      </c>
      <c r="AM45" s="308">
        <f t="shared" si="3"/>
        <v>662</v>
      </c>
      <c r="AN45" s="308">
        <f t="shared" si="3"/>
        <v>682</v>
      </c>
      <c r="AO45" s="308">
        <f t="shared" si="3"/>
        <v>677</v>
      </c>
      <c r="AP45" s="308">
        <f t="shared" si="3"/>
        <v>660</v>
      </c>
      <c r="AQ45" s="308">
        <f t="shared" si="3"/>
        <v>665</v>
      </c>
      <c r="AR45" s="308">
        <f t="shared" si="3"/>
        <v>649</v>
      </c>
      <c r="AS45" s="308">
        <f t="shared" si="3"/>
        <v>620</v>
      </c>
      <c r="AT45" s="308">
        <f t="shared" si="3"/>
        <v>646</v>
      </c>
      <c r="AU45" s="308">
        <f t="shared" si="3"/>
        <v>675</v>
      </c>
      <c r="AV45" s="308">
        <f t="shared" si="3"/>
        <v>671</v>
      </c>
      <c r="AW45" s="308">
        <f t="shared" si="3"/>
        <v>667</v>
      </c>
      <c r="AX45" s="308">
        <f t="shared" si="3"/>
        <v>678</v>
      </c>
      <c r="AY45" s="308">
        <f t="shared" si="3"/>
        <v>687</v>
      </c>
      <c r="AZ45" s="308">
        <f t="shared" si="3"/>
        <v>685</v>
      </c>
      <c r="BA45" s="308">
        <f t="shared" si="3"/>
        <v>677</v>
      </c>
      <c r="BB45" s="308">
        <f t="shared" si="3"/>
        <v>756</v>
      </c>
      <c r="BC45" s="308">
        <f t="shared" si="3"/>
        <v>815</v>
      </c>
      <c r="BD45" s="308">
        <f t="shared" si="3"/>
        <v>855</v>
      </c>
      <c r="BE45" s="308">
        <f t="shared" si="3"/>
        <v>982</v>
      </c>
      <c r="BF45" s="308">
        <f t="shared" si="3"/>
        <v>1017</v>
      </c>
      <c r="BG45" s="308">
        <f t="shared" si="3"/>
        <v>0</v>
      </c>
    </row>
    <row r="46" spans="1:62" x14ac:dyDescent="0.3">
      <c r="A46" s="308" t="s">
        <v>857</v>
      </c>
      <c r="B46" s="308">
        <f t="shared" si="3"/>
        <v>2553</v>
      </c>
      <c r="C46" s="308">
        <f t="shared" si="3"/>
        <v>2676</v>
      </c>
      <c r="D46" s="308">
        <f t="shared" si="3"/>
        <v>2701</v>
      </c>
      <c r="E46" s="308">
        <f t="shared" si="3"/>
        <v>2836</v>
      </c>
      <c r="F46" s="308">
        <f t="shared" si="3"/>
        <v>2885</v>
      </c>
      <c r="G46" s="308">
        <f t="shared" si="3"/>
        <v>2869</v>
      </c>
      <c r="H46" s="308">
        <f t="shared" si="3"/>
        <v>2845</v>
      </c>
      <c r="I46" s="308">
        <f t="shared" si="3"/>
        <v>2749</v>
      </c>
      <c r="J46" s="308">
        <f t="shared" si="3"/>
        <v>2665</v>
      </c>
      <c r="K46" s="308">
        <f t="shared" si="3"/>
        <v>2599</v>
      </c>
      <c r="L46" s="308">
        <f t="shared" si="3"/>
        <v>2395</v>
      </c>
      <c r="M46" s="308">
        <f t="shared" si="3"/>
        <v>2235</v>
      </c>
      <c r="N46" s="308">
        <f t="shared" si="3"/>
        <v>2131</v>
      </c>
      <c r="O46" s="308">
        <f t="shared" si="3"/>
        <v>2049</v>
      </c>
      <c r="P46" s="308">
        <f t="shared" si="3"/>
        <v>1925</v>
      </c>
      <c r="Q46" s="308">
        <f t="shared" si="3"/>
        <v>1892</v>
      </c>
      <c r="R46" s="308">
        <f t="shared" si="3"/>
        <v>1590</v>
      </c>
      <c r="S46" s="308">
        <f t="shared" si="3"/>
        <v>1019</v>
      </c>
      <c r="T46" s="308">
        <f t="shared" si="3"/>
        <v>788</v>
      </c>
      <c r="U46" s="308">
        <f t="shared" si="3"/>
        <v>676</v>
      </c>
      <c r="V46" s="308">
        <f t="shared" si="3"/>
        <v>637</v>
      </c>
      <c r="W46" s="308">
        <f t="shared" si="3"/>
        <v>568</v>
      </c>
      <c r="X46" s="308">
        <f t="shared" si="3"/>
        <v>534</v>
      </c>
      <c r="Y46" s="308">
        <f t="shared" si="3"/>
        <v>498</v>
      </c>
      <c r="Z46" s="308">
        <f t="shared" si="3"/>
        <v>469</v>
      </c>
      <c r="AA46" s="308">
        <f t="shared" si="3"/>
        <v>459</v>
      </c>
      <c r="AB46" s="308">
        <f t="shared" si="3"/>
        <v>449</v>
      </c>
      <c r="AC46" s="308">
        <f t="shared" si="3"/>
        <v>440</v>
      </c>
      <c r="AD46" s="308">
        <f t="shared" si="3"/>
        <v>438</v>
      </c>
      <c r="AE46" s="308">
        <f t="shared" si="3"/>
        <v>422</v>
      </c>
      <c r="AF46" s="308">
        <f t="shared" si="3"/>
        <v>250</v>
      </c>
      <c r="AG46" s="308">
        <f t="shared" si="3"/>
        <v>246</v>
      </c>
      <c r="AH46" s="308">
        <f t="shared" si="3"/>
        <v>238</v>
      </c>
      <c r="AI46" s="308">
        <f t="shared" si="3"/>
        <v>243</v>
      </c>
      <c r="AJ46" s="308">
        <f t="shared" si="3"/>
        <v>229</v>
      </c>
      <c r="AK46" s="308">
        <f t="shared" si="3"/>
        <v>232</v>
      </c>
      <c r="AL46" s="308">
        <f t="shared" si="3"/>
        <v>223</v>
      </c>
      <c r="AM46" s="308">
        <f t="shared" si="3"/>
        <v>225</v>
      </c>
      <c r="AN46" s="308">
        <f t="shared" si="3"/>
        <v>212</v>
      </c>
      <c r="AO46" s="308">
        <f t="shared" si="3"/>
        <v>206</v>
      </c>
      <c r="AP46" s="308">
        <f t="shared" si="3"/>
        <v>193</v>
      </c>
      <c r="AQ46" s="308">
        <f t="shared" si="3"/>
        <v>179</v>
      </c>
      <c r="AR46" s="308">
        <f t="shared" si="3"/>
        <v>167</v>
      </c>
      <c r="AS46" s="308">
        <f t="shared" si="3"/>
        <v>159</v>
      </c>
      <c r="AT46" s="308">
        <f t="shared" si="3"/>
        <v>159</v>
      </c>
      <c r="AU46" s="308">
        <f t="shared" si="3"/>
        <v>152</v>
      </c>
      <c r="AV46" s="308">
        <f t="shared" si="3"/>
        <v>164</v>
      </c>
      <c r="AW46" s="308">
        <f t="shared" si="3"/>
        <v>169</v>
      </c>
      <c r="AX46" s="308">
        <f t="shared" si="3"/>
        <v>192</v>
      </c>
      <c r="AY46" s="308">
        <f t="shared" si="3"/>
        <v>201</v>
      </c>
      <c r="AZ46" s="308">
        <f t="shared" si="3"/>
        <v>201</v>
      </c>
      <c r="BA46" s="308">
        <f t="shared" si="3"/>
        <v>201</v>
      </c>
      <c r="BB46" s="308">
        <f t="shared" si="3"/>
        <v>214</v>
      </c>
      <c r="BC46" s="308">
        <f t="shared" si="3"/>
        <v>224</v>
      </c>
      <c r="BD46" s="308">
        <f t="shared" si="3"/>
        <v>224</v>
      </c>
      <c r="BE46" s="308">
        <f t="shared" si="3"/>
        <v>225</v>
      </c>
      <c r="BF46" s="308">
        <f t="shared" si="3"/>
        <v>226</v>
      </c>
      <c r="BG46" s="308">
        <f t="shared" si="3"/>
        <v>0</v>
      </c>
    </row>
    <row r="47" spans="1:62" ht="16.2" thickBot="1" x14ac:dyDescent="0.35">
      <c r="A47" s="310" t="s">
        <v>858</v>
      </c>
      <c r="B47" s="310">
        <f t="shared" si="3"/>
        <v>433</v>
      </c>
      <c r="C47" s="310">
        <f t="shared" si="3"/>
        <v>446</v>
      </c>
      <c r="D47" s="310">
        <f t="shared" si="3"/>
        <v>444</v>
      </c>
      <c r="E47" s="310">
        <f t="shared" si="3"/>
        <v>470</v>
      </c>
      <c r="F47" s="310">
        <f t="shared" si="3"/>
        <v>448</v>
      </c>
      <c r="G47" s="310">
        <f t="shared" si="3"/>
        <v>443</v>
      </c>
      <c r="H47" s="310">
        <f t="shared" si="3"/>
        <v>452</v>
      </c>
      <c r="I47" s="310">
        <f t="shared" si="3"/>
        <v>432</v>
      </c>
      <c r="J47" s="310">
        <f t="shared" si="3"/>
        <v>412</v>
      </c>
      <c r="K47" s="310">
        <f t="shared" si="3"/>
        <v>387</v>
      </c>
      <c r="L47" s="310">
        <f t="shared" si="3"/>
        <v>370</v>
      </c>
      <c r="M47" s="310">
        <f t="shared" si="3"/>
        <v>370</v>
      </c>
      <c r="N47" s="310">
        <f t="shared" si="3"/>
        <v>371</v>
      </c>
      <c r="O47" s="310">
        <f t="shared" si="3"/>
        <v>361</v>
      </c>
      <c r="P47" s="310">
        <f t="shared" si="3"/>
        <v>353</v>
      </c>
      <c r="Q47" s="310">
        <f t="shared" si="3"/>
        <v>340</v>
      </c>
      <c r="R47" s="310">
        <f t="shared" si="3"/>
        <v>322</v>
      </c>
      <c r="S47" s="310">
        <f t="shared" si="3"/>
        <v>267</v>
      </c>
      <c r="T47" s="310">
        <f t="shared" si="3"/>
        <v>229</v>
      </c>
      <c r="U47" s="310">
        <f t="shared" si="3"/>
        <v>215</v>
      </c>
      <c r="V47" s="310">
        <f t="shared" si="3"/>
        <v>206</v>
      </c>
      <c r="W47" s="310">
        <f t="shared" si="3"/>
        <v>212</v>
      </c>
      <c r="X47" s="310">
        <f t="shared" si="3"/>
        <v>210</v>
      </c>
      <c r="Y47" s="310">
        <f t="shared" si="3"/>
        <v>207</v>
      </c>
      <c r="Z47" s="310">
        <f t="shared" si="3"/>
        <v>201</v>
      </c>
      <c r="AA47" s="310">
        <f t="shared" si="3"/>
        <v>200</v>
      </c>
      <c r="AB47" s="310">
        <f t="shared" si="3"/>
        <v>196</v>
      </c>
      <c r="AC47" s="310">
        <f t="shared" si="3"/>
        <v>193</v>
      </c>
      <c r="AD47" s="310">
        <f t="shared" si="3"/>
        <v>192</v>
      </c>
      <c r="AE47" s="310">
        <f t="shared" si="3"/>
        <v>203</v>
      </c>
      <c r="AF47" s="310">
        <f t="shared" si="3"/>
        <v>95</v>
      </c>
      <c r="AG47" s="310">
        <f t="shared" si="3"/>
        <v>95</v>
      </c>
      <c r="AH47" s="310">
        <f t="shared" si="3"/>
        <v>96</v>
      </c>
      <c r="AI47" s="310">
        <f t="shared" si="3"/>
        <v>98</v>
      </c>
      <c r="AJ47" s="310">
        <f t="shared" si="3"/>
        <v>90</v>
      </c>
      <c r="AK47" s="310">
        <f t="shared" si="3"/>
        <v>95</v>
      </c>
      <c r="AL47" s="310">
        <f t="shared" si="3"/>
        <v>93</v>
      </c>
      <c r="AM47" s="310">
        <f t="shared" si="3"/>
        <v>93</v>
      </c>
      <c r="AN47" s="310">
        <f t="shared" si="3"/>
        <v>87</v>
      </c>
      <c r="AO47" s="310">
        <f t="shared" si="3"/>
        <v>87</v>
      </c>
      <c r="AP47" s="310">
        <f t="shared" si="3"/>
        <v>81</v>
      </c>
      <c r="AQ47" s="310">
        <f t="shared" si="3"/>
        <v>81</v>
      </c>
      <c r="AR47" s="310">
        <f t="shared" si="3"/>
        <v>82</v>
      </c>
      <c r="AS47" s="310">
        <f t="shared" si="3"/>
        <v>78</v>
      </c>
      <c r="AT47" s="310">
        <f t="shared" si="3"/>
        <v>76</v>
      </c>
      <c r="AU47" s="310">
        <f t="shared" si="3"/>
        <v>73</v>
      </c>
      <c r="AV47" s="310">
        <f t="shared" si="3"/>
        <v>70</v>
      </c>
      <c r="AW47" s="310">
        <f t="shared" si="3"/>
        <v>76</v>
      </c>
      <c r="AX47" s="310">
        <f t="shared" si="3"/>
        <v>74</v>
      </c>
      <c r="AY47" s="310">
        <f t="shared" si="3"/>
        <v>73</v>
      </c>
      <c r="AZ47" s="310">
        <f t="shared" si="3"/>
        <v>76</v>
      </c>
      <c r="BA47" s="310">
        <f t="shared" si="3"/>
        <v>73</v>
      </c>
      <c r="BB47" s="310">
        <f t="shared" si="3"/>
        <v>71</v>
      </c>
      <c r="BC47" s="310">
        <f t="shared" si="3"/>
        <v>71</v>
      </c>
      <c r="BD47" s="310">
        <f t="shared" si="3"/>
        <v>75</v>
      </c>
      <c r="BE47" s="310">
        <f t="shared" si="3"/>
        <v>74</v>
      </c>
      <c r="BF47" s="310">
        <f t="shared" si="3"/>
        <v>72</v>
      </c>
      <c r="BG47" s="310">
        <f t="shared" si="3"/>
        <v>0</v>
      </c>
    </row>
    <row r="48" spans="1:62" x14ac:dyDescent="0.3">
      <c r="A48" s="311" t="s">
        <v>0</v>
      </c>
      <c r="B48" s="311">
        <f t="shared" ref="B48:N48" si="4">SUM(B44:B47)</f>
        <v>22710</v>
      </c>
      <c r="C48" s="311">
        <f t="shared" si="4"/>
        <v>21941</v>
      </c>
      <c r="D48" s="311">
        <f t="shared" si="4"/>
        <v>21513</v>
      </c>
      <c r="E48" s="311">
        <f t="shared" si="4"/>
        <v>21083</v>
      </c>
      <c r="F48" s="311">
        <f t="shared" si="4"/>
        <v>20338</v>
      </c>
      <c r="G48" s="311">
        <f t="shared" si="4"/>
        <v>19986</v>
      </c>
      <c r="H48" s="311">
        <f t="shared" si="4"/>
        <v>19095</v>
      </c>
      <c r="I48" s="311">
        <f t="shared" si="4"/>
        <v>17353</v>
      </c>
      <c r="J48" s="311">
        <f t="shared" si="4"/>
        <v>16641</v>
      </c>
      <c r="K48" s="311">
        <f t="shared" si="4"/>
        <v>16719</v>
      </c>
      <c r="L48" s="311">
        <f t="shared" si="4"/>
        <v>16311</v>
      </c>
      <c r="M48" s="311">
        <f t="shared" si="4"/>
        <v>15819</v>
      </c>
      <c r="N48" s="311">
        <f t="shared" si="4"/>
        <v>14843</v>
      </c>
      <c r="O48" s="311">
        <f t="shared" ref="O48:BG48" si="5">SUM(O44:O47)</f>
        <v>14882</v>
      </c>
      <c r="P48" s="311">
        <f t="shared" si="5"/>
        <v>14066</v>
      </c>
      <c r="Q48" s="311">
        <f t="shared" si="5"/>
        <v>13939</v>
      </c>
      <c r="R48" s="311">
        <f t="shared" si="5"/>
        <v>14774</v>
      </c>
      <c r="S48" s="311">
        <f t="shared" si="5"/>
        <v>14560</v>
      </c>
      <c r="T48" s="311">
        <f t="shared" si="5"/>
        <v>15349</v>
      </c>
      <c r="U48" s="311">
        <f t="shared" si="5"/>
        <v>17213</v>
      </c>
      <c r="V48" s="311">
        <f t="shared" si="5"/>
        <v>21051</v>
      </c>
      <c r="W48" s="311">
        <f t="shared" si="5"/>
        <v>23994</v>
      </c>
      <c r="X48" s="311">
        <f t="shared" si="5"/>
        <v>26656</v>
      </c>
      <c r="Y48" s="311">
        <f t="shared" si="5"/>
        <v>27563</v>
      </c>
      <c r="Z48" s="311">
        <f t="shared" si="5"/>
        <v>27616</v>
      </c>
      <c r="AA48" s="311">
        <f t="shared" si="5"/>
        <v>25852</v>
      </c>
      <c r="AB48" s="311">
        <f t="shared" si="5"/>
        <v>26162</v>
      </c>
      <c r="AC48" s="311">
        <f t="shared" si="5"/>
        <v>24261</v>
      </c>
      <c r="AD48" s="311">
        <f t="shared" si="5"/>
        <v>22577</v>
      </c>
      <c r="AE48" s="311">
        <f t="shared" si="5"/>
        <v>22220</v>
      </c>
      <c r="AF48" s="311">
        <f t="shared" si="5"/>
        <v>23675</v>
      </c>
      <c r="AG48" s="311">
        <f t="shared" si="5"/>
        <v>24318</v>
      </c>
      <c r="AH48" s="311">
        <f t="shared" si="5"/>
        <v>25444</v>
      </c>
      <c r="AI48" s="311">
        <f t="shared" si="5"/>
        <v>23871</v>
      </c>
      <c r="AJ48" s="311">
        <f t="shared" si="5"/>
        <v>22903</v>
      </c>
      <c r="AK48" s="311">
        <f t="shared" si="5"/>
        <v>22434</v>
      </c>
      <c r="AL48" s="311">
        <f t="shared" si="5"/>
        <v>21198</v>
      </c>
      <c r="AM48" s="311">
        <f t="shared" si="5"/>
        <v>22452</v>
      </c>
      <c r="AN48" s="311">
        <f t="shared" si="5"/>
        <v>21173</v>
      </c>
      <c r="AO48" s="311">
        <f t="shared" si="5"/>
        <v>19617</v>
      </c>
      <c r="AP48" s="311">
        <f t="shared" si="5"/>
        <v>21515</v>
      </c>
      <c r="AQ48" s="311">
        <f t="shared" si="5"/>
        <v>21028</v>
      </c>
      <c r="AR48" s="311">
        <f t="shared" si="5"/>
        <v>19567</v>
      </c>
      <c r="AS48" s="311">
        <f t="shared" si="5"/>
        <v>22135</v>
      </c>
      <c r="AT48" s="311">
        <f t="shared" si="5"/>
        <v>24472</v>
      </c>
      <c r="AU48" s="311">
        <f t="shared" si="5"/>
        <v>26567</v>
      </c>
      <c r="AV48" s="311">
        <f t="shared" si="5"/>
        <v>25117</v>
      </c>
      <c r="AW48" s="311">
        <f t="shared" si="5"/>
        <v>24789</v>
      </c>
      <c r="AX48" s="311">
        <f t="shared" si="5"/>
        <v>23900</v>
      </c>
      <c r="AY48" s="311">
        <f t="shared" si="5"/>
        <v>24000</v>
      </c>
      <c r="AZ48" s="311">
        <f t="shared" si="5"/>
        <v>26261</v>
      </c>
      <c r="BA48" s="311">
        <f t="shared" si="5"/>
        <v>27457</v>
      </c>
      <c r="BB48" s="311">
        <f t="shared" si="5"/>
        <v>26277</v>
      </c>
      <c r="BC48" s="311">
        <f t="shared" si="5"/>
        <v>26632</v>
      </c>
      <c r="BD48" s="311">
        <f t="shared" si="5"/>
        <v>28913</v>
      </c>
      <c r="BE48" s="311">
        <f t="shared" si="5"/>
        <v>31647</v>
      </c>
      <c r="BF48" s="311">
        <f t="shared" si="5"/>
        <v>31911</v>
      </c>
      <c r="BG48" s="311">
        <f t="shared" si="5"/>
        <v>0</v>
      </c>
    </row>
    <row r="49" spans="2:55" x14ac:dyDescent="0.3">
      <c r="B49" s="309"/>
      <c r="C49" s="309"/>
      <c r="D49" s="309"/>
      <c r="E49" s="309"/>
      <c r="F49" s="309"/>
      <c r="G49" s="309"/>
      <c r="H49" s="309"/>
      <c r="I49" s="309"/>
      <c r="J49" s="309"/>
      <c r="K49" s="309"/>
      <c r="L49" s="309"/>
      <c r="M49" s="309"/>
    </row>
    <row r="50" spans="2:55" x14ac:dyDescent="0.3">
      <c r="N50" s="309"/>
      <c r="O50" s="309"/>
      <c r="P50" s="309"/>
      <c r="Q50" s="309"/>
      <c r="R50" s="309"/>
      <c r="S50" s="309"/>
      <c r="T50" s="309"/>
      <c r="U50" s="309"/>
      <c r="V50" s="309"/>
      <c r="W50" s="309"/>
      <c r="X50" s="309"/>
      <c r="Y50" s="309"/>
      <c r="Z50" s="309"/>
      <c r="AA50" s="309"/>
      <c r="AB50" s="309"/>
      <c r="AC50" s="309"/>
      <c r="AD50" s="309"/>
      <c r="AE50" s="289"/>
      <c r="AF50" s="289"/>
      <c r="AG50" s="289"/>
      <c r="AH50" s="289"/>
      <c r="AI50" s="289"/>
      <c r="AJ50" s="289"/>
      <c r="AK50" s="289"/>
      <c r="AL50" s="289"/>
      <c r="AM50" s="289"/>
      <c r="AN50" s="289"/>
      <c r="AO50" s="289"/>
      <c r="AP50" s="289"/>
      <c r="AQ50" s="289"/>
      <c r="AR50" s="289"/>
      <c r="AS50" s="289"/>
      <c r="AT50" s="289"/>
      <c r="AU50" s="289"/>
      <c r="AV50" s="289"/>
      <c r="AW50" s="289"/>
      <c r="AX50" s="289"/>
      <c r="AY50" s="289"/>
      <c r="AZ50" s="289"/>
      <c r="BA50" s="289"/>
      <c r="BB50" s="289"/>
    </row>
    <row r="51" spans="2:55" x14ac:dyDescent="0.3">
      <c r="AE51" s="289"/>
      <c r="AF51" s="289"/>
      <c r="AG51" s="289"/>
      <c r="AH51" s="289"/>
      <c r="AI51" s="289"/>
      <c r="AJ51" s="289"/>
      <c r="AK51" s="289"/>
      <c r="AL51" s="289"/>
      <c r="AM51" s="289"/>
      <c r="AN51" s="289"/>
      <c r="AO51" s="289"/>
      <c r="AP51" s="289"/>
      <c r="AQ51" s="289"/>
      <c r="AR51" s="289"/>
      <c r="AS51" s="289"/>
      <c r="AT51" s="289"/>
      <c r="AU51" s="289"/>
      <c r="AV51" s="289"/>
      <c r="AW51" s="289"/>
      <c r="AX51" s="289"/>
      <c r="AY51" s="289"/>
      <c r="AZ51" s="289"/>
      <c r="BA51" s="289"/>
      <c r="BB51" s="289"/>
      <c r="BC51" s="289"/>
    </row>
    <row r="52" spans="2:55" x14ac:dyDescent="0.3">
      <c r="AE52" s="289"/>
      <c r="AF52" s="289"/>
      <c r="AG52" s="289"/>
      <c r="AH52" s="289"/>
      <c r="AI52" s="289"/>
      <c r="AJ52" s="289"/>
      <c r="AK52" s="289"/>
      <c r="AL52" s="289"/>
      <c r="AM52" s="289"/>
      <c r="AN52" s="289"/>
      <c r="AO52" s="289"/>
      <c r="AP52" s="289"/>
      <c r="AQ52" s="289"/>
      <c r="AR52" s="289"/>
      <c r="AS52" s="289"/>
      <c r="AT52" s="289"/>
      <c r="AU52" s="289"/>
      <c r="AV52" s="289"/>
      <c r="AW52" s="289"/>
      <c r="AX52" s="289"/>
      <c r="AY52" s="289"/>
      <c r="AZ52" s="289"/>
      <c r="BA52" s="289"/>
      <c r="BB52" s="289"/>
      <c r="BC52" s="289"/>
    </row>
    <row r="53" spans="2:55" x14ac:dyDescent="0.3">
      <c r="AE53" s="289"/>
      <c r="AF53" s="289"/>
      <c r="AG53" s="289"/>
      <c r="AH53" s="289"/>
      <c r="AI53" s="289"/>
      <c r="AJ53" s="289"/>
      <c r="AK53" s="289"/>
      <c r="AL53" s="289"/>
      <c r="AM53" s="289"/>
      <c r="AN53" s="289"/>
      <c r="AO53" s="289"/>
      <c r="AP53" s="289"/>
      <c r="AQ53" s="289"/>
      <c r="AR53" s="289"/>
      <c r="AS53" s="289"/>
      <c r="AT53" s="289"/>
      <c r="AU53" s="289"/>
      <c r="AV53" s="289"/>
      <c r="AW53" s="289"/>
      <c r="AX53" s="289"/>
      <c r="AY53" s="289"/>
      <c r="AZ53" s="289"/>
      <c r="BA53" s="289"/>
      <c r="BB53" s="289"/>
      <c r="BC53" s="289"/>
    </row>
    <row r="54" spans="2:55" x14ac:dyDescent="0.3">
      <c r="AE54" s="289"/>
      <c r="AF54" s="289"/>
      <c r="AG54" s="289"/>
      <c r="AH54" s="289"/>
      <c r="AI54" s="289"/>
      <c r="AJ54" s="289"/>
      <c r="AK54" s="289"/>
      <c r="AL54" s="289"/>
      <c r="AM54" s="289"/>
      <c r="AN54" s="289"/>
      <c r="AO54" s="289"/>
      <c r="AP54" s="289"/>
      <c r="AQ54" s="289"/>
      <c r="AR54" s="289"/>
      <c r="AS54" s="289"/>
      <c r="AT54" s="289"/>
      <c r="AU54" s="289"/>
      <c r="AV54" s="289"/>
      <c r="AW54" s="289"/>
      <c r="AX54" s="289"/>
      <c r="AY54" s="289"/>
      <c r="AZ54" s="289"/>
      <c r="BA54" s="289"/>
      <c r="BB54" s="289"/>
      <c r="BC54" s="289"/>
    </row>
    <row r="55" spans="2:55" x14ac:dyDescent="0.3">
      <c r="AF55" s="289"/>
      <c r="AG55" s="289"/>
      <c r="AH55" s="289"/>
      <c r="AI55" s="289"/>
      <c r="AJ55" s="289"/>
      <c r="AK55" s="289"/>
      <c r="AL55" s="289"/>
      <c r="AM55" s="289"/>
      <c r="AN55" s="289"/>
      <c r="AO55" s="289"/>
      <c r="AP55" s="289"/>
      <c r="AQ55" s="289"/>
      <c r="AR55" s="289"/>
      <c r="AS55" s="289"/>
      <c r="AT55" s="289"/>
      <c r="AU55" s="289"/>
      <c r="AV55" s="289"/>
      <c r="AW55" s="289"/>
      <c r="AX55" s="289"/>
      <c r="AY55" s="289"/>
      <c r="AZ55" s="289"/>
      <c r="BA55" s="289"/>
      <c r="BB55" s="289"/>
      <c r="BC55" s="289"/>
    </row>
  </sheetData>
  <mergeCells count="60">
    <mergeCell ref="V5:W5"/>
    <mergeCell ref="A4:A6"/>
    <mergeCell ref="B5:C5"/>
    <mergeCell ref="D5:E5"/>
    <mergeCell ref="F5:G5"/>
    <mergeCell ref="H5:I5"/>
    <mergeCell ref="J5:K5"/>
    <mergeCell ref="BD5:BE5"/>
    <mergeCell ref="BF5:BG5"/>
    <mergeCell ref="AJ5:AK5"/>
    <mergeCell ref="AL5:AM5"/>
    <mergeCell ref="AN5:AO5"/>
    <mergeCell ref="AP5:AQ5"/>
    <mergeCell ref="AR5:AS5"/>
    <mergeCell ref="AT5:AU5"/>
    <mergeCell ref="J17:K17"/>
    <mergeCell ref="AV5:AW5"/>
    <mergeCell ref="AX5:AY5"/>
    <mergeCell ref="AZ5:BA5"/>
    <mergeCell ref="BB5:BC5"/>
    <mergeCell ref="X5:Y5"/>
    <mergeCell ref="Z5:AA5"/>
    <mergeCell ref="AB5:AC5"/>
    <mergeCell ref="AD5:AE5"/>
    <mergeCell ref="AF5:AG5"/>
    <mergeCell ref="AH5:AI5"/>
    <mergeCell ref="L5:M5"/>
    <mergeCell ref="N5:O5"/>
    <mergeCell ref="P5:Q5"/>
    <mergeCell ref="R5:S5"/>
    <mergeCell ref="T5:U5"/>
    <mergeCell ref="A16:A18"/>
    <mergeCell ref="B17:C17"/>
    <mergeCell ref="D17:E17"/>
    <mergeCell ref="F17:G17"/>
    <mergeCell ref="H17:I17"/>
    <mergeCell ref="AH17:AI17"/>
    <mergeCell ref="L17:M17"/>
    <mergeCell ref="N17:O17"/>
    <mergeCell ref="P17:Q17"/>
    <mergeCell ref="R17:S17"/>
    <mergeCell ref="T17:U17"/>
    <mergeCell ref="V17:W17"/>
    <mergeCell ref="X17:Y17"/>
    <mergeCell ref="Z17:AA17"/>
    <mergeCell ref="AB17:AC17"/>
    <mergeCell ref="AD17:AE17"/>
    <mergeCell ref="AF17:AG17"/>
    <mergeCell ref="BF17:BG17"/>
    <mergeCell ref="AJ17:AK17"/>
    <mergeCell ref="AL17:AM17"/>
    <mergeCell ref="AN17:AO17"/>
    <mergeCell ref="AP17:AQ17"/>
    <mergeCell ref="AR17:AS17"/>
    <mergeCell ref="AT17:AU17"/>
    <mergeCell ref="AV17:AW17"/>
    <mergeCell ref="AX17:AY17"/>
    <mergeCell ref="AZ17:BA17"/>
    <mergeCell ref="BB17:BC17"/>
    <mergeCell ref="BD17:BE17"/>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F57A8-C984-4CB6-B71A-2DEE2BAF7CE3}">
  <dimension ref="A1:N8"/>
  <sheetViews>
    <sheetView showGridLines="0" zoomScale="80" zoomScaleNormal="80" workbookViewId="0"/>
  </sheetViews>
  <sheetFormatPr defaultColWidth="8.77734375" defaultRowHeight="15.6" x14ac:dyDescent="0.3"/>
  <cols>
    <col min="1" max="1" width="37.44140625" style="75" customWidth="1"/>
    <col min="2" max="12" width="12.77734375" style="75" customWidth="1"/>
    <col min="13" max="13" width="11" style="75" bestFit="1" customWidth="1"/>
    <col min="14" max="14" width="12.21875" style="75" customWidth="1"/>
    <col min="15" max="16384" width="8.77734375" style="75"/>
  </cols>
  <sheetData>
    <row r="1" spans="1:14" x14ac:dyDescent="0.3">
      <c r="A1" s="277" t="s">
        <v>859</v>
      </c>
    </row>
    <row r="2" spans="1:14" ht="16.2" thickBot="1" x14ac:dyDescent="0.35"/>
    <row r="3" spans="1:14" x14ac:dyDescent="0.3">
      <c r="A3" s="312"/>
      <c r="B3" s="313">
        <v>44501</v>
      </c>
      <c r="C3" s="313">
        <v>44531</v>
      </c>
      <c r="D3" s="313">
        <v>44562</v>
      </c>
      <c r="E3" s="313">
        <v>44593</v>
      </c>
      <c r="F3" s="313">
        <v>44621</v>
      </c>
      <c r="G3" s="313">
        <v>44652</v>
      </c>
      <c r="H3" s="313">
        <v>44682</v>
      </c>
      <c r="I3" s="313">
        <v>44713</v>
      </c>
      <c r="J3" s="313">
        <v>44743</v>
      </c>
      <c r="K3" s="313">
        <v>44774</v>
      </c>
      <c r="L3" s="313">
        <v>44805</v>
      </c>
      <c r="M3" s="314">
        <v>44835</v>
      </c>
      <c r="N3" s="315">
        <v>44866</v>
      </c>
    </row>
    <row r="4" spans="1:14" x14ac:dyDescent="0.3">
      <c r="A4" s="316" t="s">
        <v>860</v>
      </c>
      <c r="B4" s="317">
        <v>27502</v>
      </c>
      <c r="C4" s="317">
        <v>27982</v>
      </c>
      <c r="D4" s="317">
        <v>23954</v>
      </c>
      <c r="E4" s="317">
        <v>24915</v>
      </c>
      <c r="F4" s="317">
        <v>24955</v>
      </c>
      <c r="G4" s="317">
        <v>18418</v>
      </c>
      <c r="H4" s="317">
        <v>16689</v>
      </c>
      <c r="I4" s="317">
        <v>18319</v>
      </c>
      <c r="J4" s="317">
        <v>15557</v>
      </c>
      <c r="K4" s="317">
        <v>15103</v>
      </c>
      <c r="L4" s="317">
        <v>13147</v>
      </c>
      <c r="M4" s="317">
        <v>9730</v>
      </c>
      <c r="N4" s="318">
        <v>8062</v>
      </c>
    </row>
    <row r="5" spans="1:14" x14ac:dyDescent="0.3">
      <c r="A5" s="316" t="s">
        <v>861</v>
      </c>
      <c r="B5" s="317">
        <v>1198</v>
      </c>
      <c r="C5" s="317">
        <v>1090</v>
      </c>
      <c r="D5" s="317">
        <v>724</v>
      </c>
      <c r="E5" s="317">
        <v>2145</v>
      </c>
      <c r="F5" s="317">
        <v>3182</v>
      </c>
      <c r="G5" s="317">
        <v>2423</v>
      </c>
      <c r="H5" s="317">
        <v>2720</v>
      </c>
      <c r="I5" s="317">
        <v>3450</v>
      </c>
      <c r="J5" s="317">
        <v>3070</v>
      </c>
      <c r="K5" s="317">
        <v>3397</v>
      </c>
      <c r="L5" s="317">
        <v>2843</v>
      </c>
      <c r="M5" s="317">
        <v>2727</v>
      </c>
      <c r="N5" s="318">
        <v>1936</v>
      </c>
    </row>
    <row r="6" spans="1:14" x14ac:dyDescent="0.3">
      <c r="A6" s="316" t="s">
        <v>862</v>
      </c>
      <c r="B6" s="319">
        <f t="shared" ref="B6:N6" si="0">IF(ISERROR(B5/B4),0,B5/B4)</f>
        <v>4.3560468329576031E-2</v>
      </c>
      <c r="C6" s="319">
        <f t="shared" si="0"/>
        <v>3.8953613036952328E-2</v>
      </c>
      <c r="D6" s="319">
        <f t="shared" si="0"/>
        <v>3.0224597144527011E-2</v>
      </c>
      <c r="E6" s="319">
        <f t="shared" si="0"/>
        <v>8.6092715231788075E-2</v>
      </c>
      <c r="F6" s="319">
        <f t="shared" si="0"/>
        <v>0.1275095171308355</v>
      </c>
      <c r="G6" s="319">
        <f t="shared" si="0"/>
        <v>0.13155608643718103</v>
      </c>
      <c r="H6" s="319">
        <f t="shared" si="0"/>
        <v>0.1629816046497693</v>
      </c>
      <c r="I6" s="319">
        <f t="shared" si="0"/>
        <v>0.18832905726295104</v>
      </c>
      <c r="J6" s="319">
        <f t="shared" si="0"/>
        <v>0.19733881853827859</v>
      </c>
      <c r="K6" s="319">
        <f t="shared" si="0"/>
        <v>0.22492220088724094</v>
      </c>
      <c r="L6" s="319">
        <f t="shared" si="0"/>
        <v>0.21624705255951929</v>
      </c>
      <c r="M6" s="319">
        <f t="shared" si="0"/>
        <v>0.28026721479958888</v>
      </c>
      <c r="N6" s="320">
        <f t="shared" si="0"/>
        <v>0.24013892334408335</v>
      </c>
    </row>
    <row r="7" spans="1:14" x14ac:dyDescent="0.3">
      <c r="A7" s="316" t="s">
        <v>863</v>
      </c>
      <c r="B7" s="317">
        <v>7911.4238410595999</v>
      </c>
      <c r="C7" s="317">
        <v>7630.1305970149297</v>
      </c>
      <c r="D7" s="317">
        <v>6620.3703703703704</v>
      </c>
      <c r="E7" s="317">
        <v>3941.7244367417702</v>
      </c>
      <c r="F7" s="317">
        <v>3840.0842514582</v>
      </c>
      <c r="G7" s="317">
        <v>4848.4527342094098</v>
      </c>
      <c r="H7" s="317">
        <v>5439.1628236963497</v>
      </c>
      <c r="I7" s="317">
        <v>4753.0787104269502</v>
      </c>
      <c r="J7" s="317">
        <v>5433.4336342360402</v>
      </c>
      <c r="K7" s="317">
        <v>5305.2949640287798</v>
      </c>
      <c r="L7" s="317">
        <v>5611.5643845335198</v>
      </c>
      <c r="M7" s="317">
        <v>5512.8279883381902</v>
      </c>
      <c r="N7" s="318">
        <v>6076.9230769230799</v>
      </c>
    </row>
    <row r="8" spans="1:14" ht="16.2" thickBot="1" x14ac:dyDescent="0.35">
      <c r="A8" s="321" t="s">
        <v>864</v>
      </c>
      <c r="B8" s="322">
        <v>67.561769616026695</v>
      </c>
      <c r="C8" s="322">
        <v>69.123853211009205</v>
      </c>
      <c r="D8" s="322">
        <v>63.140883977900501</v>
      </c>
      <c r="E8" s="322">
        <v>45.675058275058298</v>
      </c>
      <c r="F8" s="322">
        <v>39.007228158390902</v>
      </c>
      <c r="G8" s="322">
        <v>41.376392901361903</v>
      </c>
      <c r="H8" s="322">
        <v>41.692647058823503</v>
      </c>
      <c r="I8" s="322">
        <v>38.944637681159399</v>
      </c>
      <c r="J8" s="322">
        <v>43.503908794788302</v>
      </c>
      <c r="K8" s="322">
        <v>43.136296732410997</v>
      </c>
      <c r="L8" s="322">
        <v>46.504748505100203</v>
      </c>
      <c r="M8" s="322">
        <v>46.681334800146701</v>
      </c>
      <c r="N8" s="323">
        <v>44.340909090909101</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5BFF2-3B81-48F3-A5DD-7A4F7917FA64}">
  <dimension ref="A1:M36"/>
  <sheetViews>
    <sheetView showGridLines="0" zoomScale="80" zoomScaleNormal="80" zoomScaleSheetLayoutView="70" zoomScalePageLayoutView="90" workbookViewId="0"/>
  </sheetViews>
  <sheetFormatPr defaultColWidth="9.21875" defaultRowHeight="14.4" x14ac:dyDescent="0.3"/>
  <cols>
    <col min="1" max="1" width="24.77734375" style="340" bestFit="1" customWidth="1"/>
    <col min="2" max="2" width="31.21875" style="340" bestFit="1" customWidth="1"/>
    <col min="3" max="3" width="14.44140625" style="340" customWidth="1"/>
    <col min="4" max="4" width="13.21875" style="340" customWidth="1"/>
    <col min="5" max="5" width="14.21875" style="340" bestFit="1" customWidth="1"/>
    <col min="6" max="6" width="18.21875" style="340" bestFit="1" customWidth="1"/>
    <col min="7" max="7" width="10.44140625" style="340" customWidth="1"/>
    <col min="8" max="8" width="13.44140625" style="340" customWidth="1"/>
    <col min="9" max="9" width="11.5546875" style="340" customWidth="1"/>
    <col min="10" max="16384" width="9.21875" style="340"/>
  </cols>
  <sheetData>
    <row r="1" spans="1:13" s="346" customFormat="1" ht="30.6" customHeight="1" x14ac:dyDescent="0.25">
      <c r="A1" s="356" t="s">
        <v>978</v>
      </c>
      <c r="B1" s="356"/>
      <c r="C1" s="341"/>
      <c r="D1" s="341"/>
      <c r="E1" s="342"/>
      <c r="F1" s="343"/>
      <c r="G1" s="343"/>
      <c r="H1" s="343"/>
      <c r="I1" s="343"/>
      <c r="J1" s="344"/>
      <c r="K1" s="344"/>
      <c r="L1" s="344"/>
      <c r="M1" s="345"/>
    </row>
    <row r="2" spans="1:13" s="350" customFormat="1" ht="28.35" customHeight="1" x14ac:dyDescent="0.25">
      <c r="A2" s="357" t="s">
        <v>775</v>
      </c>
      <c r="B2" s="358" t="s">
        <v>776</v>
      </c>
      <c r="C2" s="341"/>
      <c r="D2" s="341"/>
      <c r="E2" s="347"/>
      <c r="F2" s="347"/>
      <c r="G2" s="341"/>
      <c r="H2" s="341"/>
      <c r="I2" s="341"/>
      <c r="J2" s="348"/>
      <c r="K2" s="348"/>
      <c r="L2" s="348"/>
      <c r="M2" s="349"/>
    </row>
    <row r="3" spans="1:13" s="350" customFormat="1" ht="16.5" customHeight="1" thickBot="1" x14ac:dyDescent="0.35">
      <c r="A3" s="359" t="s">
        <v>0</v>
      </c>
      <c r="B3" s="360">
        <f>SUM(B4:B5)</f>
        <v>6252</v>
      </c>
      <c r="C3" s="347"/>
      <c r="D3" s="347"/>
      <c r="E3" s="347"/>
      <c r="F3" s="347"/>
      <c r="G3" s="341"/>
      <c r="H3" s="341"/>
      <c r="I3" s="347"/>
      <c r="J3" s="351"/>
      <c r="K3" s="351"/>
      <c r="L3" s="348"/>
      <c r="M3" s="349"/>
    </row>
    <row r="4" spans="1:13" s="350" customFormat="1" ht="16.95" customHeight="1" thickTop="1" x14ac:dyDescent="0.3">
      <c r="A4" s="361" t="s">
        <v>772</v>
      </c>
      <c r="B4" s="362">
        <v>0</v>
      </c>
      <c r="C4" s="347"/>
      <c r="D4" s="347"/>
      <c r="E4" s="347"/>
      <c r="F4" s="347"/>
      <c r="G4" s="341"/>
      <c r="H4" s="341"/>
      <c r="I4" s="347"/>
      <c r="J4" s="351"/>
      <c r="K4" s="351"/>
      <c r="L4" s="348"/>
      <c r="M4" s="349"/>
    </row>
    <row r="5" spans="1:13" s="350" customFormat="1" ht="13.35" customHeight="1" x14ac:dyDescent="0.3">
      <c r="A5" s="363" t="s">
        <v>773</v>
      </c>
      <c r="B5" s="364">
        <v>6252</v>
      </c>
      <c r="C5" s="347"/>
      <c r="D5" s="347"/>
      <c r="E5" s="347"/>
      <c r="F5" s="347"/>
      <c r="G5" s="341"/>
      <c r="H5" s="341"/>
      <c r="I5" s="347"/>
      <c r="J5" s="351"/>
      <c r="K5" s="351"/>
      <c r="L5" s="348"/>
      <c r="M5" s="349"/>
    </row>
    <row r="6" spans="1:13" s="350" customFormat="1" ht="13.35" customHeight="1" x14ac:dyDescent="0.25">
      <c r="A6" s="365"/>
      <c r="B6" s="365"/>
      <c r="C6" s="347"/>
      <c r="D6" s="347"/>
      <c r="E6" s="347"/>
      <c r="F6" s="347"/>
      <c r="G6" s="347"/>
      <c r="H6" s="347"/>
      <c r="I6" s="347"/>
      <c r="J6" s="351"/>
      <c r="K6" s="351"/>
      <c r="L6" s="348"/>
      <c r="M6" s="349"/>
    </row>
    <row r="7" spans="1:13" s="350" customFormat="1" ht="13.35" customHeight="1" x14ac:dyDescent="0.25">
      <c r="A7" s="365"/>
      <c r="B7" s="365"/>
      <c r="C7" s="347"/>
      <c r="D7" s="347"/>
      <c r="E7" s="347"/>
      <c r="F7" s="347"/>
      <c r="G7" s="347"/>
      <c r="H7" s="347"/>
      <c r="I7" s="347"/>
      <c r="J7" s="351"/>
      <c r="K7" s="351"/>
      <c r="L7" s="348"/>
      <c r="M7" s="349"/>
    </row>
    <row r="8" spans="1:13" ht="15.6" x14ac:dyDescent="0.3">
      <c r="A8" s="366"/>
      <c r="B8" s="367"/>
      <c r="C8" s="352"/>
      <c r="D8" s="352"/>
      <c r="E8" s="352"/>
      <c r="F8" s="352"/>
      <c r="G8" s="352"/>
      <c r="H8" s="352"/>
      <c r="I8" s="352"/>
    </row>
    <row r="9" spans="1:13" ht="30" customHeight="1" x14ac:dyDescent="0.3">
      <c r="A9" s="356" t="s">
        <v>979</v>
      </c>
      <c r="B9" s="356"/>
      <c r="C9" s="341"/>
      <c r="D9" s="341"/>
      <c r="E9" s="352"/>
      <c r="F9" s="352"/>
      <c r="G9" s="352"/>
      <c r="H9" s="352"/>
      <c r="I9" s="352"/>
    </row>
    <row r="10" spans="1:13" ht="15.6" x14ac:dyDescent="0.3">
      <c r="A10" s="357" t="s">
        <v>52</v>
      </c>
      <c r="B10" s="358" t="s">
        <v>776</v>
      </c>
      <c r="C10" s="353"/>
      <c r="D10" s="353"/>
      <c r="E10" s="353"/>
      <c r="F10" s="353"/>
      <c r="G10" s="353"/>
      <c r="H10" s="353"/>
      <c r="I10" s="353"/>
    </row>
    <row r="11" spans="1:13" ht="16.2" thickBot="1" x14ac:dyDescent="0.35">
      <c r="A11" s="359" t="s">
        <v>0</v>
      </c>
      <c r="B11" s="360">
        <f>SUM(B12:B35)</f>
        <v>6252</v>
      </c>
      <c r="C11" s="354"/>
      <c r="D11" s="352"/>
      <c r="E11" s="352"/>
      <c r="F11" s="352"/>
      <c r="G11" s="352"/>
      <c r="H11" s="352"/>
      <c r="I11" s="352"/>
    </row>
    <row r="12" spans="1:13" ht="16.2" thickTop="1" x14ac:dyDescent="0.3">
      <c r="A12" s="361" t="s">
        <v>154</v>
      </c>
      <c r="B12" s="362">
        <v>143</v>
      </c>
      <c r="C12" s="354"/>
      <c r="D12" s="352"/>
      <c r="E12" s="354"/>
      <c r="F12" s="354"/>
      <c r="G12" s="354"/>
      <c r="H12" s="355"/>
    </row>
    <row r="13" spans="1:13" ht="15.6" x14ac:dyDescent="0.3">
      <c r="A13" s="363" t="s">
        <v>276</v>
      </c>
      <c r="B13" s="364">
        <v>10</v>
      </c>
      <c r="C13" s="354"/>
      <c r="D13" s="352"/>
      <c r="E13" s="354"/>
      <c r="F13" s="354"/>
      <c r="G13" s="354"/>
    </row>
    <row r="14" spans="1:13" ht="15.6" x14ac:dyDescent="0.3">
      <c r="A14" s="363" t="s">
        <v>255</v>
      </c>
      <c r="B14" s="364">
        <v>16</v>
      </c>
      <c r="C14" s="354"/>
      <c r="E14" s="354"/>
      <c r="F14" s="354"/>
      <c r="G14" s="354"/>
    </row>
    <row r="15" spans="1:13" ht="15.6" x14ac:dyDescent="0.3">
      <c r="A15" s="363" t="s">
        <v>32</v>
      </c>
      <c r="B15" s="364">
        <v>32</v>
      </c>
      <c r="C15" s="354"/>
      <c r="E15" s="354"/>
      <c r="F15" s="354"/>
      <c r="G15" s="354"/>
    </row>
    <row r="16" spans="1:13" ht="15.6" x14ac:dyDescent="0.3">
      <c r="A16" s="363" t="s">
        <v>226</v>
      </c>
      <c r="B16" s="364">
        <v>267</v>
      </c>
      <c r="C16" s="354"/>
      <c r="E16" s="354"/>
      <c r="F16" s="354"/>
      <c r="G16" s="354"/>
    </row>
    <row r="17" spans="1:7" ht="15.6" x14ac:dyDescent="0.3">
      <c r="A17" s="363" t="s">
        <v>241</v>
      </c>
      <c r="B17" s="364">
        <v>84</v>
      </c>
      <c r="C17" s="354"/>
      <c r="E17" s="354"/>
      <c r="F17" s="354"/>
      <c r="G17" s="354"/>
    </row>
    <row r="18" spans="1:7" ht="15.6" x14ac:dyDescent="0.3">
      <c r="A18" s="363" t="s">
        <v>313</v>
      </c>
      <c r="B18" s="364">
        <v>35</v>
      </c>
      <c r="C18" s="354"/>
      <c r="E18" s="354"/>
      <c r="F18" s="354"/>
      <c r="G18" s="354"/>
    </row>
    <row r="19" spans="1:7" ht="15.6" x14ac:dyDescent="0.3">
      <c r="A19" s="363" t="s">
        <v>196</v>
      </c>
      <c r="B19" s="364">
        <v>318</v>
      </c>
      <c r="C19" s="354"/>
      <c r="E19" s="354"/>
      <c r="F19" s="354"/>
      <c r="G19" s="354"/>
    </row>
    <row r="20" spans="1:7" ht="15.6" x14ac:dyDescent="0.3">
      <c r="A20" s="363" t="s">
        <v>578</v>
      </c>
      <c r="B20" s="364">
        <v>751</v>
      </c>
      <c r="C20" s="354"/>
      <c r="E20" s="354"/>
      <c r="F20" s="354"/>
      <c r="G20" s="354"/>
    </row>
    <row r="21" spans="1:7" ht="15.6" x14ac:dyDescent="0.3">
      <c r="A21" s="363" t="s">
        <v>200</v>
      </c>
      <c r="B21" s="364">
        <v>741</v>
      </c>
      <c r="C21" s="354"/>
      <c r="E21" s="354"/>
      <c r="F21" s="354"/>
      <c r="G21" s="354"/>
    </row>
    <row r="22" spans="1:7" ht="15.6" x14ac:dyDescent="0.3">
      <c r="A22" s="363" t="s">
        <v>143</v>
      </c>
      <c r="B22" s="364">
        <v>13</v>
      </c>
      <c r="C22" s="354"/>
      <c r="E22" s="354"/>
      <c r="F22" s="354"/>
      <c r="G22" s="354"/>
    </row>
    <row r="23" spans="1:7" ht="15.6" x14ac:dyDescent="0.3">
      <c r="A23" s="363" t="s">
        <v>27</v>
      </c>
      <c r="B23" s="364">
        <v>175</v>
      </c>
      <c r="C23" s="354"/>
      <c r="E23" s="354"/>
      <c r="F23" s="354"/>
      <c r="G23" s="354"/>
    </row>
    <row r="24" spans="1:7" ht="15.6" x14ac:dyDescent="0.3">
      <c r="A24" s="363" t="s">
        <v>228</v>
      </c>
      <c r="B24" s="364">
        <v>22</v>
      </c>
      <c r="C24" s="354"/>
      <c r="E24" s="354"/>
      <c r="F24" s="354"/>
      <c r="G24" s="354"/>
    </row>
    <row r="25" spans="1:7" ht="15.6" x14ac:dyDescent="0.3">
      <c r="A25" s="363" t="s">
        <v>166</v>
      </c>
      <c r="B25" s="364">
        <v>952</v>
      </c>
      <c r="C25" s="354"/>
      <c r="E25" s="354"/>
      <c r="F25" s="354"/>
      <c r="G25" s="354"/>
    </row>
    <row r="26" spans="1:7" ht="15.6" x14ac:dyDescent="0.3">
      <c r="A26" s="363" t="s">
        <v>281</v>
      </c>
      <c r="B26" s="364">
        <v>5</v>
      </c>
      <c r="C26" s="354"/>
      <c r="E26" s="354"/>
      <c r="F26" s="354"/>
      <c r="G26" s="354"/>
    </row>
    <row r="27" spans="1:7" ht="15.6" x14ac:dyDescent="0.3">
      <c r="A27" s="363" t="s">
        <v>249</v>
      </c>
      <c r="B27" s="364">
        <v>96</v>
      </c>
      <c r="C27" s="354"/>
      <c r="E27" s="354"/>
      <c r="F27" s="354"/>
      <c r="G27" s="354"/>
    </row>
    <row r="28" spans="1:7" ht="15.6" x14ac:dyDescent="0.3">
      <c r="A28" s="363" t="s">
        <v>170</v>
      </c>
      <c r="B28" s="364">
        <v>120</v>
      </c>
      <c r="C28" s="354"/>
      <c r="E28" s="354"/>
      <c r="F28" s="354"/>
      <c r="G28" s="354"/>
    </row>
    <row r="29" spans="1:7" ht="15.6" x14ac:dyDescent="0.3">
      <c r="A29" s="363" t="s">
        <v>187</v>
      </c>
      <c r="B29" s="364">
        <v>32</v>
      </c>
      <c r="E29" s="354"/>
      <c r="F29" s="354"/>
      <c r="G29" s="354"/>
    </row>
    <row r="30" spans="1:7" ht="15.6" x14ac:dyDescent="0.3">
      <c r="A30" s="363" t="s">
        <v>272</v>
      </c>
      <c r="B30" s="364">
        <v>32</v>
      </c>
      <c r="E30" s="354"/>
      <c r="F30" s="354"/>
    </row>
    <row r="31" spans="1:7" ht="15.6" x14ac:dyDescent="0.3">
      <c r="A31" s="363" t="s">
        <v>302</v>
      </c>
      <c r="B31" s="364">
        <v>5</v>
      </c>
      <c r="E31" s="354"/>
      <c r="F31" s="354"/>
    </row>
    <row r="32" spans="1:7" ht="15.6" x14ac:dyDescent="0.3">
      <c r="A32" s="363" t="s">
        <v>158</v>
      </c>
      <c r="B32" s="364">
        <v>1780</v>
      </c>
      <c r="E32" s="354"/>
      <c r="F32" s="354"/>
    </row>
    <row r="33" spans="1:6" ht="15.6" x14ac:dyDescent="0.3">
      <c r="A33" s="363" t="s">
        <v>181</v>
      </c>
      <c r="B33" s="364">
        <v>576</v>
      </c>
      <c r="E33" s="354"/>
      <c r="F33" s="354"/>
    </row>
    <row r="34" spans="1:6" ht="15.6" x14ac:dyDescent="0.3">
      <c r="A34" s="363" t="s">
        <v>280</v>
      </c>
      <c r="B34" s="364">
        <v>18</v>
      </c>
      <c r="E34" s="354"/>
      <c r="F34" s="354"/>
    </row>
    <row r="35" spans="1:6" ht="15.6" x14ac:dyDescent="0.3">
      <c r="A35" s="363" t="s">
        <v>233</v>
      </c>
      <c r="B35" s="364">
        <v>29</v>
      </c>
      <c r="E35" s="354"/>
      <c r="F35" s="354"/>
    </row>
    <row r="36" spans="1:6" x14ac:dyDescent="0.3">
      <c r="A36" s="354"/>
      <c r="B36" s="354"/>
      <c r="E36" s="354"/>
      <c r="F36" s="354"/>
    </row>
  </sheetData>
  <pageMargins left="0.25" right="0.25" top="0.5" bottom="0.25" header="0.3" footer="0.3"/>
  <pageSetup scale="65" fitToWidth="0"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E9DC1-9462-4720-BCCB-7C3CE62F3B55}">
  <dimension ref="A1:L127"/>
  <sheetViews>
    <sheetView showGridLines="0" zoomScale="80" zoomScaleNormal="80" workbookViewId="0">
      <selection sqref="A1:L1"/>
    </sheetView>
  </sheetViews>
  <sheetFormatPr defaultRowHeight="14.4" x14ac:dyDescent="0.3"/>
  <cols>
    <col min="1" max="1" width="35.77734375" customWidth="1"/>
    <col min="2" max="2" width="11.21875" customWidth="1"/>
    <col min="3" max="3" width="10.77734375" customWidth="1"/>
  </cols>
  <sheetData>
    <row r="1" spans="1:12" ht="98.55" customHeight="1" x14ac:dyDescent="0.3">
      <c r="A1" s="423" t="s">
        <v>865</v>
      </c>
      <c r="B1" s="424"/>
      <c r="C1" s="424"/>
      <c r="D1" s="424"/>
      <c r="E1" s="424"/>
      <c r="F1" s="424"/>
      <c r="G1" s="424"/>
      <c r="H1" s="424"/>
      <c r="I1" s="424"/>
      <c r="J1" s="424"/>
      <c r="K1" s="424"/>
      <c r="L1" s="424"/>
    </row>
    <row r="2" spans="1:12" ht="12.6" customHeight="1" x14ac:dyDescent="0.3"/>
    <row r="3" spans="1:12" ht="16.2" thickBot="1" x14ac:dyDescent="0.35">
      <c r="A3" s="277" t="s">
        <v>866</v>
      </c>
      <c r="B3" s="75"/>
      <c r="C3" s="75"/>
    </row>
    <row r="4" spans="1:12" ht="15.6" x14ac:dyDescent="0.3">
      <c r="A4" s="312" t="s">
        <v>827</v>
      </c>
      <c r="B4" s="315" t="s">
        <v>867</v>
      </c>
    </row>
    <row r="5" spans="1:12" ht="15.6" x14ac:dyDescent="0.3">
      <c r="A5" s="316" t="s">
        <v>868</v>
      </c>
      <c r="B5" s="324">
        <v>15</v>
      </c>
    </row>
    <row r="6" spans="1:12" ht="15.6" x14ac:dyDescent="0.3">
      <c r="A6" s="316" t="s">
        <v>869</v>
      </c>
      <c r="B6" s="324">
        <v>9</v>
      </c>
    </row>
    <row r="7" spans="1:12" ht="15.6" x14ac:dyDescent="0.3">
      <c r="A7" s="316" t="s">
        <v>870</v>
      </c>
      <c r="B7" s="324">
        <v>10</v>
      </c>
    </row>
    <row r="8" spans="1:12" ht="15.6" x14ac:dyDescent="0.3">
      <c r="A8" s="316" t="s">
        <v>829</v>
      </c>
      <c r="B8" s="324">
        <v>25</v>
      </c>
    </row>
    <row r="9" spans="1:12" ht="16.2" thickBot="1" x14ac:dyDescent="0.35">
      <c r="A9" s="321" t="s">
        <v>871</v>
      </c>
      <c r="B9" s="325">
        <v>17</v>
      </c>
    </row>
    <row r="11" spans="1:12" ht="16.2" thickBot="1" x14ac:dyDescent="0.35">
      <c r="A11" s="277" t="s">
        <v>872</v>
      </c>
      <c r="B11" s="75"/>
    </row>
    <row r="12" spans="1:12" ht="15.6" x14ac:dyDescent="0.3">
      <c r="A12" s="312" t="s">
        <v>827</v>
      </c>
      <c r="B12" s="315" t="s">
        <v>873</v>
      </c>
    </row>
    <row r="13" spans="1:12" ht="15.6" x14ac:dyDescent="0.3">
      <c r="A13" s="316" t="s">
        <v>868</v>
      </c>
      <c r="B13" s="324">
        <v>22</v>
      </c>
    </row>
    <row r="14" spans="1:12" ht="15.6" x14ac:dyDescent="0.3">
      <c r="A14" s="316" t="s">
        <v>869</v>
      </c>
      <c r="B14" s="324">
        <v>21</v>
      </c>
    </row>
    <row r="15" spans="1:12" ht="15.6" x14ac:dyDescent="0.3">
      <c r="A15" s="316" t="s">
        <v>870</v>
      </c>
      <c r="B15" s="324">
        <v>19</v>
      </c>
    </row>
    <row r="16" spans="1:12" ht="15.6" x14ac:dyDescent="0.3">
      <c r="A16" s="316" t="s">
        <v>829</v>
      </c>
      <c r="B16" s="324">
        <v>19</v>
      </c>
    </row>
    <row r="17" spans="1:2" ht="16.2" thickBot="1" x14ac:dyDescent="0.35">
      <c r="A17" s="321" t="s">
        <v>871</v>
      </c>
      <c r="B17" s="325">
        <v>19</v>
      </c>
    </row>
    <row r="18" spans="1:2" ht="15.6" x14ac:dyDescent="0.3">
      <c r="B18" s="326"/>
    </row>
    <row r="19" spans="1:2" ht="16.2" thickBot="1" x14ac:dyDescent="0.35">
      <c r="A19" s="277" t="s">
        <v>874</v>
      </c>
      <c r="B19" s="75"/>
    </row>
    <row r="20" spans="1:2" ht="15.6" x14ac:dyDescent="0.3">
      <c r="A20" s="312" t="s">
        <v>827</v>
      </c>
      <c r="B20" s="315" t="s">
        <v>808</v>
      </c>
    </row>
    <row r="21" spans="1:2" ht="15.6" x14ac:dyDescent="0.3">
      <c r="A21" s="316" t="s">
        <v>868</v>
      </c>
      <c r="B21" s="318">
        <v>12</v>
      </c>
    </row>
    <row r="22" spans="1:2" ht="15.6" x14ac:dyDescent="0.3">
      <c r="A22" s="316" t="s">
        <v>869</v>
      </c>
      <c r="B22" s="318">
        <v>3</v>
      </c>
    </row>
    <row r="23" spans="1:2" ht="15.6" x14ac:dyDescent="0.3">
      <c r="A23" s="316" t="s">
        <v>870</v>
      </c>
      <c r="B23" s="318">
        <v>9</v>
      </c>
    </row>
    <row r="24" spans="1:2" ht="15.6" x14ac:dyDescent="0.3">
      <c r="A24" s="316" t="s">
        <v>829</v>
      </c>
      <c r="B24" s="318">
        <v>11</v>
      </c>
    </row>
    <row r="25" spans="1:2" ht="16.2" thickBot="1" x14ac:dyDescent="0.35">
      <c r="A25" s="321" t="s">
        <v>871</v>
      </c>
      <c r="B25" s="327">
        <v>8</v>
      </c>
    </row>
    <row r="26" spans="1:2" ht="15.6" x14ac:dyDescent="0.3">
      <c r="B26" s="326"/>
    </row>
    <row r="27" spans="1:2" ht="16.2" thickBot="1" x14ac:dyDescent="0.35">
      <c r="A27" s="277" t="s">
        <v>875</v>
      </c>
      <c r="B27" s="75"/>
    </row>
    <row r="28" spans="1:2" ht="15.6" x14ac:dyDescent="0.3">
      <c r="A28" s="312" t="s">
        <v>827</v>
      </c>
      <c r="B28" s="315" t="s">
        <v>867</v>
      </c>
    </row>
    <row r="29" spans="1:2" ht="15.6" x14ac:dyDescent="0.3">
      <c r="A29" s="316" t="s">
        <v>868</v>
      </c>
      <c r="B29" s="324">
        <v>30</v>
      </c>
    </row>
    <row r="30" spans="1:2" ht="15.6" x14ac:dyDescent="0.3">
      <c r="A30" s="316" t="s">
        <v>869</v>
      </c>
      <c r="B30" s="324">
        <v>12</v>
      </c>
    </row>
    <row r="31" spans="1:2" ht="15.6" x14ac:dyDescent="0.3">
      <c r="A31" s="316" t="s">
        <v>870</v>
      </c>
      <c r="B31" s="324">
        <v>11</v>
      </c>
    </row>
    <row r="32" spans="1:2" ht="15.6" x14ac:dyDescent="0.3">
      <c r="A32" s="316" t="s">
        <v>829</v>
      </c>
      <c r="B32" s="324">
        <v>6</v>
      </c>
    </row>
    <row r="33" spans="1:2" ht="16.2" thickBot="1" x14ac:dyDescent="0.35">
      <c r="A33" s="321" t="s">
        <v>828</v>
      </c>
      <c r="B33" s="327">
        <v>1</v>
      </c>
    </row>
    <row r="35" spans="1:2" ht="16.2" thickBot="1" x14ac:dyDescent="0.35">
      <c r="A35" s="277" t="s">
        <v>876</v>
      </c>
      <c r="B35" s="75"/>
    </row>
    <row r="36" spans="1:2" ht="15.6" x14ac:dyDescent="0.3">
      <c r="A36" s="312" t="s">
        <v>827</v>
      </c>
      <c r="B36" s="315" t="s">
        <v>873</v>
      </c>
    </row>
    <row r="37" spans="1:2" ht="15.6" x14ac:dyDescent="0.3">
      <c r="A37" s="316" t="s">
        <v>868</v>
      </c>
      <c r="B37" s="324">
        <v>19</v>
      </c>
    </row>
    <row r="38" spans="1:2" ht="15.6" x14ac:dyDescent="0.3">
      <c r="A38" s="316" t="s">
        <v>869</v>
      </c>
      <c r="B38" s="324">
        <v>8</v>
      </c>
    </row>
    <row r="39" spans="1:2" ht="15.6" x14ac:dyDescent="0.3">
      <c r="A39" s="316" t="s">
        <v>870</v>
      </c>
      <c r="B39" s="324">
        <v>9</v>
      </c>
    </row>
    <row r="40" spans="1:2" ht="15.6" x14ac:dyDescent="0.3">
      <c r="A40" s="316" t="s">
        <v>829</v>
      </c>
      <c r="B40" s="324">
        <v>4</v>
      </c>
    </row>
    <row r="41" spans="1:2" ht="16.2" thickBot="1" x14ac:dyDescent="0.35">
      <c r="A41" s="321" t="s">
        <v>828</v>
      </c>
      <c r="B41" s="328">
        <v>1</v>
      </c>
    </row>
    <row r="42" spans="1:2" ht="15.6" x14ac:dyDescent="0.3">
      <c r="B42" s="326"/>
    </row>
    <row r="43" spans="1:2" ht="16.2" thickBot="1" x14ac:dyDescent="0.35">
      <c r="A43" s="277" t="s">
        <v>877</v>
      </c>
      <c r="B43" s="75"/>
    </row>
    <row r="44" spans="1:2" ht="15.6" x14ac:dyDescent="0.3">
      <c r="A44" s="312" t="s">
        <v>827</v>
      </c>
      <c r="B44" s="315" t="s">
        <v>808</v>
      </c>
    </row>
    <row r="45" spans="1:2" ht="15.6" x14ac:dyDescent="0.3">
      <c r="A45" s="316" t="s">
        <v>868</v>
      </c>
      <c r="B45" s="318">
        <v>2</v>
      </c>
    </row>
    <row r="46" spans="1:2" ht="15.6" x14ac:dyDescent="0.3">
      <c r="A46" s="316" t="s">
        <v>869</v>
      </c>
      <c r="B46" s="318">
        <v>1</v>
      </c>
    </row>
    <row r="47" spans="1:2" ht="15.6" x14ac:dyDescent="0.3">
      <c r="A47" s="316" t="s">
        <v>870</v>
      </c>
      <c r="B47" s="318">
        <v>0</v>
      </c>
    </row>
    <row r="48" spans="1:2" ht="15.6" x14ac:dyDescent="0.3">
      <c r="A48" s="316" t="s">
        <v>829</v>
      </c>
      <c r="B48" s="318">
        <v>0</v>
      </c>
    </row>
    <row r="49" spans="1:2" ht="16.2" thickBot="1" x14ac:dyDescent="0.35">
      <c r="A49" s="321" t="s">
        <v>871</v>
      </c>
      <c r="B49" s="327">
        <v>0</v>
      </c>
    </row>
    <row r="50" spans="1:2" ht="15.6" x14ac:dyDescent="0.3">
      <c r="B50" s="326"/>
    </row>
    <row r="51" spans="1:2" ht="16.2" thickBot="1" x14ac:dyDescent="0.35">
      <c r="A51" s="277" t="s">
        <v>878</v>
      </c>
      <c r="B51" s="75"/>
    </row>
    <row r="52" spans="1:2" ht="15.6" x14ac:dyDescent="0.3">
      <c r="A52" s="312" t="s">
        <v>827</v>
      </c>
      <c r="B52" s="315" t="s">
        <v>867</v>
      </c>
    </row>
    <row r="53" spans="1:2" ht="15.6" x14ac:dyDescent="0.3">
      <c r="A53" s="316" t="s">
        <v>868</v>
      </c>
      <c r="B53" s="324">
        <v>24545</v>
      </c>
    </row>
    <row r="54" spans="1:2" ht="15.6" x14ac:dyDescent="0.3">
      <c r="A54" s="316" t="s">
        <v>869</v>
      </c>
      <c r="B54" s="324">
        <v>22976</v>
      </c>
    </row>
    <row r="55" spans="1:2" ht="15.6" x14ac:dyDescent="0.3">
      <c r="A55" s="316" t="s">
        <v>870</v>
      </c>
      <c r="B55" s="324">
        <v>16174</v>
      </c>
    </row>
    <row r="56" spans="1:2" ht="15.6" x14ac:dyDescent="0.3">
      <c r="A56" s="316" t="s">
        <v>829</v>
      </c>
      <c r="B56" s="324">
        <v>6941</v>
      </c>
    </row>
    <row r="57" spans="1:2" ht="16.2" thickBot="1" x14ac:dyDescent="0.35">
      <c r="A57" s="321" t="s">
        <v>871</v>
      </c>
      <c r="B57" s="325">
        <v>5977</v>
      </c>
    </row>
    <row r="59" spans="1:2" ht="16.2" thickBot="1" x14ac:dyDescent="0.35">
      <c r="A59" s="277" t="s">
        <v>879</v>
      </c>
      <c r="B59" s="75"/>
    </row>
    <row r="60" spans="1:2" ht="15.6" x14ac:dyDescent="0.3">
      <c r="A60" s="312" t="s">
        <v>827</v>
      </c>
      <c r="B60" s="315" t="s">
        <v>873</v>
      </c>
    </row>
    <row r="61" spans="1:2" ht="15.6" x14ac:dyDescent="0.3">
      <c r="A61" s="316" t="s">
        <v>868</v>
      </c>
      <c r="B61" s="324">
        <v>25793</v>
      </c>
    </row>
    <row r="62" spans="1:2" ht="15.6" x14ac:dyDescent="0.3">
      <c r="A62" s="316" t="s">
        <v>869</v>
      </c>
      <c r="B62" s="324">
        <v>24371</v>
      </c>
    </row>
    <row r="63" spans="1:2" ht="15.6" x14ac:dyDescent="0.3">
      <c r="A63" s="316" t="s">
        <v>870</v>
      </c>
      <c r="B63" s="324">
        <v>17657</v>
      </c>
    </row>
    <row r="64" spans="1:2" ht="15.6" x14ac:dyDescent="0.3">
      <c r="A64" s="316" t="s">
        <v>829</v>
      </c>
      <c r="B64" s="324">
        <v>7422</v>
      </c>
    </row>
    <row r="65" spans="1:6" ht="16.2" thickBot="1" x14ac:dyDescent="0.35">
      <c r="A65" s="321" t="s">
        <v>871</v>
      </c>
      <c r="B65" s="325">
        <v>6468</v>
      </c>
    </row>
    <row r="66" spans="1:6" ht="15.6" x14ac:dyDescent="0.3">
      <c r="B66" s="326"/>
    </row>
    <row r="67" spans="1:6" ht="16.2" thickBot="1" x14ac:dyDescent="0.35">
      <c r="A67" s="277" t="s">
        <v>880</v>
      </c>
      <c r="B67" s="75"/>
    </row>
    <row r="68" spans="1:6" ht="15.6" x14ac:dyDescent="0.3">
      <c r="A68" s="312" t="s">
        <v>827</v>
      </c>
      <c r="B68" s="315" t="s">
        <v>808</v>
      </c>
    </row>
    <row r="69" spans="1:6" ht="15.6" x14ac:dyDescent="0.3">
      <c r="A69" s="316" t="s">
        <v>868</v>
      </c>
      <c r="B69" s="318">
        <v>13632</v>
      </c>
    </row>
    <row r="70" spans="1:6" ht="15.6" x14ac:dyDescent="0.3">
      <c r="A70" s="316" t="s">
        <v>869</v>
      </c>
      <c r="B70" s="318">
        <v>13203</v>
      </c>
    </row>
    <row r="71" spans="1:6" ht="15.6" x14ac:dyDescent="0.3">
      <c r="A71" s="316" t="s">
        <v>870</v>
      </c>
      <c r="B71" s="318">
        <v>10998</v>
      </c>
    </row>
    <row r="72" spans="1:6" ht="15.6" x14ac:dyDescent="0.3">
      <c r="A72" s="316" t="s">
        <v>829</v>
      </c>
      <c r="B72" s="318">
        <v>64</v>
      </c>
    </row>
    <row r="73" spans="1:6" ht="16.2" thickBot="1" x14ac:dyDescent="0.35">
      <c r="A73" s="321" t="s">
        <v>871</v>
      </c>
      <c r="B73" s="327">
        <v>4065</v>
      </c>
    </row>
    <row r="74" spans="1:6" ht="15.6" x14ac:dyDescent="0.3">
      <c r="B74" s="326"/>
    </row>
    <row r="75" spans="1:6" ht="16.2" thickBot="1" x14ac:dyDescent="0.35">
      <c r="A75" s="277" t="s">
        <v>881</v>
      </c>
      <c r="B75" s="75"/>
    </row>
    <row r="76" spans="1:6" ht="15.6" x14ac:dyDescent="0.3">
      <c r="A76" s="312" t="s">
        <v>882</v>
      </c>
      <c r="B76" s="314" t="s">
        <v>868</v>
      </c>
      <c r="C76" s="314" t="s">
        <v>869</v>
      </c>
      <c r="D76" s="314" t="s">
        <v>870</v>
      </c>
      <c r="E76" s="314" t="s">
        <v>829</v>
      </c>
      <c r="F76" s="315" t="s">
        <v>828</v>
      </c>
    </row>
    <row r="77" spans="1:6" ht="15.6" x14ac:dyDescent="0.3">
      <c r="A77" s="316" t="s">
        <v>883</v>
      </c>
      <c r="B77" s="329"/>
      <c r="C77" s="329"/>
      <c r="D77" s="329"/>
      <c r="E77" s="329"/>
      <c r="F77" s="318">
        <v>23</v>
      </c>
    </row>
    <row r="78" spans="1:6" ht="15.6" x14ac:dyDescent="0.3">
      <c r="A78" s="316" t="s">
        <v>884</v>
      </c>
      <c r="B78" s="329">
        <v>0</v>
      </c>
      <c r="C78" s="329">
        <v>0</v>
      </c>
      <c r="D78" s="329">
        <v>0</v>
      </c>
      <c r="E78" s="317">
        <v>10</v>
      </c>
      <c r="F78" s="318">
        <v>37</v>
      </c>
    </row>
    <row r="79" spans="1:6" ht="15.6" x14ac:dyDescent="0.3">
      <c r="A79" s="316" t="s">
        <v>885</v>
      </c>
      <c r="B79" s="329"/>
      <c r="C79" s="329"/>
      <c r="D79" s="329"/>
      <c r="E79" s="329"/>
      <c r="F79" s="318">
        <v>54</v>
      </c>
    </row>
    <row r="80" spans="1:6" ht="15.6" x14ac:dyDescent="0.3">
      <c r="A80" s="316" t="s">
        <v>886</v>
      </c>
      <c r="B80" s="317">
        <v>10119</v>
      </c>
      <c r="C80" s="317">
        <v>9164</v>
      </c>
      <c r="D80" s="317">
        <v>6123</v>
      </c>
      <c r="E80" s="317">
        <v>5270</v>
      </c>
      <c r="F80" s="318">
        <v>6607</v>
      </c>
    </row>
    <row r="81" spans="1:6" ht="15.6" x14ac:dyDescent="0.3">
      <c r="A81" s="316" t="s">
        <v>887</v>
      </c>
      <c r="B81" s="329">
        <v>0</v>
      </c>
      <c r="C81" s="329">
        <v>0</v>
      </c>
      <c r="D81" s="329">
        <v>0</v>
      </c>
      <c r="E81" s="317">
        <v>1303</v>
      </c>
      <c r="F81" s="318">
        <v>4296</v>
      </c>
    </row>
    <row r="82" spans="1:6" ht="15.6" x14ac:dyDescent="0.3">
      <c r="A82" s="316" t="s">
        <v>888</v>
      </c>
      <c r="B82" s="317">
        <v>13597</v>
      </c>
      <c r="C82" s="317">
        <v>13716</v>
      </c>
      <c r="D82" s="317">
        <v>9950</v>
      </c>
      <c r="E82" s="317">
        <v>10790</v>
      </c>
      <c r="F82" s="318">
        <v>16487</v>
      </c>
    </row>
    <row r="83" spans="1:6" ht="15.6" x14ac:dyDescent="0.3">
      <c r="A83" s="316" t="s">
        <v>889</v>
      </c>
      <c r="B83" s="317">
        <v>53</v>
      </c>
      <c r="C83" s="317">
        <v>34</v>
      </c>
      <c r="D83" s="317">
        <v>36</v>
      </c>
      <c r="E83" s="317">
        <v>11</v>
      </c>
      <c r="F83" s="318">
        <v>30</v>
      </c>
    </row>
    <row r="84" spans="1:6" ht="15.6" x14ac:dyDescent="0.3">
      <c r="A84" s="316" t="s">
        <v>890</v>
      </c>
      <c r="B84" s="317">
        <v>637</v>
      </c>
      <c r="C84" s="317">
        <v>823</v>
      </c>
      <c r="D84" s="317">
        <v>543</v>
      </c>
      <c r="E84" s="317">
        <v>2222</v>
      </c>
      <c r="F84" s="318">
        <v>10858</v>
      </c>
    </row>
    <row r="85" spans="1:6" ht="15.6" x14ac:dyDescent="0.3">
      <c r="A85" s="316" t="s">
        <v>891</v>
      </c>
      <c r="B85" s="317">
        <v>236</v>
      </c>
      <c r="C85" s="317">
        <v>132</v>
      </c>
      <c r="D85" s="317">
        <v>105</v>
      </c>
      <c r="E85" s="317">
        <v>52</v>
      </c>
      <c r="F85" s="318">
        <v>88</v>
      </c>
    </row>
    <row r="86" spans="1:6" ht="15.6" x14ac:dyDescent="0.3">
      <c r="A86" s="316" t="s">
        <v>892</v>
      </c>
      <c r="B86" s="317">
        <v>81</v>
      </c>
      <c r="C86" s="317">
        <v>40</v>
      </c>
      <c r="D86" s="317">
        <v>29</v>
      </c>
      <c r="E86" s="317">
        <v>12</v>
      </c>
      <c r="F86" s="318">
        <v>5</v>
      </c>
    </row>
    <row r="87" spans="1:6" ht="15.6" x14ac:dyDescent="0.3">
      <c r="A87" s="316" t="s">
        <v>893</v>
      </c>
      <c r="B87" s="317">
        <v>134</v>
      </c>
      <c r="C87" s="317">
        <v>82</v>
      </c>
      <c r="D87" s="317">
        <v>72</v>
      </c>
      <c r="E87" s="317">
        <v>29</v>
      </c>
      <c r="F87" s="318">
        <v>26</v>
      </c>
    </row>
    <row r="88" spans="1:6" ht="15.6" x14ac:dyDescent="0.3">
      <c r="A88" s="316" t="s">
        <v>894</v>
      </c>
      <c r="B88" s="317">
        <v>27</v>
      </c>
      <c r="C88" s="317">
        <v>19</v>
      </c>
      <c r="D88" s="317">
        <v>17</v>
      </c>
      <c r="E88" s="317">
        <v>7</v>
      </c>
      <c r="F88" s="318">
        <v>12</v>
      </c>
    </row>
    <row r="89" spans="1:6" ht="15.6" x14ac:dyDescent="0.3">
      <c r="A89" s="316" t="s">
        <v>895</v>
      </c>
      <c r="B89" s="329"/>
      <c r="C89" s="329"/>
      <c r="D89" s="329"/>
      <c r="E89" s="329"/>
      <c r="F89" s="318">
        <v>86</v>
      </c>
    </row>
    <row r="90" spans="1:6" ht="15.6" x14ac:dyDescent="0.3">
      <c r="A90" s="316" t="s">
        <v>896</v>
      </c>
      <c r="B90" s="329">
        <v>0</v>
      </c>
      <c r="C90" s="329">
        <v>0</v>
      </c>
      <c r="D90" s="329">
        <v>0</v>
      </c>
      <c r="E90" s="317">
        <v>2452</v>
      </c>
      <c r="F90" s="318">
        <v>17061</v>
      </c>
    </row>
    <row r="91" spans="1:6" ht="16.2" thickBot="1" x14ac:dyDescent="0.35">
      <c r="A91" s="321" t="s">
        <v>897</v>
      </c>
      <c r="B91" s="330">
        <v>51</v>
      </c>
      <c r="C91" s="330">
        <v>32</v>
      </c>
      <c r="D91" s="330">
        <v>14</v>
      </c>
      <c r="E91" s="330">
        <v>5</v>
      </c>
      <c r="F91" s="327">
        <v>24</v>
      </c>
    </row>
    <row r="93" spans="1:6" ht="16.2" thickBot="1" x14ac:dyDescent="0.35">
      <c r="A93" s="277" t="s">
        <v>898</v>
      </c>
      <c r="B93" s="75"/>
    </row>
    <row r="94" spans="1:6" ht="15.6" x14ac:dyDescent="0.3">
      <c r="A94" s="312" t="s">
        <v>882</v>
      </c>
      <c r="B94" s="314" t="s">
        <v>868</v>
      </c>
      <c r="C94" s="314" t="s">
        <v>869</v>
      </c>
      <c r="D94" s="314" t="s">
        <v>870</v>
      </c>
      <c r="E94" s="314" t="s">
        <v>829</v>
      </c>
      <c r="F94" s="315" t="s">
        <v>828</v>
      </c>
    </row>
    <row r="95" spans="1:6" ht="15.6" x14ac:dyDescent="0.3">
      <c r="A95" s="316" t="s">
        <v>883</v>
      </c>
      <c r="B95" s="329"/>
      <c r="C95" s="329"/>
      <c r="D95" s="329"/>
      <c r="E95" s="329"/>
      <c r="F95" s="318">
        <v>173</v>
      </c>
    </row>
    <row r="96" spans="1:6" ht="15.6" x14ac:dyDescent="0.3">
      <c r="A96" s="316" t="s">
        <v>884</v>
      </c>
      <c r="B96" s="329">
        <v>0</v>
      </c>
      <c r="C96" s="329">
        <v>0</v>
      </c>
      <c r="D96" s="329">
        <v>0</v>
      </c>
      <c r="E96" s="317">
        <v>10</v>
      </c>
      <c r="F96" s="318">
        <v>36</v>
      </c>
    </row>
    <row r="97" spans="1:6" ht="15.6" x14ac:dyDescent="0.3">
      <c r="A97" s="316" t="s">
        <v>885</v>
      </c>
      <c r="B97" s="329"/>
      <c r="C97" s="329"/>
      <c r="D97" s="329"/>
      <c r="E97" s="329"/>
      <c r="F97" s="318">
        <v>108</v>
      </c>
    </row>
    <row r="98" spans="1:6" ht="15.6" x14ac:dyDescent="0.3">
      <c r="A98" s="316" t="s">
        <v>886</v>
      </c>
      <c r="B98" s="317">
        <v>33169</v>
      </c>
      <c r="C98" s="317">
        <v>43408</v>
      </c>
      <c r="D98" s="317">
        <v>11108</v>
      </c>
      <c r="E98" s="317">
        <v>5137</v>
      </c>
      <c r="F98" s="318">
        <v>5367</v>
      </c>
    </row>
    <row r="99" spans="1:6" ht="15.6" x14ac:dyDescent="0.3">
      <c r="A99" s="316" t="s">
        <v>887</v>
      </c>
      <c r="B99" s="329">
        <v>0</v>
      </c>
      <c r="C99" s="329">
        <v>0</v>
      </c>
      <c r="D99" s="329">
        <v>0</v>
      </c>
      <c r="E99" s="317">
        <v>12331</v>
      </c>
      <c r="F99" s="318">
        <v>3926</v>
      </c>
    </row>
    <row r="100" spans="1:6" ht="15.6" x14ac:dyDescent="0.3">
      <c r="A100" s="316" t="s">
        <v>888</v>
      </c>
      <c r="B100" s="317">
        <v>62461</v>
      </c>
      <c r="C100" s="317">
        <v>104166</v>
      </c>
      <c r="D100" s="317">
        <v>16860</v>
      </c>
      <c r="E100" s="317">
        <v>13106</v>
      </c>
      <c r="F100" s="318">
        <v>11239</v>
      </c>
    </row>
    <row r="101" spans="1:6" ht="15.6" x14ac:dyDescent="0.3">
      <c r="A101" s="316" t="s">
        <v>889</v>
      </c>
      <c r="B101" s="317">
        <v>777</v>
      </c>
      <c r="C101" s="317">
        <v>371</v>
      </c>
      <c r="D101" s="317">
        <v>152</v>
      </c>
      <c r="E101" s="317">
        <v>384</v>
      </c>
      <c r="F101" s="318">
        <v>962</v>
      </c>
    </row>
    <row r="102" spans="1:6" ht="15.6" x14ac:dyDescent="0.3">
      <c r="A102" s="316" t="s">
        <v>890</v>
      </c>
      <c r="B102" s="317">
        <v>3428</v>
      </c>
      <c r="C102" s="317">
        <v>7893</v>
      </c>
      <c r="D102" s="317">
        <v>1467</v>
      </c>
      <c r="E102" s="317">
        <v>26920</v>
      </c>
      <c r="F102" s="318">
        <v>48045</v>
      </c>
    </row>
    <row r="103" spans="1:6" ht="15.6" x14ac:dyDescent="0.3">
      <c r="A103" s="316" t="s">
        <v>891</v>
      </c>
      <c r="B103" s="317">
        <v>290</v>
      </c>
      <c r="C103" s="317">
        <v>155</v>
      </c>
      <c r="D103" s="317">
        <v>129</v>
      </c>
      <c r="E103" s="317">
        <v>106</v>
      </c>
      <c r="F103" s="318">
        <v>502</v>
      </c>
    </row>
    <row r="104" spans="1:6" ht="15.6" x14ac:dyDescent="0.3">
      <c r="A104" s="316" t="s">
        <v>892</v>
      </c>
      <c r="B104" s="317">
        <v>113</v>
      </c>
      <c r="C104" s="317">
        <v>61</v>
      </c>
      <c r="D104" s="317">
        <v>39</v>
      </c>
      <c r="E104" s="317">
        <v>15</v>
      </c>
      <c r="F104" s="318">
        <v>9</v>
      </c>
    </row>
    <row r="105" spans="1:6" ht="15.6" x14ac:dyDescent="0.3">
      <c r="A105" s="316" t="s">
        <v>893</v>
      </c>
      <c r="B105" s="317">
        <v>121</v>
      </c>
      <c r="C105" s="317">
        <v>73</v>
      </c>
      <c r="D105" s="317">
        <v>68</v>
      </c>
      <c r="E105" s="317">
        <v>46</v>
      </c>
      <c r="F105" s="318">
        <v>58</v>
      </c>
    </row>
    <row r="106" spans="1:6" ht="15.6" x14ac:dyDescent="0.3">
      <c r="A106" s="316" t="s">
        <v>894</v>
      </c>
      <c r="B106" s="317">
        <v>41</v>
      </c>
      <c r="C106" s="317">
        <v>31</v>
      </c>
      <c r="D106" s="317">
        <v>21</v>
      </c>
      <c r="E106" s="317">
        <v>19</v>
      </c>
      <c r="F106" s="318">
        <v>107</v>
      </c>
    </row>
    <row r="107" spans="1:6" ht="15.6" x14ac:dyDescent="0.3">
      <c r="A107" s="316" t="s">
        <v>895</v>
      </c>
      <c r="B107" s="329"/>
      <c r="C107" s="329"/>
      <c r="D107" s="329"/>
      <c r="E107" s="329"/>
      <c r="F107" s="318">
        <v>75</v>
      </c>
    </row>
    <row r="108" spans="1:6" ht="15.6" x14ac:dyDescent="0.3">
      <c r="A108" s="316" t="s">
        <v>896</v>
      </c>
      <c r="B108" s="329">
        <v>0</v>
      </c>
      <c r="C108" s="329">
        <v>0</v>
      </c>
      <c r="D108" s="329">
        <v>0</v>
      </c>
      <c r="E108" s="317">
        <v>3823</v>
      </c>
      <c r="F108" s="318">
        <v>36644</v>
      </c>
    </row>
    <row r="109" spans="1:6" ht="16.2" thickBot="1" x14ac:dyDescent="0.35">
      <c r="A109" s="321" t="s">
        <v>897</v>
      </c>
      <c r="B109" s="330">
        <v>99</v>
      </c>
      <c r="C109" s="330">
        <v>83</v>
      </c>
      <c r="D109" s="330">
        <v>37</v>
      </c>
      <c r="E109" s="330">
        <v>43</v>
      </c>
      <c r="F109" s="327">
        <v>75</v>
      </c>
    </row>
    <row r="110" spans="1:6" ht="15.6" x14ac:dyDescent="0.3">
      <c r="A110" s="331"/>
      <c r="B110" s="332"/>
      <c r="C110" s="332"/>
      <c r="D110" s="332"/>
      <c r="E110" s="332"/>
      <c r="F110" s="332"/>
    </row>
    <row r="111" spans="1:6" ht="16.2" thickBot="1" x14ac:dyDescent="0.35">
      <c r="A111" s="277" t="s">
        <v>899</v>
      </c>
      <c r="B111" s="75"/>
    </row>
    <row r="112" spans="1:6" ht="15.6" x14ac:dyDescent="0.3">
      <c r="A112" s="312" t="s">
        <v>882</v>
      </c>
      <c r="B112" s="314" t="s">
        <v>868</v>
      </c>
      <c r="C112" s="314" t="s">
        <v>869</v>
      </c>
      <c r="D112" s="314" t="s">
        <v>870</v>
      </c>
      <c r="E112" s="314" t="s">
        <v>829</v>
      </c>
      <c r="F112" s="315" t="s">
        <v>828</v>
      </c>
    </row>
    <row r="113" spans="1:6" ht="15.6" x14ac:dyDescent="0.3">
      <c r="A113" s="316" t="s">
        <v>883</v>
      </c>
      <c r="B113" s="329"/>
      <c r="C113" s="329"/>
      <c r="D113" s="329"/>
      <c r="E113" s="329"/>
      <c r="F113" s="318">
        <v>8</v>
      </c>
    </row>
    <row r="114" spans="1:6" ht="15.6" x14ac:dyDescent="0.3">
      <c r="A114" s="316" t="s">
        <v>884</v>
      </c>
      <c r="B114" s="329">
        <v>0</v>
      </c>
      <c r="C114" s="329">
        <v>0</v>
      </c>
      <c r="D114" s="329">
        <v>0</v>
      </c>
      <c r="E114" s="317">
        <v>0</v>
      </c>
      <c r="F114" s="318">
        <v>1</v>
      </c>
    </row>
    <row r="115" spans="1:6" ht="15.6" x14ac:dyDescent="0.3">
      <c r="A115" s="316" t="s">
        <v>885</v>
      </c>
      <c r="B115" s="329"/>
      <c r="C115" s="329"/>
      <c r="D115" s="329"/>
      <c r="E115" s="329"/>
      <c r="F115" s="318">
        <v>5</v>
      </c>
    </row>
    <row r="116" spans="1:6" ht="15.6" x14ac:dyDescent="0.3">
      <c r="A116" s="316" t="s">
        <v>886</v>
      </c>
      <c r="B116" s="317">
        <v>15445</v>
      </c>
      <c r="C116" s="317">
        <v>18981</v>
      </c>
      <c r="D116" s="317">
        <v>12590</v>
      </c>
      <c r="E116" s="317">
        <v>2872</v>
      </c>
      <c r="F116" s="318">
        <v>7376</v>
      </c>
    </row>
    <row r="117" spans="1:6" ht="15.6" x14ac:dyDescent="0.3">
      <c r="A117" s="316" t="s">
        <v>887</v>
      </c>
      <c r="B117" s="329">
        <v>0</v>
      </c>
      <c r="C117" s="329">
        <v>0</v>
      </c>
      <c r="D117" s="329">
        <v>0</v>
      </c>
      <c r="E117" s="317">
        <v>16</v>
      </c>
      <c r="F117" s="318">
        <v>1612</v>
      </c>
    </row>
    <row r="118" spans="1:6" ht="15.6" x14ac:dyDescent="0.3">
      <c r="A118" s="316" t="s">
        <v>888</v>
      </c>
      <c r="B118" s="317">
        <v>28894</v>
      </c>
      <c r="C118" s="317">
        <v>41800</v>
      </c>
      <c r="D118" s="317">
        <v>21139</v>
      </c>
      <c r="E118" s="317">
        <v>4904</v>
      </c>
      <c r="F118" s="318">
        <v>6541</v>
      </c>
    </row>
    <row r="119" spans="1:6" ht="15.6" x14ac:dyDescent="0.3">
      <c r="A119" s="316" t="s">
        <v>889</v>
      </c>
      <c r="B119" s="317">
        <v>45</v>
      </c>
      <c r="C119" s="317">
        <v>162</v>
      </c>
      <c r="D119" s="317">
        <v>97</v>
      </c>
      <c r="E119" s="317">
        <v>23</v>
      </c>
      <c r="F119" s="318">
        <v>32</v>
      </c>
    </row>
    <row r="120" spans="1:6" ht="15.6" x14ac:dyDescent="0.3">
      <c r="A120" s="316" t="s">
        <v>890</v>
      </c>
      <c r="B120" s="317">
        <v>879</v>
      </c>
      <c r="C120" s="317">
        <v>2240</v>
      </c>
      <c r="D120" s="317">
        <v>1416</v>
      </c>
      <c r="E120" s="317">
        <v>964</v>
      </c>
      <c r="F120" s="318">
        <v>2605</v>
      </c>
    </row>
    <row r="121" spans="1:6" ht="15.6" x14ac:dyDescent="0.3">
      <c r="A121" s="316" t="s">
        <v>891</v>
      </c>
      <c r="B121" s="317">
        <v>229</v>
      </c>
      <c r="C121" s="317">
        <v>151</v>
      </c>
      <c r="D121" s="317">
        <v>112</v>
      </c>
      <c r="E121" s="317">
        <v>47</v>
      </c>
      <c r="F121" s="318">
        <v>23</v>
      </c>
    </row>
    <row r="122" spans="1:6" ht="15.6" x14ac:dyDescent="0.3">
      <c r="A122" s="316" t="s">
        <v>892</v>
      </c>
      <c r="B122" s="317">
        <v>61</v>
      </c>
      <c r="C122" s="317">
        <v>65</v>
      </c>
      <c r="D122" s="317">
        <v>41</v>
      </c>
      <c r="E122" s="317">
        <v>22</v>
      </c>
      <c r="F122" s="318">
        <v>0</v>
      </c>
    </row>
    <row r="123" spans="1:6" ht="15.6" x14ac:dyDescent="0.3">
      <c r="A123" s="316" t="s">
        <v>893</v>
      </c>
      <c r="B123" s="317">
        <v>42</v>
      </c>
      <c r="C123" s="317">
        <v>18</v>
      </c>
      <c r="D123" s="317">
        <v>17</v>
      </c>
      <c r="E123" s="317">
        <v>4</v>
      </c>
      <c r="F123" s="318">
        <v>9</v>
      </c>
    </row>
    <row r="124" spans="1:6" ht="15.6" x14ac:dyDescent="0.3">
      <c r="A124" s="316" t="s">
        <v>894</v>
      </c>
      <c r="B124" s="317">
        <v>7</v>
      </c>
      <c r="C124" s="317">
        <v>9</v>
      </c>
      <c r="D124" s="317">
        <v>2</v>
      </c>
      <c r="E124" s="317">
        <v>0</v>
      </c>
      <c r="F124" s="318">
        <v>6</v>
      </c>
    </row>
    <row r="125" spans="1:6" ht="15.6" x14ac:dyDescent="0.3">
      <c r="A125" s="316" t="s">
        <v>895</v>
      </c>
      <c r="B125" s="329"/>
      <c r="C125" s="329"/>
      <c r="D125" s="329"/>
      <c r="E125" s="329"/>
      <c r="F125" s="318">
        <v>10</v>
      </c>
    </row>
    <row r="126" spans="1:6" ht="15.6" x14ac:dyDescent="0.3">
      <c r="A126" s="316" t="s">
        <v>896</v>
      </c>
      <c r="B126" s="329">
        <v>0</v>
      </c>
      <c r="C126" s="329">
        <v>0</v>
      </c>
      <c r="D126" s="329">
        <v>0</v>
      </c>
      <c r="E126" s="317">
        <v>18</v>
      </c>
      <c r="F126" s="318">
        <v>197</v>
      </c>
    </row>
    <row r="127" spans="1:6" ht="16.2" thickBot="1" x14ac:dyDescent="0.35">
      <c r="A127" s="321" t="s">
        <v>897</v>
      </c>
      <c r="B127" s="330">
        <v>24</v>
      </c>
      <c r="C127" s="330">
        <v>46</v>
      </c>
      <c r="D127" s="330">
        <v>14</v>
      </c>
      <c r="E127" s="330">
        <v>6</v>
      </c>
      <c r="F127" s="327">
        <v>17</v>
      </c>
    </row>
  </sheetData>
  <mergeCells count="1">
    <mergeCell ref="A1:L1"/>
  </mergeCell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0F8B0-1CF0-46F2-A2C5-C61B36B777B7}">
  <dimension ref="A1:AD135"/>
  <sheetViews>
    <sheetView zoomScale="72" zoomScaleNormal="72" workbookViewId="0">
      <selection activeCell="B21" sqref="B21"/>
    </sheetView>
  </sheetViews>
  <sheetFormatPr defaultColWidth="9.44140625" defaultRowHeight="14.4" x14ac:dyDescent="0.3"/>
  <cols>
    <col min="1" max="1" width="72.5546875" customWidth="1"/>
    <col min="2" max="2" width="53.21875" customWidth="1"/>
    <col min="3" max="3" width="27.5546875" customWidth="1"/>
    <col min="4" max="4" width="10" customWidth="1"/>
    <col min="5" max="5" width="8" customWidth="1"/>
    <col min="6" max="6" width="10.44140625" customWidth="1"/>
    <col min="7" max="7" width="23.5546875" customWidth="1"/>
    <col min="8" max="8" width="14.44140625" customWidth="1"/>
    <col min="9" max="9" width="19" bestFit="1" customWidth="1"/>
    <col min="10" max="10" width="17.5546875" customWidth="1"/>
    <col min="11" max="11" width="20" customWidth="1"/>
    <col min="12" max="12" width="11.5546875" customWidth="1"/>
    <col min="13" max="13" width="13.44140625" customWidth="1"/>
    <col min="14" max="15" width="14.5546875" customWidth="1"/>
    <col min="16" max="19" width="13.44140625" customWidth="1"/>
    <col min="20" max="21" width="12" customWidth="1"/>
    <col min="22" max="22" width="18.5546875" customWidth="1"/>
    <col min="23" max="23" width="14.5546875" customWidth="1"/>
    <col min="24" max="24" width="12.44140625" customWidth="1"/>
    <col min="25" max="25" width="28.77734375" customWidth="1"/>
    <col min="26" max="26" width="23.44140625" customWidth="1"/>
    <col min="27" max="27" width="16.5546875" customWidth="1"/>
    <col min="28" max="28" width="16.44140625" customWidth="1"/>
    <col min="29" max="29" width="28.21875" customWidth="1"/>
    <col min="30" max="30" width="16.44140625" customWidth="1"/>
  </cols>
  <sheetData>
    <row r="1" spans="1:30" ht="41.55" customHeight="1" x14ac:dyDescent="0.3">
      <c r="A1" s="370" t="s">
        <v>44</v>
      </c>
      <c r="B1" s="370"/>
      <c r="C1" s="370"/>
      <c r="D1" s="370"/>
      <c r="E1" s="10"/>
      <c r="F1" s="10"/>
      <c r="G1" s="10"/>
      <c r="H1" s="10"/>
      <c r="I1" s="10"/>
      <c r="J1" s="10"/>
      <c r="K1" s="10"/>
      <c r="L1" s="10"/>
      <c r="M1" s="10"/>
      <c r="N1" s="10"/>
      <c r="O1" s="10"/>
      <c r="P1" s="10"/>
      <c r="Q1" s="10"/>
      <c r="R1" s="10"/>
      <c r="S1" s="10"/>
      <c r="T1" s="10"/>
      <c r="U1" s="10"/>
      <c r="V1" s="10"/>
      <c r="W1" s="114"/>
      <c r="X1" s="10"/>
      <c r="Y1" s="10"/>
      <c r="Z1" s="10"/>
      <c r="AA1" s="113"/>
      <c r="AB1" s="10"/>
      <c r="AC1" s="10"/>
      <c r="AD1" s="113"/>
    </row>
    <row r="2" spans="1:30" ht="108" customHeight="1" x14ac:dyDescent="0.3">
      <c r="A2" s="412" t="s">
        <v>722</v>
      </c>
      <c r="B2" s="412"/>
      <c r="C2" s="412"/>
      <c r="D2" s="412"/>
      <c r="E2" s="10"/>
      <c r="F2" s="10"/>
      <c r="G2" s="10"/>
      <c r="H2" s="10"/>
      <c r="I2" s="10"/>
      <c r="J2" s="10"/>
      <c r="K2" s="10"/>
      <c r="L2" s="10"/>
      <c r="M2" s="10"/>
      <c r="N2" s="10"/>
      <c r="O2" s="10"/>
      <c r="P2" s="10"/>
      <c r="Q2" s="10"/>
      <c r="R2" s="10"/>
      <c r="S2" s="10"/>
      <c r="T2" s="10"/>
      <c r="U2" s="10"/>
      <c r="V2" s="10"/>
      <c r="W2" s="114"/>
      <c r="X2" s="10"/>
      <c r="Y2" s="10"/>
      <c r="Z2" s="10"/>
      <c r="AA2" s="113"/>
      <c r="AB2" s="10"/>
      <c r="AC2" s="10"/>
      <c r="AD2" s="113"/>
    </row>
    <row r="3" spans="1:30" ht="48.6" customHeight="1" x14ac:dyDescent="0.3">
      <c r="A3" s="369" t="s">
        <v>721</v>
      </c>
      <c r="B3" s="369"/>
      <c r="C3" s="369"/>
      <c r="D3" s="369"/>
      <c r="E3" s="369"/>
      <c r="F3" s="369"/>
      <c r="G3" s="369"/>
      <c r="H3" s="369"/>
      <c r="I3" s="369"/>
      <c r="J3" s="369"/>
      <c r="K3" s="369"/>
      <c r="L3" s="369"/>
      <c r="M3" s="369"/>
      <c r="N3" s="369"/>
      <c r="O3" s="369"/>
      <c r="P3" s="369"/>
      <c r="Q3" s="369"/>
      <c r="R3" s="369"/>
      <c r="S3" s="369"/>
      <c r="T3" s="369"/>
      <c r="U3" s="369"/>
      <c r="V3" s="369"/>
      <c r="W3" s="369"/>
      <c r="X3" s="369"/>
      <c r="Y3" s="369"/>
      <c r="Z3" s="369"/>
      <c r="AA3" s="369"/>
      <c r="AB3" s="369"/>
      <c r="AC3" s="369"/>
      <c r="AD3" s="369"/>
    </row>
    <row r="4" spans="1:30" ht="30.75" customHeight="1" x14ac:dyDescent="0.3">
      <c r="A4" s="429" t="s">
        <v>723</v>
      </c>
      <c r="B4" s="429"/>
      <c r="C4" s="429"/>
      <c r="D4" s="429"/>
      <c r="E4" s="429"/>
      <c r="F4" s="429"/>
      <c r="G4" s="429"/>
      <c r="H4" s="429"/>
      <c r="I4" s="429"/>
      <c r="J4" s="429"/>
      <c r="K4" s="429"/>
      <c r="L4" s="429"/>
      <c r="M4" s="429"/>
      <c r="N4" s="429"/>
      <c r="O4" s="429"/>
      <c r="P4" s="429"/>
      <c r="Q4" s="429"/>
      <c r="R4" s="429"/>
      <c r="S4" s="429"/>
      <c r="T4" s="429"/>
      <c r="U4" s="429"/>
      <c r="V4" s="429"/>
      <c r="W4" s="429"/>
      <c r="X4" s="429"/>
      <c r="Y4" s="429"/>
      <c r="Z4" s="429"/>
      <c r="AA4" s="429"/>
      <c r="AB4" s="429"/>
      <c r="AC4" s="429"/>
      <c r="AD4" s="429"/>
    </row>
    <row r="5" spans="1:30" ht="36" customHeight="1" x14ac:dyDescent="0.3">
      <c r="A5" s="112" t="s">
        <v>114</v>
      </c>
      <c r="B5" s="110"/>
      <c r="C5" s="110"/>
      <c r="D5" s="110"/>
      <c r="E5" s="110"/>
      <c r="F5" s="110"/>
      <c r="G5" s="110"/>
      <c r="H5" s="110"/>
      <c r="I5" s="110" t="s">
        <v>115</v>
      </c>
      <c r="J5" s="428" t="s">
        <v>720</v>
      </c>
      <c r="K5" s="428"/>
      <c r="L5" s="428"/>
      <c r="M5" s="428"/>
      <c r="N5" s="428" t="s">
        <v>719</v>
      </c>
      <c r="O5" s="428"/>
      <c r="P5" s="428"/>
      <c r="Q5" s="428"/>
      <c r="R5" s="427" t="s">
        <v>718</v>
      </c>
      <c r="S5" s="427"/>
      <c r="T5" s="427"/>
      <c r="U5" s="427"/>
      <c r="V5" s="108" t="s">
        <v>717</v>
      </c>
      <c r="W5" s="427" t="s">
        <v>116</v>
      </c>
      <c r="X5" s="427"/>
      <c r="Y5" s="427"/>
      <c r="Z5" s="427"/>
      <c r="AA5" s="427"/>
      <c r="AB5" s="427"/>
      <c r="AC5" s="427"/>
      <c r="AD5" s="427"/>
    </row>
    <row r="6" spans="1:30" ht="20.25" customHeight="1" x14ac:dyDescent="0.3">
      <c r="A6" s="111" t="s">
        <v>716</v>
      </c>
      <c r="B6" s="109"/>
      <c r="C6" s="109"/>
      <c r="D6" s="109"/>
      <c r="E6" s="109"/>
      <c r="F6" s="109"/>
      <c r="G6" s="109"/>
      <c r="H6" s="109"/>
      <c r="I6" s="110"/>
      <c r="J6" s="109"/>
      <c r="K6" s="109"/>
      <c r="L6" s="109"/>
      <c r="M6" s="109"/>
      <c r="N6" s="109"/>
      <c r="O6" s="109"/>
      <c r="P6" s="109"/>
      <c r="Q6" s="109"/>
      <c r="R6" s="106"/>
      <c r="S6" s="106"/>
      <c r="T6" s="106"/>
      <c r="U6" s="106"/>
      <c r="V6" s="108"/>
      <c r="W6" s="107"/>
      <c r="X6" s="106"/>
      <c r="Y6" s="106"/>
      <c r="Z6" s="106"/>
      <c r="AA6" s="105"/>
      <c r="AB6" s="106"/>
      <c r="AC6" s="106"/>
      <c r="AD6" s="105"/>
    </row>
    <row r="7" spans="1:30" ht="48" customHeight="1" x14ac:dyDescent="0.3">
      <c r="A7" s="104" t="s">
        <v>117</v>
      </c>
      <c r="B7" s="104" t="s">
        <v>118</v>
      </c>
      <c r="C7" s="104" t="s">
        <v>119</v>
      </c>
      <c r="D7" s="104" t="s">
        <v>120</v>
      </c>
      <c r="E7" s="104" t="s">
        <v>121</v>
      </c>
      <c r="F7" s="104" t="s">
        <v>52</v>
      </c>
      <c r="G7" s="104" t="s">
        <v>122</v>
      </c>
      <c r="H7" s="104" t="s">
        <v>87</v>
      </c>
      <c r="I7" s="103" t="s">
        <v>715</v>
      </c>
      <c r="J7" s="104" t="s">
        <v>123</v>
      </c>
      <c r="K7" s="104" t="s">
        <v>124</v>
      </c>
      <c r="L7" s="104" t="s">
        <v>125</v>
      </c>
      <c r="M7" s="104" t="s">
        <v>126</v>
      </c>
      <c r="N7" s="104" t="s">
        <v>127</v>
      </c>
      <c r="O7" s="104" t="s">
        <v>128</v>
      </c>
      <c r="P7" s="104" t="s">
        <v>129</v>
      </c>
      <c r="Q7" s="104" t="s">
        <v>130</v>
      </c>
      <c r="R7" s="104" t="s">
        <v>131</v>
      </c>
      <c r="S7" s="104" t="s">
        <v>132</v>
      </c>
      <c r="T7" s="104" t="s">
        <v>133</v>
      </c>
      <c r="U7" s="104" t="s">
        <v>134</v>
      </c>
      <c r="V7" s="104" t="s">
        <v>135</v>
      </c>
      <c r="W7" s="104" t="s">
        <v>136</v>
      </c>
      <c r="X7" s="104" t="s">
        <v>137</v>
      </c>
      <c r="Y7" s="104" t="s">
        <v>85</v>
      </c>
      <c r="Z7" s="104" t="s">
        <v>138</v>
      </c>
      <c r="AA7" s="104" t="s">
        <v>81</v>
      </c>
      <c r="AB7" s="104" t="s">
        <v>139</v>
      </c>
      <c r="AC7" s="104" t="s">
        <v>94</v>
      </c>
      <c r="AD7" s="103" t="s">
        <v>98</v>
      </c>
    </row>
    <row r="8" spans="1:30" ht="12.75" customHeight="1" x14ac:dyDescent="0.3">
      <c r="A8" s="5" t="s">
        <v>24</v>
      </c>
      <c r="B8" s="5" t="s">
        <v>175</v>
      </c>
      <c r="C8" s="5" t="s">
        <v>176</v>
      </c>
      <c r="D8" s="5" t="s">
        <v>177</v>
      </c>
      <c r="E8" s="8">
        <v>39120</v>
      </c>
      <c r="F8" s="5" t="s">
        <v>166</v>
      </c>
      <c r="G8" s="5" t="s">
        <v>144</v>
      </c>
      <c r="H8" s="5" t="s">
        <v>145</v>
      </c>
      <c r="I8" s="94">
        <v>31.467261904761902</v>
      </c>
      <c r="J8" s="6">
        <v>1123.3636363636272</v>
      </c>
      <c r="K8" s="6">
        <v>2.5</v>
      </c>
      <c r="L8" s="6">
        <v>20.068181818181817</v>
      </c>
      <c r="M8" s="6">
        <v>18.022727272727273</v>
      </c>
      <c r="N8" s="6">
        <v>40.93181818181818</v>
      </c>
      <c r="O8" s="6">
        <v>1123.0227272727182</v>
      </c>
      <c r="P8" s="6">
        <v>0</v>
      </c>
      <c r="Q8" s="6">
        <v>0</v>
      </c>
      <c r="R8" s="6">
        <v>17.636363636363633</v>
      </c>
      <c r="S8" s="6">
        <v>9.2727272727272734</v>
      </c>
      <c r="T8" s="6">
        <v>10.681818181818182</v>
      </c>
      <c r="U8" s="6">
        <v>1126.3636363636276</v>
      </c>
      <c r="V8" s="6">
        <v>745.34090909092049</v>
      </c>
      <c r="W8" s="7">
        <v>1100</v>
      </c>
      <c r="X8" s="5" t="s">
        <v>146</v>
      </c>
      <c r="Y8" s="9" t="s">
        <v>575</v>
      </c>
      <c r="Z8" s="5" t="s">
        <v>148</v>
      </c>
      <c r="AA8" s="91" t="s">
        <v>682</v>
      </c>
      <c r="AB8" s="93" t="s">
        <v>146</v>
      </c>
      <c r="AC8" s="92" t="s">
        <v>575</v>
      </c>
      <c r="AD8" s="91">
        <v>44168</v>
      </c>
    </row>
    <row r="9" spans="1:30" ht="15.6" x14ac:dyDescent="0.3">
      <c r="A9" s="5" t="s">
        <v>5</v>
      </c>
      <c r="B9" s="5" t="s">
        <v>140</v>
      </c>
      <c r="C9" s="5" t="s">
        <v>141</v>
      </c>
      <c r="D9" s="5" t="s">
        <v>142</v>
      </c>
      <c r="E9" s="8">
        <v>92301</v>
      </c>
      <c r="F9" s="5" t="s">
        <v>143</v>
      </c>
      <c r="G9" s="5" t="s">
        <v>159</v>
      </c>
      <c r="H9" s="5" t="s">
        <v>145</v>
      </c>
      <c r="I9" s="94">
        <v>706.5</v>
      </c>
      <c r="J9" s="6">
        <v>3</v>
      </c>
      <c r="K9" s="6">
        <v>1</v>
      </c>
      <c r="L9" s="6">
        <v>1</v>
      </c>
      <c r="M9" s="6">
        <v>15</v>
      </c>
      <c r="N9" s="6">
        <v>16</v>
      </c>
      <c r="O9" s="6">
        <v>2</v>
      </c>
      <c r="P9" s="6">
        <v>2</v>
      </c>
      <c r="Q9" s="6">
        <v>0</v>
      </c>
      <c r="R9" s="6">
        <v>15.068181818181818</v>
      </c>
      <c r="S9" s="6">
        <v>2</v>
      </c>
      <c r="T9" s="6">
        <v>0</v>
      </c>
      <c r="U9" s="6">
        <v>2.9318181818181817</v>
      </c>
      <c r="V9" s="6">
        <v>18</v>
      </c>
      <c r="W9" s="7">
        <v>1455</v>
      </c>
      <c r="X9" s="5" t="s">
        <v>146</v>
      </c>
      <c r="Y9" s="9" t="s">
        <v>575</v>
      </c>
      <c r="Z9" s="5" t="s">
        <v>148</v>
      </c>
      <c r="AA9" s="91" t="s">
        <v>714</v>
      </c>
      <c r="AB9" s="93" t="s">
        <v>146</v>
      </c>
      <c r="AC9" s="92" t="s">
        <v>575</v>
      </c>
      <c r="AD9" s="91">
        <v>44155</v>
      </c>
    </row>
    <row r="10" spans="1:30" ht="15.6" x14ac:dyDescent="0.3">
      <c r="A10" s="5" t="s">
        <v>385</v>
      </c>
      <c r="B10" s="5" t="s">
        <v>386</v>
      </c>
      <c r="C10" s="5" t="s">
        <v>387</v>
      </c>
      <c r="D10" s="5" t="s">
        <v>388</v>
      </c>
      <c r="E10" s="8">
        <v>27253</v>
      </c>
      <c r="F10" s="5" t="s">
        <v>154</v>
      </c>
      <c r="G10" s="5" t="s">
        <v>167</v>
      </c>
      <c r="H10" s="5" t="s">
        <v>145</v>
      </c>
      <c r="I10" s="94">
        <v>1.89247311827957</v>
      </c>
      <c r="J10" s="6">
        <v>1.3181818181818175</v>
      </c>
      <c r="K10" s="6">
        <v>1.8409090909090897</v>
      </c>
      <c r="L10" s="6">
        <v>2.1818181818181812</v>
      </c>
      <c r="M10" s="6">
        <v>2.5909090909090904</v>
      </c>
      <c r="N10" s="6">
        <v>6.1363636363636465</v>
      </c>
      <c r="O10" s="6">
        <v>1.7954545454545443</v>
      </c>
      <c r="P10" s="6">
        <v>0</v>
      </c>
      <c r="Q10" s="6">
        <v>0</v>
      </c>
      <c r="R10" s="6">
        <v>0.3636363636363637</v>
      </c>
      <c r="S10" s="6">
        <v>0.18181818181818182</v>
      </c>
      <c r="T10" s="6">
        <v>0.20454545454545453</v>
      </c>
      <c r="U10" s="6">
        <v>7.1818181818181923</v>
      </c>
      <c r="V10" s="6">
        <v>5.090909090909097</v>
      </c>
      <c r="W10" s="7">
        <v>50</v>
      </c>
      <c r="X10" s="5" t="s">
        <v>146</v>
      </c>
      <c r="Y10" s="9" t="s">
        <v>245</v>
      </c>
      <c r="Z10" s="5" t="s">
        <v>256</v>
      </c>
      <c r="AA10" s="91" t="s">
        <v>713</v>
      </c>
      <c r="AB10" s="93" t="s">
        <v>146</v>
      </c>
      <c r="AC10" s="92" t="s">
        <v>245</v>
      </c>
      <c r="AD10" s="91">
        <v>44364</v>
      </c>
    </row>
    <row r="11" spans="1:30" ht="15.6" x14ac:dyDescent="0.3">
      <c r="A11" s="5" t="s">
        <v>8</v>
      </c>
      <c r="B11" s="5" t="s">
        <v>285</v>
      </c>
      <c r="C11" s="5" t="s">
        <v>28</v>
      </c>
      <c r="D11" s="5" t="s">
        <v>165</v>
      </c>
      <c r="E11" s="8">
        <v>71303</v>
      </c>
      <c r="F11" s="5" t="s">
        <v>166</v>
      </c>
      <c r="G11" s="5" t="s">
        <v>286</v>
      </c>
      <c r="H11" s="5" t="s">
        <v>4</v>
      </c>
      <c r="I11" s="94">
        <v>4.3755102040816301</v>
      </c>
      <c r="J11" s="6">
        <v>112.06818181818139</v>
      </c>
      <c r="K11" s="6">
        <v>24.068181818181834</v>
      </c>
      <c r="L11" s="6">
        <v>42.818181818181912</v>
      </c>
      <c r="M11" s="6">
        <v>43.022727272727366</v>
      </c>
      <c r="N11" s="6">
        <v>104.74999999999916</v>
      </c>
      <c r="O11" s="6">
        <v>117.22727272727215</v>
      </c>
      <c r="P11" s="6">
        <v>0</v>
      </c>
      <c r="Q11" s="6">
        <v>0</v>
      </c>
      <c r="R11" s="6">
        <v>46.022727272727408</v>
      </c>
      <c r="S11" s="6">
        <v>21.840909090909108</v>
      </c>
      <c r="T11" s="6">
        <v>24.318181818181824</v>
      </c>
      <c r="U11" s="6">
        <v>129.79545454545428</v>
      </c>
      <c r="V11" s="6">
        <v>220.56818181817798</v>
      </c>
      <c r="W11" s="7"/>
      <c r="X11" s="5" t="s">
        <v>168</v>
      </c>
      <c r="Y11" s="9"/>
      <c r="Z11" s="5"/>
      <c r="AA11" s="91"/>
      <c r="AB11" s="93" t="s">
        <v>168</v>
      </c>
      <c r="AC11" s="92"/>
      <c r="AD11" s="91"/>
    </row>
    <row r="12" spans="1:30" ht="15.6" x14ac:dyDescent="0.3">
      <c r="A12" s="5" t="s">
        <v>6</v>
      </c>
      <c r="B12" s="5" t="s">
        <v>331</v>
      </c>
      <c r="C12" s="5" t="s">
        <v>332</v>
      </c>
      <c r="D12" s="5" t="s">
        <v>165</v>
      </c>
      <c r="E12" s="8">
        <v>70655</v>
      </c>
      <c r="F12" s="5" t="s">
        <v>166</v>
      </c>
      <c r="G12" s="5" t="s">
        <v>167</v>
      </c>
      <c r="H12" s="5" t="s">
        <v>4</v>
      </c>
      <c r="I12" s="94">
        <v>80.7777777777778</v>
      </c>
      <c r="J12" s="6">
        <v>143.52272727272717</v>
      </c>
      <c r="K12" s="6">
        <v>1.2954545454545454</v>
      </c>
      <c r="L12" s="6">
        <v>0</v>
      </c>
      <c r="M12" s="6">
        <v>0</v>
      </c>
      <c r="N12" s="6">
        <v>2.3409090909090908</v>
      </c>
      <c r="O12" s="6">
        <v>142.47727272727263</v>
      </c>
      <c r="P12" s="6">
        <v>0</v>
      </c>
      <c r="Q12" s="6">
        <v>0</v>
      </c>
      <c r="R12" s="6">
        <v>0.86363636363636365</v>
      </c>
      <c r="S12" s="6">
        <v>0.29545454545454547</v>
      </c>
      <c r="T12" s="6">
        <v>1.1818181818181817</v>
      </c>
      <c r="U12" s="6">
        <v>142.47727272727266</v>
      </c>
      <c r="V12" s="6">
        <v>103.59090909090907</v>
      </c>
      <c r="W12" s="7">
        <v>170</v>
      </c>
      <c r="X12" s="5" t="s">
        <v>146</v>
      </c>
      <c r="Y12" s="9" t="s">
        <v>575</v>
      </c>
      <c r="Z12" s="5" t="s">
        <v>148</v>
      </c>
      <c r="AA12" s="91" t="s">
        <v>605</v>
      </c>
      <c r="AB12" s="93" t="s">
        <v>146</v>
      </c>
      <c r="AC12" s="92" t="s">
        <v>575</v>
      </c>
      <c r="AD12" s="91">
        <v>44427</v>
      </c>
    </row>
    <row r="13" spans="1:30" ht="15.6" x14ac:dyDescent="0.3">
      <c r="A13" s="5" t="s">
        <v>293</v>
      </c>
      <c r="B13" s="5" t="s">
        <v>294</v>
      </c>
      <c r="C13" s="5" t="s">
        <v>242</v>
      </c>
      <c r="D13" s="5" t="s">
        <v>153</v>
      </c>
      <c r="E13" s="8">
        <v>31537</v>
      </c>
      <c r="F13" s="5" t="s">
        <v>154</v>
      </c>
      <c r="G13" s="5" t="s">
        <v>144</v>
      </c>
      <c r="H13" s="5" t="s">
        <v>4</v>
      </c>
      <c r="I13" s="94">
        <v>39.655999999999999</v>
      </c>
      <c r="J13" s="6">
        <v>89.704545454545539</v>
      </c>
      <c r="K13" s="6">
        <v>13.977272727272727</v>
      </c>
      <c r="L13" s="6">
        <v>19.136363636363637</v>
      </c>
      <c r="M13" s="6">
        <v>69.02272727272728</v>
      </c>
      <c r="N13" s="6">
        <v>94.204545454545496</v>
      </c>
      <c r="O13" s="6">
        <v>97.636363636363669</v>
      </c>
      <c r="P13" s="6">
        <v>0</v>
      </c>
      <c r="Q13" s="6">
        <v>0</v>
      </c>
      <c r="R13" s="6">
        <v>45.568181818181834</v>
      </c>
      <c r="S13" s="6">
        <v>10</v>
      </c>
      <c r="T13" s="6">
        <v>0</v>
      </c>
      <c r="U13" s="6">
        <v>136.27272727272697</v>
      </c>
      <c r="V13" s="6">
        <v>96.090909090909122</v>
      </c>
      <c r="W13" s="7">
        <v>338</v>
      </c>
      <c r="X13" s="5" t="s">
        <v>146</v>
      </c>
      <c r="Y13" s="9" t="s">
        <v>575</v>
      </c>
      <c r="Z13" s="5" t="s">
        <v>148</v>
      </c>
      <c r="AA13" s="91" t="s">
        <v>664</v>
      </c>
      <c r="AB13" s="93" t="s">
        <v>146</v>
      </c>
      <c r="AC13" s="92" t="s">
        <v>575</v>
      </c>
      <c r="AD13" s="91">
        <v>44407</v>
      </c>
    </row>
    <row r="14" spans="1:30" ht="15.6" x14ac:dyDescent="0.3">
      <c r="A14" s="5" t="s">
        <v>290</v>
      </c>
      <c r="B14" s="5" t="s">
        <v>291</v>
      </c>
      <c r="C14" s="5" t="s">
        <v>292</v>
      </c>
      <c r="D14" s="5" t="s">
        <v>237</v>
      </c>
      <c r="E14" s="8">
        <v>32063</v>
      </c>
      <c r="F14" s="5" t="s">
        <v>27</v>
      </c>
      <c r="G14" s="5" t="s">
        <v>167</v>
      </c>
      <c r="H14" s="5" t="s">
        <v>145</v>
      </c>
      <c r="I14" s="94">
        <v>32.424999999999997</v>
      </c>
      <c r="J14" s="6">
        <v>10.022727272727272</v>
      </c>
      <c r="K14" s="6">
        <v>24.977272727272737</v>
      </c>
      <c r="L14" s="6">
        <v>79.63636363636364</v>
      </c>
      <c r="M14" s="6">
        <v>53.227272727272727</v>
      </c>
      <c r="N14" s="6">
        <v>128.38636363636357</v>
      </c>
      <c r="O14" s="6">
        <v>27.750000000000004</v>
      </c>
      <c r="P14" s="6">
        <v>7.704545454545455</v>
      </c>
      <c r="Q14" s="6">
        <v>4.0227272727272725</v>
      </c>
      <c r="R14" s="6">
        <v>76.886363636363626</v>
      </c>
      <c r="S14" s="6">
        <v>17.613636363636363</v>
      </c>
      <c r="T14" s="6">
        <v>23.250000000000004</v>
      </c>
      <c r="U14" s="6">
        <v>50.113636363636353</v>
      </c>
      <c r="V14" s="6">
        <v>125.68181818181813</v>
      </c>
      <c r="W14" s="7">
        <v>192</v>
      </c>
      <c r="X14" s="5" t="s">
        <v>146</v>
      </c>
      <c r="Y14" s="9" t="s">
        <v>572</v>
      </c>
      <c r="Z14" s="5" t="s">
        <v>256</v>
      </c>
      <c r="AA14" s="91" t="s">
        <v>589</v>
      </c>
      <c r="AB14" s="93" t="s">
        <v>146</v>
      </c>
      <c r="AC14" s="92" t="s">
        <v>572</v>
      </c>
      <c r="AD14" s="91">
        <v>44336</v>
      </c>
    </row>
    <row r="15" spans="1:30" ht="15.6" x14ac:dyDescent="0.3">
      <c r="A15" s="5" t="s">
        <v>446</v>
      </c>
      <c r="B15" s="5" t="s">
        <v>447</v>
      </c>
      <c r="C15" s="5" t="s">
        <v>448</v>
      </c>
      <c r="D15" s="5" t="s">
        <v>39</v>
      </c>
      <c r="E15" s="8">
        <v>36507</v>
      </c>
      <c r="F15" s="5" t="s">
        <v>166</v>
      </c>
      <c r="G15" s="5" t="s">
        <v>167</v>
      </c>
      <c r="H15" s="5" t="s">
        <v>145</v>
      </c>
      <c r="I15" s="94">
        <v>2.06666666666667</v>
      </c>
      <c r="J15" s="6">
        <v>0.15909090909090909</v>
      </c>
      <c r="K15" s="6">
        <v>1.681818181818181</v>
      </c>
      <c r="L15" s="6">
        <v>0.7954545454545453</v>
      </c>
      <c r="M15" s="6">
        <v>0.15909090909090909</v>
      </c>
      <c r="N15" s="6">
        <v>0.95454545454545459</v>
      </c>
      <c r="O15" s="6">
        <v>1.7727272727272718</v>
      </c>
      <c r="P15" s="6">
        <v>0</v>
      </c>
      <c r="Q15" s="6">
        <v>6.8181818181818177E-2</v>
      </c>
      <c r="R15" s="6">
        <v>0</v>
      </c>
      <c r="S15" s="6">
        <v>0</v>
      </c>
      <c r="T15" s="6">
        <v>6.8181818181818177E-2</v>
      </c>
      <c r="U15" s="6">
        <v>2.7272727272727275</v>
      </c>
      <c r="V15" s="6">
        <v>1.4545454545454539</v>
      </c>
      <c r="W15" s="7"/>
      <c r="X15" s="5" t="s">
        <v>406</v>
      </c>
      <c r="Y15" s="9" t="s">
        <v>572</v>
      </c>
      <c r="Z15" s="5" t="s">
        <v>580</v>
      </c>
      <c r="AA15" s="91" t="s">
        <v>682</v>
      </c>
      <c r="AB15" s="93" t="s">
        <v>406</v>
      </c>
      <c r="AC15" s="92" t="s">
        <v>245</v>
      </c>
      <c r="AD15" s="91">
        <v>43354</v>
      </c>
    </row>
    <row r="16" spans="1:30" ht="18.600000000000001" x14ac:dyDescent="0.3">
      <c r="A16" s="5" t="s">
        <v>712</v>
      </c>
      <c r="B16" s="5" t="s">
        <v>711</v>
      </c>
      <c r="C16" s="5" t="s">
        <v>368</v>
      </c>
      <c r="D16" s="5" t="s">
        <v>248</v>
      </c>
      <c r="E16" s="8">
        <v>19533</v>
      </c>
      <c r="F16" s="5" t="s">
        <v>249</v>
      </c>
      <c r="G16" s="5" t="s">
        <v>144</v>
      </c>
      <c r="H16" s="5" t="s">
        <v>9</v>
      </c>
      <c r="I16" s="94"/>
      <c r="J16" s="6">
        <v>50.863636363636274</v>
      </c>
      <c r="K16" s="6">
        <v>11.340909090909093</v>
      </c>
      <c r="L16" s="6">
        <v>0</v>
      </c>
      <c r="M16" s="6">
        <v>0</v>
      </c>
      <c r="N16" s="6">
        <v>0</v>
      </c>
      <c r="O16" s="6">
        <v>1.6136363636363638</v>
      </c>
      <c r="P16" s="6">
        <v>0</v>
      </c>
      <c r="Q16" s="6">
        <v>60.590909090908958</v>
      </c>
      <c r="R16" s="6">
        <v>0</v>
      </c>
      <c r="S16" s="6">
        <v>0</v>
      </c>
      <c r="T16" s="6">
        <v>0</v>
      </c>
      <c r="U16" s="6">
        <v>62.204545454545311</v>
      </c>
      <c r="V16" s="6">
        <v>60.704545454545318</v>
      </c>
      <c r="W16" s="7">
        <v>78</v>
      </c>
      <c r="X16" s="5" t="s">
        <v>146</v>
      </c>
      <c r="Y16" s="9" t="s">
        <v>161</v>
      </c>
      <c r="Z16" s="5"/>
      <c r="AA16" s="91" t="s">
        <v>710</v>
      </c>
      <c r="AB16" s="93" t="s">
        <v>146</v>
      </c>
      <c r="AC16" s="92" t="s">
        <v>161</v>
      </c>
      <c r="AD16" s="91">
        <v>44169</v>
      </c>
    </row>
    <row r="17" spans="1:30" ht="15.6" x14ac:dyDescent="0.3">
      <c r="A17" s="5" t="s">
        <v>319</v>
      </c>
      <c r="B17" s="5" t="s">
        <v>320</v>
      </c>
      <c r="C17" s="5" t="s">
        <v>321</v>
      </c>
      <c r="D17" s="5" t="s">
        <v>157</v>
      </c>
      <c r="E17" s="8">
        <v>79501</v>
      </c>
      <c r="F17" s="5" t="s">
        <v>226</v>
      </c>
      <c r="G17" s="5" t="s">
        <v>167</v>
      </c>
      <c r="H17" s="5" t="s">
        <v>4</v>
      </c>
      <c r="I17" s="94">
        <v>53.9444444444444</v>
      </c>
      <c r="J17" s="6">
        <v>636.18181818182029</v>
      </c>
      <c r="K17" s="6">
        <v>34.613636363636374</v>
      </c>
      <c r="L17" s="6">
        <v>34.659090909090907</v>
      </c>
      <c r="M17" s="6">
        <v>21.227272727272723</v>
      </c>
      <c r="N17" s="6">
        <v>101.36363636363642</v>
      </c>
      <c r="O17" s="6">
        <v>534.11363636363831</v>
      </c>
      <c r="P17" s="6">
        <v>1</v>
      </c>
      <c r="Q17" s="6">
        <v>90.204545454545709</v>
      </c>
      <c r="R17" s="6">
        <v>23.659090909090903</v>
      </c>
      <c r="S17" s="6">
        <v>23.750000000000004</v>
      </c>
      <c r="T17" s="6">
        <v>36.977272727272727</v>
      </c>
      <c r="U17" s="6">
        <v>642.29545454545655</v>
      </c>
      <c r="V17" s="6">
        <v>503.99999999999932</v>
      </c>
      <c r="W17" s="7">
        <v>750</v>
      </c>
      <c r="X17" s="5" t="s">
        <v>146</v>
      </c>
      <c r="Y17" s="9" t="s">
        <v>575</v>
      </c>
      <c r="Z17" s="5" t="s">
        <v>148</v>
      </c>
      <c r="AA17" s="91" t="s">
        <v>709</v>
      </c>
      <c r="AB17" s="93" t="s">
        <v>146</v>
      </c>
      <c r="AC17" s="92" t="s">
        <v>575</v>
      </c>
      <c r="AD17" s="91">
        <v>44378</v>
      </c>
    </row>
    <row r="18" spans="1:30" ht="15.6" x14ac:dyDescent="0.3">
      <c r="A18" s="5" t="s">
        <v>322</v>
      </c>
      <c r="B18" s="5" t="s">
        <v>323</v>
      </c>
      <c r="C18" s="5" t="s">
        <v>324</v>
      </c>
      <c r="D18" s="5" t="s">
        <v>325</v>
      </c>
      <c r="E18" s="8">
        <v>41005</v>
      </c>
      <c r="F18" s="5" t="s">
        <v>32</v>
      </c>
      <c r="G18" s="5" t="s">
        <v>208</v>
      </c>
      <c r="H18" s="5" t="s">
        <v>145</v>
      </c>
      <c r="I18" s="94">
        <v>53.826086956521699</v>
      </c>
      <c r="J18" s="6">
        <v>20.181818181818173</v>
      </c>
      <c r="K18" s="6">
        <v>18.06818181818182</v>
      </c>
      <c r="L18" s="6">
        <v>58.931818181818194</v>
      </c>
      <c r="M18" s="6">
        <v>36.45454545454546</v>
      </c>
      <c r="N18" s="6">
        <v>105.11363636363633</v>
      </c>
      <c r="O18" s="6">
        <v>25.818181818181806</v>
      </c>
      <c r="P18" s="6">
        <v>2.5227272727272729</v>
      </c>
      <c r="Q18" s="6">
        <v>0.18181818181818182</v>
      </c>
      <c r="R18" s="6">
        <v>42.045454545454554</v>
      </c>
      <c r="S18" s="6">
        <v>22.772727272727273</v>
      </c>
      <c r="T18" s="6">
        <v>16.204545454545453</v>
      </c>
      <c r="U18" s="6">
        <v>52.613636363636473</v>
      </c>
      <c r="V18" s="6">
        <v>87.340909090908994</v>
      </c>
      <c r="W18" s="7"/>
      <c r="X18" s="5" t="s">
        <v>146</v>
      </c>
      <c r="Y18" s="9" t="s">
        <v>245</v>
      </c>
      <c r="Z18" s="5" t="s">
        <v>256</v>
      </c>
      <c r="AA18" s="91" t="s">
        <v>630</v>
      </c>
      <c r="AB18" s="93" t="s">
        <v>146</v>
      </c>
      <c r="AC18" s="92" t="s">
        <v>245</v>
      </c>
      <c r="AD18" s="91">
        <v>44258</v>
      </c>
    </row>
    <row r="19" spans="1:30" ht="15.6" x14ac:dyDescent="0.3">
      <c r="A19" s="5" t="s">
        <v>708</v>
      </c>
      <c r="B19" s="5" t="s">
        <v>707</v>
      </c>
      <c r="C19" s="5" t="s">
        <v>706</v>
      </c>
      <c r="D19" s="5" t="s">
        <v>237</v>
      </c>
      <c r="E19" s="8">
        <v>32091</v>
      </c>
      <c r="F19" s="5" t="s">
        <v>27</v>
      </c>
      <c r="G19" s="5" t="s">
        <v>167</v>
      </c>
      <c r="H19" s="5" t="s">
        <v>145</v>
      </c>
      <c r="I19" s="94">
        <v>0.33333333333333298</v>
      </c>
      <c r="J19" s="6">
        <v>0</v>
      </c>
      <c r="K19" s="6">
        <v>0</v>
      </c>
      <c r="L19" s="6">
        <v>0</v>
      </c>
      <c r="M19" s="6">
        <v>0.11363636363636363</v>
      </c>
      <c r="N19" s="6">
        <v>0.11363636363636363</v>
      </c>
      <c r="O19" s="6">
        <v>0</v>
      </c>
      <c r="P19" s="6">
        <v>0</v>
      </c>
      <c r="Q19" s="6">
        <v>0</v>
      </c>
      <c r="R19" s="6">
        <v>0.11363636363636363</v>
      </c>
      <c r="S19" s="6">
        <v>0</v>
      </c>
      <c r="T19" s="6">
        <v>0</v>
      </c>
      <c r="U19" s="6">
        <v>0</v>
      </c>
      <c r="V19" s="6">
        <v>0.11363636363636363</v>
      </c>
      <c r="W19" s="7"/>
      <c r="X19" s="5" t="s">
        <v>168</v>
      </c>
      <c r="Y19" s="9"/>
      <c r="Z19" s="5"/>
      <c r="AA19" s="91"/>
      <c r="AB19" s="93" t="s">
        <v>168</v>
      </c>
      <c r="AC19" s="92"/>
      <c r="AD19" s="91"/>
    </row>
    <row r="20" spans="1:30" ht="15.6" x14ac:dyDescent="0.3">
      <c r="A20" s="5" t="s">
        <v>7</v>
      </c>
      <c r="B20" s="5" t="s">
        <v>243</v>
      </c>
      <c r="C20" s="5" t="s">
        <v>244</v>
      </c>
      <c r="D20" s="5" t="s">
        <v>237</v>
      </c>
      <c r="E20" s="8">
        <v>33073</v>
      </c>
      <c r="F20" s="5" t="s">
        <v>27</v>
      </c>
      <c r="G20" s="5" t="s">
        <v>159</v>
      </c>
      <c r="H20" s="5" t="s">
        <v>145</v>
      </c>
      <c r="I20" s="94">
        <v>29.511904761904798</v>
      </c>
      <c r="J20" s="6">
        <v>364.22727272727099</v>
      </c>
      <c r="K20" s="6">
        <v>109.6363636363637</v>
      </c>
      <c r="L20" s="6">
        <v>0.25</v>
      </c>
      <c r="M20" s="6">
        <v>0</v>
      </c>
      <c r="N20" s="6">
        <v>129.09090909090921</v>
      </c>
      <c r="O20" s="6">
        <v>272.93181818181785</v>
      </c>
      <c r="P20" s="6">
        <v>8.3863636363636349</v>
      </c>
      <c r="Q20" s="6">
        <v>63.704545454545446</v>
      </c>
      <c r="R20" s="6">
        <v>15.340909090909092</v>
      </c>
      <c r="S20" s="6">
        <v>41.659090909090899</v>
      </c>
      <c r="T20" s="6">
        <v>49.636363636363633</v>
      </c>
      <c r="U20" s="6">
        <v>367.4772727272711</v>
      </c>
      <c r="V20" s="6">
        <v>229.38636363636385</v>
      </c>
      <c r="W20" s="7">
        <v>700</v>
      </c>
      <c r="X20" s="5" t="s">
        <v>146</v>
      </c>
      <c r="Y20" s="9" t="s">
        <v>575</v>
      </c>
      <c r="Z20" s="5" t="s">
        <v>148</v>
      </c>
      <c r="AA20" s="91" t="s">
        <v>573</v>
      </c>
      <c r="AB20" s="93" t="s">
        <v>146</v>
      </c>
      <c r="AC20" s="92" t="s">
        <v>147</v>
      </c>
      <c r="AD20" s="91">
        <v>44098</v>
      </c>
    </row>
    <row r="21" spans="1:30" ht="15.6" x14ac:dyDescent="0.3">
      <c r="A21" s="5" t="s">
        <v>251</v>
      </c>
      <c r="B21" s="5" t="s">
        <v>252</v>
      </c>
      <c r="C21" s="5" t="s">
        <v>253</v>
      </c>
      <c r="D21" s="5" t="s">
        <v>254</v>
      </c>
      <c r="E21" s="8">
        <v>14020</v>
      </c>
      <c r="F21" s="5" t="s">
        <v>255</v>
      </c>
      <c r="G21" s="5" t="s">
        <v>191</v>
      </c>
      <c r="H21" s="5" t="s">
        <v>145</v>
      </c>
      <c r="I21" s="94">
        <v>70.25</v>
      </c>
      <c r="J21" s="6">
        <v>52.522727272727245</v>
      </c>
      <c r="K21" s="6">
        <v>35.590909090909079</v>
      </c>
      <c r="L21" s="6">
        <v>88.454545454545453</v>
      </c>
      <c r="M21" s="6">
        <v>127.13636363636363</v>
      </c>
      <c r="N21" s="6">
        <v>212.68181818181822</v>
      </c>
      <c r="O21" s="6">
        <v>91.022727272727323</v>
      </c>
      <c r="P21" s="6">
        <v>0</v>
      </c>
      <c r="Q21" s="6">
        <v>0</v>
      </c>
      <c r="R21" s="6">
        <v>142.65909090909091</v>
      </c>
      <c r="S21" s="6">
        <v>22.272727272727273</v>
      </c>
      <c r="T21" s="6">
        <v>23.568181818181813</v>
      </c>
      <c r="U21" s="6">
        <v>115.20454545454557</v>
      </c>
      <c r="V21" s="6">
        <v>238.61363636363626</v>
      </c>
      <c r="W21" s="7">
        <v>400</v>
      </c>
      <c r="X21" s="5" t="s">
        <v>146</v>
      </c>
      <c r="Y21" s="9" t="s">
        <v>575</v>
      </c>
      <c r="Z21" s="5" t="s">
        <v>148</v>
      </c>
      <c r="AA21" s="91" t="s">
        <v>694</v>
      </c>
      <c r="AB21" s="93" t="s">
        <v>146</v>
      </c>
      <c r="AC21" s="92" t="s">
        <v>575</v>
      </c>
      <c r="AD21" s="91">
        <v>44434</v>
      </c>
    </row>
    <row r="22" spans="1:30" ht="15.6" x14ac:dyDescent="0.3">
      <c r="A22" s="5" t="s">
        <v>705</v>
      </c>
      <c r="B22" s="5" t="s">
        <v>704</v>
      </c>
      <c r="C22" s="5" t="s">
        <v>703</v>
      </c>
      <c r="D22" s="5" t="s">
        <v>157</v>
      </c>
      <c r="E22" s="8">
        <v>78611</v>
      </c>
      <c r="F22" s="5" t="s">
        <v>158</v>
      </c>
      <c r="G22" s="5" t="s">
        <v>208</v>
      </c>
      <c r="H22" s="5" t="s">
        <v>4</v>
      </c>
      <c r="I22" s="94">
        <v>1.1428571428571399</v>
      </c>
      <c r="J22" s="6">
        <v>0.88636363636363646</v>
      </c>
      <c r="K22" s="6">
        <v>0.20454545454545459</v>
      </c>
      <c r="L22" s="6">
        <v>0.34090909090909088</v>
      </c>
      <c r="M22" s="6">
        <v>2.2727272727272728E-2</v>
      </c>
      <c r="N22" s="6">
        <v>1.0227272727272727</v>
      </c>
      <c r="O22" s="6">
        <v>0.43181818181818171</v>
      </c>
      <c r="P22" s="6">
        <v>0</v>
      </c>
      <c r="Q22" s="6">
        <v>0</v>
      </c>
      <c r="R22" s="6">
        <v>0</v>
      </c>
      <c r="S22" s="6">
        <v>0</v>
      </c>
      <c r="T22" s="6">
        <v>0</v>
      </c>
      <c r="U22" s="6">
        <v>1.4545454545454541</v>
      </c>
      <c r="V22" s="6">
        <v>0.72727272727272718</v>
      </c>
      <c r="W22" s="7"/>
      <c r="X22" s="5" t="s">
        <v>406</v>
      </c>
      <c r="Y22" s="9" t="s">
        <v>572</v>
      </c>
      <c r="Z22" s="5" t="s">
        <v>580</v>
      </c>
      <c r="AA22" s="91" t="s">
        <v>702</v>
      </c>
      <c r="AB22" s="93" t="s">
        <v>406</v>
      </c>
      <c r="AC22" s="92" t="s">
        <v>245</v>
      </c>
      <c r="AD22" s="91">
        <v>43374</v>
      </c>
    </row>
    <row r="23" spans="1:30" ht="15.6" x14ac:dyDescent="0.3">
      <c r="A23" s="5" t="s">
        <v>407</v>
      </c>
      <c r="B23" s="5" t="s">
        <v>408</v>
      </c>
      <c r="C23" s="5" t="s">
        <v>409</v>
      </c>
      <c r="D23" s="5" t="s">
        <v>410</v>
      </c>
      <c r="E23" s="8">
        <v>84321</v>
      </c>
      <c r="F23" s="5" t="s">
        <v>302</v>
      </c>
      <c r="G23" s="5" t="s">
        <v>208</v>
      </c>
      <c r="H23" s="5" t="s">
        <v>145</v>
      </c>
      <c r="I23" s="94">
        <v>3.9523809523809499</v>
      </c>
      <c r="J23" s="6">
        <v>0.18181818181818182</v>
      </c>
      <c r="K23" s="6">
        <v>0.84090909090909105</v>
      </c>
      <c r="L23" s="6">
        <v>0.25</v>
      </c>
      <c r="M23" s="6">
        <v>0.52272727272727271</v>
      </c>
      <c r="N23" s="6">
        <v>1.6590909090909089</v>
      </c>
      <c r="O23" s="6">
        <v>0.13636363636363638</v>
      </c>
      <c r="P23" s="6">
        <v>0</v>
      </c>
      <c r="Q23" s="6">
        <v>0</v>
      </c>
      <c r="R23" s="6">
        <v>0.38636363636363635</v>
      </c>
      <c r="S23" s="6">
        <v>0</v>
      </c>
      <c r="T23" s="6">
        <v>0</v>
      </c>
      <c r="U23" s="6">
        <v>1.4090909090909089</v>
      </c>
      <c r="V23" s="6">
        <v>1.6363636363636362</v>
      </c>
      <c r="W23" s="7"/>
      <c r="X23" s="5" t="s">
        <v>146</v>
      </c>
      <c r="Y23" s="9" t="s">
        <v>245</v>
      </c>
      <c r="Z23" s="5" t="s">
        <v>149</v>
      </c>
      <c r="AA23" s="91" t="s">
        <v>701</v>
      </c>
      <c r="AB23" s="93" t="s">
        <v>146</v>
      </c>
      <c r="AC23" s="92" t="s">
        <v>245</v>
      </c>
      <c r="AD23" s="91">
        <v>43412</v>
      </c>
    </row>
    <row r="24" spans="1:30" ht="15.6" x14ac:dyDescent="0.3">
      <c r="A24" s="5" t="s">
        <v>315</v>
      </c>
      <c r="B24" s="5" t="s">
        <v>316</v>
      </c>
      <c r="C24" s="5" t="s">
        <v>317</v>
      </c>
      <c r="D24" s="5" t="s">
        <v>318</v>
      </c>
      <c r="E24" s="8">
        <v>49014</v>
      </c>
      <c r="F24" s="5" t="s">
        <v>313</v>
      </c>
      <c r="G24" s="5" t="s">
        <v>167</v>
      </c>
      <c r="H24" s="5" t="s">
        <v>145</v>
      </c>
      <c r="I24" s="94">
        <v>136.6</v>
      </c>
      <c r="J24" s="6">
        <v>22.29545454545454</v>
      </c>
      <c r="K24" s="6">
        <v>19.454545454545457</v>
      </c>
      <c r="L24" s="6">
        <v>32.613636363636374</v>
      </c>
      <c r="M24" s="6">
        <v>15.90909090909091</v>
      </c>
      <c r="N24" s="6">
        <v>52.409090909090928</v>
      </c>
      <c r="O24" s="6">
        <v>36.295454545454533</v>
      </c>
      <c r="P24" s="6">
        <v>0.95454545454545459</v>
      </c>
      <c r="Q24" s="6">
        <v>0.61363636363636365</v>
      </c>
      <c r="R24" s="6">
        <v>27.340909090909086</v>
      </c>
      <c r="S24" s="6">
        <v>11.000000000000002</v>
      </c>
      <c r="T24" s="6">
        <v>7.25</v>
      </c>
      <c r="U24" s="6">
        <v>44.681818181818201</v>
      </c>
      <c r="V24" s="6">
        <v>73.659090909090935</v>
      </c>
      <c r="W24" s="7">
        <v>75</v>
      </c>
      <c r="X24" s="5" t="s">
        <v>146</v>
      </c>
      <c r="Y24" s="9" t="s">
        <v>572</v>
      </c>
      <c r="Z24" s="5" t="s">
        <v>256</v>
      </c>
      <c r="AA24" s="91" t="s">
        <v>630</v>
      </c>
      <c r="AB24" s="93" t="s">
        <v>146</v>
      </c>
      <c r="AC24" s="92" t="s">
        <v>572</v>
      </c>
      <c r="AD24" s="91">
        <v>44258</v>
      </c>
    </row>
    <row r="25" spans="1:30" ht="15.6" x14ac:dyDescent="0.3">
      <c r="A25" s="5" t="s">
        <v>287</v>
      </c>
      <c r="B25" s="5" t="s">
        <v>288</v>
      </c>
      <c r="C25" s="5" t="s">
        <v>289</v>
      </c>
      <c r="D25" s="5" t="s">
        <v>232</v>
      </c>
      <c r="E25" s="8">
        <v>22427</v>
      </c>
      <c r="F25" s="5" t="s">
        <v>233</v>
      </c>
      <c r="G25" s="5" t="s">
        <v>144</v>
      </c>
      <c r="H25" s="5" t="s">
        <v>145</v>
      </c>
      <c r="I25" s="94">
        <v>164.69811320754701</v>
      </c>
      <c r="J25" s="6">
        <v>39.409090909090914</v>
      </c>
      <c r="K25" s="6">
        <v>29.56818181818182</v>
      </c>
      <c r="L25" s="6">
        <v>40.38636363636364</v>
      </c>
      <c r="M25" s="6">
        <v>63.068181818181813</v>
      </c>
      <c r="N25" s="6">
        <v>114.40909090909096</v>
      </c>
      <c r="O25" s="6">
        <v>58.022727272727266</v>
      </c>
      <c r="P25" s="6">
        <v>0</v>
      </c>
      <c r="Q25" s="6">
        <v>0</v>
      </c>
      <c r="R25" s="6">
        <v>57.090909090909093</v>
      </c>
      <c r="S25" s="6">
        <v>22.113636363636367</v>
      </c>
      <c r="T25" s="6">
        <v>19.045454545454547</v>
      </c>
      <c r="U25" s="6">
        <v>74.181818181818173</v>
      </c>
      <c r="V25" s="6">
        <v>108.29545454545456</v>
      </c>
      <c r="W25" s="7">
        <v>224</v>
      </c>
      <c r="X25" s="5" t="s">
        <v>146</v>
      </c>
      <c r="Y25" s="9" t="s">
        <v>575</v>
      </c>
      <c r="Z25" s="5" t="s">
        <v>148</v>
      </c>
      <c r="AA25" s="91" t="s">
        <v>648</v>
      </c>
      <c r="AB25" s="93" t="s">
        <v>146</v>
      </c>
      <c r="AC25" s="92" t="s">
        <v>575</v>
      </c>
      <c r="AD25" s="91">
        <v>44314</v>
      </c>
    </row>
    <row r="26" spans="1:30" ht="15.6" x14ac:dyDescent="0.3">
      <c r="A26" s="5" t="s">
        <v>700</v>
      </c>
      <c r="B26" s="5" t="s">
        <v>699</v>
      </c>
      <c r="C26" s="5" t="s">
        <v>698</v>
      </c>
      <c r="D26" s="5" t="s">
        <v>697</v>
      </c>
      <c r="E26" s="8">
        <v>59404</v>
      </c>
      <c r="F26" s="5" t="s">
        <v>302</v>
      </c>
      <c r="G26" s="5" t="s">
        <v>208</v>
      </c>
      <c r="H26" s="5" t="s">
        <v>145</v>
      </c>
      <c r="I26" s="94">
        <v>4.4000000000000004</v>
      </c>
      <c r="J26" s="6">
        <v>9.0909090909090912E-2</v>
      </c>
      <c r="K26" s="6">
        <v>0.59090909090909094</v>
      </c>
      <c r="L26" s="6">
        <v>6.8181818181818177E-2</v>
      </c>
      <c r="M26" s="6">
        <v>0.22727272727272727</v>
      </c>
      <c r="N26" s="6">
        <v>0.88636363636363635</v>
      </c>
      <c r="O26" s="6">
        <v>9.0909090909090912E-2</v>
      </c>
      <c r="P26" s="6">
        <v>0</v>
      </c>
      <c r="Q26" s="6">
        <v>0</v>
      </c>
      <c r="R26" s="6">
        <v>0.22727272727272727</v>
      </c>
      <c r="S26" s="6">
        <v>0</v>
      </c>
      <c r="T26" s="6">
        <v>0.59090909090909094</v>
      </c>
      <c r="U26" s="6">
        <v>0.15909090909090909</v>
      </c>
      <c r="V26" s="6">
        <v>0.5</v>
      </c>
      <c r="W26" s="7"/>
      <c r="X26" s="5" t="s">
        <v>406</v>
      </c>
      <c r="Y26" s="9" t="s">
        <v>245</v>
      </c>
      <c r="Z26" s="5" t="s">
        <v>256</v>
      </c>
      <c r="AA26" s="91" t="s">
        <v>453</v>
      </c>
      <c r="AB26" s="93" t="s">
        <v>406</v>
      </c>
      <c r="AC26" s="92" t="s">
        <v>245</v>
      </c>
      <c r="AD26" s="91">
        <v>42983</v>
      </c>
    </row>
    <row r="27" spans="1:30" ht="15.6" x14ac:dyDescent="0.3">
      <c r="A27" s="5" t="s">
        <v>696</v>
      </c>
      <c r="B27" s="5" t="s">
        <v>695</v>
      </c>
      <c r="C27" s="5" t="s">
        <v>269</v>
      </c>
      <c r="D27" s="5" t="s">
        <v>169</v>
      </c>
      <c r="E27" s="8">
        <v>85132</v>
      </c>
      <c r="F27" s="5" t="s">
        <v>170</v>
      </c>
      <c r="G27" s="5" t="s">
        <v>208</v>
      </c>
      <c r="H27" s="5" t="s">
        <v>4</v>
      </c>
      <c r="I27" s="94">
        <v>25.455696202531598</v>
      </c>
      <c r="J27" s="6">
        <v>104.25000000000016</v>
      </c>
      <c r="K27" s="6">
        <v>36.681818181818187</v>
      </c>
      <c r="L27" s="6">
        <v>114.50000000000003</v>
      </c>
      <c r="M27" s="6">
        <v>105.90909090909084</v>
      </c>
      <c r="N27" s="6">
        <v>220.06818181818159</v>
      </c>
      <c r="O27" s="6">
        <v>140.27272727272691</v>
      </c>
      <c r="P27" s="6">
        <v>0.13636363636363638</v>
      </c>
      <c r="Q27" s="6">
        <v>0.8636363636363632</v>
      </c>
      <c r="R27" s="6">
        <v>100.90909090909091</v>
      </c>
      <c r="S27" s="6">
        <v>28.136363636363633</v>
      </c>
      <c r="T27" s="6">
        <v>28.977272727272751</v>
      </c>
      <c r="U27" s="6">
        <v>203.31818181818207</v>
      </c>
      <c r="V27" s="6">
        <v>215.56818181818244</v>
      </c>
      <c r="W27" s="7"/>
      <c r="X27" s="5" t="s">
        <v>146</v>
      </c>
      <c r="Y27" s="9" t="s">
        <v>209</v>
      </c>
      <c r="Z27" s="5" t="s">
        <v>149</v>
      </c>
      <c r="AA27" s="91" t="s">
        <v>694</v>
      </c>
      <c r="AB27" s="93" t="s">
        <v>146</v>
      </c>
      <c r="AC27" s="92" t="s">
        <v>209</v>
      </c>
      <c r="AD27" s="91">
        <v>44434</v>
      </c>
    </row>
    <row r="28" spans="1:30" ht="15.6" x14ac:dyDescent="0.3">
      <c r="A28" s="5" t="s">
        <v>693</v>
      </c>
      <c r="B28" s="5" t="s">
        <v>171</v>
      </c>
      <c r="C28" s="5" t="s">
        <v>172</v>
      </c>
      <c r="D28" s="5" t="s">
        <v>165</v>
      </c>
      <c r="E28" s="8">
        <v>71342</v>
      </c>
      <c r="F28" s="5" t="s">
        <v>166</v>
      </c>
      <c r="G28" s="5" t="s">
        <v>144</v>
      </c>
      <c r="H28" s="5" t="s">
        <v>145</v>
      </c>
      <c r="I28" s="94">
        <v>38.049180327868903</v>
      </c>
      <c r="J28" s="6">
        <v>555.61363636363615</v>
      </c>
      <c r="K28" s="6">
        <v>84.113636363636346</v>
      </c>
      <c r="L28" s="6">
        <v>149.59090909090918</v>
      </c>
      <c r="M28" s="6">
        <v>59.477272727272741</v>
      </c>
      <c r="N28" s="6">
        <v>208.22727272727278</v>
      </c>
      <c r="O28" s="6">
        <v>573.52272727272475</v>
      </c>
      <c r="P28" s="6">
        <v>34.659090909090914</v>
      </c>
      <c r="Q28" s="6">
        <v>32.386363636363683</v>
      </c>
      <c r="R28" s="6">
        <v>115.15909090909096</v>
      </c>
      <c r="S28" s="6">
        <v>38.659090909090899</v>
      </c>
      <c r="T28" s="6">
        <v>46.06818181818182</v>
      </c>
      <c r="U28" s="6">
        <v>648.90909090908826</v>
      </c>
      <c r="V28" s="6">
        <v>601.43181818181438</v>
      </c>
      <c r="W28" s="7">
        <v>1170</v>
      </c>
      <c r="X28" s="5" t="s">
        <v>146</v>
      </c>
      <c r="Y28" s="9" t="s">
        <v>575</v>
      </c>
      <c r="Z28" s="5" t="s">
        <v>148</v>
      </c>
      <c r="AA28" s="91" t="s">
        <v>596</v>
      </c>
      <c r="AB28" s="93" t="s">
        <v>146</v>
      </c>
      <c r="AC28" s="92" t="s">
        <v>147</v>
      </c>
      <c r="AD28" s="91">
        <v>44111</v>
      </c>
    </row>
    <row r="29" spans="1:30" ht="15.6" x14ac:dyDescent="0.3">
      <c r="A29" s="5" t="s">
        <v>354</v>
      </c>
      <c r="B29" s="5" t="s">
        <v>355</v>
      </c>
      <c r="C29" s="5" t="s">
        <v>356</v>
      </c>
      <c r="D29" s="5" t="s">
        <v>357</v>
      </c>
      <c r="E29" s="8">
        <v>66845</v>
      </c>
      <c r="F29" s="5" t="s">
        <v>32</v>
      </c>
      <c r="G29" s="5" t="s">
        <v>167</v>
      </c>
      <c r="H29" s="5" t="s">
        <v>145</v>
      </c>
      <c r="I29" s="94">
        <v>84.068181818181799</v>
      </c>
      <c r="J29" s="6">
        <v>14</v>
      </c>
      <c r="K29" s="6">
        <v>11.159090909090912</v>
      </c>
      <c r="L29" s="6">
        <v>30.52272727272727</v>
      </c>
      <c r="M29" s="6">
        <v>21.068181818181817</v>
      </c>
      <c r="N29" s="6">
        <v>52.54545454545454</v>
      </c>
      <c r="O29" s="6">
        <v>19.772727272727277</v>
      </c>
      <c r="P29" s="6">
        <v>2.2727272727272725</v>
      </c>
      <c r="Q29" s="6">
        <v>2.1590909090909092</v>
      </c>
      <c r="R29" s="6">
        <v>25.250000000000004</v>
      </c>
      <c r="S29" s="6">
        <v>13.15909090909091</v>
      </c>
      <c r="T29" s="6">
        <v>10.727272727272728</v>
      </c>
      <c r="U29" s="6">
        <v>27.613636363636363</v>
      </c>
      <c r="V29" s="6">
        <v>54.181818181818166</v>
      </c>
      <c r="W29" s="7"/>
      <c r="X29" s="5" t="s">
        <v>146</v>
      </c>
      <c r="Y29" s="9" t="s">
        <v>572</v>
      </c>
      <c r="Z29" s="5" t="s">
        <v>256</v>
      </c>
      <c r="AA29" s="91" t="s">
        <v>692</v>
      </c>
      <c r="AB29" s="93" t="s">
        <v>146</v>
      </c>
      <c r="AC29" s="92" t="s">
        <v>572</v>
      </c>
      <c r="AD29" s="91">
        <v>44413</v>
      </c>
    </row>
    <row r="30" spans="1:30" ht="15.6" x14ac:dyDescent="0.3">
      <c r="A30" s="5" t="s">
        <v>397</v>
      </c>
      <c r="B30" s="5" t="s">
        <v>398</v>
      </c>
      <c r="C30" s="5" t="s">
        <v>399</v>
      </c>
      <c r="D30" s="5" t="s">
        <v>318</v>
      </c>
      <c r="E30" s="8">
        <v>49783</v>
      </c>
      <c r="F30" s="5" t="s">
        <v>313</v>
      </c>
      <c r="G30" s="5" t="s">
        <v>167</v>
      </c>
      <c r="H30" s="5" t="s">
        <v>145</v>
      </c>
      <c r="I30" s="94"/>
      <c r="J30" s="6">
        <v>1</v>
      </c>
      <c r="K30" s="6">
        <v>1.2954545454545454</v>
      </c>
      <c r="L30" s="6">
        <v>1.6590909090909092</v>
      </c>
      <c r="M30" s="6">
        <v>3.0681818181818179</v>
      </c>
      <c r="N30" s="6">
        <v>6.4318181818181817</v>
      </c>
      <c r="O30" s="6">
        <v>0.59090909090909094</v>
      </c>
      <c r="P30" s="6">
        <v>0</v>
      </c>
      <c r="Q30" s="6">
        <v>0</v>
      </c>
      <c r="R30" s="6">
        <v>2.4318181818181817</v>
      </c>
      <c r="S30" s="6">
        <v>0</v>
      </c>
      <c r="T30" s="6">
        <v>2.25</v>
      </c>
      <c r="U30" s="6">
        <v>2.3409090909090908</v>
      </c>
      <c r="V30" s="6">
        <v>5.9772727272727275</v>
      </c>
      <c r="W30" s="7"/>
      <c r="X30" s="5" t="s">
        <v>146</v>
      </c>
      <c r="Y30" s="9" t="s">
        <v>572</v>
      </c>
      <c r="Z30" s="5" t="s">
        <v>256</v>
      </c>
      <c r="AA30" s="91" t="s">
        <v>691</v>
      </c>
      <c r="AB30" s="93" t="s">
        <v>146</v>
      </c>
      <c r="AC30" s="92" t="s">
        <v>245</v>
      </c>
      <c r="AD30" s="91">
        <v>43552</v>
      </c>
    </row>
    <row r="31" spans="1:30" ht="15.6" x14ac:dyDescent="0.3">
      <c r="A31" s="5" t="s">
        <v>22</v>
      </c>
      <c r="B31" s="5" t="s">
        <v>333</v>
      </c>
      <c r="C31" s="5" t="s">
        <v>33</v>
      </c>
      <c r="D31" s="5" t="s">
        <v>195</v>
      </c>
      <c r="E31" s="8">
        <v>87021</v>
      </c>
      <c r="F31" s="5" t="s">
        <v>196</v>
      </c>
      <c r="G31" s="5" t="s">
        <v>167</v>
      </c>
      <c r="H31" s="5" t="s">
        <v>4</v>
      </c>
      <c r="I31" s="94">
        <v>73.25</v>
      </c>
      <c r="J31" s="6">
        <v>63.840909090909072</v>
      </c>
      <c r="K31" s="6">
        <v>2.25</v>
      </c>
      <c r="L31" s="6">
        <v>0</v>
      </c>
      <c r="M31" s="6">
        <v>0</v>
      </c>
      <c r="N31" s="6">
        <v>0.88636363636363635</v>
      </c>
      <c r="O31" s="6">
        <v>65.204545454545411</v>
      </c>
      <c r="P31" s="6">
        <v>0</v>
      </c>
      <c r="Q31" s="6">
        <v>0</v>
      </c>
      <c r="R31" s="6">
        <v>0</v>
      </c>
      <c r="S31" s="6">
        <v>0</v>
      </c>
      <c r="T31" s="6">
        <v>0.88636363636363635</v>
      </c>
      <c r="U31" s="6">
        <v>65.204545454545411</v>
      </c>
      <c r="V31" s="6">
        <v>37.500000000000021</v>
      </c>
      <c r="W31" s="7"/>
      <c r="X31" s="5" t="s">
        <v>146</v>
      </c>
      <c r="Y31" s="9" t="s">
        <v>575</v>
      </c>
      <c r="Z31" s="5" t="s">
        <v>148</v>
      </c>
      <c r="AA31" s="91" t="s">
        <v>589</v>
      </c>
      <c r="AB31" s="93" t="s">
        <v>146</v>
      </c>
      <c r="AC31" s="92" t="s">
        <v>575</v>
      </c>
      <c r="AD31" s="91">
        <v>44322</v>
      </c>
    </row>
    <row r="32" spans="1:30" ht="15.6" x14ac:dyDescent="0.3">
      <c r="A32" s="5" t="s">
        <v>380</v>
      </c>
      <c r="B32" s="5" t="s">
        <v>381</v>
      </c>
      <c r="C32" s="5" t="s">
        <v>11</v>
      </c>
      <c r="D32" s="5" t="s">
        <v>382</v>
      </c>
      <c r="E32" s="8">
        <v>47834</v>
      </c>
      <c r="F32" s="5" t="s">
        <v>32</v>
      </c>
      <c r="G32" s="5" t="s">
        <v>208</v>
      </c>
      <c r="H32" s="5" t="s">
        <v>145</v>
      </c>
      <c r="I32" s="94">
        <v>22.382716049382701</v>
      </c>
      <c r="J32" s="6">
        <v>6.2272727272727266</v>
      </c>
      <c r="K32" s="6">
        <v>2.0681818181818183</v>
      </c>
      <c r="L32" s="6">
        <v>12.454545454545459</v>
      </c>
      <c r="M32" s="6">
        <v>7.7499999999999982</v>
      </c>
      <c r="N32" s="6">
        <v>18.568181818181841</v>
      </c>
      <c r="O32" s="6">
        <v>9.8181818181818166</v>
      </c>
      <c r="P32" s="6">
        <v>9.0909090909090912E-2</v>
      </c>
      <c r="Q32" s="6">
        <v>2.2727272727272728E-2</v>
      </c>
      <c r="R32" s="6">
        <v>1.3636363636363635</v>
      </c>
      <c r="S32" s="6">
        <v>0.27272727272727271</v>
      </c>
      <c r="T32" s="6">
        <v>2.2272727272727271</v>
      </c>
      <c r="U32" s="6">
        <v>24.636363636363672</v>
      </c>
      <c r="V32" s="6">
        <v>18.840909090909122</v>
      </c>
      <c r="W32" s="7"/>
      <c r="X32" s="5" t="s">
        <v>146</v>
      </c>
      <c r="Y32" s="9" t="s">
        <v>209</v>
      </c>
      <c r="Z32" s="5" t="s">
        <v>148</v>
      </c>
      <c r="AA32" s="91" t="s">
        <v>597</v>
      </c>
      <c r="AB32" s="93" t="s">
        <v>146</v>
      </c>
      <c r="AC32" s="92" t="s">
        <v>209</v>
      </c>
      <c r="AD32" s="91">
        <v>44539</v>
      </c>
    </row>
    <row r="33" spans="1:30" ht="15.6" x14ac:dyDescent="0.3">
      <c r="A33" s="5" t="s">
        <v>358</v>
      </c>
      <c r="B33" s="5" t="s">
        <v>359</v>
      </c>
      <c r="C33" s="5" t="s">
        <v>360</v>
      </c>
      <c r="D33" s="5" t="s">
        <v>248</v>
      </c>
      <c r="E33" s="8">
        <v>17745</v>
      </c>
      <c r="F33" s="5" t="s">
        <v>249</v>
      </c>
      <c r="G33" s="5" t="s">
        <v>208</v>
      </c>
      <c r="H33" s="5" t="s">
        <v>4</v>
      </c>
      <c r="I33" s="94">
        <v>93</v>
      </c>
      <c r="J33" s="6">
        <v>1.6136363636363635</v>
      </c>
      <c r="K33" s="6">
        <v>10.363636363636363</v>
      </c>
      <c r="L33" s="6">
        <v>20.613636363636363</v>
      </c>
      <c r="M33" s="6">
        <v>19.454545454545453</v>
      </c>
      <c r="N33" s="6">
        <v>45.522727272727266</v>
      </c>
      <c r="O33" s="6">
        <v>3.9545454545454546</v>
      </c>
      <c r="P33" s="6">
        <v>1.5681818181818183</v>
      </c>
      <c r="Q33" s="6">
        <v>1</v>
      </c>
      <c r="R33" s="6">
        <v>32.068181818181813</v>
      </c>
      <c r="S33" s="6">
        <v>7.0909090909090908</v>
      </c>
      <c r="T33" s="6">
        <v>1.6363636363636365</v>
      </c>
      <c r="U33" s="6">
        <v>11.249999999999998</v>
      </c>
      <c r="V33" s="6">
        <v>42.613636363636353</v>
      </c>
      <c r="W33" s="7"/>
      <c r="X33" s="5" t="s">
        <v>146</v>
      </c>
      <c r="Y33" s="9" t="s">
        <v>572</v>
      </c>
      <c r="Z33" s="5" t="s">
        <v>256</v>
      </c>
      <c r="AA33" s="91" t="s">
        <v>576</v>
      </c>
      <c r="AB33" s="93" t="s">
        <v>146</v>
      </c>
      <c r="AC33" s="92" t="s">
        <v>572</v>
      </c>
      <c r="AD33" s="91">
        <v>44160</v>
      </c>
    </row>
    <row r="34" spans="1:30" ht="15.6" x14ac:dyDescent="0.3">
      <c r="A34" s="5" t="s">
        <v>690</v>
      </c>
      <c r="B34" s="5" t="s">
        <v>689</v>
      </c>
      <c r="C34" s="5" t="s">
        <v>688</v>
      </c>
      <c r="D34" s="5" t="s">
        <v>254</v>
      </c>
      <c r="E34" s="8">
        <v>12901</v>
      </c>
      <c r="F34" s="5" t="s">
        <v>255</v>
      </c>
      <c r="G34" s="5" t="s">
        <v>208</v>
      </c>
      <c r="H34" s="5" t="s">
        <v>145</v>
      </c>
      <c r="I34" s="94">
        <v>9.5161290322580605</v>
      </c>
      <c r="J34" s="6">
        <v>0.11363636363636363</v>
      </c>
      <c r="K34" s="6">
        <v>2.1363636363636362</v>
      </c>
      <c r="L34" s="6">
        <v>0.22727272727272727</v>
      </c>
      <c r="M34" s="6">
        <v>1</v>
      </c>
      <c r="N34" s="6">
        <v>1.8409090909090906</v>
      </c>
      <c r="O34" s="6">
        <v>0.63636363636363624</v>
      </c>
      <c r="P34" s="6">
        <v>1</v>
      </c>
      <c r="Q34" s="6">
        <v>0</v>
      </c>
      <c r="R34" s="6">
        <v>1</v>
      </c>
      <c r="S34" s="6">
        <v>0</v>
      </c>
      <c r="T34" s="6">
        <v>0</v>
      </c>
      <c r="U34" s="6">
        <v>2.4772727272727266</v>
      </c>
      <c r="V34" s="6">
        <v>1.5454545454545454</v>
      </c>
      <c r="W34" s="7"/>
      <c r="X34" s="5" t="s">
        <v>406</v>
      </c>
      <c r="Y34" s="9" t="s">
        <v>572</v>
      </c>
      <c r="Z34" s="5" t="s">
        <v>580</v>
      </c>
      <c r="AA34" s="91" t="s">
        <v>687</v>
      </c>
      <c r="AB34" s="93" t="s">
        <v>146</v>
      </c>
      <c r="AC34" s="92" t="s">
        <v>245</v>
      </c>
      <c r="AD34" s="91">
        <v>43398</v>
      </c>
    </row>
    <row r="35" spans="1:30" ht="15.6" x14ac:dyDescent="0.3">
      <c r="A35" s="5" t="s">
        <v>400</v>
      </c>
      <c r="B35" s="5" t="s">
        <v>401</v>
      </c>
      <c r="C35" s="5" t="s">
        <v>402</v>
      </c>
      <c r="D35" s="5" t="s">
        <v>157</v>
      </c>
      <c r="E35" s="8">
        <v>78380</v>
      </c>
      <c r="F35" s="5" t="s">
        <v>578</v>
      </c>
      <c r="G35" s="5" t="s">
        <v>208</v>
      </c>
      <c r="H35" s="5" t="s">
        <v>4</v>
      </c>
      <c r="I35" s="94">
        <v>3.2446808510638299</v>
      </c>
      <c r="J35" s="6">
        <v>5.0000000000000036</v>
      </c>
      <c r="K35" s="6">
        <v>4.2500000000000018</v>
      </c>
      <c r="L35" s="6">
        <v>1.386363636363636</v>
      </c>
      <c r="M35" s="6">
        <v>0.45454545454545459</v>
      </c>
      <c r="N35" s="6">
        <v>3.9318181818181821</v>
      </c>
      <c r="O35" s="6">
        <v>5.4090909090909136</v>
      </c>
      <c r="P35" s="6">
        <v>4.5454545454545456E-2</v>
      </c>
      <c r="Q35" s="6">
        <v>1.7045454545454537</v>
      </c>
      <c r="R35" s="6">
        <v>0.68181818181818177</v>
      </c>
      <c r="S35" s="6">
        <v>1.2272727272727271</v>
      </c>
      <c r="T35" s="6">
        <v>0.47727272727272729</v>
      </c>
      <c r="U35" s="6">
        <v>8.7045454545454533</v>
      </c>
      <c r="V35" s="6">
        <v>8.0681818181818254</v>
      </c>
      <c r="W35" s="7"/>
      <c r="X35" s="5" t="s">
        <v>406</v>
      </c>
      <c r="Y35" s="9" t="s">
        <v>572</v>
      </c>
      <c r="Z35" s="5" t="s">
        <v>580</v>
      </c>
      <c r="AA35" s="91" t="s">
        <v>678</v>
      </c>
      <c r="AB35" s="93" t="s">
        <v>146</v>
      </c>
      <c r="AC35" s="92" t="s">
        <v>209</v>
      </c>
      <c r="AD35" s="91">
        <v>43839</v>
      </c>
    </row>
    <row r="36" spans="1:30" ht="15.6" x14ac:dyDescent="0.3">
      <c r="A36" s="5" t="s">
        <v>415</v>
      </c>
      <c r="B36" s="5" t="s">
        <v>416</v>
      </c>
      <c r="C36" s="5" t="s">
        <v>417</v>
      </c>
      <c r="D36" s="5" t="s">
        <v>237</v>
      </c>
      <c r="E36" s="8">
        <v>34112</v>
      </c>
      <c r="F36" s="5" t="s">
        <v>27</v>
      </c>
      <c r="G36" s="5" t="s">
        <v>167</v>
      </c>
      <c r="H36" s="5" t="s">
        <v>145</v>
      </c>
      <c r="I36" s="94">
        <v>3.1139240506329098</v>
      </c>
      <c r="J36" s="6">
        <v>5.3181818181818192</v>
      </c>
      <c r="K36" s="6">
        <v>2.3636363636363633</v>
      </c>
      <c r="L36" s="6">
        <v>1.5909090909090904</v>
      </c>
      <c r="M36" s="6">
        <v>0.8181818181818179</v>
      </c>
      <c r="N36" s="6">
        <v>5.6363636363636367</v>
      </c>
      <c r="O36" s="6">
        <v>4.0000000000000018</v>
      </c>
      <c r="P36" s="6">
        <v>0.25</v>
      </c>
      <c r="Q36" s="6">
        <v>0.20454545454545453</v>
      </c>
      <c r="R36" s="6">
        <v>0.22727272727272727</v>
      </c>
      <c r="S36" s="6">
        <v>0.90909090909090917</v>
      </c>
      <c r="T36" s="6">
        <v>1.2954545454545454</v>
      </c>
      <c r="U36" s="6">
        <v>7.6590909090909109</v>
      </c>
      <c r="V36" s="6">
        <v>4.6363636363636376</v>
      </c>
      <c r="W36" s="7"/>
      <c r="X36" s="5" t="s">
        <v>406</v>
      </c>
      <c r="Y36" s="9" t="s">
        <v>572</v>
      </c>
      <c r="Z36" s="5" t="s">
        <v>580</v>
      </c>
      <c r="AA36" s="91" t="s">
        <v>594</v>
      </c>
      <c r="AB36" s="93" t="s">
        <v>146</v>
      </c>
      <c r="AC36" s="92" t="s">
        <v>245</v>
      </c>
      <c r="AD36" s="91">
        <v>43503</v>
      </c>
    </row>
    <row r="37" spans="1:30" ht="15.6" x14ac:dyDescent="0.3">
      <c r="A37" s="5" t="s">
        <v>686</v>
      </c>
      <c r="B37" s="5" t="s">
        <v>685</v>
      </c>
      <c r="C37" s="5" t="s">
        <v>684</v>
      </c>
      <c r="D37" s="5" t="s">
        <v>683</v>
      </c>
      <c r="E37" s="8">
        <v>4102</v>
      </c>
      <c r="F37" s="5" t="s">
        <v>276</v>
      </c>
      <c r="G37" s="5" t="s">
        <v>208</v>
      </c>
      <c r="H37" s="5" t="s">
        <v>145</v>
      </c>
      <c r="I37" s="94">
        <v>3.5</v>
      </c>
      <c r="J37" s="6">
        <v>2.3181818181818175</v>
      </c>
      <c r="K37" s="6">
        <v>0.31818181818181818</v>
      </c>
      <c r="L37" s="6">
        <v>0</v>
      </c>
      <c r="M37" s="6">
        <v>6.8181818181818177E-2</v>
      </c>
      <c r="N37" s="6">
        <v>0.25</v>
      </c>
      <c r="O37" s="6">
        <v>2.0454545454545445</v>
      </c>
      <c r="P37" s="6">
        <v>0</v>
      </c>
      <c r="Q37" s="6">
        <v>0.40909090909090912</v>
      </c>
      <c r="R37" s="6">
        <v>0</v>
      </c>
      <c r="S37" s="6">
        <v>0</v>
      </c>
      <c r="T37" s="6">
        <v>0</v>
      </c>
      <c r="U37" s="6">
        <v>2.7045454545454541</v>
      </c>
      <c r="V37" s="6">
        <v>1.9090909090909085</v>
      </c>
      <c r="W37" s="7"/>
      <c r="X37" s="5" t="s">
        <v>406</v>
      </c>
      <c r="Y37" s="9" t="s">
        <v>572</v>
      </c>
      <c r="Z37" s="5"/>
      <c r="AA37" s="91" t="s">
        <v>601</v>
      </c>
      <c r="AB37" s="93" t="s">
        <v>406</v>
      </c>
      <c r="AC37" s="92" t="s">
        <v>245</v>
      </c>
      <c r="AD37" s="91">
        <v>43348</v>
      </c>
    </row>
    <row r="38" spans="1:30" ht="15.6" x14ac:dyDescent="0.3">
      <c r="A38" s="5" t="s">
        <v>418</v>
      </c>
      <c r="B38" s="5" t="s">
        <v>419</v>
      </c>
      <c r="C38" s="5" t="s">
        <v>420</v>
      </c>
      <c r="D38" s="5" t="s">
        <v>157</v>
      </c>
      <c r="E38" s="8">
        <v>75202</v>
      </c>
      <c r="F38" s="5" t="s">
        <v>226</v>
      </c>
      <c r="G38" s="5" t="s">
        <v>208</v>
      </c>
      <c r="H38" s="5" t="s">
        <v>145</v>
      </c>
      <c r="I38" s="94">
        <v>1.5687500000000001</v>
      </c>
      <c r="J38" s="6">
        <v>8.9772727272727426</v>
      </c>
      <c r="K38" s="6">
        <v>0</v>
      </c>
      <c r="L38" s="6">
        <v>0</v>
      </c>
      <c r="M38" s="6">
        <v>2.2727272727272728E-2</v>
      </c>
      <c r="N38" s="6">
        <v>3.6590909090909154</v>
      </c>
      <c r="O38" s="6">
        <v>4.9090909090909118</v>
      </c>
      <c r="P38" s="6">
        <v>0.22727272727272727</v>
      </c>
      <c r="Q38" s="6">
        <v>0.20454545454545456</v>
      </c>
      <c r="R38" s="6">
        <v>9.0909090909090912E-2</v>
      </c>
      <c r="S38" s="6">
        <v>0</v>
      </c>
      <c r="T38" s="6">
        <v>0.13636363636363635</v>
      </c>
      <c r="U38" s="6">
        <v>8.772727272727284</v>
      </c>
      <c r="V38" s="6">
        <v>3.2272727272727315</v>
      </c>
      <c r="W38" s="7"/>
      <c r="X38" s="5" t="s">
        <v>406</v>
      </c>
      <c r="Y38" s="9" t="s">
        <v>572</v>
      </c>
      <c r="Z38" s="5" t="s">
        <v>580</v>
      </c>
      <c r="AA38" s="91" t="s">
        <v>682</v>
      </c>
      <c r="AB38" s="93" t="s">
        <v>406</v>
      </c>
      <c r="AC38" s="92" t="s">
        <v>245</v>
      </c>
      <c r="AD38" s="91">
        <v>43028</v>
      </c>
    </row>
    <row r="39" spans="1:30" ht="15.6" x14ac:dyDescent="0.3">
      <c r="A39" s="5" t="s">
        <v>238</v>
      </c>
      <c r="B39" s="5" t="s">
        <v>239</v>
      </c>
      <c r="C39" s="5" t="s">
        <v>37</v>
      </c>
      <c r="D39" s="5" t="s">
        <v>240</v>
      </c>
      <c r="E39" s="8">
        <v>80010</v>
      </c>
      <c r="F39" s="5" t="s">
        <v>241</v>
      </c>
      <c r="G39" s="5" t="s">
        <v>159</v>
      </c>
      <c r="H39" s="5" t="s">
        <v>145</v>
      </c>
      <c r="I39" s="94">
        <v>84.35</v>
      </c>
      <c r="J39" s="6">
        <v>536.09090909091174</v>
      </c>
      <c r="K39" s="6">
        <v>30.886363636363637</v>
      </c>
      <c r="L39" s="6">
        <v>67.477272727272734</v>
      </c>
      <c r="M39" s="6">
        <v>72.909090909090921</v>
      </c>
      <c r="N39" s="6">
        <v>143.43181818181813</v>
      </c>
      <c r="O39" s="6">
        <v>487.36363636363978</v>
      </c>
      <c r="P39" s="6">
        <v>12.977272727272727</v>
      </c>
      <c r="Q39" s="6">
        <v>63.590909090909065</v>
      </c>
      <c r="R39" s="6">
        <v>88.340909090909108</v>
      </c>
      <c r="S39" s="6">
        <v>35.81818181818182</v>
      </c>
      <c r="T39" s="6">
        <v>15.477272727272728</v>
      </c>
      <c r="U39" s="6">
        <v>567.72727272727161</v>
      </c>
      <c r="V39" s="6">
        <v>293.84090909090889</v>
      </c>
      <c r="W39" s="7">
        <v>600</v>
      </c>
      <c r="X39" s="5" t="s">
        <v>146</v>
      </c>
      <c r="Y39" s="9" t="s">
        <v>575</v>
      </c>
      <c r="Z39" s="5" t="s">
        <v>148</v>
      </c>
      <c r="AA39" s="91" t="s">
        <v>595</v>
      </c>
      <c r="AB39" s="93" t="s">
        <v>146</v>
      </c>
      <c r="AC39" s="92" t="s">
        <v>575</v>
      </c>
      <c r="AD39" s="91">
        <v>44223</v>
      </c>
    </row>
    <row r="40" spans="1:30" ht="15.6" x14ac:dyDescent="0.3">
      <c r="A40" s="5" t="s">
        <v>431</v>
      </c>
      <c r="B40" s="5" t="s">
        <v>432</v>
      </c>
      <c r="C40" s="5" t="s">
        <v>433</v>
      </c>
      <c r="D40" s="5" t="s">
        <v>434</v>
      </c>
      <c r="E40" s="8">
        <v>96910</v>
      </c>
      <c r="F40" s="5" t="s">
        <v>272</v>
      </c>
      <c r="G40" s="5" t="s">
        <v>208</v>
      </c>
      <c r="H40" s="5" t="s">
        <v>145</v>
      </c>
      <c r="I40" s="94"/>
      <c r="J40" s="6">
        <v>0</v>
      </c>
      <c r="K40" s="6">
        <v>0.54545454545454541</v>
      </c>
      <c r="L40" s="6">
        <v>4.3181818181818183</v>
      </c>
      <c r="M40" s="6">
        <v>2.5227272727272725</v>
      </c>
      <c r="N40" s="6">
        <v>7.3863636363636358</v>
      </c>
      <c r="O40" s="6">
        <v>0</v>
      </c>
      <c r="P40" s="6">
        <v>0</v>
      </c>
      <c r="Q40" s="6">
        <v>0</v>
      </c>
      <c r="R40" s="6">
        <v>6.8409090909090908</v>
      </c>
      <c r="S40" s="6">
        <v>0.54545454545454541</v>
      </c>
      <c r="T40" s="6">
        <v>0</v>
      </c>
      <c r="U40" s="6">
        <v>0</v>
      </c>
      <c r="V40" s="6">
        <v>6.5909090909090908</v>
      </c>
      <c r="W40" s="7"/>
      <c r="X40" s="5" t="s">
        <v>168</v>
      </c>
      <c r="Y40" s="9"/>
      <c r="Z40" s="5"/>
      <c r="AA40" s="91"/>
      <c r="AB40" s="93" t="s">
        <v>168</v>
      </c>
      <c r="AC40" s="92"/>
      <c r="AD40" s="91"/>
    </row>
    <row r="41" spans="1:30" ht="15.6" x14ac:dyDescent="0.3">
      <c r="A41" s="5" t="s">
        <v>681</v>
      </c>
      <c r="B41" s="5" t="s">
        <v>680</v>
      </c>
      <c r="C41" s="5" t="s">
        <v>141</v>
      </c>
      <c r="D41" s="5" t="s">
        <v>142</v>
      </c>
      <c r="E41" s="8">
        <v>92301</v>
      </c>
      <c r="F41" s="5" t="s">
        <v>143</v>
      </c>
      <c r="G41" s="5" t="s">
        <v>159</v>
      </c>
      <c r="H41" s="5" t="s">
        <v>145</v>
      </c>
      <c r="I41" s="94">
        <v>55.45</v>
      </c>
      <c r="J41" s="6">
        <v>0</v>
      </c>
      <c r="K41" s="6">
        <v>3.1590909090909087</v>
      </c>
      <c r="L41" s="6">
        <v>33.522727272727266</v>
      </c>
      <c r="M41" s="6">
        <v>76.704545454545467</v>
      </c>
      <c r="N41" s="6">
        <v>109.77272727272732</v>
      </c>
      <c r="O41" s="6">
        <v>3.1590909090909092</v>
      </c>
      <c r="P41" s="6">
        <v>0.45454545454545453</v>
      </c>
      <c r="Q41" s="6">
        <v>0</v>
      </c>
      <c r="R41" s="6">
        <v>82.227272727272734</v>
      </c>
      <c r="S41" s="6">
        <v>9.204545454545455</v>
      </c>
      <c r="T41" s="6">
        <v>0.93181818181818188</v>
      </c>
      <c r="U41" s="6">
        <v>21.022727272727273</v>
      </c>
      <c r="V41" s="6">
        <v>88.545454545454604</v>
      </c>
      <c r="W41" s="7">
        <v>120</v>
      </c>
      <c r="X41" s="5" t="s">
        <v>146</v>
      </c>
      <c r="Y41" s="9" t="s">
        <v>575</v>
      </c>
      <c r="Z41" s="5" t="s">
        <v>148</v>
      </c>
      <c r="AA41" s="91" t="s">
        <v>679</v>
      </c>
      <c r="AB41" s="93" t="s">
        <v>146</v>
      </c>
      <c r="AC41" s="92" t="s">
        <v>575</v>
      </c>
      <c r="AD41" s="91">
        <v>44279</v>
      </c>
    </row>
    <row r="42" spans="1:30" ht="15.6" x14ac:dyDescent="0.3">
      <c r="A42" s="5" t="s">
        <v>326</v>
      </c>
      <c r="B42" s="5" t="s">
        <v>327</v>
      </c>
      <c r="C42" s="5" t="s">
        <v>328</v>
      </c>
      <c r="D42" s="5" t="s">
        <v>314</v>
      </c>
      <c r="E42" s="8">
        <v>53039</v>
      </c>
      <c r="F42" s="5" t="s">
        <v>32</v>
      </c>
      <c r="G42" s="5" t="s">
        <v>208</v>
      </c>
      <c r="H42" s="5" t="s">
        <v>145</v>
      </c>
      <c r="I42" s="94">
        <v>59.384615384615401</v>
      </c>
      <c r="J42" s="6">
        <v>23.79545454545455</v>
      </c>
      <c r="K42" s="6">
        <v>9.5</v>
      </c>
      <c r="L42" s="6">
        <v>26.13636363636364</v>
      </c>
      <c r="M42" s="6">
        <v>41.272727272727259</v>
      </c>
      <c r="N42" s="6">
        <v>63.704545454545446</v>
      </c>
      <c r="O42" s="6">
        <v>34.022727272727295</v>
      </c>
      <c r="P42" s="6">
        <v>2.6818181818181817</v>
      </c>
      <c r="Q42" s="6">
        <v>0.29545454545454547</v>
      </c>
      <c r="R42" s="6">
        <v>37.340909090909086</v>
      </c>
      <c r="S42" s="6">
        <v>8.9772727272727266</v>
      </c>
      <c r="T42" s="6">
        <v>4.6590909090909101</v>
      </c>
      <c r="U42" s="6">
        <v>49.727272727272741</v>
      </c>
      <c r="V42" s="6">
        <v>71.954545454545439</v>
      </c>
      <c r="W42" s="7"/>
      <c r="X42" s="5" t="s">
        <v>146</v>
      </c>
      <c r="Y42" s="9" t="s">
        <v>245</v>
      </c>
      <c r="Z42" s="5" t="s">
        <v>256</v>
      </c>
      <c r="AA42" s="91" t="s">
        <v>663</v>
      </c>
      <c r="AB42" s="93" t="s">
        <v>146</v>
      </c>
      <c r="AC42" s="92" t="s">
        <v>572</v>
      </c>
      <c r="AD42" s="91">
        <v>44302</v>
      </c>
    </row>
    <row r="43" spans="1:30" ht="15.6" x14ac:dyDescent="0.3">
      <c r="A43" s="5" t="s">
        <v>460</v>
      </c>
      <c r="B43" s="5" t="s">
        <v>461</v>
      </c>
      <c r="C43" s="5" t="s">
        <v>462</v>
      </c>
      <c r="D43" s="5" t="s">
        <v>157</v>
      </c>
      <c r="E43" s="8">
        <v>78562</v>
      </c>
      <c r="F43" s="5" t="s">
        <v>578</v>
      </c>
      <c r="G43" s="5" t="s">
        <v>208</v>
      </c>
      <c r="H43" s="5" t="s">
        <v>145</v>
      </c>
      <c r="I43" s="94"/>
      <c r="J43" s="6">
        <v>1.4772727272727271</v>
      </c>
      <c r="K43" s="6">
        <v>9.0909090909090912E-2</v>
      </c>
      <c r="L43" s="6">
        <v>2.2727272727272728E-2</v>
      </c>
      <c r="M43" s="6">
        <v>0.11363636363636363</v>
      </c>
      <c r="N43" s="6">
        <v>1.7045454545454544</v>
      </c>
      <c r="O43" s="6">
        <v>0</v>
      </c>
      <c r="P43" s="6">
        <v>0</v>
      </c>
      <c r="Q43" s="6">
        <v>0</v>
      </c>
      <c r="R43" s="6">
        <v>1.6818181818181817</v>
      </c>
      <c r="S43" s="6">
        <v>2.2727272727272728E-2</v>
      </c>
      <c r="T43" s="6">
        <v>0</v>
      </c>
      <c r="U43" s="6">
        <v>0</v>
      </c>
      <c r="V43" s="6">
        <v>1.7045454545454544</v>
      </c>
      <c r="W43" s="7"/>
      <c r="X43" s="5" t="s">
        <v>406</v>
      </c>
      <c r="Y43" s="9" t="s">
        <v>572</v>
      </c>
      <c r="Z43" s="5" t="s">
        <v>580</v>
      </c>
      <c r="AA43" s="91" t="s">
        <v>678</v>
      </c>
      <c r="AB43" s="93" t="s">
        <v>146</v>
      </c>
      <c r="AC43" s="92" t="s">
        <v>245</v>
      </c>
      <c r="AD43" s="91">
        <v>44113</v>
      </c>
    </row>
    <row r="44" spans="1:30" ht="15.6" x14ac:dyDescent="0.3">
      <c r="A44" s="5" t="s">
        <v>265</v>
      </c>
      <c r="B44" s="5" t="s">
        <v>266</v>
      </c>
      <c r="C44" s="5" t="s">
        <v>34</v>
      </c>
      <c r="D44" s="5" t="s">
        <v>157</v>
      </c>
      <c r="E44" s="8">
        <v>76837</v>
      </c>
      <c r="F44" s="5" t="s">
        <v>226</v>
      </c>
      <c r="G44" s="5" t="s">
        <v>208</v>
      </c>
      <c r="H44" s="5" t="s">
        <v>4</v>
      </c>
      <c r="I44" s="94">
        <v>185.73684210526301</v>
      </c>
      <c r="J44" s="6">
        <v>110.27272727272727</v>
      </c>
      <c r="K44" s="6">
        <v>57.636363636363633</v>
      </c>
      <c r="L44" s="6">
        <v>6.1136363636363651</v>
      </c>
      <c r="M44" s="6">
        <v>2</v>
      </c>
      <c r="N44" s="6">
        <v>7.454545454545455</v>
      </c>
      <c r="O44" s="6">
        <v>168.56818181818096</v>
      </c>
      <c r="P44" s="6">
        <v>0</v>
      </c>
      <c r="Q44" s="6">
        <v>0</v>
      </c>
      <c r="R44" s="6">
        <v>1.7272727272727273</v>
      </c>
      <c r="S44" s="6">
        <v>4.7727272727272725</v>
      </c>
      <c r="T44" s="6">
        <v>0.65909090909090906</v>
      </c>
      <c r="U44" s="6">
        <v>168.86363636363552</v>
      </c>
      <c r="V44" s="6">
        <v>95.590909090909122</v>
      </c>
      <c r="W44" s="7"/>
      <c r="X44" s="5" t="s">
        <v>146</v>
      </c>
      <c r="Y44" s="9" t="s">
        <v>245</v>
      </c>
      <c r="Z44" s="5" t="s">
        <v>256</v>
      </c>
      <c r="AA44" s="91" t="s">
        <v>634</v>
      </c>
      <c r="AB44" s="93" t="s">
        <v>146</v>
      </c>
      <c r="AC44" s="92" t="s">
        <v>245</v>
      </c>
      <c r="AD44" s="91">
        <v>44168</v>
      </c>
    </row>
    <row r="45" spans="1:30" ht="17.100000000000001" customHeight="1" x14ac:dyDescent="0.3">
      <c r="A45" s="5" t="s">
        <v>210</v>
      </c>
      <c r="B45" s="5" t="s">
        <v>211</v>
      </c>
      <c r="C45" s="5" t="s">
        <v>212</v>
      </c>
      <c r="D45" s="5" t="s">
        <v>157</v>
      </c>
      <c r="E45" s="8">
        <v>79925</v>
      </c>
      <c r="F45" s="5" t="s">
        <v>196</v>
      </c>
      <c r="G45" s="5" t="s">
        <v>191</v>
      </c>
      <c r="H45" s="5" t="s">
        <v>145</v>
      </c>
      <c r="I45" s="94">
        <v>44.243697478991599</v>
      </c>
      <c r="J45" s="6">
        <v>247.84090909090827</v>
      </c>
      <c r="K45" s="6">
        <v>63.977272727272748</v>
      </c>
      <c r="L45" s="6">
        <v>67.409090909090907</v>
      </c>
      <c r="M45" s="6">
        <v>41.886363636363626</v>
      </c>
      <c r="N45" s="6">
        <v>150.97727272727266</v>
      </c>
      <c r="O45" s="6">
        <v>184.34090909090833</v>
      </c>
      <c r="P45" s="6">
        <v>24.77272727272727</v>
      </c>
      <c r="Q45" s="6">
        <v>61.022727272727273</v>
      </c>
      <c r="R45" s="6">
        <v>59.568181818181849</v>
      </c>
      <c r="S45" s="6">
        <v>50.590909090909079</v>
      </c>
      <c r="T45" s="6">
        <v>27.454545454545453</v>
      </c>
      <c r="U45" s="6">
        <v>283.49999999999926</v>
      </c>
      <c r="V45" s="6">
        <v>274.81818181818107</v>
      </c>
      <c r="W45" s="7">
        <v>600</v>
      </c>
      <c r="X45" s="5" t="s">
        <v>146</v>
      </c>
      <c r="Y45" s="9" t="s">
        <v>575</v>
      </c>
      <c r="Z45" s="5" t="s">
        <v>148</v>
      </c>
      <c r="AA45" s="91" t="s">
        <v>588</v>
      </c>
      <c r="AB45" s="93" t="s">
        <v>146</v>
      </c>
      <c r="AC45" s="92" t="s">
        <v>575</v>
      </c>
      <c r="AD45" s="91">
        <v>44168</v>
      </c>
    </row>
    <row r="46" spans="1:30" ht="15.6" x14ac:dyDescent="0.3">
      <c r="A46" s="5" t="s">
        <v>10</v>
      </c>
      <c r="B46" s="5" t="s">
        <v>206</v>
      </c>
      <c r="C46" s="5" t="s">
        <v>207</v>
      </c>
      <c r="D46" s="5" t="s">
        <v>157</v>
      </c>
      <c r="E46" s="8">
        <v>78580</v>
      </c>
      <c r="F46" s="5" t="s">
        <v>578</v>
      </c>
      <c r="G46" s="5" t="s">
        <v>167</v>
      </c>
      <c r="H46" s="5" t="s">
        <v>145</v>
      </c>
      <c r="I46" s="94">
        <v>56.225000000000001</v>
      </c>
      <c r="J46" s="6">
        <v>539.40909090909031</v>
      </c>
      <c r="K46" s="6">
        <v>10.90909090909091</v>
      </c>
      <c r="L46" s="6">
        <v>3</v>
      </c>
      <c r="M46" s="6">
        <v>1.2272727272727273</v>
      </c>
      <c r="N46" s="6">
        <v>23.318181818181813</v>
      </c>
      <c r="O46" s="6">
        <v>398.18181818181512</v>
      </c>
      <c r="P46" s="6">
        <v>3.8636363636363638</v>
      </c>
      <c r="Q46" s="6">
        <v>129.18181818181753</v>
      </c>
      <c r="R46" s="6">
        <v>6.5909090909090908</v>
      </c>
      <c r="S46" s="6">
        <v>6.1136363636363642</v>
      </c>
      <c r="T46" s="6">
        <v>10.613636363636363</v>
      </c>
      <c r="U46" s="6">
        <v>531.22727272727241</v>
      </c>
      <c r="V46" s="6">
        <v>409.65909090908821</v>
      </c>
      <c r="W46" s="7">
        <v>750</v>
      </c>
      <c r="X46" s="5" t="s">
        <v>146</v>
      </c>
      <c r="Y46" s="9" t="s">
        <v>575</v>
      </c>
      <c r="Z46" s="5" t="s">
        <v>148</v>
      </c>
      <c r="AA46" s="91" t="s">
        <v>677</v>
      </c>
      <c r="AB46" s="93" t="s">
        <v>146</v>
      </c>
      <c r="AC46" s="92" t="s">
        <v>575</v>
      </c>
      <c r="AD46" s="91">
        <v>44175</v>
      </c>
    </row>
    <row r="47" spans="1:30" ht="15.6" x14ac:dyDescent="0.3">
      <c r="A47" s="5" t="s">
        <v>296</v>
      </c>
      <c r="B47" s="5" t="s">
        <v>297</v>
      </c>
      <c r="C47" s="5" t="s">
        <v>20</v>
      </c>
      <c r="D47" s="5" t="s">
        <v>227</v>
      </c>
      <c r="E47" s="8">
        <v>7201</v>
      </c>
      <c r="F47" s="5" t="s">
        <v>228</v>
      </c>
      <c r="G47" s="5" t="s">
        <v>159</v>
      </c>
      <c r="H47" s="5" t="s">
        <v>145</v>
      </c>
      <c r="I47" s="94">
        <v>3.3398058252427201</v>
      </c>
      <c r="J47" s="6">
        <v>83.340909090909051</v>
      </c>
      <c r="K47" s="6">
        <v>51.386363636363633</v>
      </c>
      <c r="L47" s="6">
        <v>4.6590909090909118</v>
      </c>
      <c r="M47" s="6">
        <v>2.1818181818181812</v>
      </c>
      <c r="N47" s="6">
        <v>24.386363636363647</v>
      </c>
      <c r="O47" s="6">
        <v>94.749999999999957</v>
      </c>
      <c r="P47" s="6">
        <v>4.5909090909090908</v>
      </c>
      <c r="Q47" s="6">
        <v>17.840909090909097</v>
      </c>
      <c r="R47" s="6">
        <v>6.2500000000000009</v>
      </c>
      <c r="S47" s="6">
        <v>5.4772727272727275</v>
      </c>
      <c r="T47" s="6">
        <v>11.636363636363635</v>
      </c>
      <c r="U47" s="6">
        <v>118.20454545454534</v>
      </c>
      <c r="V47" s="6">
        <v>81.931818181818144</v>
      </c>
      <c r="W47" s="7">
        <v>285</v>
      </c>
      <c r="X47" s="5" t="s">
        <v>146</v>
      </c>
      <c r="Y47" s="9" t="s">
        <v>575</v>
      </c>
      <c r="Z47" s="5" t="s">
        <v>148</v>
      </c>
      <c r="AA47" s="91" t="s">
        <v>576</v>
      </c>
      <c r="AB47" s="93" t="s">
        <v>146</v>
      </c>
      <c r="AC47" s="92" t="s">
        <v>147</v>
      </c>
      <c r="AD47" s="91">
        <v>44091</v>
      </c>
    </row>
    <row r="48" spans="1:30" ht="15.6" x14ac:dyDescent="0.3">
      <c r="A48" s="5" t="s">
        <v>676</v>
      </c>
      <c r="B48" s="5" t="s">
        <v>675</v>
      </c>
      <c r="C48" s="5" t="s">
        <v>674</v>
      </c>
      <c r="D48" s="5" t="s">
        <v>452</v>
      </c>
      <c r="E48" s="8">
        <v>83647</v>
      </c>
      <c r="F48" s="5" t="s">
        <v>302</v>
      </c>
      <c r="G48" s="5" t="s">
        <v>208</v>
      </c>
      <c r="H48" s="5" t="s">
        <v>145</v>
      </c>
      <c r="I48" s="94">
        <v>5.25</v>
      </c>
      <c r="J48" s="6">
        <v>0.47727272727272724</v>
      </c>
      <c r="K48" s="6">
        <v>1.3409090909090906</v>
      </c>
      <c r="L48" s="6">
        <v>2.4318181818181821</v>
      </c>
      <c r="M48" s="6">
        <v>0.61363636363636365</v>
      </c>
      <c r="N48" s="6">
        <v>4.2727272727272725</v>
      </c>
      <c r="O48" s="6">
        <v>0.56818181818181812</v>
      </c>
      <c r="P48" s="6">
        <v>2.2727272727272728E-2</v>
      </c>
      <c r="Q48" s="6">
        <v>0</v>
      </c>
      <c r="R48" s="6">
        <v>0.59090909090909094</v>
      </c>
      <c r="S48" s="6">
        <v>0.43181818181818182</v>
      </c>
      <c r="T48" s="6">
        <v>0.68181818181818188</v>
      </c>
      <c r="U48" s="6">
        <v>3.1590909090909096</v>
      </c>
      <c r="V48" s="6">
        <v>3.2954545454545454</v>
      </c>
      <c r="W48" s="7"/>
      <c r="X48" s="5" t="s">
        <v>406</v>
      </c>
      <c r="Y48" s="9" t="s">
        <v>572</v>
      </c>
      <c r="Z48" s="5" t="s">
        <v>580</v>
      </c>
      <c r="AA48" s="91" t="s">
        <v>673</v>
      </c>
      <c r="AB48" s="93" t="s">
        <v>406</v>
      </c>
      <c r="AC48" s="92" t="s">
        <v>245</v>
      </c>
      <c r="AD48" s="91">
        <v>43360</v>
      </c>
    </row>
    <row r="49" spans="1:30" ht="15.6" x14ac:dyDescent="0.3">
      <c r="A49" s="5" t="s">
        <v>173</v>
      </c>
      <c r="B49" s="5" t="s">
        <v>174</v>
      </c>
      <c r="C49" s="5" t="s">
        <v>30</v>
      </c>
      <c r="D49" s="5" t="s">
        <v>169</v>
      </c>
      <c r="E49" s="8">
        <v>85131</v>
      </c>
      <c r="F49" s="5" t="s">
        <v>170</v>
      </c>
      <c r="G49" s="5" t="s">
        <v>144</v>
      </c>
      <c r="H49" s="5" t="s">
        <v>145</v>
      </c>
      <c r="I49" s="94">
        <v>11.7452830188679</v>
      </c>
      <c r="J49" s="6">
        <v>814.18181818181313</v>
      </c>
      <c r="K49" s="6">
        <v>35.31818181818182</v>
      </c>
      <c r="L49" s="6">
        <v>37.022727272727288</v>
      </c>
      <c r="M49" s="6">
        <v>39.363636363636367</v>
      </c>
      <c r="N49" s="6">
        <v>63.227272727272741</v>
      </c>
      <c r="O49" s="6">
        <v>503.04545454545445</v>
      </c>
      <c r="P49" s="6">
        <v>25.31818181818182</v>
      </c>
      <c r="Q49" s="6">
        <v>334.29545454545445</v>
      </c>
      <c r="R49" s="6">
        <v>41.931818181818187</v>
      </c>
      <c r="S49" s="6">
        <v>19.65909090909091</v>
      </c>
      <c r="T49" s="6">
        <v>20.386363636363633</v>
      </c>
      <c r="U49" s="6">
        <v>843.9090909090869</v>
      </c>
      <c r="V49" s="6">
        <v>303.22727272727218</v>
      </c>
      <c r="W49" s="7"/>
      <c r="X49" s="5" t="s">
        <v>146</v>
      </c>
      <c r="Y49" s="9" t="s">
        <v>575</v>
      </c>
      <c r="Z49" s="5" t="s">
        <v>148</v>
      </c>
      <c r="AA49" s="91" t="s">
        <v>577</v>
      </c>
      <c r="AB49" s="93" t="s">
        <v>146</v>
      </c>
      <c r="AC49" s="92" t="s">
        <v>575</v>
      </c>
      <c r="AD49" s="91">
        <v>44232</v>
      </c>
    </row>
    <row r="50" spans="1:30" ht="15.6" x14ac:dyDescent="0.3">
      <c r="A50" s="5" t="s">
        <v>478</v>
      </c>
      <c r="B50" s="5" t="s">
        <v>479</v>
      </c>
      <c r="C50" s="5" t="s">
        <v>480</v>
      </c>
      <c r="D50" s="5" t="s">
        <v>248</v>
      </c>
      <c r="E50" s="8">
        <v>16503</v>
      </c>
      <c r="F50" s="5" t="s">
        <v>249</v>
      </c>
      <c r="G50" s="5" t="s">
        <v>208</v>
      </c>
      <c r="H50" s="5" t="s">
        <v>145</v>
      </c>
      <c r="I50" s="94"/>
      <c r="J50" s="6">
        <v>9.0909090909090912E-2</v>
      </c>
      <c r="K50" s="6">
        <v>6.8181818181818177E-2</v>
      </c>
      <c r="L50" s="6">
        <v>0</v>
      </c>
      <c r="M50" s="6">
        <v>0.18181818181818182</v>
      </c>
      <c r="N50" s="6">
        <v>6.8181818181818177E-2</v>
      </c>
      <c r="O50" s="6">
        <v>9.0909090909090912E-2</v>
      </c>
      <c r="P50" s="6">
        <v>0.18181818181818182</v>
      </c>
      <c r="Q50" s="6">
        <v>0</v>
      </c>
      <c r="R50" s="6">
        <v>0</v>
      </c>
      <c r="S50" s="6">
        <v>0</v>
      </c>
      <c r="T50" s="6">
        <v>6.8181818181818177E-2</v>
      </c>
      <c r="U50" s="6">
        <v>0.27272727272727271</v>
      </c>
      <c r="V50" s="6">
        <v>0.34090909090909088</v>
      </c>
      <c r="W50" s="7"/>
      <c r="X50" s="5" t="s">
        <v>406</v>
      </c>
      <c r="Y50" s="9" t="s">
        <v>572</v>
      </c>
      <c r="Z50" s="5"/>
      <c r="AA50" s="91" t="s">
        <v>672</v>
      </c>
      <c r="AB50" s="93" t="s">
        <v>406</v>
      </c>
      <c r="AC50" s="92" t="s">
        <v>245</v>
      </c>
      <c r="AD50" s="91">
        <v>43363</v>
      </c>
    </row>
    <row r="51" spans="1:30" ht="15.6" x14ac:dyDescent="0.3">
      <c r="A51" s="5" t="s">
        <v>671</v>
      </c>
      <c r="B51" s="5" t="s">
        <v>670</v>
      </c>
      <c r="C51" s="5" t="s">
        <v>669</v>
      </c>
      <c r="D51" s="5" t="s">
        <v>357</v>
      </c>
      <c r="E51" s="8">
        <v>67846</v>
      </c>
      <c r="F51" s="5" t="s">
        <v>32</v>
      </c>
      <c r="G51" s="5" t="s">
        <v>167</v>
      </c>
      <c r="H51" s="5" t="s">
        <v>145</v>
      </c>
      <c r="I51" s="94">
        <v>2.1428571428571401</v>
      </c>
      <c r="J51" s="6">
        <v>0.45454545454545447</v>
      </c>
      <c r="K51" s="6">
        <v>0.29545454545454541</v>
      </c>
      <c r="L51" s="6">
        <v>0.81818181818181812</v>
      </c>
      <c r="M51" s="6">
        <v>0.27272727272727271</v>
      </c>
      <c r="N51" s="6">
        <v>1.1363636363636362</v>
      </c>
      <c r="O51" s="6">
        <v>0.70454545454545447</v>
      </c>
      <c r="P51" s="6">
        <v>0</v>
      </c>
      <c r="Q51" s="6">
        <v>0</v>
      </c>
      <c r="R51" s="6">
        <v>0.31818181818181818</v>
      </c>
      <c r="S51" s="6">
        <v>0.31818181818181818</v>
      </c>
      <c r="T51" s="6">
        <v>0.29545454545454541</v>
      </c>
      <c r="U51" s="6">
        <v>0.90909090909090895</v>
      </c>
      <c r="V51" s="6">
        <v>1.6363636363636362</v>
      </c>
      <c r="W51" s="7"/>
      <c r="X51" s="5" t="s">
        <v>406</v>
      </c>
      <c r="Y51" s="9" t="s">
        <v>572</v>
      </c>
      <c r="Z51" s="5" t="s">
        <v>580</v>
      </c>
      <c r="AA51" s="91" t="s">
        <v>668</v>
      </c>
      <c r="AB51" s="93" t="s">
        <v>146</v>
      </c>
      <c r="AC51" s="92" t="s">
        <v>245</v>
      </c>
      <c r="AD51" s="91">
        <v>38883</v>
      </c>
    </row>
    <row r="52" spans="1:30" ht="15.6" x14ac:dyDescent="0.3">
      <c r="A52" s="5" t="s">
        <v>267</v>
      </c>
      <c r="B52" s="5" t="s">
        <v>268</v>
      </c>
      <c r="C52" s="5" t="s">
        <v>269</v>
      </c>
      <c r="D52" s="5" t="s">
        <v>169</v>
      </c>
      <c r="E52" s="8">
        <v>85132</v>
      </c>
      <c r="F52" s="5" t="s">
        <v>170</v>
      </c>
      <c r="G52" s="5" t="s">
        <v>191</v>
      </c>
      <c r="H52" s="5" t="s">
        <v>4</v>
      </c>
      <c r="I52" s="94">
        <v>12.340782122905001</v>
      </c>
      <c r="J52" s="6">
        <v>195.70454545454547</v>
      </c>
      <c r="K52" s="6">
        <v>21.886363636363644</v>
      </c>
      <c r="L52" s="6">
        <v>1.0227272727272723</v>
      </c>
      <c r="M52" s="6">
        <v>0.74999999999999978</v>
      </c>
      <c r="N52" s="6">
        <v>20.613636363636378</v>
      </c>
      <c r="O52" s="6">
        <v>198.74999999999994</v>
      </c>
      <c r="P52" s="6">
        <v>0</v>
      </c>
      <c r="Q52" s="6">
        <v>0</v>
      </c>
      <c r="R52" s="6">
        <v>1.4545454545454544</v>
      </c>
      <c r="S52" s="6">
        <v>3.8863636363636367</v>
      </c>
      <c r="T52" s="6">
        <v>8.1363636363636349</v>
      </c>
      <c r="U52" s="6">
        <v>205.88636363636363</v>
      </c>
      <c r="V52" s="6">
        <v>56.772727272727344</v>
      </c>
      <c r="W52" s="7">
        <v>392</v>
      </c>
      <c r="X52" s="5" t="s">
        <v>146</v>
      </c>
      <c r="Y52" s="9" t="s">
        <v>575</v>
      </c>
      <c r="Z52" s="5" t="s">
        <v>148</v>
      </c>
      <c r="AA52" s="91" t="s">
        <v>667</v>
      </c>
      <c r="AB52" s="93" t="s">
        <v>146</v>
      </c>
      <c r="AC52" s="92" t="s">
        <v>575</v>
      </c>
      <c r="AD52" s="91">
        <v>44294</v>
      </c>
    </row>
    <row r="53" spans="1:30" ht="15.6" x14ac:dyDescent="0.3">
      <c r="A53" s="5" t="s">
        <v>12</v>
      </c>
      <c r="B53" s="5" t="s">
        <v>268</v>
      </c>
      <c r="C53" s="5" t="s">
        <v>269</v>
      </c>
      <c r="D53" s="5" t="s">
        <v>169</v>
      </c>
      <c r="E53" s="8">
        <v>85232</v>
      </c>
      <c r="F53" s="5" t="s">
        <v>170</v>
      </c>
      <c r="G53" s="5" t="s">
        <v>286</v>
      </c>
      <c r="H53" s="5" t="s">
        <v>4</v>
      </c>
      <c r="I53" s="94">
        <v>1.1368788142981701</v>
      </c>
      <c r="J53" s="6">
        <v>24.363636363636598</v>
      </c>
      <c r="K53" s="6">
        <v>8.0681818181818077</v>
      </c>
      <c r="L53" s="6">
        <v>4.9090909090909136</v>
      </c>
      <c r="M53" s="6">
        <v>2.3409090909090913</v>
      </c>
      <c r="N53" s="6">
        <v>11.227272727272759</v>
      </c>
      <c r="O53" s="6">
        <v>26.136363636363903</v>
      </c>
      <c r="P53" s="6">
        <v>0.49999999999999989</v>
      </c>
      <c r="Q53" s="6">
        <v>1.8181818181818172</v>
      </c>
      <c r="R53" s="6">
        <v>1.5909090909090899</v>
      </c>
      <c r="S53" s="6">
        <v>1.181818181818181</v>
      </c>
      <c r="T53" s="6">
        <v>1.1590909090909085</v>
      </c>
      <c r="U53" s="6">
        <v>35.750000000000512</v>
      </c>
      <c r="V53" s="6">
        <v>16.045454545454618</v>
      </c>
      <c r="W53" s="7"/>
      <c r="X53" s="5" t="s">
        <v>168</v>
      </c>
      <c r="Y53" s="9"/>
      <c r="Z53" s="5"/>
      <c r="AA53" s="91"/>
      <c r="AB53" s="93" t="s">
        <v>168</v>
      </c>
      <c r="AC53" s="92"/>
      <c r="AD53" s="91"/>
    </row>
    <row r="54" spans="1:30" ht="15.6" x14ac:dyDescent="0.3">
      <c r="A54" s="5" t="s">
        <v>472</v>
      </c>
      <c r="B54" s="5" t="s">
        <v>473</v>
      </c>
      <c r="C54" s="5" t="s">
        <v>474</v>
      </c>
      <c r="D54" s="5" t="s">
        <v>153</v>
      </c>
      <c r="E54" s="8">
        <v>30161</v>
      </c>
      <c r="F54" s="5" t="s">
        <v>154</v>
      </c>
      <c r="G54" s="5" t="s">
        <v>208</v>
      </c>
      <c r="H54" s="5" t="s">
        <v>145</v>
      </c>
      <c r="I54" s="94">
        <v>3</v>
      </c>
      <c r="J54" s="6">
        <v>4.5454545454545456E-2</v>
      </c>
      <c r="K54" s="6">
        <v>0.36363636363636365</v>
      </c>
      <c r="L54" s="6">
        <v>0.11363636363636365</v>
      </c>
      <c r="M54" s="6">
        <v>0</v>
      </c>
      <c r="N54" s="6">
        <v>0.25</v>
      </c>
      <c r="O54" s="6">
        <v>0.25</v>
      </c>
      <c r="P54" s="6">
        <v>0</v>
      </c>
      <c r="Q54" s="6">
        <v>2.2727272727272728E-2</v>
      </c>
      <c r="R54" s="6">
        <v>0</v>
      </c>
      <c r="S54" s="6">
        <v>6.8181818181818177E-2</v>
      </c>
      <c r="T54" s="6">
        <v>0</v>
      </c>
      <c r="U54" s="6">
        <v>0.45454545454545459</v>
      </c>
      <c r="V54" s="6">
        <v>0.20454545454545453</v>
      </c>
      <c r="W54" s="7"/>
      <c r="X54" s="5" t="s">
        <v>168</v>
      </c>
      <c r="Y54" s="9"/>
      <c r="Z54" s="5"/>
      <c r="AA54" s="91"/>
      <c r="AB54" s="93" t="s">
        <v>168</v>
      </c>
      <c r="AC54" s="92"/>
      <c r="AD54" s="91"/>
    </row>
    <row r="55" spans="1:30" ht="15.6" x14ac:dyDescent="0.3">
      <c r="A55" s="5" t="s">
        <v>666</v>
      </c>
      <c r="B55" s="5" t="s">
        <v>665</v>
      </c>
      <c r="C55" s="5" t="s">
        <v>242</v>
      </c>
      <c r="D55" s="5" t="s">
        <v>153</v>
      </c>
      <c r="E55" s="8">
        <v>31537</v>
      </c>
      <c r="F55" s="5" t="s">
        <v>154</v>
      </c>
      <c r="G55" s="5" t="s">
        <v>144</v>
      </c>
      <c r="H55" s="5" t="s">
        <v>4</v>
      </c>
      <c r="I55" s="94">
        <v>33.1111111111111</v>
      </c>
      <c r="J55" s="6">
        <v>419.81818181818272</v>
      </c>
      <c r="K55" s="6">
        <v>31.954545454545464</v>
      </c>
      <c r="L55" s="6">
        <v>28.659090909090914</v>
      </c>
      <c r="M55" s="6">
        <v>38.000000000000014</v>
      </c>
      <c r="N55" s="6">
        <v>84.340909090909136</v>
      </c>
      <c r="O55" s="6">
        <v>434.0909090909098</v>
      </c>
      <c r="P55" s="6">
        <v>0</v>
      </c>
      <c r="Q55" s="6">
        <v>0</v>
      </c>
      <c r="R55" s="6">
        <v>22.659090909090907</v>
      </c>
      <c r="S55" s="6">
        <v>16.522727272727273</v>
      </c>
      <c r="T55" s="6">
        <v>13.681818181818183</v>
      </c>
      <c r="U55" s="6">
        <v>465.56818181818204</v>
      </c>
      <c r="V55" s="6">
        <v>121.86363636363646</v>
      </c>
      <c r="W55" s="7">
        <v>544</v>
      </c>
      <c r="X55" s="5" t="s">
        <v>146</v>
      </c>
      <c r="Y55" s="9" t="s">
        <v>575</v>
      </c>
      <c r="Z55" s="5" t="s">
        <v>148</v>
      </c>
      <c r="AA55" s="91" t="s">
        <v>664</v>
      </c>
      <c r="AB55" s="93" t="s">
        <v>146</v>
      </c>
      <c r="AC55" s="92" t="s">
        <v>575</v>
      </c>
      <c r="AD55" s="91">
        <v>44405</v>
      </c>
    </row>
    <row r="56" spans="1:30" ht="15.6" x14ac:dyDescent="0.3">
      <c r="A56" s="5" t="s">
        <v>377</v>
      </c>
      <c r="B56" s="5" t="s">
        <v>378</v>
      </c>
      <c r="C56" s="5" t="s">
        <v>379</v>
      </c>
      <c r="D56" s="5" t="s">
        <v>279</v>
      </c>
      <c r="E56" s="8">
        <v>56007</v>
      </c>
      <c r="F56" s="5" t="s">
        <v>280</v>
      </c>
      <c r="G56" s="5" t="s">
        <v>167</v>
      </c>
      <c r="H56" s="5" t="s">
        <v>4</v>
      </c>
      <c r="I56" s="94">
        <v>142</v>
      </c>
      <c r="J56" s="6">
        <v>0.27272727272727271</v>
      </c>
      <c r="K56" s="6">
        <v>4.7272727272727275</v>
      </c>
      <c r="L56" s="6">
        <v>10.204545454545453</v>
      </c>
      <c r="M56" s="6">
        <v>3.8636363636363638</v>
      </c>
      <c r="N56" s="6">
        <v>15.750000000000002</v>
      </c>
      <c r="O56" s="6">
        <v>3.3181818181818179</v>
      </c>
      <c r="P56" s="6">
        <v>0</v>
      </c>
      <c r="Q56" s="6">
        <v>0</v>
      </c>
      <c r="R56" s="6">
        <v>6.9318181818181817</v>
      </c>
      <c r="S56" s="6">
        <v>3.1363636363636362</v>
      </c>
      <c r="T56" s="6">
        <v>2.4772727272727271</v>
      </c>
      <c r="U56" s="6">
        <v>6.5227272727272725</v>
      </c>
      <c r="V56" s="6">
        <v>14.795454545454549</v>
      </c>
      <c r="W56" s="7"/>
      <c r="X56" s="5" t="s">
        <v>146</v>
      </c>
      <c r="Y56" s="9" t="s">
        <v>572</v>
      </c>
      <c r="Z56" s="5" t="s">
        <v>256</v>
      </c>
      <c r="AA56" s="91" t="s">
        <v>663</v>
      </c>
      <c r="AB56" s="93" t="s">
        <v>146</v>
      </c>
      <c r="AC56" s="92" t="s">
        <v>572</v>
      </c>
      <c r="AD56" s="91">
        <v>44302</v>
      </c>
    </row>
    <row r="57" spans="1:30" ht="15.6" x14ac:dyDescent="0.3">
      <c r="A57" s="5" t="s">
        <v>38</v>
      </c>
      <c r="B57" s="5" t="s">
        <v>383</v>
      </c>
      <c r="C57" s="5" t="s">
        <v>384</v>
      </c>
      <c r="D57" s="5" t="s">
        <v>312</v>
      </c>
      <c r="E57" s="8">
        <v>44024</v>
      </c>
      <c r="F57" s="5" t="s">
        <v>313</v>
      </c>
      <c r="G57" s="5" t="s">
        <v>208</v>
      </c>
      <c r="H57" s="5" t="s">
        <v>145</v>
      </c>
      <c r="I57" s="94"/>
      <c r="J57" s="6">
        <v>4.8863636363636367</v>
      </c>
      <c r="K57" s="6">
        <v>2.5454545454545454</v>
      </c>
      <c r="L57" s="6">
        <v>4.5681818181818175</v>
      </c>
      <c r="M57" s="6">
        <v>2.4090909090909092</v>
      </c>
      <c r="N57" s="6">
        <v>7.4318181818181825</v>
      </c>
      <c r="O57" s="6">
        <v>4.6818181818181825</v>
      </c>
      <c r="P57" s="6">
        <v>1</v>
      </c>
      <c r="Q57" s="6">
        <v>1.2954545454545454</v>
      </c>
      <c r="R57" s="6">
        <v>3.5227272727272725</v>
      </c>
      <c r="S57" s="6">
        <v>1</v>
      </c>
      <c r="T57" s="6">
        <v>1.7954545454545454</v>
      </c>
      <c r="U57" s="6">
        <v>8.0909090909090917</v>
      </c>
      <c r="V57" s="6">
        <v>11.136363636363635</v>
      </c>
      <c r="W57" s="7"/>
      <c r="X57" s="5" t="s">
        <v>146</v>
      </c>
      <c r="Y57" s="9" t="s">
        <v>245</v>
      </c>
      <c r="Z57" s="5" t="s">
        <v>256</v>
      </c>
      <c r="AA57" s="91" t="s">
        <v>662</v>
      </c>
      <c r="AB57" s="93" t="s">
        <v>146</v>
      </c>
      <c r="AC57" s="92" t="s">
        <v>245</v>
      </c>
      <c r="AD57" s="91">
        <v>44175</v>
      </c>
    </row>
    <row r="58" spans="1:30" ht="15.6" x14ac:dyDescent="0.3">
      <c r="A58" s="5" t="s">
        <v>661</v>
      </c>
      <c r="B58" s="5" t="s">
        <v>660</v>
      </c>
      <c r="C58" s="5" t="s">
        <v>659</v>
      </c>
      <c r="D58" s="5" t="s">
        <v>142</v>
      </c>
      <c r="E58" s="8">
        <v>93250</v>
      </c>
      <c r="F58" s="5" t="s">
        <v>272</v>
      </c>
      <c r="G58" s="5" t="s">
        <v>159</v>
      </c>
      <c r="H58" s="5" t="s">
        <v>145</v>
      </c>
      <c r="I58" s="94">
        <v>52.7222222222222</v>
      </c>
      <c r="J58" s="6">
        <v>0</v>
      </c>
      <c r="K58" s="6">
        <v>0</v>
      </c>
      <c r="L58" s="6">
        <v>42.93181818181818</v>
      </c>
      <c r="M58" s="6">
        <v>101.02272727272731</v>
      </c>
      <c r="N58" s="6">
        <v>140.95454545454547</v>
      </c>
      <c r="O58" s="6">
        <v>3</v>
      </c>
      <c r="P58" s="6">
        <v>0</v>
      </c>
      <c r="Q58" s="6">
        <v>0</v>
      </c>
      <c r="R58" s="6">
        <v>115.54545454545455</v>
      </c>
      <c r="S58" s="6">
        <v>1.2272727272727271</v>
      </c>
      <c r="T58" s="6">
        <v>1.1590909090909092</v>
      </c>
      <c r="U58" s="6">
        <v>26.02272727272727</v>
      </c>
      <c r="V58" s="6">
        <v>115.52272727272732</v>
      </c>
      <c r="W58" s="7">
        <v>560</v>
      </c>
      <c r="X58" s="5" t="s">
        <v>146</v>
      </c>
      <c r="Y58" s="9" t="s">
        <v>575</v>
      </c>
      <c r="Z58" s="5" t="s">
        <v>148</v>
      </c>
      <c r="AA58" s="91" t="s">
        <v>573</v>
      </c>
      <c r="AB58" s="93" t="s">
        <v>146</v>
      </c>
      <c r="AC58" s="92" t="s">
        <v>575</v>
      </c>
      <c r="AD58" s="91">
        <v>44272</v>
      </c>
    </row>
    <row r="59" spans="1:30" ht="15.6" x14ac:dyDescent="0.3">
      <c r="A59" s="5" t="s">
        <v>41</v>
      </c>
      <c r="B59" s="5" t="s">
        <v>423</v>
      </c>
      <c r="C59" s="5" t="s">
        <v>424</v>
      </c>
      <c r="D59" s="5" t="s">
        <v>425</v>
      </c>
      <c r="E59" s="8">
        <v>939</v>
      </c>
      <c r="F59" s="5" t="s">
        <v>27</v>
      </c>
      <c r="G59" s="5" t="s">
        <v>393</v>
      </c>
      <c r="H59" s="5" t="s">
        <v>145</v>
      </c>
      <c r="I59" s="94">
        <v>12.133333333333301</v>
      </c>
      <c r="J59" s="6">
        <v>0</v>
      </c>
      <c r="K59" s="6">
        <v>1.75</v>
      </c>
      <c r="L59" s="6">
        <v>3.7045454545454546</v>
      </c>
      <c r="M59" s="6">
        <v>1.0454545454545454</v>
      </c>
      <c r="N59" s="6">
        <v>4.0909090909090908</v>
      </c>
      <c r="O59" s="6">
        <v>1.6818181818181819</v>
      </c>
      <c r="P59" s="6">
        <v>0.52272727272727271</v>
      </c>
      <c r="Q59" s="6">
        <v>0.20454545454545453</v>
      </c>
      <c r="R59" s="6">
        <v>1.6818181818181819</v>
      </c>
      <c r="S59" s="6">
        <v>0.13636363636363635</v>
      </c>
      <c r="T59" s="6">
        <v>0</v>
      </c>
      <c r="U59" s="6">
        <v>4.6818181818181825</v>
      </c>
      <c r="V59" s="6">
        <v>5.3863636363636349</v>
      </c>
      <c r="W59" s="7"/>
      <c r="X59" s="5" t="s">
        <v>146</v>
      </c>
      <c r="Y59" s="9" t="s">
        <v>245</v>
      </c>
      <c r="Z59" s="5" t="s">
        <v>246</v>
      </c>
      <c r="AA59" s="91" t="s">
        <v>426</v>
      </c>
      <c r="AB59" s="93" t="s">
        <v>146</v>
      </c>
      <c r="AC59" s="92" t="s">
        <v>245</v>
      </c>
      <c r="AD59" s="91">
        <v>39241</v>
      </c>
    </row>
    <row r="60" spans="1:30" ht="15.6" x14ac:dyDescent="0.3">
      <c r="A60" s="5" t="s">
        <v>348</v>
      </c>
      <c r="B60" s="5" t="s">
        <v>349</v>
      </c>
      <c r="C60" s="5" t="s">
        <v>350</v>
      </c>
      <c r="D60" s="5" t="s">
        <v>351</v>
      </c>
      <c r="E60" s="8">
        <v>68801</v>
      </c>
      <c r="F60" s="5" t="s">
        <v>280</v>
      </c>
      <c r="G60" s="5" t="s">
        <v>167</v>
      </c>
      <c r="H60" s="5" t="s">
        <v>145</v>
      </c>
      <c r="I60" s="94"/>
      <c r="J60" s="6">
        <v>5.1136363636363642</v>
      </c>
      <c r="K60" s="6">
        <v>2.2045454545454546</v>
      </c>
      <c r="L60" s="6">
        <v>4.9545454545454541</v>
      </c>
      <c r="M60" s="6">
        <v>0.81818181818181812</v>
      </c>
      <c r="N60" s="6">
        <v>9.954545454545455</v>
      </c>
      <c r="O60" s="6">
        <v>1.9772727272727271</v>
      </c>
      <c r="P60" s="6">
        <v>0.54545454545454541</v>
      </c>
      <c r="Q60" s="6">
        <v>0.61363636363636365</v>
      </c>
      <c r="R60" s="6">
        <v>0.95454545454545459</v>
      </c>
      <c r="S60" s="6">
        <v>3.25</v>
      </c>
      <c r="T60" s="6">
        <v>3.8409090909090908</v>
      </c>
      <c r="U60" s="6">
        <v>5.0454545454545467</v>
      </c>
      <c r="V60" s="6">
        <v>8.3181818181818201</v>
      </c>
      <c r="W60" s="7"/>
      <c r="X60" s="5" t="s">
        <v>146</v>
      </c>
      <c r="Y60" s="9" t="s">
        <v>572</v>
      </c>
      <c r="Z60" s="5" t="s">
        <v>256</v>
      </c>
      <c r="AA60" s="91" t="s">
        <v>638</v>
      </c>
      <c r="AB60" s="93" t="s">
        <v>146</v>
      </c>
      <c r="AC60" s="92" t="s">
        <v>572</v>
      </c>
      <c r="AD60" s="91">
        <v>44434</v>
      </c>
    </row>
    <row r="61" spans="1:30" ht="15.6" x14ac:dyDescent="0.3">
      <c r="A61" s="5" t="s">
        <v>658</v>
      </c>
      <c r="B61" s="5" t="s">
        <v>657</v>
      </c>
      <c r="C61" s="5" t="s">
        <v>656</v>
      </c>
      <c r="D61" s="5" t="s">
        <v>177</v>
      </c>
      <c r="E61" s="8">
        <v>39520</v>
      </c>
      <c r="F61" s="5" t="s">
        <v>166</v>
      </c>
      <c r="G61" s="5" t="s">
        <v>167</v>
      </c>
      <c r="H61" s="5" t="s">
        <v>145</v>
      </c>
      <c r="I61" s="94">
        <v>2.1418439716312099</v>
      </c>
      <c r="J61" s="6">
        <v>1.2954545454545447</v>
      </c>
      <c r="K61" s="6">
        <v>1.2727272727272723</v>
      </c>
      <c r="L61" s="6">
        <v>1.6590909090909085</v>
      </c>
      <c r="M61" s="6">
        <v>0.43181818181818188</v>
      </c>
      <c r="N61" s="6">
        <v>1.6590909090909081</v>
      </c>
      <c r="O61" s="6">
        <v>2.6818181818181812</v>
      </c>
      <c r="P61" s="6">
        <v>9.0909090909090912E-2</v>
      </c>
      <c r="Q61" s="6">
        <v>0.22727272727272727</v>
      </c>
      <c r="R61" s="6">
        <v>9.0909090909090912E-2</v>
      </c>
      <c r="S61" s="6">
        <v>6.8181818181818177E-2</v>
      </c>
      <c r="T61" s="6">
        <v>0</v>
      </c>
      <c r="U61" s="6">
        <v>4.5000000000000027</v>
      </c>
      <c r="V61" s="6">
        <v>2.75</v>
      </c>
      <c r="W61" s="7"/>
      <c r="X61" s="5" t="s">
        <v>406</v>
      </c>
      <c r="Y61" s="9" t="s">
        <v>572</v>
      </c>
      <c r="Z61" s="5" t="s">
        <v>580</v>
      </c>
      <c r="AA61" s="91" t="s">
        <v>655</v>
      </c>
      <c r="AB61" s="93" t="s">
        <v>168</v>
      </c>
      <c r="AC61" s="92"/>
      <c r="AD61" s="91"/>
    </row>
    <row r="62" spans="1:30" ht="15.6" x14ac:dyDescent="0.3">
      <c r="A62" s="5" t="s">
        <v>299</v>
      </c>
      <c r="B62" s="5" t="s">
        <v>300</v>
      </c>
      <c r="C62" s="5" t="s">
        <v>40</v>
      </c>
      <c r="D62" s="5" t="s">
        <v>301</v>
      </c>
      <c r="E62" s="8">
        <v>89015</v>
      </c>
      <c r="F62" s="5" t="s">
        <v>302</v>
      </c>
      <c r="G62" s="5" t="s">
        <v>208</v>
      </c>
      <c r="H62" s="5" t="s">
        <v>145</v>
      </c>
      <c r="I62" s="94">
        <v>41.8</v>
      </c>
      <c r="J62" s="6">
        <v>8.3863636363636367</v>
      </c>
      <c r="K62" s="6">
        <v>15.636363636363635</v>
      </c>
      <c r="L62" s="6">
        <v>27.97727272727273</v>
      </c>
      <c r="M62" s="6">
        <v>24.409090909090903</v>
      </c>
      <c r="N62" s="6">
        <v>60.63636363636364</v>
      </c>
      <c r="O62" s="6">
        <v>8.8636363636363633</v>
      </c>
      <c r="P62" s="6">
        <v>5.795454545454545</v>
      </c>
      <c r="Q62" s="6">
        <v>1.1136363636363635</v>
      </c>
      <c r="R62" s="6">
        <v>19.954545454545453</v>
      </c>
      <c r="S62" s="6">
        <v>23.181818181818176</v>
      </c>
      <c r="T62" s="6">
        <v>14.272727272727273</v>
      </c>
      <c r="U62" s="6">
        <v>19</v>
      </c>
      <c r="V62" s="6">
        <v>47.840909090909108</v>
      </c>
      <c r="W62" s="7"/>
      <c r="X62" s="5" t="s">
        <v>146</v>
      </c>
      <c r="Y62" s="9" t="s">
        <v>245</v>
      </c>
      <c r="Z62" s="5" t="s">
        <v>256</v>
      </c>
      <c r="AA62" s="91" t="s">
        <v>584</v>
      </c>
      <c r="AB62" s="93" t="s">
        <v>146</v>
      </c>
      <c r="AC62" s="92" t="s">
        <v>245</v>
      </c>
      <c r="AD62" s="91">
        <v>44399</v>
      </c>
    </row>
    <row r="63" spans="1:30" ht="15.6" x14ac:dyDescent="0.3">
      <c r="A63" s="5" t="s">
        <v>389</v>
      </c>
      <c r="B63" s="5" t="s">
        <v>390</v>
      </c>
      <c r="C63" s="5" t="s">
        <v>391</v>
      </c>
      <c r="D63" s="5" t="s">
        <v>392</v>
      </c>
      <c r="E63" s="8">
        <v>96819</v>
      </c>
      <c r="F63" s="5" t="s">
        <v>272</v>
      </c>
      <c r="G63" s="5" t="s">
        <v>393</v>
      </c>
      <c r="H63" s="5" t="s">
        <v>145</v>
      </c>
      <c r="I63" s="94"/>
      <c r="J63" s="6">
        <v>1.3181818181818181</v>
      </c>
      <c r="K63" s="6">
        <v>2.0909090909090908</v>
      </c>
      <c r="L63" s="6">
        <v>9.0909090909090912E-2</v>
      </c>
      <c r="M63" s="6">
        <v>1</v>
      </c>
      <c r="N63" s="6">
        <v>3.1363636363636362</v>
      </c>
      <c r="O63" s="6">
        <v>0.88636363636363635</v>
      </c>
      <c r="P63" s="6">
        <v>0</v>
      </c>
      <c r="Q63" s="6">
        <v>0.47727272727272729</v>
      </c>
      <c r="R63" s="6">
        <v>3.1363636363636362</v>
      </c>
      <c r="S63" s="6">
        <v>0</v>
      </c>
      <c r="T63" s="6">
        <v>0</v>
      </c>
      <c r="U63" s="6">
        <v>1.3636363636363635</v>
      </c>
      <c r="V63" s="6">
        <v>4.4772727272727275</v>
      </c>
      <c r="W63" s="7"/>
      <c r="X63" s="5" t="s">
        <v>168</v>
      </c>
      <c r="Y63" s="9"/>
      <c r="Z63" s="5"/>
      <c r="AA63" s="91"/>
      <c r="AB63" s="93" t="s">
        <v>168</v>
      </c>
      <c r="AC63" s="92"/>
      <c r="AD63" s="91"/>
    </row>
    <row r="64" spans="1:30" ht="15.6" x14ac:dyDescent="0.3">
      <c r="A64" s="5" t="s">
        <v>213</v>
      </c>
      <c r="B64" s="5" t="s">
        <v>214</v>
      </c>
      <c r="C64" s="5" t="s">
        <v>215</v>
      </c>
      <c r="D64" s="5" t="s">
        <v>157</v>
      </c>
      <c r="E64" s="8">
        <v>77032</v>
      </c>
      <c r="F64" s="5" t="s">
        <v>200</v>
      </c>
      <c r="G64" s="5" t="s">
        <v>159</v>
      </c>
      <c r="H64" s="5" t="s">
        <v>145</v>
      </c>
      <c r="I64" s="94">
        <v>67.9583333333333</v>
      </c>
      <c r="J64" s="6">
        <v>474.11363636363649</v>
      </c>
      <c r="K64" s="6">
        <v>18.454545454545457</v>
      </c>
      <c r="L64" s="6">
        <v>0</v>
      </c>
      <c r="M64" s="6">
        <v>0</v>
      </c>
      <c r="N64" s="6">
        <v>0</v>
      </c>
      <c r="O64" s="6">
        <v>404.47727272727309</v>
      </c>
      <c r="P64" s="6">
        <v>0</v>
      </c>
      <c r="Q64" s="6">
        <v>88.090909090909165</v>
      </c>
      <c r="R64" s="6">
        <v>0</v>
      </c>
      <c r="S64" s="6">
        <v>0</v>
      </c>
      <c r="T64" s="6">
        <v>0</v>
      </c>
      <c r="U64" s="6">
        <v>492.56818181818159</v>
      </c>
      <c r="V64" s="6">
        <v>395.38636363636448</v>
      </c>
      <c r="W64" s="7">
        <v>750</v>
      </c>
      <c r="X64" s="5" t="s">
        <v>146</v>
      </c>
      <c r="Y64" s="9" t="s">
        <v>575</v>
      </c>
      <c r="Z64" s="5" t="s">
        <v>148</v>
      </c>
      <c r="AA64" s="91" t="s">
        <v>654</v>
      </c>
      <c r="AB64" s="93" t="s">
        <v>146</v>
      </c>
      <c r="AC64" s="92" t="s">
        <v>575</v>
      </c>
      <c r="AD64" s="91">
        <v>44202</v>
      </c>
    </row>
    <row r="65" spans="1:30" ht="15.6" x14ac:dyDescent="0.3">
      <c r="A65" s="5" t="s">
        <v>262</v>
      </c>
      <c r="B65" s="5" t="s">
        <v>263</v>
      </c>
      <c r="C65" s="5" t="s">
        <v>264</v>
      </c>
      <c r="D65" s="5" t="s">
        <v>157</v>
      </c>
      <c r="E65" s="8">
        <v>77351</v>
      </c>
      <c r="F65" s="5" t="s">
        <v>200</v>
      </c>
      <c r="G65" s="5" t="s">
        <v>167</v>
      </c>
      <c r="H65" s="5" t="s">
        <v>4</v>
      </c>
      <c r="I65" s="94">
        <v>21.2173913043478</v>
      </c>
      <c r="J65" s="6">
        <v>692.93181818181608</v>
      </c>
      <c r="K65" s="6">
        <v>2.1363636363636362</v>
      </c>
      <c r="L65" s="6">
        <v>0.29545454545454547</v>
      </c>
      <c r="M65" s="6">
        <v>0</v>
      </c>
      <c r="N65" s="6">
        <v>6.295454545454545</v>
      </c>
      <c r="O65" s="6">
        <v>689.06818181817982</v>
      </c>
      <c r="P65" s="6">
        <v>0</v>
      </c>
      <c r="Q65" s="6">
        <v>0</v>
      </c>
      <c r="R65" s="6">
        <v>0.54545454545454541</v>
      </c>
      <c r="S65" s="6">
        <v>0</v>
      </c>
      <c r="T65" s="6">
        <v>5.75</v>
      </c>
      <c r="U65" s="6">
        <v>689.06818181817982</v>
      </c>
      <c r="V65" s="6">
        <v>276.11363636363495</v>
      </c>
      <c r="W65" s="7">
        <v>350</v>
      </c>
      <c r="X65" s="5" t="s">
        <v>146</v>
      </c>
      <c r="Y65" s="9" t="s">
        <v>572</v>
      </c>
      <c r="Z65" s="5" t="s">
        <v>256</v>
      </c>
      <c r="AA65" s="91" t="s">
        <v>654</v>
      </c>
      <c r="AB65" s="93" t="s">
        <v>146</v>
      </c>
      <c r="AC65" s="92" t="s">
        <v>572</v>
      </c>
      <c r="AD65" s="91">
        <v>44202</v>
      </c>
    </row>
    <row r="66" spans="1:30" ht="15.6" customHeight="1" x14ac:dyDescent="0.3">
      <c r="A66" s="5" t="s">
        <v>229</v>
      </c>
      <c r="B66" s="5" t="s">
        <v>230</v>
      </c>
      <c r="C66" s="5" t="s">
        <v>231</v>
      </c>
      <c r="D66" s="5" t="s">
        <v>232</v>
      </c>
      <c r="E66" s="8">
        <v>23901</v>
      </c>
      <c r="F66" s="5" t="s">
        <v>233</v>
      </c>
      <c r="G66" s="5" t="s">
        <v>144</v>
      </c>
      <c r="H66" s="5" t="s">
        <v>4</v>
      </c>
      <c r="I66" s="94">
        <v>638</v>
      </c>
      <c r="J66" s="6">
        <v>0</v>
      </c>
      <c r="K66" s="6">
        <v>0</v>
      </c>
      <c r="L66" s="6">
        <v>8</v>
      </c>
      <c r="M66" s="6">
        <v>11.295454545454545</v>
      </c>
      <c r="N66" s="6">
        <v>17.909090909090907</v>
      </c>
      <c r="O66" s="6">
        <v>1.3863636363636362</v>
      </c>
      <c r="P66" s="6">
        <v>0</v>
      </c>
      <c r="Q66" s="6">
        <v>0</v>
      </c>
      <c r="R66" s="6">
        <v>11</v>
      </c>
      <c r="S66" s="6">
        <v>2</v>
      </c>
      <c r="T66" s="6">
        <v>3</v>
      </c>
      <c r="U66" s="6">
        <v>3.2954545454545454</v>
      </c>
      <c r="V66" s="6">
        <v>11.295454545454545</v>
      </c>
      <c r="W66" s="7">
        <v>500</v>
      </c>
      <c r="X66" s="5" t="s">
        <v>146</v>
      </c>
      <c r="Y66" s="9" t="s">
        <v>575</v>
      </c>
      <c r="Z66" s="5" t="s">
        <v>148</v>
      </c>
      <c r="AA66" s="91" t="s">
        <v>590</v>
      </c>
      <c r="AB66" s="93" t="s">
        <v>146</v>
      </c>
      <c r="AC66" s="92" t="s">
        <v>575</v>
      </c>
      <c r="AD66" s="91">
        <v>44251</v>
      </c>
    </row>
    <row r="67" spans="1:30" ht="14.1" customHeight="1" x14ac:dyDescent="0.3">
      <c r="A67" s="5" t="s">
        <v>221</v>
      </c>
      <c r="B67" s="5" t="s">
        <v>222</v>
      </c>
      <c r="C67" s="5" t="s">
        <v>223</v>
      </c>
      <c r="D67" s="5" t="s">
        <v>142</v>
      </c>
      <c r="E67" s="8">
        <v>92231</v>
      </c>
      <c r="F67" s="5" t="s">
        <v>181</v>
      </c>
      <c r="G67" s="5" t="s">
        <v>159</v>
      </c>
      <c r="H67" s="5" t="s">
        <v>145</v>
      </c>
      <c r="I67" s="94">
        <v>17.9166666666667</v>
      </c>
      <c r="J67" s="6">
        <v>563.47727272727616</v>
      </c>
      <c r="K67" s="6">
        <v>6.9318181818181808</v>
      </c>
      <c r="L67" s="6">
        <v>9.3636363636363651</v>
      </c>
      <c r="M67" s="6">
        <v>18.886363636363637</v>
      </c>
      <c r="N67" s="6">
        <v>43.386363636363633</v>
      </c>
      <c r="O67" s="6">
        <v>555.18181818182154</v>
      </c>
      <c r="P67" s="6">
        <v>4.5454545454545456E-2</v>
      </c>
      <c r="Q67" s="6">
        <v>4.5454545454545456E-2</v>
      </c>
      <c r="R67" s="6">
        <v>33.386363636363633</v>
      </c>
      <c r="S67" s="6">
        <v>4.6363636363636376</v>
      </c>
      <c r="T67" s="6">
        <v>3.8636363636363638</v>
      </c>
      <c r="U67" s="6">
        <v>556.77272727273066</v>
      </c>
      <c r="V67" s="6">
        <v>360.13636363636272</v>
      </c>
      <c r="W67" s="7">
        <v>640</v>
      </c>
      <c r="X67" s="5" t="s">
        <v>146</v>
      </c>
      <c r="Y67" s="9" t="s">
        <v>575</v>
      </c>
      <c r="Z67" s="5" t="s">
        <v>148</v>
      </c>
      <c r="AA67" s="91" t="s">
        <v>612</v>
      </c>
      <c r="AB67" s="93" t="s">
        <v>146</v>
      </c>
      <c r="AC67" s="92" t="s">
        <v>575</v>
      </c>
      <c r="AD67" s="91">
        <v>44209</v>
      </c>
    </row>
    <row r="68" spans="1:30" ht="15.6" x14ac:dyDescent="0.3">
      <c r="A68" s="5" t="s">
        <v>18</v>
      </c>
      <c r="B68" s="5" t="s">
        <v>204</v>
      </c>
      <c r="C68" s="5" t="s">
        <v>205</v>
      </c>
      <c r="D68" s="5" t="s">
        <v>165</v>
      </c>
      <c r="E68" s="8">
        <v>71251</v>
      </c>
      <c r="F68" s="5" t="s">
        <v>166</v>
      </c>
      <c r="G68" s="5" t="s">
        <v>144</v>
      </c>
      <c r="H68" s="5" t="s">
        <v>145</v>
      </c>
      <c r="I68" s="94">
        <v>39.484210526315799</v>
      </c>
      <c r="J68" s="6">
        <v>877.31818181818142</v>
      </c>
      <c r="K68" s="6">
        <v>0</v>
      </c>
      <c r="L68" s="6">
        <v>1.6818181818181817</v>
      </c>
      <c r="M68" s="6">
        <v>0</v>
      </c>
      <c r="N68" s="6">
        <v>15.090909090909092</v>
      </c>
      <c r="O68" s="6">
        <v>863.90909090909076</v>
      </c>
      <c r="P68" s="6">
        <v>0</v>
      </c>
      <c r="Q68" s="6">
        <v>0</v>
      </c>
      <c r="R68" s="6">
        <v>5.8181818181818183</v>
      </c>
      <c r="S68" s="6">
        <v>1.5227272727272727</v>
      </c>
      <c r="T68" s="6">
        <v>7.6590909090909092</v>
      </c>
      <c r="U68" s="6">
        <v>863.99999999999977</v>
      </c>
      <c r="V68" s="6">
        <v>609.25000000000216</v>
      </c>
      <c r="W68" s="7">
        <v>751</v>
      </c>
      <c r="X68" s="5" t="s">
        <v>146</v>
      </c>
      <c r="Y68" s="9" t="s">
        <v>575</v>
      </c>
      <c r="Z68" s="5" t="s">
        <v>148</v>
      </c>
      <c r="AA68" s="91" t="s">
        <v>653</v>
      </c>
      <c r="AB68" s="93" t="s">
        <v>146</v>
      </c>
      <c r="AC68" s="92" t="s">
        <v>575</v>
      </c>
      <c r="AD68" s="91">
        <v>44155</v>
      </c>
    </row>
    <row r="69" spans="1:30" ht="15.6" x14ac:dyDescent="0.3">
      <c r="A69" s="5" t="s">
        <v>652</v>
      </c>
      <c r="B69" s="5" t="s">
        <v>651</v>
      </c>
      <c r="C69" s="5" t="s">
        <v>199</v>
      </c>
      <c r="D69" s="5" t="s">
        <v>157</v>
      </c>
      <c r="E69" s="8">
        <v>77301</v>
      </c>
      <c r="F69" s="5" t="s">
        <v>200</v>
      </c>
      <c r="G69" s="5" t="s">
        <v>167</v>
      </c>
      <c r="H69" s="5" t="s">
        <v>145</v>
      </c>
      <c r="I69" s="94">
        <v>16.8</v>
      </c>
      <c r="J69" s="6">
        <v>325.52272727272566</v>
      </c>
      <c r="K69" s="6">
        <v>2.5909090909090908</v>
      </c>
      <c r="L69" s="6">
        <v>0</v>
      </c>
      <c r="M69" s="6">
        <v>0</v>
      </c>
      <c r="N69" s="6">
        <v>4.2727272727272725</v>
      </c>
      <c r="O69" s="6">
        <v>323.84090909090753</v>
      </c>
      <c r="P69" s="6">
        <v>0</v>
      </c>
      <c r="Q69" s="6">
        <v>0</v>
      </c>
      <c r="R69" s="6">
        <v>1.1363636363636362</v>
      </c>
      <c r="S69" s="6">
        <v>1</v>
      </c>
      <c r="T69" s="6">
        <v>2.1363636363636362</v>
      </c>
      <c r="U69" s="6">
        <v>323.84090909090753</v>
      </c>
      <c r="V69" s="6">
        <v>142.15909090909119</v>
      </c>
      <c r="W69" s="7"/>
      <c r="X69" s="5" t="s">
        <v>146</v>
      </c>
      <c r="Y69" s="9" t="s">
        <v>572</v>
      </c>
      <c r="Z69" s="5" t="s">
        <v>256</v>
      </c>
      <c r="AA69" s="91" t="s">
        <v>595</v>
      </c>
      <c r="AB69" s="93" t="s">
        <v>146</v>
      </c>
      <c r="AC69" s="92" t="s">
        <v>572</v>
      </c>
      <c r="AD69" s="91">
        <v>44183</v>
      </c>
    </row>
    <row r="70" spans="1:30" ht="15.6" x14ac:dyDescent="0.3">
      <c r="A70" s="5" t="s">
        <v>374</v>
      </c>
      <c r="B70" s="5" t="s">
        <v>375</v>
      </c>
      <c r="C70" s="5" t="s">
        <v>376</v>
      </c>
      <c r="D70" s="5" t="s">
        <v>279</v>
      </c>
      <c r="E70" s="8">
        <v>56201</v>
      </c>
      <c r="F70" s="5" t="s">
        <v>280</v>
      </c>
      <c r="G70" s="5" t="s">
        <v>167</v>
      </c>
      <c r="H70" s="5" t="s">
        <v>145</v>
      </c>
      <c r="I70" s="94">
        <v>60.5</v>
      </c>
      <c r="J70" s="6">
        <v>7.8636363636363615</v>
      </c>
      <c r="K70" s="6">
        <v>8.4318181818181834</v>
      </c>
      <c r="L70" s="6">
        <v>48.522727272727266</v>
      </c>
      <c r="M70" s="6">
        <v>16.727272727272723</v>
      </c>
      <c r="N70" s="6">
        <v>47.840909090909093</v>
      </c>
      <c r="O70" s="6">
        <v>22.931818181818187</v>
      </c>
      <c r="P70" s="6">
        <v>8.1136363636363633</v>
      </c>
      <c r="Q70" s="6">
        <v>2.6590909090909087</v>
      </c>
      <c r="R70" s="6">
        <v>32.795454545454554</v>
      </c>
      <c r="S70" s="6">
        <v>10.454545454545455</v>
      </c>
      <c r="T70" s="6">
        <v>5.7045454545454541</v>
      </c>
      <c r="U70" s="6">
        <v>32.590909090909093</v>
      </c>
      <c r="V70" s="6">
        <v>65.068181818181827</v>
      </c>
      <c r="W70" s="7"/>
      <c r="X70" s="5" t="s">
        <v>146</v>
      </c>
      <c r="Y70" s="9" t="s">
        <v>245</v>
      </c>
      <c r="Z70" s="5" t="s">
        <v>246</v>
      </c>
      <c r="AA70" s="91" t="s">
        <v>603</v>
      </c>
      <c r="AB70" s="93" t="s">
        <v>146</v>
      </c>
      <c r="AC70" s="92" t="s">
        <v>245</v>
      </c>
      <c r="AD70" s="91">
        <v>44378</v>
      </c>
    </row>
    <row r="71" spans="1:30" ht="18.600000000000001" x14ac:dyDescent="0.3">
      <c r="A71" s="5" t="s">
        <v>650</v>
      </c>
      <c r="B71" s="5" t="s">
        <v>649</v>
      </c>
      <c r="C71" s="5" t="s">
        <v>308</v>
      </c>
      <c r="D71" s="5" t="s">
        <v>157</v>
      </c>
      <c r="E71" s="8">
        <v>78118</v>
      </c>
      <c r="F71" s="5" t="s">
        <v>158</v>
      </c>
      <c r="G71" s="5" t="s">
        <v>144</v>
      </c>
      <c r="H71" s="5" t="s">
        <v>145</v>
      </c>
      <c r="I71" s="94">
        <v>7.5405405405405403</v>
      </c>
      <c r="J71" s="6">
        <v>891.90909090909406</v>
      </c>
      <c r="K71" s="6">
        <v>26.704545454545446</v>
      </c>
      <c r="L71" s="6">
        <v>1</v>
      </c>
      <c r="M71" s="6">
        <v>0</v>
      </c>
      <c r="N71" s="6">
        <v>2.8636363636363638</v>
      </c>
      <c r="O71" s="6">
        <v>916.75000000000296</v>
      </c>
      <c r="P71" s="6">
        <v>0</v>
      </c>
      <c r="Q71" s="6">
        <v>0</v>
      </c>
      <c r="R71" s="6">
        <v>0</v>
      </c>
      <c r="S71" s="6">
        <v>0.25</v>
      </c>
      <c r="T71" s="6">
        <v>2.4772727272727271</v>
      </c>
      <c r="U71" s="6">
        <v>916.88636363636704</v>
      </c>
      <c r="V71" s="6">
        <v>427.56818181818107</v>
      </c>
      <c r="W71" s="7">
        <v>830</v>
      </c>
      <c r="X71" s="5" t="s">
        <v>146</v>
      </c>
      <c r="Y71" s="9" t="s">
        <v>161</v>
      </c>
      <c r="Z71" s="5"/>
      <c r="AA71" s="91" t="s">
        <v>648</v>
      </c>
      <c r="AB71" s="93" t="s">
        <v>146</v>
      </c>
      <c r="AC71" s="92" t="s">
        <v>161</v>
      </c>
      <c r="AD71" s="91">
        <v>44581</v>
      </c>
    </row>
    <row r="72" spans="1:30" ht="15.6" x14ac:dyDescent="0.3">
      <c r="A72" s="5" t="s">
        <v>339</v>
      </c>
      <c r="B72" s="5" t="s">
        <v>340</v>
      </c>
      <c r="C72" s="5" t="s">
        <v>341</v>
      </c>
      <c r="D72" s="5" t="s">
        <v>298</v>
      </c>
      <c r="E72" s="8">
        <v>74647</v>
      </c>
      <c r="F72" s="5" t="s">
        <v>32</v>
      </c>
      <c r="G72" s="5" t="s">
        <v>167</v>
      </c>
      <c r="H72" s="5" t="s">
        <v>145</v>
      </c>
      <c r="I72" s="94">
        <v>44.692307692307701</v>
      </c>
      <c r="J72" s="6">
        <v>29.727272727272695</v>
      </c>
      <c r="K72" s="6">
        <v>8.5681818181818183</v>
      </c>
      <c r="L72" s="6">
        <v>19.590909090909086</v>
      </c>
      <c r="M72" s="6">
        <v>13.40909090909091</v>
      </c>
      <c r="N72" s="6">
        <v>35.54545454545454</v>
      </c>
      <c r="O72" s="6">
        <v>35.749999999999964</v>
      </c>
      <c r="P72" s="6">
        <v>0</v>
      </c>
      <c r="Q72" s="6">
        <v>0</v>
      </c>
      <c r="R72" s="6">
        <v>19.363636363636363</v>
      </c>
      <c r="S72" s="6">
        <v>5.6818181818181817</v>
      </c>
      <c r="T72" s="6">
        <v>6.8181818181818183</v>
      </c>
      <c r="U72" s="6">
        <v>39.431818181818173</v>
      </c>
      <c r="V72" s="6">
        <v>61.95454545454551</v>
      </c>
      <c r="W72" s="7"/>
      <c r="X72" s="5" t="s">
        <v>146</v>
      </c>
      <c r="Y72" s="9" t="s">
        <v>575</v>
      </c>
      <c r="Z72" s="5" t="s">
        <v>148</v>
      </c>
      <c r="AA72" s="91" t="s">
        <v>647</v>
      </c>
      <c r="AB72" s="93" t="s">
        <v>146</v>
      </c>
      <c r="AC72" s="92" t="s">
        <v>147</v>
      </c>
      <c r="AD72" s="91">
        <v>44119</v>
      </c>
    </row>
    <row r="73" spans="1:30" ht="15.6" x14ac:dyDescent="0.3">
      <c r="A73" s="5" t="s">
        <v>42</v>
      </c>
      <c r="B73" s="5" t="s">
        <v>457</v>
      </c>
      <c r="C73" s="5" t="s">
        <v>458</v>
      </c>
      <c r="D73" s="5" t="s">
        <v>459</v>
      </c>
      <c r="E73" s="8">
        <v>37918</v>
      </c>
      <c r="F73" s="5" t="s">
        <v>166</v>
      </c>
      <c r="G73" s="5" t="s">
        <v>208</v>
      </c>
      <c r="H73" s="5" t="s">
        <v>145</v>
      </c>
      <c r="I73" s="94">
        <v>2</v>
      </c>
      <c r="J73" s="6">
        <v>9.0909090909090912E-2</v>
      </c>
      <c r="K73" s="6">
        <v>0.93181818181818143</v>
      </c>
      <c r="L73" s="6">
        <v>0.63636363636363624</v>
      </c>
      <c r="M73" s="6">
        <v>0.31818181818181818</v>
      </c>
      <c r="N73" s="6">
        <v>1.431818181818181</v>
      </c>
      <c r="O73" s="6">
        <v>0.5</v>
      </c>
      <c r="P73" s="6">
        <v>0</v>
      </c>
      <c r="Q73" s="6">
        <v>4.5454545454545456E-2</v>
      </c>
      <c r="R73" s="6">
        <v>0</v>
      </c>
      <c r="S73" s="6">
        <v>0</v>
      </c>
      <c r="T73" s="6">
        <v>4.5454545454545456E-2</v>
      </c>
      <c r="U73" s="6">
        <v>1.9318181818181805</v>
      </c>
      <c r="V73" s="6">
        <v>1.4545454545454537</v>
      </c>
      <c r="W73" s="7"/>
      <c r="X73" s="5" t="s">
        <v>406</v>
      </c>
      <c r="Y73" s="9" t="s">
        <v>572</v>
      </c>
      <c r="Z73" s="5" t="s">
        <v>580</v>
      </c>
      <c r="AA73" s="91" t="s">
        <v>646</v>
      </c>
      <c r="AB73" s="93" t="s">
        <v>406</v>
      </c>
      <c r="AC73" s="92" t="s">
        <v>245</v>
      </c>
      <c r="AD73" s="91">
        <v>43354</v>
      </c>
    </row>
    <row r="74" spans="1:30" ht="15.6" x14ac:dyDescent="0.3">
      <c r="A74" s="5" t="s">
        <v>234</v>
      </c>
      <c r="B74" s="5" t="s">
        <v>235</v>
      </c>
      <c r="C74" s="5" t="s">
        <v>236</v>
      </c>
      <c r="D74" s="5" t="s">
        <v>237</v>
      </c>
      <c r="E74" s="8">
        <v>33194</v>
      </c>
      <c r="F74" s="5" t="s">
        <v>27</v>
      </c>
      <c r="G74" s="5" t="s">
        <v>191</v>
      </c>
      <c r="H74" s="5" t="s">
        <v>4</v>
      </c>
      <c r="I74" s="94">
        <v>45.879781420764999</v>
      </c>
      <c r="J74" s="6">
        <v>0</v>
      </c>
      <c r="K74" s="6">
        <v>0.11363636363636363</v>
      </c>
      <c r="L74" s="6">
        <v>151.34090909090909</v>
      </c>
      <c r="M74" s="6">
        <v>223.88636363636354</v>
      </c>
      <c r="N74" s="6">
        <v>288.72727272727263</v>
      </c>
      <c r="O74" s="6">
        <v>86.318181818181841</v>
      </c>
      <c r="P74" s="6">
        <v>0.29545454545454547</v>
      </c>
      <c r="Q74" s="6">
        <v>0</v>
      </c>
      <c r="R74" s="6">
        <v>165.47727272727275</v>
      </c>
      <c r="S74" s="6">
        <v>33.477272727272727</v>
      </c>
      <c r="T74" s="6">
        <v>22.409090909090914</v>
      </c>
      <c r="U74" s="6">
        <v>153.97727272727261</v>
      </c>
      <c r="V74" s="6">
        <v>253.68181818181799</v>
      </c>
      <c r="W74" s="7">
        <v>450</v>
      </c>
      <c r="X74" s="5" t="s">
        <v>146</v>
      </c>
      <c r="Y74" s="9" t="s">
        <v>575</v>
      </c>
      <c r="Z74" s="5" t="s">
        <v>148</v>
      </c>
      <c r="AA74" s="91" t="s">
        <v>645</v>
      </c>
      <c r="AB74" s="93" t="s">
        <v>146</v>
      </c>
      <c r="AC74" s="92" t="s">
        <v>575</v>
      </c>
      <c r="AD74" s="91">
        <v>44419</v>
      </c>
    </row>
    <row r="75" spans="1:30" ht="15.6" x14ac:dyDescent="0.3">
      <c r="A75" s="5" t="s">
        <v>15</v>
      </c>
      <c r="B75" s="5" t="s">
        <v>295</v>
      </c>
      <c r="C75" s="5" t="s">
        <v>258</v>
      </c>
      <c r="D75" s="5" t="s">
        <v>157</v>
      </c>
      <c r="E75" s="8">
        <v>78041</v>
      </c>
      <c r="F75" s="5" t="s">
        <v>578</v>
      </c>
      <c r="G75" s="5" t="s">
        <v>144</v>
      </c>
      <c r="H75" s="5" t="s">
        <v>145</v>
      </c>
      <c r="I75" s="94">
        <v>21.714285714285701</v>
      </c>
      <c r="J75" s="6">
        <v>302.81818181818142</v>
      </c>
      <c r="K75" s="6">
        <v>1.7045454545454546</v>
      </c>
      <c r="L75" s="6">
        <v>0</v>
      </c>
      <c r="M75" s="6">
        <v>0</v>
      </c>
      <c r="N75" s="6">
        <v>0</v>
      </c>
      <c r="O75" s="6">
        <v>152.84090909090867</v>
      </c>
      <c r="P75" s="6">
        <v>2.4090909090909092</v>
      </c>
      <c r="Q75" s="6">
        <v>149.27272727272759</v>
      </c>
      <c r="R75" s="6">
        <v>1</v>
      </c>
      <c r="S75" s="6">
        <v>0</v>
      </c>
      <c r="T75" s="6">
        <v>1.4090909090909092</v>
      </c>
      <c r="U75" s="6">
        <v>302.11363636363598</v>
      </c>
      <c r="V75" s="6">
        <v>204.40909090909082</v>
      </c>
      <c r="W75" s="7"/>
      <c r="X75" s="5" t="s">
        <v>146</v>
      </c>
      <c r="Y75" s="9" t="s">
        <v>572</v>
      </c>
      <c r="Z75" s="5" t="s">
        <v>256</v>
      </c>
      <c r="AA75" s="91" t="s">
        <v>644</v>
      </c>
      <c r="AB75" s="93" t="s">
        <v>146</v>
      </c>
      <c r="AC75" s="92" t="s">
        <v>572</v>
      </c>
      <c r="AD75" s="91">
        <v>44343</v>
      </c>
    </row>
    <row r="76" spans="1:30" ht="15.6" x14ac:dyDescent="0.3">
      <c r="A76" s="5" t="s">
        <v>643</v>
      </c>
      <c r="B76" s="5" t="s">
        <v>642</v>
      </c>
      <c r="C76" s="5" t="s">
        <v>641</v>
      </c>
      <c r="D76" s="5" t="s">
        <v>237</v>
      </c>
      <c r="E76" s="8">
        <v>32621</v>
      </c>
      <c r="F76" s="5" t="s">
        <v>27</v>
      </c>
      <c r="G76" s="5" t="s">
        <v>167</v>
      </c>
      <c r="H76" s="5" t="s">
        <v>145</v>
      </c>
      <c r="I76" s="94"/>
      <c r="J76" s="6">
        <v>0.13636363636363635</v>
      </c>
      <c r="K76" s="6">
        <v>0</v>
      </c>
      <c r="L76" s="6">
        <v>0</v>
      </c>
      <c r="M76" s="6">
        <v>0</v>
      </c>
      <c r="N76" s="6">
        <v>0</v>
      </c>
      <c r="O76" s="6">
        <v>0.13636363636363635</v>
      </c>
      <c r="P76" s="6">
        <v>0</v>
      </c>
      <c r="Q76" s="6">
        <v>0</v>
      </c>
      <c r="R76" s="6">
        <v>0</v>
      </c>
      <c r="S76" s="6">
        <v>0</v>
      </c>
      <c r="T76" s="6">
        <v>0</v>
      </c>
      <c r="U76" s="6">
        <v>0.13636363636363635</v>
      </c>
      <c r="V76" s="6">
        <v>0</v>
      </c>
      <c r="W76" s="7"/>
      <c r="X76" s="5" t="s">
        <v>168</v>
      </c>
      <c r="Y76" s="9"/>
      <c r="Z76" s="5"/>
      <c r="AA76" s="91"/>
      <c r="AB76" s="93" t="s">
        <v>168</v>
      </c>
      <c r="AC76" s="92"/>
      <c r="AD76" s="91"/>
    </row>
    <row r="77" spans="1:30" ht="15.6" x14ac:dyDescent="0.3">
      <c r="A77" s="5" t="s">
        <v>464</v>
      </c>
      <c r="B77" s="5" t="s">
        <v>465</v>
      </c>
      <c r="C77" s="5" t="s">
        <v>463</v>
      </c>
      <c r="D77" s="5" t="s">
        <v>414</v>
      </c>
      <c r="E77" s="8">
        <v>29072</v>
      </c>
      <c r="F77" s="5" t="s">
        <v>154</v>
      </c>
      <c r="G77" s="5" t="s">
        <v>208</v>
      </c>
      <c r="H77" s="5" t="s">
        <v>145</v>
      </c>
      <c r="I77" s="94">
        <v>1.63095238095238</v>
      </c>
      <c r="J77" s="6">
        <v>0.38636363636363641</v>
      </c>
      <c r="K77" s="6">
        <v>0.97727272727272685</v>
      </c>
      <c r="L77" s="6">
        <v>0.27272727272727271</v>
      </c>
      <c r="M77" s="6">
        <v>0.13636363636363635</v>
      </c>
      <c r="N77" s="6">
        <v>1.0681818181818177</v>
      </c>
      <c r="O77" s="6">
        <v>0.70454545454545425</v>
      </c>
      <c r="P77" s="6">
        <v>0</v>
      </c>
      <c r="Q77" s="6">
        <v>0</v>
      </c>
      <c r="R77" s="6">
        <v>6.8181818181818177E-2</v>
      </c>
      <c r="S77" s="6">
        <v>0.11363636363636363</v>
      </c>
      <c r="T77" s="6">
        <v>0</v>
      </c>
      <c r="U77" s="6">
        <v>1.5909090909090899</v>
      </c>
      <c r="V77" s="6">
        <v>0.84090909090909061</v>
      </c>
      <c r="W77" s="7"/>
      <c r="X77" s="5" t="s">
        <v>406</v>
      </c>
      <c r="Y77" s="9" t="s">
        <v>572</v>
      </c>
      <c r="Z77" s="5" t="s">
        <v>580</v>
      </c>
      <c r="AA77" s="91" t="s">
        <v>640</v>
      </c>
      <c r="AB77" s="93" t="s">
        <v>406</v>
      </c>
      <c r="AC77" s="92" t="s">
        <v>245</v>
      </c>
      <c r="AD77" s="91">
        <v>42993</v>
      </c>
    </row>
    <row r="78" spans="1:30" ht="15.6" x14ac:dyDescent="0.3">
      <c r="A78" s="5" t="s">
        <v>438</v>
      </c>
      <c r="B78" s="5" t="s">
        <v>439</v>
      </c>
      <c r="C78" s="5" t="s">
        <v>440</v>
      </c>
      <c r="D78" s="5" t="s">
        <v>364</v>
      </c>
      <c r="E78" s="8">
        <v>52401</v>
      </c>
      <c r="F78" s="5" t="s">
        <v>280</v>
      </c>
      <c r="G78" s="5" t="s">
        <v>208</v>
      </c>
      <c r="H78" s="5" t="s">
        <v>145</v>
      </c>
      <c r="I78" s="94">
        <v>21.571428571428601</v>
      </c>
      <c r="J78" s="6">
        <v>0.97727272727272707</v>
      </c>
      <c r="K78" s="6">
        <v>0.40909090909090906</v>
      </c>
      <c r="L78" s="6">
        <v>5.5909090909090908</v>
      </c>
      <c r="M78" s="6">
        <v>3.2954545454545454</v>
      </c>
      <c r="N78" s="6">
        <v>8.454545454545455</v>
      </c>
      <c r="O78" s="6">
        <v>1.6590909090909089</v>
      </c>
      <c r="P78" s="6">
        <v>0.15909090909090909</v>
      </c>
      <c r="Q78" s="6">
        <v>0</v>
      </c>
      <c r="R78" s="6">
        <v>3.7272727272727271</v>
      </c>
      <c r="S78" s="6">
        <v>9.0909090909090912E-2</v>
      </c>
      <c r="T78" s="6">
        <v>1.3636363636363638</v>
      </c>
      <c r="U78" s="6">
        <v>5.0909090909090926</v>
      </c>
      <c r="V78" s="6">
        <v>9.6590909090909101</v>
      </c>
      <c r="W78" s="7"/>
      <c r="X78" s="5" t="s">
        <v>406</v>
      </c>
      <c r="Y78" s="9" t="s">
        <v>572</v>
      </c>
      <c r="Z78" s="5" t="s">
        <v>580</v>
      </c>
      <c r="AA78" s="91" t="s">
        <v>639</v>
      </c>
      <c r="AB78" s="93" t="s">
        <v>146</v>
      </c>
      <c r="AC78" s="92" t="s">
        <v>245</v>
      </c>
      <c r="AD78" s="91">
        <v>43636</v>
      </c>
    </row>
    <row r="79" spans="1:30" ht="15.6" x14ac:dyDescent="0.3">
      <c r="A79" s="5" t="s">
        <v>43</v>
      </c>
      <c r="B79" s="5" t="s">
        <v>270</v>
      </c>
      <c r="C79" s="5" t="s">
        <v>271</v>
      </c>
      <c r="D79" s="5" t="s">
        <v>142</v>
      </c>
      <c r="E79" s="8">
        <v>93301</v>
      </c>
      <c r="F79" s="5" t="s">
        <v>272</v>
      </c>
      <c r="G79" s="5" t="s">
        <v>159</v>
      </c>
      <c r="H79" s="5" t="s">
        <v>145</v>
      </c>
      <c r="I79" s="94">
        <v>214.25</v>
      </c>
      <c r="J79" s="6">
        <v>0</v>
      </c>
      <c r="K79" s="6">
        <v>0</v>
      </c>
      <c r="L79" s="6">
        <v>10.818181818181817</v>
      </c>
      <c r="M79" s="6">
        <v>39.363636363636367</v>
      </c>
      <c r="N79" s="6">
        <v>50.181818181818194</v>
      </c>
      <c r="O79" s="6">
        <v>0</v>
      </c>
      <c r="P79" s="6">
        <v>0</v>
      </c>
      <c r="Q79" s="6">
        <v>0</v>
      </c>
      <c r="R79" s="6">
        <v>43.090909090909115</v>
      </c>
      <c r="S79" s="6">
        <v>3</v>
      </c>
      <c r="T79" s="6">
        <v>0</v>
      </c>
      <c r="U79" s="6">
        <v>4.0909090909090899</v>
      </c>
      <c r="V79" s="6">
        <v>42.181818181818194</v>
      </c>
      <c r="W79" s="7">
        <v>320</v>
      </c>
      <c r="X79" s="5" t="s">
        <v>146</v>
      </c>
      <c r="Y79" s="9" t="s">
        <v>575</v>
      </c>
      <c r="Z79" s="5" t="s">
        <v>148</v>
      </c>
      <c r="AA79" s="91" t="s">
        <v>638</v>
      </c>
      <c r="AB79" s="93" t="s">
        <v>146</v>
      </c>
      <c r="AC79" s="92" t="s">
        <v>575</v>
      </c>
      <c r="AD79" s="91">
        <v>44371</v>
      </c>
    </row>
    <row r="80" spans="1:30" ht="15.6" x14ac:dyDescent="0.3">
      <c r="A80" s="5" t="s">
        <v>475</v>
      </c>
      <c r="B80" s="5" t="s">
        <v>476</v>
      </c>
      <c r="C80" s="5" t="s">
        <v>477</v>
      </c>
      <c r="D80" s="5" t="s">
        <v>157</v>
      </c>
      <c r="E80" s="8">
        <v>79701</v>
      </c>
      <c r="F80" s="5" t="s">
        <v>196</v>
      </c>
      <c r="G80" s="5" t="s">
        <v>208</v>
      </c>
      <c r="H80" s="5" t="s">
        <v>145</v>
      </c>
      <c r="I80" s="94">
        <v>2</v>
      </c>
      <c r="J80" s="6">
        <v>0.27272727272727271</v>
      </c>
      <c r="K80" s="6">
        <v>6.8181818181818177E-2</v>
      </c>
      <c r="L80" s="6">
        <v>2.2727272727272728E-2</v>
      </c>
      <c r="M80" s="6">
        <v>0</v>
      </c>
      <c r="N80" s="6">
        <v>0.15909090909090909</v>
      </c>
      <c r="O80" s="6">
        <v>0.13636363636363635</v>
      </c>
      <c r="P80" s="6">
        <v>6.8181818181818177E-2</v>
      </c>
      <c r="Q80" s="6">
        <v>0</v>
      </c>
      <c r="R80" s="6">
        <v>0</v>
      </c>
      <c r="S80" s="6">
        <v>6.8181818181818177E-2</v>
      </c>
      <c r="T80" s="6">
        <v>0</v>
      </c>
      <c r="U80" s="6">
        <v>0.29545454545454541</v>
      </c>
      <c r="V80" s="6">
        <v>0.15909090909090909</v>
      </c>
      <c r="W80" s="7"/>
      <c r="X80" s="5" t="s">
        <v>406</v>
      </c>
      <c r="Y80" s="9" t="s">
        <v>572</v>
      </c>
      <c r="Z80" s="5"/>
      <c r="AA80" s="91" t="s">
        <v>637</v>
      </c>
      <c r="AB80" s="93" t="s">
        <v>406</v>
      </c>
      <c r="AC80" s="92" t="s">
        <v>245</v>
      </c>
      <c r="AD80" s="91">
        <v>41521</v>
      </c>
    </row>
    <row r="81" spans="1:30" ht="15.6" x14ac:dyDescent="0.3">
      <c r="A81" s="5" t="s">
        <v>449</v>
      </c>
      <c r="B81" s="5" t="s">
        <v>450</v>
      </c>
      <c r="C81" s="5" t="s">
        <v>451</v>
      </c>
      <c r="D81" s="5" t="s">
        <v>452</v>
      </c>
      <c r="E81" s="8">
        <v>83318</v>
      </c>
      <c r="F81" s="5" t="s">
        <v>302</v>
      </c>
      <c r="G81" s="5" t="s">
        <v>167</v>
      </c>
      <c r="H81" s="5" t="s">
        <v>145</v>
      </c>
      <c r="I81" s="94">
        <v>2.3636363636363602</v>
      </c>
      <c r="J81" s="6">
        <v>0.25</v>
      </c>
      <c r="K81" s="6">
        <v>0.29545454545454541</v>
      </c>
      <c r="L81" s="6">
        <v>0.63636363636363635</v>
      </c>
      <c r="M81" s="6">
        <v>0.29545454545454547</v>
      </c>
      <c r="N81" s="6">
        <v>1.3409090909090904</v>
      </c>
      <c r="O81" s="6">
        <v>9.0909090909090912E-2</v>
      </c>
      <c r="P81" s="6">
        <v>4.5454545454545456E-2</v>
      </c>
      <c r="Q81" s="6">
        <v>0</v>
      </c>
      <c r="R81" s="6">
        <v>0.13636363636363635</v>
      </c>
      <c r="S81" s="6">
        <v>0</v>
      </c>
      <c r="T81" s="6">
        <v>0.15909090909090909</v>
      </c>
      <c r="U81" s="6">
        <v>1.1818181818181812</v>
      </c>
      <c r="V81" s="6">
        <v>1.0681818181818179</v>
      </c>
      <c r="W81" s="7"/>
      <c r="X81" s="5" t="s">
        <v>406</v>
      </c>
      <c r="Y81" s="9" t="s">
        <v>572</v>
      </c>
      <c r="Z81" s="5" t="s">
        <v>580</v>
      </c>
      <c r="AA81" s="91" t="s">
        <v>636</v>
      </c>
      <c r="AB81" s="93" t="s">
        <v>406</v>
      </c>
      <c r="AC81" s="92" t="s">
        <v>245</v>
      </c>
      <c r="AD81" s="91">
        <v>43360</v>
      </c>
    </row>
    <row r="82" spans="1:30" ht="15.6" x14ac:dyDescent="0.3">
      <c r="A82" s="5" t="s">
        <v>19</v>
      </c>
      <c r="B82" s="5" t="s">
        <v>352</v>
      </c>
      <c r="C82" s="5" t="s">
        <v>353</v>
      </c>
      <c r="D82" s="5" t="s">
        <v>318</v>
      </c>
      <c r="E82" s="8">
        <v>48161</v>
      </c>
      <c r="F82" s="5" t="s">
        <v>313</v>
      </c>
      <c r="G82" s="5" t="s">
        <v>167</v>
      </c>
      <c r="H82" s="5" t="s">
        <v>4</v>
      </c>
      <c r="I82" s="94">
        <v>25</v>
      </c>
      <c r="J82" s="6">
        <v>1.5</v>
      </c>
      <c r="K82" s="6">
        <v>1.2954545454545454</v>
      </c>
      <c r="L82" s="6">
        <v>4.4090909090909101</v>
      </c>
      <c r="M82" s="6">
        <v>1</v>
      </c>
      <c r="N82" s="6">
        <v>7.9772727272727284</v>
      </c>
      <c r="O82" s="6">
        <v>0.22727272727272727</v>
      </c>
      <c r="P82" s="6">
        <v>0</v>
      </c>
      <c r="Q82" s="6">
        <v>0</v>
      </c>
      <c r="R82" s="6">
        <v>5.9090909090909092</v>
      </c>
      <c r="S82" s="6">
        <v>1.5454545454545454</v>
      </c>
      <c r="T82" s="6">
        <v>0</v>
      </c>
      <c r="U82" s="6">
        <v>0.75</v>
      </c>
      <c r="V82" s="6">
        <v>8.204545454545455</v>
      </c>
      <c r="W82" s="7"/>
      <c r="X82" s="5" t="s">
        <v>146</v>
      </c>
      <c r="Y82" s="9" t="s">
        <v>572</v>
      </c>
      <c r="Z82" s="5" t="s">
        <v>256</v>
      </c>
      <c r="AA82" s="91" t="s">
        <v>635</v>
      </c>
      <c r="AB82" s="93" t="s">
        <v>146</v>
      </c>
      <c r="AC82" s="92" t="s">
        <v>572</v>
      </c>
      <c r="AD82" s="91">
        <v>44420</v>
      </c>
    </row>
    <row r="83" spans="1:30" ht="15.6" x14ac:dyDescent="0.3">
      <c r="A83" s="98" t="s">
        <v>197</v>
      </c>
      <c r="B83" s="98" t="s">
        <v>198</v>
      </c>
      <c r="C83" s="98" t="s">
        <v>199</v>
      </c>
      <c r="D83" s="98" t="s">
        <v>157</v>
      </c>
      <c r="E83" s="102">
        <v>77301</v>
      </c>
      <c r="F83" s="98" t="s">
        <v>200</v>
      </c>
      <c r="G83" s="98" t="s">
        <v>159</v>
      </c>
      <c r="H83" s="98" t="s">
        <v>145</v>
      </c>
      <c r="I83" s="94">
        <v>16.428571428571399</v>
      </c>
      <c r="J83" s="101">
        <v>152.77272727272714</v>
      </c>
      <c r="K83" s="101">
        <v>394.15909090909048</v>
      </c>
      <c r="L83" s="101">
        <v>182.63636363636374</v>
      </c>
      <c r="M83" s="101">
        <v>172.90909090909079</v>
      </c>
      <c r="N83" s="101">
        <v>505.52272727272651</v>
      </c>
      <c r="O83" s="101">
        <v>300.59090909090924</v>
      </c>
      <c r="P83" s="101">
        <v>27.40909090909091</v>
      </c>
      <c r="Q83" s="101">
        <v>68.954545454545467</v>
      </c>
      <c r="R83" s="101">
        <v>278.24999999999949</v>
      </c>
      <c r="S83" s="101">
        <v>127.59090909090909</v>
      </c>
      <c r="T83" s="101">
        <v>115.65909090909089</v>
      </c>
      <c r="U83" s="101">
        <v>380.97727272727269</v>
      </c>
      <c r="V83" s="101">
        <v>529.0227272727268</v>
      </c>
      <c r="W83" s="100">
        <v>750</v>
      </c>
      <c r="X83" s="98" t="s">
        <v>146</v>
      </c>
      <c r="Y83" s="99" t="s">
        <v>575</v>
      </c>
      <c r="Z83" s="98" t="s">
        <v>148</v>
      </c>
      <c r="AA83" s="95" t="s">
        <v>634</v>
      </c>
      <c r="AB83" s="97" t="s">
        <v>146</v>
      </c>
      <c r="AC83" s="96" t="s">
        <v>575</v>
      </c>
      <c r="AD83" s="95">
        <v>44181</v>
      </c>
    </row>
    <row r="84" spans="1:30" ht="15.6" x14ac:dyDescent="0.3">
      <c r="A84" s="5" t="s">
        <v>633</v>
      </c>
      <c r="B84" s="5" t="s">
        <v>632</v>
      </c>
      <c r="C84" s="5" t="s">
        <v>631</v>
      </c>
      <c r="D84" s="5" t="s">
        <v>248</v>
      </c>
      <c r="E84" s="8">
        <v>16866</v>
      </c>
      <c r="F84" s="5" t="s">
        <v>249</v>
      </c>
      <c r="G84" s="5" t="s">
        <v>144</v>
      </c>
      <c r="H84" s="5" t="s">
        <v>145</v>
      </c>
      <c r="I84" s="94">
        <v>65.427272727272694</v>
      </c>
      <c r="J84" s="6">
        <v>154.34090909090921</v>
      </c>
      <c r="K84" s="6">
        <v>52.95454545454546</v>
      </c>
      <c r="L84" s="6">
        <v>340.4545454545455</v>
      </c>
      <c r="M84" s="6">
        <v>330.90909090909099</v>
      </c>
      <c r="N84" s="6">
        <v>491.04545454545462</v>
      </c>
      <c r="O84" s="6">
        <v>363.09090909090997</v>
      </c>
      <c r="P84" s="6">
        <v>14.386363636363635</v>
      </c>
      <c r="Q84" s="6">
        <v>10.136363636363637</v>
      </c>
      <c r="R84" s="6">
        <v>304.1818181818183</v>
      </c>
      <c r="S84" s="6">
        <v>70.52272727272728</v>
      </c>
      <c r="T84" s="6">
        <v>65.545454545454533</v>
      </c>
      <c r="U84" s="6">
        <v>438.40909090909213</v>
      </c>
      <c r="V84" s="6">
        <v>565.59090909091026</v>
      </c>
      <c r="W84" s="7">
        <v>800</v>
      </c>
      <c r="X84" s="5" t="s">
        <v>146</v>
      </c>
      <c r="Y84" s="9" t="s">
        <v>575</v>
      </c>
      <c r="Z84" s="5" t="s">
        <v>148</v>
      </c>
      <c r="AA84" s="91" t="s">
        <v>630</v>
      </c>
      <c r="AB84" s="93" t="s">
        <v>146</v>
      </c>
      <c r="AC84" s="92" t="s">
        <v>575</v>
      </c>
      <c r="AD84" s="91">
        <v>44392</v>
      </c>
    </row>
    <row r="85" spans="1:30" ht="15.6" x14ac:dyDescent="0.3">
      <c r="A85" s="5" t="s">
        <v>29</v>
      </c>
      <c r="B85" s="5" t="s">
        <v>306</v>
      </c>
      <c r="C85" s="5" t="s">
        <v>307</v>
      </c>
      <c r="D85" s="5" t="s">
        <v>301</v>
      </c>
      <c r="E85" s="8">
        <v>89060</v>
      </c>
      <c r="F85" s="5" t="s">
        <v>302</v>
      </c>
      <c r="G85" s="5" t="s">
        <v>208</v>
      </c>
      <c r="H85" s="5" t="s">
        <v>145</v>
      </c>
      <c r="I85" s="94">
        <v>77</v>
      </c>
      <c r="J85" s="6">
        <v>30.977272727272727</v>
      </c>
      <c r="K85" s="6">
        <v>11.249999999999998</v>
      </c>
      <c r="L85" s="6">
        <v>3.9090909090909096</v>
      </c>
      <c r="M85" s="6">
        <v>2.477272727272728</v>
      </c>
      <c r="N85" s="6">
        <v>17.681818181818176</v>
      </c>
      <c r="O85" s="6">
        <v>30.93181818181818</v>
      </c>
      <c r="P85" s="6">
        <v>0</v>
      </c>
      <c r="Q85" s="6">
        <v>0</v>
      </c>
      <c r="R85" s="6">
        <v>6.2045454545454541</v>
      </c>
      <c r="S85" s="6">
        <v>4.1818181818181817</v>
      </c>
      <c r="T85" s="6">
        <v>3.295454545454545</v>
      </c>
      <c r="U85" s="6">
        <v>34.93181818181818</v>
      </c>
      <c r="V85" s="6">
        <v>20.659090909090903</v>
      </c>
      <c r="W85" s="7"/>
      <c r="X85" s="5" t="s">
        <v>146</v>
      </c>
      <c r="Y85" s="9" t="s">
        <v>209</v>
      </c>
      <c r="Z85" s="5" t="s">
        <v>148</v>
      </c>
      <c r="AA85" s="91" t="s">
        <v>629</v>
      </c>
      <c r="AB85" s="93" t="s">
        <v>146</v>
      </c>
      <c r="AC85" s="92" t="s">
        <v>209</v>
      </c>
      <c r="AD85" s="91">
        <v>44399</v>
      </c>
    </row>
    <row r="86" spans="1:30" ht="15.6" x14ac:dyDescent="0.3">
      <c r="A86" s="5" t="s">
        <v>466</v>
      </c>
      <c r="B86" s="5" t="s">
        <v>467</v>
      </c>
      <c r="C86" s="5" t="s">
        <v>468</v>
      </c>
      <c r="D86" s="5" t="s">
        <v>388</v>
      </c>
      <c r="E86" s="8">
        <v>28429</v>
      </c>
      <c r="F86" s="5" t="s">
        <v>154</v>
      </c>
      <c r="G86" s="5" t="s">
        <v>167</v>
      </c>
      <c r="H86" s="5" t="s">
        <v>145</v>
      </c>
      <c r="I86" s="94">
        <v>2.39130434782609</v>
      </c>
      <c r="J86" s="6">
        <v>0.38636363636363635</v>
      </c>
      <c r="K86" s="6">
        <v>0.25</v>
      </c>
      <c r="L86" s="6">
        <v>0.11363636363636363</v>
      </c>
      <c r="M86" s="6">
        <v>0.13636363636363635</v>
      </c>
      <c r="N86" s="6">
        <v>0.68181818181818166</v>
      </c>
      <c r="O86" s="6">
        <v>0.20454545454545453</v>
      </c>
      <c r="P86" s="6">
        <v>0</v>
      </c>
      <c r="Q86" s="6">
        <v>0</v>
      </c>
      <c r="R86" s="6">
        <v>0</v>
      </c>
      <c r="S86" s="6">
        <v>2.2727272727272728E-2</v>
      </c>
      <c r="T86" s="6">
        <v>0</v>
      </c>
      <c r="U86" s="6">
        <v>0.86363636363636331</v>
      </c>
      <c r="V86" s="6">
        <v>0.36363636363636359</v>
      </c>
      <c r="W86" s="7"/>
      <c r="X86" s="5" t="s">
        <v>406</v>
      </c>
      <c r="Y86" s="9" t="s">
        <v>572</v>
      </c>
      <c r="Z86" s="5"/>
      <c r="AA86" s="91" t="s">
        <v>607</v>
      </c>
      <c r="AB86" s="93" t="s">
        <v>406</v>
      </c>
      <c r="AC86" s="92" t="s">
        <v>245</v>
      </c>
      <c r="AD86" s="91">
        <v>42993</v>
      </c>
    </row>
    <row r="87" spans="1:30" ht="15.6" x14ac:dyDescent="0.3">
      <c r="A87" s="5" t="s">
        <v>628</v>
      </c>
      <c r="B87" s="5" t="s">
        <v>627</v>
      </c>
      <c r="C87" s="5" t="s">
        <v>626</v>
      </c>
      <c r="D87" s="5" t="s">
        <v>625</v>
      </c>
      <c r="E87" s="8">
        <v>5488</v>
      </c>
      <c r="F87" s="5" t="s">
        <v>276</v>
      </c>
      <c r="G87" s="5" t="s">
        <v>208</v>
      </c>
      <c r="H87" s="5" t="s">
        <v>145</v>
      </c>
      <c r="I87" s="94">
        <v>1.9411764705882399</v>
      </c>
      <c r="J87" s="6">
        <v>2.022727272727272</v>
      </c>
      <c r="K87" s="6">
        <v>0.13636363636363635</v>
      </c>
      <c r="L87" s="6">
        <v>0.15909090909090909</v>
      </c>
      <c r="M87" s="6">
        <v>0</v>
      </c>
      <c r="N87" s="6">
        <v>0.34090909090909088</v>
      </c>
      <c r="O87" s="6">
        <v>1.9772727272727262</v>
      </c>
      <c r="P87" s="6">
        <v>0</v>
      </c>
      <c r="Q87" s="6">
        <v>0</v>
      </c>
      <c r="R87" s="6">
        <v>0</v>
      </c>
      <c r="S87" s="6">
        <v>0</v>
      </c>
      <c r="T87" s="6">
        <v>0</v>
      </c>
      <c r="U87" s="6">
        <v>2.3181818181818179</v>
      </c>
      <c r="V87" s="6">
        <v>2.0681818181818179</v>
      </c>
      <c r="W87" s="7"/>
      <c r="X87" s="5" t="s">
        <v>406</v>
      </c>
      <c r="Y87" s="9" t="s">
        <v>245</v>
      </c>
      <c r="Z87" s="5" t="s">
        <v>256</v>
      </c>
      <c r="AA87" s="91" t="s">
        <v>624</v>
      </c>
      <c r="AB87" s="93" t="s">
        <v>406</v>
      </c>
      <c r="AC87" s="92" t="s">
        <v>245</v>
      </c>
      <c r="AD87" s="91">
        <v>42969</v>
      </c>
    </row>
    <row r="88" spans="1:30" ht="15.6" x14ac:dyDescent="0.3">
      <c r="A88" s="5" t="s">
        <v>346</v>
      </c>
      <c r="B88" s="5" t="s">
        <v>347</v>
      </c>
      <c r="C88" s="5" t="s">
        <v>307</v>
      </c>
      <c r="D88" s="5" t="s">
        <v>301</v>
      </c>
      <c r="E88" s="8">
        <v>89060</v>
      </c>
      <c r="F88" s="5" t="s">
        <v>302</v>
      </c>
      <c r="G88" s="5" t="s">
        <v>167</v>
      </c>
      <c r="H88" s="5" t="s">
        <v>145</v>
      </c>
      <c r="I88" s="94">
        <v>40.3333333333333</v>
      </c>
      <c r="J88" s="6">
        <v>4.4318181818181808</v>
      </c>
      <c r="K88" s="6">
        <v>11.227272727272728</v>
      </c>
      <c r="L88" s="6">
        <v>22.40909090909091</v>
      </c>
      <c r="M88" s="6">
        <v>46.090909090909086</v>
      </c>
      <c r="N88" s="6">
        <v>76.477272727272734</v>
      </c>
      <c r="O88" s="6">
        <v>7.6818181818181834</v>
      </c>
      <c r="P88" s="6">
        <v>0</v>
      </c>
      <c r="Q88" s="6">
        <v>0</v>
      </c>
      <c r="R88" s="6">
        <v>47.25</v>
      </c>
      <c r="S88" s="6">
        <v>11.977272727272728</v>
      </c>
      <c r="T88" s="6">
        <v>5.8181818181818183</v>
      </c>
      <c r="U88" s="6">
        <v>19.11363636363637</v>
      </c>
      <c r="V88" s="6">
        <v>65.25</v>
      </c>
      <c r="W88" s="7"/>
      <c r="X88" s="5" t="s">
        <v>146</v>
      </c>
      <c r="Y88" s="9" t="s">
        <v>572</v>
      </c>
      <c r="Z88" s="5" t="s">
        <v>256</v>
      </c>
      <c r="AA88" s="91" t="s">
        <v>623</v>
      </c>
      <c r="AB88" s="93" t="s">
        <v>146</v>
      </c>
      <c r="AC88" s="92" t="s">
        <v>572</v>
      </c>
      <c r="AD88" s="91">
        <v>44336</v>
      </c>
    </row>
    <row r="89" spans="1:30" ht="15.6" x14ac:dyDescent="0.3">
      <c r="A89" s="5" t="s">
        <v>25</v>
      </c>
      <c r="B89" s="5" t="s">
        <v>329</v>
      </c>
      <c r="C89" s="5" t="s">
        <v>330</v>
      </c>
      <c r="D89" s="5" t="s">
        <v>254</v>
      </c>
      <c r="E89" s="8">
        <v>10924</v>
      </c>
      <c r="F89" s="5" t="s">
        <v>281</v>
      </c>
      <c r="G89" s="5" t="s">
        <v>167</v>
      </c>
      <c r="H89" s="5" t="s">
        <v>145</v>
      </c>
      <c r="I89" s="94">
        <v>115.66101694915299</v>
      </c>
      <c r="J89" s="6">
        <v>19.000000000000007</v>
      </c>
      <c r="K89" s="6">
        <v>33.727272727272734</v>
      </c>
      <c r="L89" s="6">
        <v>13.363636363636362</v>
      </c>
      <c r="M89" s="6">
        <v>10.363636363636363</v>
      </c>
      <c r="N89" s="6">
        <v>56.977272727272734</v>
      </c>
      <c r="O89" s="6">
        <v>13.818181818181825</v>
      </c>
      <c r="P89" s="6">
        <v>5.2272727272727266</v>
      </c>
      <c r="Q89" s="6">
        <v>0.43181818181818182</v>
      </c>
      <c r="R89" s="6">
        <v>15.545454545454547</v>
      </c>
      <c r="S89" s="6">
        <v>22.06818181818182</v>
      </c>
      <c r="T89" s="6">
        <v>17.749999999999996</v>
      </c>
      <c r="U89" s="6">
        <v>21.090909090909101</v>
      </c>
      <c r="V89" s="6">
        <v>37.204545454545467</v>
      </c>
      <c r="W89" s="7"/>
      <c r="X89" s="5" t="s">
        <v>146</v>
      </c>
      <c r="Y89" s="9" t="s">
        <v>572</v>
      </c>
      <c r="Z89" s="5" t="s">
        <v>256</v>
      </c>
      <c r="AA89" s="91" t="s">
        <v>622</v>
      </c>
      <c r="AB89" s="93" t="s">
        <v>146</v>
      </c>
      <c r="AC89" s="92" t="s">
        <v>572</v>
      </c>
      <c r="AD89" s="91">
        <v>44300</v>
      </c>
    </row>
    <row r="90" spans="1:30" ht="15.6" x14ac:dyDescent="0.3">
      <c r="A90" s="5" t="s">
        <v>178</v>
      </c>
      <c r="B90" s="5" t="s">
        <v>179</v>
      </c>
      <c r="C90" s="5" t="s">
        <v>180</v>
      </c>
      <c r="D90" s="5" t="s">
        <v>142</v>
      </c>
      <c r="E90" s="8">
        <v>92154</v>
      </c>
      <c r="F90" s="5" t="s">
        <v>181</v>
      </c>
      <c r="G90" s="5" t="s">
        <v>159</v>
      </c>
      <c r="H90" s="5" t="s">
        <v>145</v>
      </c>
      <c r="I90" s="94">
        <v>132</v>
      </c>
      <c r="J90" s="6">
        <v>838.18181818181699</v>
      </c>
      <c r="K90" s="6">
        <v>37.045454545454554</v>
      </c>
      <c r="L90" s="6">
        <v>26.204545454545457</v>
      </c>
      <c r="M90" s="6">
        <v>30.568181818181813</v>
      </c>
      <c r="N90" s="6">
        <v>88.181818181818187</v>
      </c>
      <c r="O90" s="6">
        <v>774.70454545454641</v>
      </c>
      <c r="P90" s="6">
        <v>7.8636363636363642</v>
      </c>
      <c r="Q90" s="6">
        <v>61.249999999999986</v>
      </c>
      <c r="R90" s="6">
        <v>45.295454545454547</v>
      </c>
      <c r="S90" s="6">
        <v>15.272727272727272</v>
      </c>
      <c r="T90" s="6">
        <v>12.909090909090908</v>
      </c>
      <c r="U90" s="6">
        <v>858.52272727272612</v>
      </c>
      <c r="V90" s="6">
        <v>513.13636363636465</v>
      </c>
      <c r="W90" s="7">
        <v>750</v>
      </c>
      <c r="X90" s="5" t="s">
        <v>146</v>
      </c>
      <c r="Y90" s="9" t="s">
        <v>575</v>
      </c>
      <c r="Z90" s="5" t="s">
        <v>148</v>
      </c>
      <c r="AA90" s="91" t="s">
        <v>621</v>
      </c>
      <c r="AB90" s="93" t="s">
        <v>146</v>
      </c>
      <c r="AC90" s="92" t="s">
        <v>575</v>
      </c>
      <c r="AD90" s="91">
        <v>44230</v>
      </c>
    </row>
    <row r="91" spans="1:30" ht="15.6" x14ac:dyDescent="0.3">
      <c r="A91" s="5" t="s">
        <v>192</v>
      </c>
      <c r="B91" s="5" t="s">
        <v>193</v>
      </c>
      <c r="C91" s="5" t="s">
        <v>194</v>
      </c>
      <c r="D91" s="5" t="s">
        <v>195</v>
      </c>
      <c r="E91" s="8">
        <v>88081</v>
      </c>
      <c r="F91" s="5" t="s">
        <v>196</v>
      </c>
      <c r="G91" s="5" t="s">
        <v>144</v>
      </c>
      <c r="H91" s="5" t="s">
        <v>145</v>
      </c>
      <c r="I91" s="94">
        <v>38.662790697674403</v>
      </c>
      <c r="J91" s="6">
        <v>484.70454545454527</v>
      </c>
      <c r="K91" s="6">
        <v>13.295454545454552</v>
      </c>
      <c r="L91" s="6">
        <v>1.4772727272727273</v>
      </c>
      <c r="M91" s="6">
        <v>0</v>
      </c>
      <c r="N91" s="6">
        <v>6.045454545454545</v>
      </c>
      <c r="O91" s="6">
        <v>384.47727272727036</v>
      </c>
      <c r="P91" s="6">
        <v>2.4090909090909092</v>
      </c>
      <c r="Q91" s="6">
        <v>106.54545454545467</v>
      </c>
      <c r="R91" s="6">
        <v>0</v>
      </c>
      <c r="S91" s="6">
        <v>2.2727272727272725</v>
      </c>
      <c r="T91" s="6">
        <v>4.5909090909090908</v>
      </c>
      <c r="U91" s="6">
        <v>492.61363636363598</v>
      </c>
      <c r="V91" s="6">
        <v>244.74999999999909</v>
      </c>
      <c r="W91" s="7">
        <v>500</v>
      </c>
      <c r="X91" s="5" t="s">
        <v>146</v>
      </c>
      <c r="Y91" s="9" t="s">
        <v>575</v>
      </c>
      <c r="Z91" s="5" t="s">
        <v>148</v>
      </c>
      <c r="AA91" s="91" t="s">
        <v>621</v>
      </c>
      <c r="AB91" s="93" t="s">
        <v>146</v>
      </c>
      <c r="AC91" s="92" t="s">
        <v>575</v>
      </c>
      <c r="AD91" s="91">
        <v>44225</v>
      </c>
    </row>
    <row r="92" spans="1:30" ht="15.6" x14ac:dyDescent="0.3">
      <c r="A92" s="5" t="s">
        <v>435</v>
      </c>
      <c r="B92" s="5" t="s">
        <v>436</v>
      </c>
      <c r="C92" s="5" t="s">
        <v>437</v>
      </c>
      <c r="D92" s="5" t="s">
        <v>351</v>
      </c>
      <c r="E92" s="8">
        <v>68949</v>
      </c>
      <c r="F92" s="5" t="s">
        <v>280</v>
      </c>
      <c r="G92" s="5" t="s">
        <v>208</v>
      </c>
      <c r="H92" s="5" t="s">
        <v>145</v>
      </c>
      <c r="I92" s="94">
        <v>10</v>
      </c>
      <c r="J92" s="6">
        <v>0.61363636363636365</v>
      </c>
      <c r="K92" s="6">
        <v>0.13636363636363635</v>
      </c>
      <c r="L92" s="6">
        <v>0.13636363636363635</v>
      </c>
      <c r="M92" s="6">
        <v>1.1363636363636362</v>
      </c>
      <c r="N92" s="6">
        <v>2.0227272727272725</v>
      </c>
      <c r="O92" s="6">
        <v>0</v>
      </c>
      <c r="P92" s="6">
        <v>0</v>
      </c>
      <c r="Q92" s="6">
        <v>0</v>
      </c>
      <c r="R92" s="6">
        <v>0</v>
      </c>
      <c r="S92" s="6">
        <v>1.1363636363636362</v>
      </c>
      <c r="T92" s="6">
        <v>0</v>
      </c>
      <c r="U92" s="6">
        <v>0.88636363636363635</v>
      </c>
      <c r="V92" s="6">
        <v>1.8863636363636362</v>
      </c>
      <c r="W92" s="7"/>
      <c r="X92" s="5" t="s">
        <v>146</v>
      </c>
      <c r="Y92" s="9" t="s">
        <v>245</v>
      </c>
      <c r="Z92" s="5" t="s">
        <v>256</v>
      </c>
      <c r="AA92" s="91" t="s">
        <v>620</v>
      </c>
      <c r="AB92" s="93" t="s">
        <v>146</v>
      </c>
      <c r="AC92" s="92" t="s">
        <v>245</v>
      </c>
      <c r="AD92" s="91">
        <v>43664</v>
      </c>
    </row>
    <row r="93" spans="1:30" ht="15.6" x14ac:dyDescent="0.3">
      <c r="A93" s="5" t="s">
        <v>619</v>
      </c>
      <c r="B93" s="5" t="s">
        <v>618</v>
      </c>
      <c r="C93" s="5" t="s">
        <v>617</v>
      </c>
      <c r="D93" s="5" t="s">
        <v>39</v>
      </c>
      <c r="E93" s="8">
        <v>35447</v>
      </c>
      <c r="F93" s="5" t="s">
        <v>166</v>
      </c>
      <c r="G93" s="5" t="s">
        <v>167</v>
      </c>
      <c r="H93" s="5" t="s">
        <v>145</v>
      </c>
      <c r="I93" s="94">
        <v>2.9958677685950401</v>
      </c>
      <c r="J93" s="6">
        <v>1.0909090909090908</v>
      </c>
      <c r="K93" s="6">
        <v>4.3863636363636376</v>
      </c>
      <c r="L93" s="6">
        <v>6.0000000000000009</v>
      </c>
      <c r="M93" s="6">
        <v>1.2727272727272725</v>
      </c>
      <c r="N93" s="6">
        <v>6.5</v>
      </c>
      <c r="O93" s="6">
        <v>4.5909090909090935</v>
      </c>
      <c r="P93" s="6">
        <v>1.4545454545454539</v>
      </c>
      <c r="Q93" s="6">
        <v>0.20454545454545453</v>
      </c>
      <c r="R93" s="6">
        <v>1.0227272727272727</v>
      </c>
      <c r="S93" s="6">
        <v>0.47727272727272729</v>
      </c>
      <c r="T93" s="6">
        <v>9.0909090909090912E-2</v>
      </c>
      <c r="U93" s="6">
        <v>11.159090909090924</v>
      </c>
      <c r="V93" s="6">
        <v>9.2272727272727284</v>
      </c>
      <c r="W93" s="7"/>
      <c r="X93" s="5" t="s">
        <v>406</v>
      </c>
      <c r="Y93" s="9" t="s">
        <v>572</v>
      </c>
      <c r="Z93" s="5" t="s">
        <v>580</v>
      </c>
      <c r="AA93" s="91" t="s">
        <v>616</v>
      </c>
      <c r="AB93" s="93" t="s">
        <v>168</v>
      </c>
      <c r="AC93" s="92"/>
      <c r="AD93" s="91"/>
    </row>
    <row r="94" spans="1:30" ht="15.6" x14ac:dyDescent="0.3">
      <c r="A94" s="5" t="s">
        <v>303</v>
      </c>
      <c r="B94" s="5" t="s">
        <v>304</v>
      </c>
      <c r="C94" s="5" t="s">
        <v>305</v>
      </c>
      <c r="D94" s="5" t="s">
        <v>248</v>
      </c>
      <c r="E94" s="8">
        <v>18428</v>
      </c>
      <c r="F94" s="5" t="s">
        <v>249</v>
      </c>
      <c r="G94" s="5" t="s">
        <v>167</v>
      </c>
      <c r="H94" s="5" t="s">
        <v>4</v>
      </c>
      <c r="I94" s="94">
        <v>60.807692307692299</v>
      </c>
      <c r="J94" s="6">
        <v>14.750000000000002</v>
      </c>
      <c r="K94" s="6">
        <v>10.386363636363638</v>
      </c>
      <c r="L94" s="6">
        <v>31.568181818181817</v>
      </c>
      <c r="M94" s="6">
        <v>35</v>
      </c>
      <c r="N94" s="6">
        <v>56.909090909090928</v>
      </c>
      <c r="O94" s="6">
        <v>34.795454545454547</v>
      </c>
      <c r="P94" s="6">
        <v>0</v>
      </c>
      <c r="Q94" s="6">
        <v>0</v>
      </c>
      <c r="R94" s="6">
        <v>24.204545454545457</v>
      </c>
      <c r="S94" s="6">
        <v>9.4545454545454533</v>
      </c>
      <c r="T94" s="6">
        <v>15.750000000000002</v>
      </c>
      <c r="U94" s="6">
        <v>42.295454545454533</v>
      </c>
      <c r="V94" s="6">
        <v>36.477272727272727</v>
      </c>
      <c r="W94" s="7">
        <v>100</v>
      </c>
      <c r="X94" s="5" t="s">
        <v>146</v>
      </c>
      <c r="Y94" s="9" t="s">
        <v>575</v>
      </c>
      <c r="Z94" s="5" t="s">
        <v>148</v>
      </c>
      <c r="AA94" s="91" t="s">
        <v>615</v>
      </c>
      <c r="AB94" s="93" t="s">
        <v>146</v>
      </c>
      <c r="AC94" s="92" t="s">
        <v>209</v>
      </c>
      <c r="AD94" s="91">
        <v>44307</v>
      </c>
    </row>
    <row r="95" spans="1:30" ht="15.6" x14ac:dyDescent="0.3">
      <c r="A95" s="5" t="s">
        <v>35</v>
      </c>
      <c r="B95" s="5" t="s">
        <v>216</v>
      </c>
      <c r="C95" s="5" t="s">
        <v>217</v>
      </c>
      <c r="D95" s="5" t="s">
        <v>165</v>
      </c>
      <c r="E95" s="8">
        <v>70576</v>
      </c>
      <c r="F95" s="5" t="s">
        <v>166</v>
      </c>
      <c r="G95" s="5" t="s">
        <v>167</v>
      </c>
      <c r="H95" s="5" t="s">
        <v>4</v>
      </c>
      <c r="I95" s="94">
        <v>44.764705882352899</v>
      </c>
      <c r="J95" s="6">
        <v>220.93181818181844</v>
      </c>
      <c r="K95" s="6">
        <v>83.250000000000028</v>
      </c>
      <c r="L95" s="6">
        <v>67.86363636363636</v>
      </c>
      <c r="M95" s="6">
        <v>19.84090909090909</v>
      </c>
      <c r="N95" s="6">
        <v>127.63636363636364</v>
      </c>
      <c r="O95" s="6">
        <v>264.25000000000028</v>
      </c>
      <c r="P95" s="6">
        <v>0</v>
      </c>
      <c r="Q95" s="6">
        <v>0</v>
      </c>
      <c r="R95" s="6">
        <v>62.250000000000021</v>
      </c>
      <c r="S95" s="6">
        <v>31.636363636363633</v>
      </c>
      <c r="T95" s="6">
        <v>27.022727272727266</v>
      </c>
      <c r="U95" s="6">
        <v>270.97727272727309</v>
      </c>
      <c r="V95" s="6">
        <v>233.8863636363636</v>
      </c>
      <c r="W95" s="7"/>
      <c r="X95" s="5" t="s">
        <v>146</v>
      </c>
      <c r="Y95" s="9" t="s">
        <v>575</v>
      </c>
      <c r="Z95" s="5" t="s">
        <v>148</v>
      </c>
      <c r="AA95" s="91" t="s">
        <v>614</v>
      </c>
      <c r="AB95" s="93" t="s">
        <v>146</v>
      </c>
      <c r="AC95" s="92" t="s">
        <v>575</v>
      </c>
      <c r="AD95" s="91">
        <v>44140</v>
      </c>
    </row>
    <row r="96" spans="1:30" ht="15.6" x14ac:dyDescent="0.3">
      <c r="A96" s="5" t="s">
        <v>273</v>
      </c>
      <c r="B96" s="5" t="s">
        <v>274</v>
      </c>
      <c r="C96" s="5" t="s">
        <v>275</v>
      </c>
      <c r="D96" s="5" t="s">
        <v>26</v>
      </c>
      <c r="E96" s="8">
        <v>2360</v>
      </c>
      <c r="F96" s="5" t="s">
        <v>276</v>
      </c>
      <c r="G96" s="5" t="s">
        <v>167</v>
      </c>
      <c r="H96" s="5" t="s">
        <v>4</v>
      </c>
      <c r="I96" s="94">
        <v>53.485714285714302</v>
      </c>
      <c r="J96" s="6">
        <v>25.159090909090917</v>
      </c>
      <c r="K96" s="6">
        <v>0.36363636363636365</v>
      </c>
      <c r="L96" s="6">
        <v>27.52272727272727</v>
      </c>
      <c r="M96" s="6">
        <v>35.477272727272727</v>
      </c>
      <c r="N96" s="6">
        <v>43.045454545454554</v>
      </c>
      <c r="O96" s="6">
        <v>45.477272727272641</v>
      </c>
      <c r="P96" s="6">
        <v>0</v>
      </c>
      <c r="Q96" s="6">
        <v>0</v>
      </c>
      <c r="R96" s="6">
        <v>29.500000000000004</v>
      </c>
      <c r="S96" s="6">
        <v>5.3636363636363633</v>
      </c>
      <c r="T96" s="6">
        <v>1.7272727272727273</v>
      </c>
      <c r="U96" s="6">
        <v>51.931818181818045</v>
      </c>
      <c r="V96" s="6">
        <v>50.545454545454483</v>
      </c>
      <c r="W96" s="7"/>
      <c r="X96" s="5" t="s">
        <v>146</v>
      </c>
      <c r="Y96" s="9" t="s">
        <v>572</v>
      </c>
      <c r="Z96" s="5" t="s">
        <v>256</v>
      </c>
      <c r="AA96" s="91" t="s">
        <v>603</v>
      </c>
      <c r="AB96" s="93" t="s">
        <v>146</v>
      </c>
      <c r="AC96" s="92" t="s">
        <v>572</v>
      </c>
      <c r="AD96" s="91">
        <v>44357</v>
      </c>
    </row>
    <row r="97" spans="1:30" ht="15.6" x14ac:dyDescent="0.3">
      <c r="A97" s="5" t="s">
        <v>394</v>
      </c>
      <c r="B97" s="5" t="s">
        <v>395</v>
      </c>
      <c r="C97" s="5" t="s">
        <v>396</v>
      </c>
      <c r="D97" s="5" t="s">
        <v>364</v>
      </c>
      <c r="E97" s="8">
        <v>50313</v>
      </c>
      <c r="F97" s="5" t="s">
        <v>280</v>
      </c>
      <c r="G97" s="5" t="s">
        <v>208</v>
      </c>
      <c r="H97" s="5" t="s">
        <v>145</v>
      </c>
      <c r="I97" s="94">
        <v>18</v>
      </c>
      <c r="J97" s="6">
        <v>2.2499999999999996</v>
      </c>
      <c r="K97" s="6">
        <v>6.5681818181818183</v>
      </c>
      <c r="L97" s="6">
        <v>6.1363636363636358</v>
      </c>
      <c r="M97" s="6">
        <v>5.1818181818181825</v>
      </c>
      <c r="N97" s="6">
        <v>16.227272727272727</v>
      </c>
      <c r="O97" s="6">
        <v>2.5909090909090908</v>
      </c>
      <c r="P97" s="6">
        <v>1.1818181818181819</v>
      </c>
      <c r="Q97" s="6">
        <v>0.13636363636363635</v>
      </c>
      <c r="R97" s="6">
        <v>7.5227272727272725</v>
      </c>
      <c r="S97" s="6">
        <v>1.1818181818181819</v>
      </c>
      <c r="T97" s="6">
        <v>0.90909090909090906</v>
      </c>
      <c r="U97" s="6">
        <v>10.522727272727273</v>
      </c>
      <c r="V97" s="6">
        <v>18.204545454545457</v>
      </c>
      <c r="W97" s="7"/>
      <c r="X97" s="5" t="s">
        <v>146</v>
      </c>
      <c r="Y97" s="9" t="s">
        <v>245</v>
      </c>
      <c r="Z97" s="5" t="s">
        <v>256</v>
      </c>
      <c r="AA97" s="91" t="s">
        <v>613</v>
      </c>
      <c r="AB97" s="93" t="s">
        <v>146</v>
      </c>
      <c r="AC97" s="92" t="s">
        <v>245</v>
      </c>
      <c r="AD97" s="91">
        <v>43678</v>
      </c>
    </row>
    <row r="98" spans="1:30" ht="15.6" x14ac:dyDescent="0.3">
      <c r="A98" s="5" t="s">
        <v>188</v>
      </c>
      <c r="B98" s="5" t="s">
        <v>189</v>
      </c>
      <c r="C98" s="5" t="s">
        <v>190</v>
      </c>
      <c r="D98" s="5" t="s">
        <v>157</v>
      </c>
      <c r="E98" s="8">
        <v>78566</v>
      </c>
      <c r="F98" s="5" t="s">
        <v>578</v>
      </c>
      <c r="G98" s="5" t="s">
        <v>191</v>
      </c>
      <c r="H98" s="5" t="s">
        <v>145</v>
      </c>
      <c r="I98" s="94">
        <v>2.8666666666666698</v>
      </c>
      <c r="J98" s="6">
        <v>759.02272727270542</v>
      </c>
      <c r="K98" s="6">
        <v>38.386363636363647</v>
      </c>
      <c r="L98" s="6">
        <v>1.1818181818181817</v>
      </c>
      <c r="M98" s="6">
        <v>49.840909090909065</v>
      </c>
      <c r="N98" s="6">
        <v>161.68181818181819</v>
      </c>
      <c r="O98" s="6">
        <v>679.65909090907167</v>
      </c>
      <c r="P98" s="6">
        <v>6.8181818181818177E-2</v>
      </c>
      <c r="Q98" s="6">
        <v>7.0227272727272565</v>
      </c>
      <c r="R98" s="6">
        <v>27.568181818181817</v>
      </c>
      <c r="S98" s="6">
        <v>25.772727272727277</v>
      </c>
      <c r="T98" s="6">
        <v>74.72727272727272</v>
      </c>
      <c r="U98" s="6">
        <v>720.36363636361227</v>
      </c>
      <c r="V98" s="6">
        <v>548.49999999997931</v>
      </c>
      <c r="W98" s="7">
        <v>800</v>
      </c>
      <c r="X98" s="5" t="s">
        <v>146</v>
      </c>
      <c r="Y98" s="9" t="s">
        <v>575</v>
      </c>
      <c r="Z98" s="5" t="s">
        <v>148</v>
      </c>
      <c r="AA98" s="91" t="s">
        <v>612</v>
      </c>
      <c r="AB98" s="93" t="s">
        <v>146</v>
      </c>
      <c r="AC98" s="92" t="s">
        <v>575</v>
      </c>
      <c r="AD98" s="91">
        <v>44223</v>
      </c>
    </row>
    <row r="99" spans="1:30" ht="15.6" x14ac:dyDescent="0.3">
      <c r="A99" s="5" t="s">
        <v>454</v>
      </c>
      <c r="B99" s="5" t="s">
        <v>455</v>
      </c>
      <c r="C99" s="5" t="s">
        <v>456</v>
      </c>
      <c r="D99" s="5" t="s">
        <v>364</v>
      </c>
      <c r="E99" s="8">
        <v>51501</v>
      </c>
      <c r="F99" s="5" t="s">
        <v>280</v>
      </c>
      <c r="G99" s="5" t="s">
        <v>208</v>
      </c>
      <c r="H99" s="5" t="s">
        <v>145</v>
      </c>
      <c r="I99" s="94">
        <v>91.2</v>
      </c>
      <c r="J99" s="6">
        <v>0.38636363636363635</v>
      </c>
      <c r="K99" s="6">
        <v>2.3636363636363633</v>
      </c>
      <c r="L99" s="6">
        <v>11.977272727272728</v>
      </c>
      <c r="M99" s="6">
        <v>7.75</v>
      </c>
      <c r="N99" s="6">
        <v>19.97727272727273</v>
      </c>
      <c r="O99" s="6">
        <v>2.2727272727272729</v>
      </c>
      <c r="P99" s="6">
        <v>0.22727272727272727</v>
      </c>
      <c r="Q99" s="6">
        <v>0</v>
      </c>
      <c r="R99" s="6">
        <v>6.7045454545454559</v>
      </c>
      <c r="S99" s="6">
        <v>3.1818181818181817</v>
      </c>
      <c r="T99" s="6">
        <v>2.5454545454545454</v>
      </c>
      <c r="U99" s="6">
        <v>10.045454545454547</v>
      </c>
      <c r="V99" s="6">
        <v>20.31818181818182</v>
      </c>
      <c r="W99" s="7"/>
      <c r="X99" s="5" t="s">
        <v>406</v>
      </c>
      <c r="Y99" s="9" t="s">
        <v>572</v>
      </c>
      <c r="Z99" s="5" t="s">
        <v>580</v>
      </c>
      <c r="AA99" s="91" t="s">
        <v>611</v>
      </c>
      <c r="AB99" s="93" t="s">
        <v>146</v>
      </c>
      <c r="AC99" s="92" t="s">
        <v>245</v>
      </c>
      <c r="AD99" s="91">
        <v>43202</v>
      </c>
    </row>
    <row r="100" spans="1:30" ht="15.6" x14ac:dyDescent="0.3">
      <c r="A100" s="5" t="s">
        <v>224</v>
      </c>
      <c r="B100" s="5" t="s">
        <v>225</v>
      </c>
      <c r="C100" s="5" t="s">
        <v>36</v>
      </c>
      <c r="D100" s="5" t="s">
        <v>157</v>
      </c>
      <c r="E100" s="8">
        <v>76009</v>
      </c>
      <c r="F100" s="5" t="s">
        <v>226</v>
      </c>
      <c r="G100" s="5" t="s">
        <v>144</v>
      </c>
      <c r="H100" s="5" t="s">
        <v>145</v>
      </c>
      <c r="I100" s="94">
        <v>15.7931034482759</v>
      </c>
      <c r="J100" s="6">
        <v>161.18181818181822</v>
      </c>
      <c r="K100" s="6">
        <v>95.136363636363484</v>
      </c>
      <c r="L100" s="6">
        <v>145.45454545454547</v>
      </c>
      <c r="M100" s="6">
        <v>96.909090909090921</v>
      </c>
      <c r="N100" s="6">
        <v>273.95454545454481</v>
      </c>
      <c r="O100" s="6">
        <v>196.88636363636397</v>
      </c>
      <c r="P100" s="6">
        <v>16.659090909090914</v>
      </c>
      <c r="Q100" s="6">
        <v>11.181818181818183</v>
      </c>
      <c r="R100" s="6">
        <v>129.68181818181827</v>
      </c>
      <c r="S100" s="6">
        <v>65.72727272727272</v>
      </c>
      <c r="T100" s="6">
        <v>76.36363636363636</v>
      </c>
      <c r="U100" s="6">
        <v>226.90909090909153</v>
      </c>
      <c r="V100" s="6">
        <v>265.81818181818153</v>
      </c>
      <c r="W100" s="7">
        <v>525</v>
      </c>
      <c r="X100" s="5" t="s">
        <v>146</v>
      </c>
      <c r="Y100" s="9" t="s">
        <v>575</v>
      </c>
      <c r="Z100" s="5" t="s">
        <v>148</v>
      </c>
      <c r="AA100" s="91" t="s">
        <v>581</v>
      </c>
      <c r="AB100" s="93" t="s">
        <v>146</v>
      </c>
      <c r="AC100" s="92" t="s">
        <v>575</v>
      </c>
      <c r="AD100" s="91">
        <v>44237</v>
      </c>
    </row>
    <row r="101" spans="1:30" ht="15.6" x14ac:dyDescent="0.3">
      <c r="A101" s="5" t="s">
        <v>610</v>
      </c>
      <c r="B101" s="5" t="s">
        <v>609</v>
      </c>
      <c r="C101" s="5" t="s">
        <v>608</v>
      </c>
      <c r="D101" s="5" t="s">
        <v>157</v>
      </c>
      <c r="E101" s="8">
        <v>79118</v>
      </c>
      <c r="F101" s="5" t="s">
        <v>226</v>
      </c>
      <c r="G101" s="5" t="s">
        <v>208</v>
      </c>
      <c r="H101" s="5" t="s">
        <v>145</v>
      </c>
      <c r="I101" s="94">
        <v>1.63636363636364</v>
      </c>
      <c r="J101" s="6">
        <v>0.63636363636363624</v>
      </c>
      <c r="K101" s="6">
        <v>0.45454545454545447</v>
      </c>
      <c r="L101" s="6">
        <v>0.34090909090909088</v>
      </c>
      <c r="M101" s="6">
        <v>0.31818181818181818</v>
      </c>
      <c r="N101" s="6">
        <v>1.1818181818181812</v>
      </c>
      <c r="O101" s="6">
        <v>0.45454545454545459</v>
      </c>
      <c r="P101" s="6">
        <v>6.8181818181818177E-2</v>
      </c>
      <c r="Q101" s="6">
        <v>4.5454545454545456E-2</v>
      </c>
      <c r="R101" s="6">
        <v>0.15909090909090909</v>
      </c>
      <c r="S101" s="6">
        <v>6.8181818181818177E-2</v>
      </c>
      <c r="T101" s="6">
        <v>0</v>
      </c>
      <c r="U101" s="6">
        <v>1.5227272727272718</v>
      </c>
      <c r="V101" s="6">
        <v>1.3409090909090902</v>
      </c>
      <c r="W101" s="7"/>
      <c r="X101" s="5" t="s">
        <v>406</v>
      </c>
      <c r="Y101" s="9" t="s">
        <v>572</v>
      </c>
      <c r="Z101" s="5" t="s">
        <v>580</v>
      </c>
      <c r="AA101" s="91" t="s">
        <v>607</v>
      </c>
      <c r="AB101" s="93" t="s">
        <v>406</v>
      </c>
      <c r="AC101" s="92" t="s">
        <v>245</v>
      </c>
      <c r="AD101" s="91">
        <v>43019</v>
      </c>
    </row>
    <row r="102" spans="1:30" ht="15.6" x14ac:dyDescent="0.3">
      <c r="A102" s="5" t="s">
        <v>201</v>
      </c>
      <c r="B102" s="5" t="s">
        <v>202</v>
      </c>
      <c r="C102" s="5" t="s">
        <v>203</v>
      </c>
      <c r="D102" s="5" t="s">
        <v>165</v>
      </c>
      <c r="E102" s="8">
        <v>71202</v>
      </c>
      <c r="F102" s="5" t="s">
        <v>166</v>
      </c>
      <c r="G102" s="5" t="s">
        <v>144</v>
      </c>
      <c r="H102" s="5" t="s">
        <v>4</v>
      </c>
      <c r="I102" s="94">
        <v>32.354838709677402</v>
      </c>
      <c r="J102" s="6">
        <v>577.20454545454072</v>
      </c>
      <c r="K102" s="6">
        <v>1</v>
      </c>
      <c r="L102" s="6">
        <v>3.0909090909090908</v>
      </c>
      <c r="M102" s="6">
        <v>0.31818181818181818</v>
      </c>
      <c r="N102" s="6">
        <v>17.90909090909091</v>
      </c>
      <c r="O102" s="6">
        <v>563.70454545454197</v>
      </c>
      <c r="P102" s="6">
        <v>0</v>
      </c>
      <c r="Q102" s="6">
        <v>0</v>
      </c>
      <c r="R102" s="6">
        <v>5.5227272727272725</v>
      </c>
      <c r="S102" s="6">
        <v>3.5454545454545454</v>
      </c>
      <c r="T102" s="6">
        <v>8.3863636363636367</v>
      </c>
      <c r="U102" s="6">
        <v>564.15909090908747</v>
      </c>
      <c r="V102" s="6">
        <v>321.13636363636459</v>
      </c>
      <c r="W102" s="7">
        <v>677</v>
      </c>
      <c r="X102" s="5" t="s">
        <v>146</v>
      </c>
      <c r="Y102" s="9" t="s">
        <v>575</v>
      </c>
      <c r="Z102" s="5" t="s">
        <v>148</v>
      </c>
      <c r="AA102" s="91" t="s">
        <v>596</v>
      </c>
      <c r="AB102" s="93" t="s">
        <v>146</v>
      </c>
      <c r="AC102" s="92" t="s">
        <v>575</v>
      </c>
      <c r="AD102" s="91">
        <v>44125</v>
      </c>
    </row>
    <row r="103" spans="1:30" ht="15.6" x14ac:dyDescent="0.3">
      <c r="A103" s="5" t="s">
        <v>14</v>
      </c>
      <c r="B103" s="5" t="s">
        <v>257</v>
      </c>
      <c r="C103" s="5" t="s">
        <v>258</v>
      </c>
      <c r="D103" s="5" t="s">
        <v>157</v>
      </c>
      <c r="E103" s="8">
        <v>78046</v>
      </c>
      <c r="F103" s="5" t="s">
        <v>578</v>
      </c>
      <c r="G103" s="5" t="s">
        <v>182</v>
      </c>
      <c r="H103" s="5" t="s">
        <v>4</v>
      </c>
      <c r="I103" s="94">
        <v>13.4</v>
      </c>
      <c r="J103" s="6">
        <v>499.90909090909003</v>
      </c>
      <c r="K103" s="6">
        <v>2.25</v>
      </c>
      <c r="L103" s="6">
        <v>0.68181818181818177</v>
      </c>
      <c r="M103" s="6">
        <v>0</v>
      </c>
      <c r="N103" s="6">
        <v>9.454545454545455</v>
      </c>
      <c r="O103" s="6">
        <v>493.38636363636266</v>
      </c>
      <c r="P103" s="6">
        <v>0</v>
      </c>
      <c r="Q103" s="6">
        <v>0</v>
      </c>
      <c r="R103" s="6">
        <v>1.0909090909090908</v>
      </c>
      <c r="S103" s="6">
        <v>0</v>
      </c>
      <c r="T103" s="6">
        <v>5.704545454545455</v>
      </c>
      <c r="U103" s="6">
        <v>496.04545454545359</v>
      </c>
      <c r="V103" s="6">
        <v>401.88636363636266</v>
      </c>
      <c r="W103" s="7">
        <v>275</v>
      </c>
      <c r="X103" s="5" t="s">
        <v>146</v>
      </c>
      <c r="Y103" s="9" t="s">
        <v>209</v>
      </c>
      <c r="Z103" s="5" t="s">
        <v>148</v>
      </c>
      <c r="AA103" s="91" t="s">
        <v>606</v>
      </c>
      <c r="AB103" s="93" t="s">
        <v>146</v>
      </c>
      <c r="AC103" s="92" t="s">
        <v>209</v>
      </c>
      <c r="AD103" s="91">
        <v>44265</v>
      </c>
    </row>
    <row r="104" spans="1:30" ht="15.6" x14ac:dyDescent="0.3">
      <c r="A104" s="5" t="s">
        <v>259</v>
      </c>
      <c r="B104" s="5" t="s">
        <v>260</v>
      </c>
      <c r="C104" s="5" t="s">
        <v>261</v>
      </c>
      <c r="D104" s="5" t="s">
        <v>165</v>
      </c>
      <c r="E104" s="8">
        <v>71334</v>
      </c>
      <c r="F104" s="5" t="s">
        <v>166</v>
      </c>
      <c r="G104" s="5" t="s">
        <v>144</v>
      </c>
      <c r="H104" s="5" t="s">
        <v>4</v>
      </c>
      <c r="I104" s="94">
        <v>61.461538461538503</v>
      </c>
      <c r="J104" s="6">
        <v>351.27272727272782</v>
      </c>
      <c r="K104" s="6">
        <v>7.5681818181818183</v>
      </c>
      <c r="L104" s="6">
        <v>3.3181818181818183</v>
      </c>
      <c r="M104" s="6">
        <v>0</v>
      </c>
      <c r="N104" s="6">
        <v>13.250000000000002</v>
      </c>
      <c r="O104" s="6">
        <v>348.9090909090915</v>
      </c>
      <c r="P104" s="6">
        <v>0</v>
      </c>
      <c r="Q104" s="6">
        <v>0</v>
      </c>
      <c r="R104" s="6">
        <v>2.6136363636363638</v>
      </c>
      <c r="S104" s="6">
        <v>3.7045454545454546</v>
      </c>
      <c r="T104" s="6">
        <v>5.3863636363636367</v>
      </c>
      <c r="U104" s="6">
        <v>350.45454545454606</v>
      </c>
      <c r="V104" s="6">
        <v>220.02272727272717</v>
      </c>
      <c r="W104" s="7">
        <v>361</v>
      </c>
      <c r="X104" s="5" t="s">
        <v>146</v>
      </c>
      <c r="Y104" s="9" t="s">
        <v>575</v>
      </c>
      <c r="Z104" s="5" t="s">
        <v>148</v>
      </c>
      <c r="AA104" s="91" t="s">
        <v>605</v>
      </c>
      <c r="AB104" s="93" t="s">
        <v>146</v>
      </c>
      <c r="AC104" s="92" t="s">
        <v>575</v>
      </c>
      <c r="AD104" s="91">
        <v>44427</v>
      </c>
    </row>
    <row r="105" spans="1:30" ht="15.6" x14ac:dyDescent="0.3">
      <c r="A105" s="5" t="s">
        <v>403</v>
      </c>
      <c r="B105" s="5" t="s">
        <v>404</v>
      </c>
      <c r="C105" s="5" t="s">
        <v>405</v>
      </c>
      <c r="D105" s="5" t="s">
        <v>153</v>
      </c>
      <c r="E105" s="8">
        <v>30250</v>
      </c>
      <c r="F105" s="5" t="s">
        <v>154</v>
      </c>
      <c r="G105" s="5" t="s">
        <v>182</v>
      </c>
      <c r="H105" s="5" t="s">
        <v>145</v>
      </c>
      <c r="I105" s="94">
        <v>3.60606060606061</v>
      </c>
      <c r="J105" s="6">
        <v>0.43181818181818182</v>
      </c>
      <c r="K105" s="6">
        <v>0.65909090909090895</v>
      </c>
      <c r="L105" s="6">
        <v>1.0454545454545454</v>
      </c>
      <c r="M105" s="6">
        <v>0.84090909090909083</v>
      </c>
      <c r="N105" s="6">
        <v>1.8863636363636356</v>
      </c>
      <c r="O105" s="6">
        <v>1.0909090909090908</v>
      </c>
      <c r="P105" s="6">
        <v>0</v>
      </c>
      <c r="Q105" s="6">
        <v>0</v>
      </c>
      <c r="R105" s="6">
        <v>9.0909090909090912E-2</v>
      </c>
      <c r="S105" s="6">
        <v>0.27272727272727271</v>
      </c>
      <c r="T105" s="6">
        <v>0</v>
      </c>
      <c r="U105" s="6">
        <v>2.6136363636363633</v>
      </c>
      <c r="V105" s="6">
        <v>2.022727272727272</v>
      </c>
      <c r="W105" s="7"/>
      <c r="X105" s="5" t="s">
        <v>146</v>
      </c>
      <c r="Y105" s="9" t="s">
        <v>572</v>
      </c>
      <c r="Z105" s="5" t="s">
        <v>256</v>
      </c>
      <c r="AA105" s="91" t="s">
        <v>604</v>
      </c>
      <c r="AB105" s="93" t="s">
        <v>146</v>
      </c>
      <c r="AC105" s="92" t="s">
        <v>245</v>
      </c>
      <c r="AD105" s="91">
        <v>43804</v>
      </c>
    </row>
    <row r="106" spans="1:30" ht="15.6" x14ac:dyDescent="0.3">
      <c r="A106" s="5" t="s">
        <v>365</v>
      </c>
      <c r="B106" s="5" t="s">
        <v>366</v>
      </c>
      <c r="C106" s="5" t="s">
        <v>367</v>
      </c>
      <c r="D106" s="5" t="s">
        <v>318</v>
      </c>
      <c r="E106" s="8">
        <v>48060</v>
      </c>
      <c r="F106" s="5" t="s">
        <v>313</v>
      </c>
      <c r="G106" s="5" t="s">
        <v>167</v>
      </c>
      <c r="H106" s="5" t="s">
        <v>4</v>
      </c>
      <c r="I106" s="94">
        <v>22</v>
      </c>
      <c r="J106" s="6">
        <v>19.38636363636363</v>
      </c>
      <c r="K106" s="6">
        <v>8.5454545454545467</v>
      </c>
      <c r="L106" s="6">
        <v>3.25</v>
      </c>
      <c r="M106" s="6">
        <v>1.9318181818181819</v>
      </c>
      <c r="N106" s="6">
        <v>11.227272727272727</v>
      </c>
      <c r="O106" s="6">
        <v>21.886363636363633</v>
      </c>
      <c r="P106" s="6">
        <v>0</v>
      </c>
      <c r="Q106" s="6">
        <v>0</v>
      </c>
      <c r="R106" s="6">
        <v>3.9090909090909092</v>
      </c>
      <c r="S106" s="6">
        <v>3.2272727272727271</v>
      </c>
      <c r="T106" s="6">
        <v>2.9090909090909092</v>
      </c>
      <c r="U106" s="6">
        <v>23.068181818181813</v>
      </c>
      <c r="V106" s="6">
        <v>23.95454545454545</v>
      </c>
      <c r="W106" s="7"/>
      <c r="X106" s="5" t="s">
        <v>146</v>
      </c>
      <c r="Y106" s="9" t="s">
        <v>572</v>
      </c>
      <c r="Z106" s="5" t="s">
        <v>256</v>
      </c>
      <c r="AA106" s="91" t="s">
        <v>603</v>
      </c>
      <c r="AB106" s="93" t="s">
        <v>146</v>
      </c>
      <c r="AC106" s="92" t="s">
        <v>209</v>
      </c>
      <c r="AD106" s="91">
        <v>44105</v>
      </c>
    </row>
    <row r="107" spans="1:30" ht="15.6" x14ac:dyDescent="0.3">
      <c r="A107" s="5" t="s">
        <v>427</v>
      </c>
      <c r="B107" s="5" t="s">
        <v>428</v>
      </c>
      <c r="C107" s="5" t="s">
        <v>429</v>
      </c>
      <c r="D107" s="5" t="s">
        <v>430</v>
      </c>
      <c r="E107" s="8">
        <v>96950</v>
      </c>
      <c r="F107" s="5" t="s">
        <v>272</v>
      </c>
      <c r="G107" s="5" t="s">
        <v>208</v>
      </c>
      <c r="H107" s="5" t="s">
        <v>145</v>
      </c>
      <c r="I107" s="94"/>
      <c r="J107" s="6">
        <v>1</v>
      </c>
      <c r="K107" s="6">
        <v>0</v>
      </c>
      <c r="L107" s="6">
        <v>0</v>
      </c>
      <c r="M107" s="6">
        <v>0</v>
      </c>
      <c r="N107" s="6">
        <v>0</v>
      </c>
      <c r="O107" s="6">
        <v>0</v>
      </c>
      <c r="P107" s="6">
        <v>1</v>
      </c>
      <c r="Q107" s="6">
        <v>0</v>
      </c>
      <c r="R107" s="6">
        <v>1</v>
      </c>
      <c r="S107" s="6">
        <v>0</v>
      </c>
      <c r="T107" s="6">
        <v>0</v>
      </c>
      <c r="U107" s="6">
        <v>0</v>
      </c>
      <c r="V107" s="6">
        <v>0</v>
      </c>
      <c r="W107" s="7"/>
      <c r="X107" s="5" t="s">
        <v>406</v>
      </c>
      <c r="Y107" s="9" t="s">
        <v>572</v>
      </c>
      <c r="Z107" s="5" t="s">
        <v>580</v>
      </c>
      <c r="AA107" s="91" t="s">
        <v>602</v>
      </c>
      <c r="AB107" s="93" t="s">
        <v>168</v>
      </c>
      <c r="AC107" s="92"/>
      <c r="AD107" s="91"/>
    </row>
    <row r="108" spans="1:30" ht="15.6" x14ac:dyDescent="0.3">
      <c r="A108" s="5" t="s">
        <v>469</v>
      </c>
      <c r="B108" s="5" t="s">
        <v>470</v>
      </c>
      <c r="C108" s="5" t="s">
        <v>471</v>
      </c>
      <c r="D108" s="5" t="s">
        <v>410</v>
      </c>
      <c r="E108" s="8">
        <v>84119</v>
      </c>
      <c r="F108" s="5" t="s">
        <v>302</v>
      </c>
      <c r="G108" s="5" t="s">
        <v>208</v>
      </c>
      <c r="H108" s="5" t="s">
        <v>145</v>
      </c>
      <c r="I108" s="94">
        <v>1.84210526315789</v>
      </c>
      <c r="J108" s="6">
        <v>0.11363636363636365</v>
      </c>
      <c r="K108" s="6">
        <v>0.95454545454545414</v>
      </c>
      <c r="L108" s="6">
        <v>1.4999999999999993</v>
      </c>
      <c r="M108" s="6">
        <v>0.40909090909090901</v>
      </c>
      <c r="N108" s="6">
        <v>2.4318181818181812</v>
      </c>
      <c r="O108" s="6">
        <v>0.47727272727272724</v>
      </c>
      <c r="P108" s="6">
        <v>2.2727272727272728E-2</v>
      </c>
      <c r="Q108" s="6">
        <v>4.5454545454545456E-2</v>
      </c>
      <c r="R108" s="6">
        <v>0.15909090909090909</v>
      </c>
      <c r="S108" s="6">
        <v>9.0909090909090912E-2</v>
      </c>
      <c r="T108" s="6">
        <v>4.5454545454545456E-2</v>
      </c>
      <c r="U108" s="6">
        <v>2.681818181818183</v>
      </c>
      <c r="V108" s="6">
        <v>2.2727272727272725</v>
      </c>
      <c r="W108" s="7"/>
      <c r="X108" s="5" t="s">
        <v>406</v>
      </c>
      <c r="Y108" s="9" t="s">
        <v>572</v>
      </c>
      <c r="Z108" s="5" t="s">
        <v>580</v>
      </c>
      <c r="AA108" s="91" t="s">
        <v>601</v>
      </c>
      <c r="AB108" s="93" t="s">
        <v>406</v>
      </c>
      <c r="AC108" s="92" t="s">
        <v>245</v>
      </c>
      <c r="AD108" s="91">
        <v>43358</v>
      </c>
    </row>
    <row r="109" spans="1:30" ht="15.6" x14ac:dyDescent="0.3">
      <c r="A109" s="5" t="s">
        <v>600</v>
      </c>
      <c r="B109" s="5" t="s">
        <v>599</v>
      </c>
      <c r="C109" s="5" t="s">
        <v>598</v>
      </c>
      <c r="D109" s="5" t="s">
        <v>425</v>
      </c>
      <c r="E109" s="8">
        <v>965</v>
      </c>
      <c r="F109" s="5" t="s">
        <v>27</v>
      </c>
      <c r="G109" s="5" t="s">
        <v>286</v>
      </c>
      <c r="H109" s="5" t="s">
        <v>145</v>
      </c>
      <c r="I109" s="94">
        <v>1.89090909090909</v>
      </c>
      <c r="J109" s="6">
        <v>7.0227272727272707</v>
      </c>
      <c r="K109" s="6">
        <v>9.0909090909090912E-2</v>
      </c>
      <c r="L109" s="6">
        <v>4.5454545454545456E-2</v>
      </c>
      <c r="M109" s="6">
        <v>0</v>
      </c>
      <c r="N109" s="6">
        <v>9.0909090909090912E-2</v>
      </c>
      <c r="O109" s="6">
        <v>5.2954545454545512</v>
      </c>
      <c r="P109" s="6">
        <v>2.2727272727272728E-2</v>
      </c>
      <c r="Q109" s="6">
        <v>1.7499999999999993</v>
      </c>
      <c r="R109" s="6">
        <v>0</v>
      </c>
      <c r="S109" s="6">
        <v>2.2727272727272728E-2</v>
      </c>
      <c r="T109" s="6">
        <v>0</v>
      </c>
      <c r="U109" s="6">
        <v>7.1363636363636331</v>
      </c>
      <c r="V109" s="6">
        <v>5.8636363636363704</v>
      </c>
      <c r="W109" s="7"/>
      <c r="X109" s="5" t="s">
        <v>168</v>
      </c>
      <c r="Y109" s="9"/>
      <c r="Z109" s="5"/>
      <c r="AA109" s="91"/>
      <c r="AB109" s="93" t="s">
        <v>168</v>
      </c>
      <c r="AC109" s="92"/>
      <c r="AD109" s="91"/>
    </row>
    <row r="110" spans="1:30" ht="15.6" x14ac:dyDescent="0.3">
      <c r="A110" s="5" t="s">
        <v>371</v>
      </c>
      <c r="B110" s="5" t="s">
        <v>372</v>
      </c>
      <c r="C110" s="5" t="s">
        <v>373</v>
      </c>
      <c r="D110" s="5" t="s">
        <v>169</v>
      </c>
      <c r="E110" s="8">
        <v>85349</v>
      </c>
      <c r="F110" s="5" t="s">
        <v>181</v>
      </c>
      <c r="G110" s="5" t="s">
        <v>167</v>
      </c>
      <c r="H110" s="5" t="s">
        <v>145</v>
      </c>
      <c r="I110" s="94">
        <v>5.2553699284009499</v>
      </c>
      <c r="J110" s="6">
        <v>105.90909090909072</v>
      </c>
      <c r="K110" s="6">
        <v>1.8409090909090899</v>
      </c>
      <c r="L110" s="6">
        <v>0.18181818181818182</v>
      </c>
      <c r="M110" s="6">
        <v>0.15909090909090909</v>
      </c>
      <c r="N110" s="6">
        <v>2.2045454545454537</v>
      </c>
      <c r="O110" s="6">
        <v>76.159090909090722</v>
      </c>
      <c r="P110" s="6">
        <v>0</v>
      </c>
      <c r="Q110" s="6">
        <v>29.727272727272755</v>
      </c>
      <c r="R110" s="6">
        <v>0.11363636363636363</v>
      </c>
      <c r="S110" s="6">
        <v>0</v>
      </c>
      <c r="T110" s="6">
        <v>0</v>
      </c>
      <c r="U110" s="6">
        <v>107.97727272727253</v>
      </c>
      <c r="V110" s="6">
        <v>95.795454545454447</v>
      </c>
      <c r="W110" s="7">
        <v>100</v>
      </c>
      <c r="X110" s="5" t="s">
        <v>146</v>
      </c>
      <c r="Y110" s="9" t="s">
        <v>572</v>
      </c>
      <c r="Z110" s="5" t="s">
        <v>256</v>
      </c>
      <c r="AA110" s="91" t="s">
        <v>597</v>
      </c>
      <c r="AB110" s="93" t="s">
        <v>146</v>
      </c>
      <c r="AC110" s="92" t="s">
        <v>572</v>
      </c>
      <c r="AD110" s="91">
        <v>44314</v>
      </c>
    </row>
    <row r="111" spans="1:30" ht="15.6" x14ac:dyDescent="0.3">
      <c r="A111" s="5" t="s">
        <v>13</v>
      </c>
      <c r="B111" s="5" t="s">
        <v>369</v>
      </c>
      <c r="C111" s="5" t="s">
        <v>370</v>
      </c>
      <c r="D111" s="5" t="s">
        <v>312</v>
      </c>
      <c r="E111" s="8">
        <v>44883</v>
      </c>
      <c r="F111" s="5" t="s">
        <v>313</v>
      </c>
      <c r="G111" s="5" t="s">
        <v>167</v>
      </c>
      <c r="H111" s="5" t="s">
        <v>145</v>
      </c>
      <c r="I111" s="94">
        <v>139.5</v>
      </c>
      <c r="J111" s="6">
        <v>18.863636363636367</v>
      </c>
      <c r="K111" s="6">
        <v>6.704545454545455</v>
      </c>
      <c r="L111" s="6">
        <v>14.09090909090909</v>
      </c>
      <c r="M111" s="6">
        <v>15.022727272727277</v>
      </c>
      <c r="N111" s="6">
        <v>31.113636363636363</v>
      </c>
      <c r="O111" s="6">
        <v>21.568181818181817</v>
      </c>
      <c r="P111" s="6">
        <v>1</v>
      </c>
      <c r="Q111" s="6">
        <v>1</v>
      </c>
      <c r="R111" s="6">
        <v>18.363636363636367</v>
      </c>
      <c r="S111" s="6">
        <v>5.1590909090909092</v>
      </c>
      <c r="T111" s="6">
        <v>7.7954545454545459</v>
      </c>
      <c r="U111" s="6">
        <v>23.36363636363636</v>
      </c>
      <c r="V111" s="6">
        <v>42.38636363636364</v>
      </c>
      <c r="W111" s="7"/>
      <c r="X111" s="5" t="s">
        <v>146</v>
      </c>
      <c r="Y111" s="9" t="s">
        <v>245</v>
      </c>
      <c r="Z111" s="5" t="s">
        <v>256</v>
      </c>
      <c r="AA111" s="91" t="s">
        <v>596</v>
      </c>
      <c r="AB111" s="93" t="s">
        <v>146</v>
      </c>
      <c r="AC111" s="92" t="s">
        <v>245</v>
      </c>
      <c r="AD111" s="91">
        <v>44209</v>
      </c>
    </row>
    <row r="112" spans="1:30" ht="15.6" x14ac:dyDescent="0.3">
      <c r="A112" s="5" t="s">
        <v>17</v>
      </c>
      <c r="B112" s="5" t="s">
        <v>277</v>
      </c>
      <c r="C112" s="5" t="s">
        <v>278</v>
      </c>
      <c r="D112" s="5" t="s">
        <v>279</v>
      </c>
      <c r="E112" s="8">
        <v>55330</v>
      </c>
      <c r="F112" s="5" t="s">
        <v>280</v>
      </c>
      <c r="G112" s="5" t="s">
        <v>167</v>
      </c>
      <c r="H112" s="5" t="s">
        <v>145</v>
      </c>
      <c r="I112" s="94">
        <v>377.66666666666703</v>
      </c>
      <c r="J112" s="6">
        <v>0</v>
      </c>
      <c r="K112" s="6">
        <v>0</v>
      </c>
      <c r="L112" s="6">
        <v>2</v>
      </c>
      <c r="M112" s="6">
        <v>1.1818181818181817</v>
      </c>
      <c r="N112" s="6">
        <v>3.1818181818181817</v>
      </c>
      <c r="O112" s="6">
        <v>0</v>
      </c>
      <c r="P112" s="6">
        <v>0</v>
      </c>
      <c r="Q112" s="6">
        <v>0</v>
      </c>
      <c r="R112" s="6">
        <v>3</v>
      </c>
      <c r="S112" s="6">
        <v>0</v>
      </c>
      <c r="T112" s="6">
        <v>0</v>
      </c>
      <c r="U112" s="6">
        <v>0.18181818181818182</v>
      </c>
      <c r="V112" s="6">
        <v>2.1818181818181817</v>
      </c>
      <c r="W112" s="7"/>
      <c r="X112" s="5" t="s">
        <v>146</v>
      </c>
      <c r="Y112" s="9" t="s">
        <v>572</v>
      </c>
      <c r="Z112" s="5" t="s">
        <v>246</v>
      </c>
      <c r="AA112" s="91" t="s">
        <v>595</v>
      </c>
      <c r="AB112" s="93" t="s">
        <v>146</v>
      </c>
      <c r="AC112" s="92" t="s">
        <v>572</v>
      </c>
      <c r="AD112" s="91">
        <v>44217</v>
      </c>
    </row>
    <row r="113" spans="1:30" ht="15.6" x14ac:dyDescent="0.3">
      <c r="A113" s="5" t="s">
        <v>441</v>
      </c>
      <c r="B113" s="5" t="s">
        <v>442</v>
      </c>
      <c r="C113" s="5" t="s">
        <v>443</v>
      </c>
      <c r="D113" s="5" t="s">
        <v>444</v>
      </c>
      <c r="E113" s="8">
        <v>25309</v>
      </c>
      <c r="F113" s="5" t="s">
        <v>249</v>
      </c>
      <c r="G113" s="5" t="s">
        <v>208</v>
      </c>
      <c r="H113" s="5" t="s">
        <v>145</v>
      </c>
      <c r="I113" s="94">
        <v>7</v>
      </c>
      <c r="J113" s="6">
        <v>0</v>
      </c>
      <c r="K113" s="6">
        <v>0</v>
      </c>
      <c r="L113" s="6">
        <v>3.2272727272727266</v>
      </c>
      <c r="M113" s="6">
        <v>0</v>
      </c>
      <c r="N113" s="6">
        <v>2.7499999999999996</v>
      </c>
      <c r="O113" s="6">
        <v>0.47727272727272729</v>
      </c>
      <c r="P113" s="6">
        <v>0</v>
      </c>
      <c r="Q113" s="6">
        <v>0</v>
      </c>
      <c r="R113" s="6">
        <v>0.75</v>
      </c>
      <c r="S113" s="6">
        <v>0</v>
      </c>
      <c r="T113" s="6">
        <v>0</v>
      </c>
      <c r="U113" s="6">
        <v>2.4772727272727266</v>
      </c>
      <c r="V113" s="6">
        <v>2.9772727272727266</v>
      </c>
      <c r="W113" s="7"/>
      <c r="X113" s="5" t="s">
        <v>406</v>
      </c>
      <c r="Y113" s="9" t="s">
        <v>245</v>
      </c>
      <c r="Z113" s="5" t="s">
        <v>256</v>
      </c>
      <c r="AA113" s="91" t="s">
        <v>445</v>
      </c>
      <c r="AB113" s="93" t="s">
        <v>406</v>
      </c>
      <c r="AC113" s="92" t="s">
        <v>245</v>
      </c>
      <c r="AD113" s="91">
        <v>42996</v>
      </c>
    </row>
    <row r="114" spans="1:30" ht="15.6" x14ac:dyDescent="0.3">
      <c r="A114" s="5" t="s">
        <v>218</v>
      </c>
      <c r="B114" s="5" t="s">
        <v>219</v>
      </c>
      <c r="C114" s="5" t="s">
        <v>220</v>
      </c>
      <c r="D114" s="5" t="s">
        <v>165</v>
      </c>
      <c r="E114" s="8">
        <v>70515</v>
      </c>
      <c r="F114" s="5" t="s">
        <v>166</v>
      </c>
      <c r="G114" s="5" t="s">
        <v>144</v>
      </c>
      <c r="H114" s="5" t="s">
        <v>145</v>
      </c>
      <c r="I114" s="94">
        <v>13.714285714285699</v>
      </c>
      <c r="J114" s="6">
        <v>632.34090909090605</v>
      </c>
      <c r="K114" s="6">
        <v>8.3181818181818201</v>
      </c>
      <c r="L114" s="6">
        <v>26.090909090909086</v>
      </c>
      <c r="M114" s="6">
        <v>4.1818181818181817</v>
      </c>
      <c r="N114" s="6">
        <v>0</v>
      </c>
      <c r="O114" s="6">
        <v>3.4090909090909092</v>
      </c>
      <c r="P114" s="6">
        <v>37.022727272727259</v>
      </c>
      <c r="Q114" s="6">
        <v>630.49999999999682</v>
      </c>
      <c r="R114" s="6">
        <v>26.840909090909086</v>
      </c>
      <c r="S114" s="6">
        <v>7.3863636363636349</v>
      </c>
      <c r="T114" s="6">
        <v>2.3409090909090913</v>
      </c>
      <c r="U114" s="6">
        <v>634.36363636363319</v>
      </c>
      <c r="V114" s="6">
        <v>399.43181818181768</v>
      </c>
      <c r="W114" s="7">
        <v>700</v>
      </c>
      <c r="X114" s="5" t="s">
        <v>146</v>
      </c>
      <c r="Y114" s="9" t="s">
        <v>575</v>
      </c>
      <c r="Z114" s="5" t="s">
        <v>148</v>
      </c>
      <c r="AA114" s="91" t="s">
        <v>594</v>
      </c>
      <c r="AB114" s="93" t="s">
        <v>146</v>
      </c>
      <c r="AC114" s="92" t="s">
        <v>575</v>
      </c>
      <c r="AD114" s="91">
        <v>44176</v>
      </c>
    </row>
    <row r="115" spans="1:30" ht="18.600000000000001" x14ac:dyDescent="0.3">
      <c r="A115" s="5" t="s">
        <v>593</v>
      </c>
      <c r="B115" s="5" t="s">
        <v>592</v>
      </c>
      <c r="C115" s="5" t="s">
        <v>160</v>
      </c>
      <c r="D115" s="5" t="s">
        <v>157</v>
      </c>
      <c r="E115" s="8">
        <v>78017</v>
      </c>
      <c r="F115" s="5" t="s">
        <v>158</v>
      </c>
      <c r="G115" s="5" t="s">
        <v>144</v>
      </c>
      <c r="H115" s="5" t="s">
        <v>145</v>
      </c>
      <c r="I115" s="94">
        <v>3.8478260869565202</v>
      </c>
      <c r="J115" s="6">
        <v>1583.6590909090978</v>
      </c>
      <c r="K115" s="6">
        <v>4.9318181818181817</v>
      </c>
      <c r="L115" s="6">
        <v>1.4545454545454546</v>
      </c>
      <c r="M115" s="6">
        <v>0</v>
      </c>
      <c r="N115" s="6">
        <v>0</v>
      </c>
      <c r="O115" s="6">
        <v>6.204545454545455</v>
      </c>
      <c r="P115" s="6">
        <v>4.6363636363636367</v>
      </c>
      <c r="Q115" s="6">
        <v>1579.204545454553</v>
      </c>
      <c r="R115" s="6">
        <v>0</v>
      </c>
      <c r="S115" s="6">
        <v>0</v>
      </c>
      <c r="T115" s="6">
        <v>4.3181818181818183</v>
      </c>
      <c r="U115" s="6">
        <v>1585.7272727272796</v>
      </c>
      <c r="V115" s="6">
        <v>1169.3409090909101</v>
      </c>
      <c r="W115" s="7">
        <v>2400</v>
      </c>
      <c r="X115" s="5" t="s">
        <v>146</v>
      </c>
      <c r="Y115" s="9" t="s">
        <v>161</v>
      </c>
      <c r="Z115" s="5"/>
      <c r="AA115" s="91" t="s">
        <v>591</v>
      </c>
      <c r="AB115" s="93" t="s">
        <v>146</v>
      </c>
      <c r="AC115" s="92" t="s">
        <v>161</v>
      </c>
      <c r="AD115" s="91">
        <v>44672</v>
      </c>
    </row>
    <row r="116" spans="1:30" ht="15.6" x14ac:dyDescent="0.3">
      <c r="A116" s="5" t="s">
        <v>16</v>
      </c>
      <c r="B116" s="5" t="s">
        <v>155</v>
      </c>
      <c r="C116" s="5" t="s">
        <v>156</v>
      </c>
      <c r="D116" s="5" t="s">
        <v>157</v>
      </c>
      <c r="E116" s="8">
        <v>78061</v>
      </c>
      <c r="F116" s="5" t="s">
        <v>158</v>
      </c>
      <c r="G116" s="5" t="s">
        <v>159</v>
      </c>
      <c r="H116" s="5" t="s">
        <v>145</v>
      </c>
      <c r="I116" s="94">
        <v>21.580645161290299</v>
      </c>
      <c r="J116" s="6">
        <v>1124.3636363636208</v>
      </c>
      <c r="K116" s="6">
        <v>103.90909090909089</v>
      </c>
      <c r="L116" s="6">
        <v>125.27272727272735</v>
      </c>
      <c r="M116" s="6">
        <v>63.409090909090899</v>
      </c>
      <c r="N116" s="6">
        <v>278.63636363636368</v>
      </c>
      <c r="O116" s="6">
        <v>1138.3181818181661</v>
      </c>
      <c r="P116" s="6">
        <v>0</v>
      </c>
      <c r="Q116" s="6">
        <v>0</v>
      </c>
      <c r="R116" s="6">
        <v>83.13636363636364</v>
      </c>
      <c r="S116" s="6">
        <v>72.931818181818159</v>
      </c>
      <c r="T116" s="6">
        <v>110.93181818181817</v>
      </c>
      <c r="U116" s="6">
        <v>1149.9545454545284</v>
      </c>
      <c r="V116" s="6">
        <v>1096.9545454545303</v>
      </c>
      <c r="W116" s="7">
        <v>1350</v>
      </c>
      <c r="X116" s="5" t="s">
        <v>146</v>
      </c>
      <c r="Y116" s="9" t="s">
        <v>575</v>
      </c>
      <c r="Z116" s="5" t="s">
        <v>148</v>
      </c>
      <c r="AA116" s="91" t="s">
        <v>590</v>
      </c>
      <c r="AB116" s="93" t="s">
        <v>146</v>
      </c>
      <c r="AC116" s="92" t="s">
        <v>575</v>
      </c>
      <c r="AD116" s="91">
        <v>44253</v>
      </c>
    </row>
    <row r="117" spans="1:30" ht="15.6" x14ac:dyDescent="0.3">
      <c r="A117" s="5" t="s">
        <v>150</v>
      </c>
      <c r="B117" s="5" t="s">
        <v>151</v>
      </c>
      <c r="C117" s="5" t="s">
        <v>152</v>
      </c>
      <c r="D117" s="5" t="s">
        <v>153</v>
      </c>
      <c r="E117" s="8">
        <v>31815</v>
      </c>
      <c r="F117" s="5" t="s">
        <v>154</v>
      </c>
      <c r="G117" s="5" t="s">
        <v>144</v>
      </c>
      <c r="H117" s="5" t="s">
        <v>145</v>
      </c>
      <c r="I117" s="94">
        <v>84.020408163265301</v>
      </c>
      <c r="J117" s="6">
        <v>734.40909090909668</v>
      </c>
      <c r="K117" s="6">
        <v>104.84090909090912</v>
      </c>
      <c r="L117" s="6">
        <v>197.2727272727272</v>
      </c>
      <c r="M117" s="6">
        <v>265.95454545454544</v>
      </c>
      <c r="N117" s="6">
        <v>482.93181818181887</v>
      </c>
      <c r="O117" s="6">
        <v>648.04545454545973</v>
      </c>
      <c r="P117" s="6">
        <v>27.681818181818183</v>
      </c>
      <c r="Q117" s="6">
        <v>143.81818181818139</v>
      </c>
      <c r="R117" s="6">
        <v>257.29545454545439</v>
      </c>
      <c r="S117" s="6">
        <v>78.318181818181841</v>
      </c>
      <c r="T117" s="6">
        <v>60.681818181818173</v>
      </c>
      <c r="U117" s="6">
        <v>906.18181818182245</v>
      </c>
      <c r="V117" s="6">
        <v>999.68181818182154</v>
      </c>
      <c r="W117" s="7">
        <v>1600</v>
      </c>
      <c r="X117" s="5" t="s">
        <v>146</v>
      </c>
      <c r="Y117" s="9" t="s">
        <v>575</v>
      </c>
      <c r="Z117" s="5" t="s">
        <v>148</v>
      </c>
      <c r="AA117" s="91" t="s">
        <v>589</v>
      </c>
      <c r="AB117" s="93" t="s">
        <v>146</v>
      </c>
      <c r="AC117" s="92" t="s">
        <v>575</v>
      </c>
      <c r="AD117" s="91">
        <v>44322</v>
      </c>
    </row>
    <row r="118" spans="1:30" ht="15.6" x14ac:dyDescent="0.3">
      <c r="A118" s="5" t="s">
        <v>342</v>
      </c>
      <c r="B118" s="5" t="s">
        <v>343</v>
      </c>
      <c r="C118" s="5" t="s">
        <v>344</v>
      </c>
      <c r="D118" s="5" t="s">
        <v>345</v>
      </c>
      <c r="E118" s="8">
        <v>3820</v>
      </c>
      <c r="F118" s="5" t="s">
        <v>276</v>
      </c>
      <c r="G118" s="5" t="s">
        <v>167</v>
      </c>
      <c r="H118" s="5" t="s">
        <v>145</v>
      </c>
      <c r="I118" s="94">
        <v>118</v>
      </c>
      <c r="J118" s="6">
        <v>0</v>
      </c>
      <c r="K118" s="6">
        <v>0</v>
      </c>
      <c r="L118" s="6">
        <v>9.4772727272727284</v>
      </c>
      <c r="M118" s="6">
        <v>21.204545454545453</v>
      </c>
      <c r="N118" s="6">
        <v>21.386363636363633</v>
      </c>
      <c r="O118" s="6">
        <v>8.7727272727272734</v>
      </c>
      <c r="P118" s="6">
        <v>0.43181818181818182</v>
      </c>
      <c r="Q118" s="6">
        <v>9.0909090909090912E-2</v>
      </c>
      <c r="R118" s="6">
        <v>16.34090909090909</v>
      </c>
      <c r="S118" s="6">
        <v>1.3863636363636362</v>
      </c>
      <c r="T118" s="6">
        <v>2</v>
      </c>
      <c r="U118" s="6">
        <v>10.954545454545455</v>
      </c>
      <c r="V118" s="6">
        <v>15.727272727272727</v>
      </c>
      <c r="W118" s="7"/>
      <c r="X118" s="5" t="s">
        <v>146</v>
      </c>
      <c r="Y118" s="9" t="s">
        <v>209</v>
      </c>
      <c r="Z118" s="5" t="s">
        <v>148</v>
      </c>
      <c r="AA118" s="91" t="s">
        <v>588</v>
      </c>
      <c r="AB118" s="93" t="s">
        <v>146</v>
      </c>
      <c r="AC118" s="92" t="s">
        <v>209</v>
      </c>
      <c r="AD118" s="91">
        <v>44175</v>
      </c>
    </row>
    <row r="119" spans="1:30" ht="15.6" x14ac:dyDescent="0.3">
      <c r="A119" s="5" t="s">
        <v>587</v>
      </c>
      <c r="B119" s="5" t="s">
        <v>250</v>
      </c>
      <c r="C119" s="5" t="s">
        <v>31</v>
      </c>
      <c r="D119" s="5" t="s">
        <v>157</v>
      </c>
      <c r="E119" s="8">
        <v>76574</v>
      </c>
      <c r="F119" s="5" t="s">
        <v>158</v>
      </c>
      <c r="G119" s="5" t="s">
        <v>144</v>
      </c>
      <c r="H119" s="5" t="s">
        <v>4</v>
      </c>
      <c r="I119" s="94">
        <v>31.727272727272702</v>
      </c>
      <c r="J119" s="6">
        <v>408.1136363636366</v>
      </c>
      <c r="K119" s="6">
        <v>3.3181818181818183</v>
      </c>
      <c r="L119" s="6">
        <v>1.2272727272727273</v>
      </c>
      <c r="M119" s="6">
        <v>0</v>
      </c>
      <c r="N119" s="6">
        <v>12.159090909090907</v>
      </c>
      <c r="O119" s="6">
        <v>400.50000000000028</v>
      </c>
      <c r="P119" s="6">
        <v>0</v>
      </c>
      <c r="Q119" s="6">
        <v>0</v>
      </c>
      <c r="R119" s="6">
        <v>0.56818181818181812</v>
      </c>
      <c r="S119" s="6">
        <v>1.0454545454545454</v>
      </c>
      <c r="T119" s="6">
        <v>7.6136363636363624</v>
      </c>
      <c r="U119" s="6">
        <v>403.43181818181841</v>
      </c>
      <c r="V119" s="6">
        <v>195.93181818181762</v>
      </c>
      <c r="W119" s="7">
        <v>461</v>
      </c>
      <c r="X119" s="5" t="s">
        <v>146</v>
      </c>
      <c r="Y119" s="9" t="s">
        <v>575</v>
      </c>
      <c r="Z119" s="5" t="s">
        <v>148</v>
      </c>
      <c r="AA119" s="91" t="s">
        <v>586</v>
      </c>
      <c r="AB119" s="93" t="s">
        <v>146</v>
      </c>
      <c r="AC119" s="92" t="s">
        <v>575</v>
      </c>
      <c r="AD119" s="91">
        <v>44286</v>
      </c>
    </row>
    <row r="120" spans="1:30" ht="15.6" x14ac:dyDescent="0.3">
      <c r="A120" s="5" t="s">
        <v>183</v>
      </c>
      <c r="B120" s="5" t="s">
        <v>184</v>
      </c>
      <c r="C120" s="5" t="s">
        <v>185</v>
      </c>
      <c r="D120" s="5" t="s">
        <v>186</v>
      </c>
      <c r="E120" s="8">
        <v>98421</v>
      </c>
      <c r="F120" s="5" t="s">
        <v>187</v>
      </c>
      <c r="G120" s="5" t="s">
        <v>159</v>
      </c>
      <c r="H120" s="5" t="s">
        <v>145</v>
      </c>
      <c r="I120" s="94">
        <v>97.8</v>
      </c>
      <c r="J120" s="6">
        <v>256.81818181818051</v>
      </c>
      <c r="K120" s="6">
        <v>56.06818181818182</v>
      </c>
      <c r="L120" s="6">
        <v>68.431818181818173</v>
      </c>
      <c r="M120" s="6">
        <v>75.431818181818173</v>
      </c>
      <c r="N120" s="6">
        <v>160.70454545454544</v>
      </c>
      <c r="O120" s="6">
        <v>268.022727272726</v>
      </c>
      <c r="P120" s="6">
        <v>13.863636363636365</v>
      </c>
      <c r="Q120" s="6">
        <v>14.159090909090912</v>
      </c>
      <c r="R120" s="6">
        <v>109.47727272727271</v>
      </c>
      <c r="S120" s="6">
        <v>25.818181818181813</v>
      </c>
      <c r="T120" s="6">
        <v>11.431818181818182</v>
      </c>
      <c r="U120" s="6">
        <v>310.02272727272617</v>
      </c>
      <c r="V120" s="6">
        <v>236.56818181818178</v>
      </c>
      <c r="W120" s="7">
        <v>1181</v>
      </c>
      <c r="X120" s="5" t="s">
        <v>146</v>
      </c>
      <c r="Y120" s="9" t="s">
        <v>575</v>
      </c>
      <c r="Z120" s="5" t="s">
        <v>148</v>
      </c>
      <c r="AA120" s="91" t="s">
        <v>585</v>
      </c>
      <c r="AB120" s="93" t="s">
        <v>146</v>
      </c>
      <c r="AC120" s="92" t="s">
        <v>575</v>
      </c>
      <c r="AD120" s="91">
        <v>44329</v>
      </c>
    </row>
    <row r="121" spans="1:30" ht="15.6" x14ac:dyDescent="0.3">
      <c r="A121" s="5" t="s">
        <v>282</v>
      </c>
      <c r="B121" s="5" t="s">
        <v>283</v>
      </c>
      <c r="C121" s="5" t="s">
        <v>284</v>
      </c>
      <c r="D121" s="5" t="s">
        <v>195</v>
      </c>
      <c r="E121" s="8">
        <v>87016</v>
      </c>
      <c r="F121" s="5" t="s">
        <v>196</v>
      </c>
      <c r="G121" s="5" t="s">
        <v>167</v>
      </c>
      <c r="H121" s="5" t="s">
        <v>4</v>
      </c>
      <c r="I121" s="94">
        <v>47.05</v>
      </c>
      <c r="J121" s="6">
        <v>24.954545454545453</v>
      </c>
      <c r="K121" s="6">
        <v>4.6818181818181817</v>
      </c>
      <c r="L121" s="6">
        <v>9.0909090909090912E-2</v>
      </c>
      <c r="M121" s="6">
        <v>6.8181818181818177E-2</v>
      </c>
      <c r="N121" s="6">
        <v>0.18181818181818185</v>
      </c>
      <c r="O121" s="6">
        <v>29.613636363636363</v>
      </c>
      <c r="P121" s="6">
        <v>0</v>
      </c>
      <c r="Q121" s="6">
        <v>0</v>
      </c>
      <c r="R121" s="6">
        <v>2.2727272727272728E-2</v>
      </c>
      <c r="S121" s="6">
        <v>2.2727272727272728E-2</v>
      </c>
      <c r="T121" s="6">
        <v>2.2727272727272728E-2</v>
      </c>
      <c r="U121" s="6">
        <v>29.727272727272723</v>
      </c>
      <c r="V121" s="6">
        <v>11.977272727272728</v>
      </c>
      <c r="W121" s="7">
        <v>505</v>
      </c>
      <c r="X121" s="5" t="s">
        <v>146</v>
      </c>
      <c r="Y121" s="9" t="s">
        <v>575</v>
      </c>
      <c r="Z121" s="5" t="s">
        <v>148</v>
      </c>
      <c r="AA121" s="91" t="s">
        <v>584</v>
      </c>
      <c r="AB121" s="93" t="s">
        <v>146</v>
      </c>
      <c r="AC121" s="92" t="s">
        <v>575</v>
      </c>
      <c r="AD121" s="91">
        <v>44651</v>
      </c>
    </row>
    <row r="122" spans="1:30" ht="15.6" x14ac:dyDescent="0.3">
      <c r="A122" s="5" t="s">
        <v>361</v>
      </c>
      <c r="B122" s="5" t="s">
        <v>362</v>
      </c>
      <c r="C122" s="5" t="s">
        <v>363</v>
      </c>
      <c r="D122" s="5" t="s">
        <v>298</v>
      </c>
      <c r="E122" s="8">
        <v>74103</v>
      </c>
      <c r="F122" s="5" t="s">
        <v>226</v>
      </c>
      <c r="G122" s="5" t="s">
        <v>167</v>
      </c>
      <c r="H122" s="5" t="s">
        <v>145</v>
      </c>
      <c r="I122" s="94">
        <v>2.2999999999999998</v>
      </c>
      <c r="J122" s="6">
        <v>1.2045454545454539</v>
      </c>
      <c r="K122" s="6">
        <v>0.40909090909090901</v>
      </c>
      <c r="L122" s="6">
        <v>0.68181818181818166</v>
      </c>
      <c r="M122" s="6">
        <v>0.74999999999999978</v>
      </c>
      <c r="N122" s="6">
        <v>2.3409090909090899</v>
      </c>
      <c r="O122" s="6">
        <v>0.65909090909090906</v>
      </c>
      <c r="P122" s="6">
        <v>0</v>
      </c>
      <c r="Q122" s="6">
        <v>4.5454545454545456E-2</v>
      </c>
      <c r="R122" s="6">
        <v>0.31818181818181818</v>
      </c>
      <c r="S122" s="6">
        <v>0.11363636363636365</v>
      </c>
      <c r="T122" s="6">
        <v>9.0909090909090912E-2</v>
      </c>
      <c r="U122" s="6">
        <v>2.5227272727272725</v>
      </c>
      <c r="V122" s="6">
        <v>1.3409090909090902</v>
      </c>
      <c r="W122" s="7"/>
      <c r="X122" s="5" t="s">
        <v>146</v>
      </c>
      <c r="Y122" s="9" t="s">
        <v>245</v>
      </c>
      <c r="Z122" s="5" t="s">
        <v>246</v>
      </c>
      <c r="AA122" s="91" t="s">
        <v>583</v>
      </c>
      <c r="AB122" s="93" t="s">
        <v>146</v>
      </c>
      <c r="AC122" s="92" t="s">
        <v>245</v>
      </c>
      <c r="AD122" s="91">
        <v>44187</v>
      </c>
    </row>
    <row r="123" spans="1:30" ht="15.6" x14ac:dyDescent="0.3">
      <c r="A123" s="5" t="s">
        <v>421</v>
      </c>
      <c r="B123" s="5" t="s">
        <v>582</v>
      </c>
      <c r="C123" s="5" t="s">
        <v>422</v>
      </c>
      <c r="D123" s="5" t="s">
        <v>410</v>
      </c>
      <c r="E123" s="8">
        <v>84737</v>
      </c>
      <c r="F123" s="5" t="s">
        <v>302</v>
      </c>
      <c r="G123" s="5" t="s">
        <v>208</v>
      </c>
      <c r="H123" s="5" t="s">
        <v>145</v>
      </c>
      <c r="I123" s="94">
        <v>6.7647058823529402</v>
      </c>
      <c r="J123" s="6">
        <v>0</v>
      </c>
      <c r="K123" s="6">
        <v>2.2045454545454546</v>
      </c>
      <c r="L123" s="6">
        <v>4.8181818181818192</v>
      </c>
      <c r="M123" s="6">
        <v>0.70454545454545459</v>
      </c>
      <c r="N123" s="6">
        <v>6.6136363636363624</v>
      </c>
      <c r="O123" s="6">
        <v>0.61363636363636365</v>
      </c>
      <c r="P123" s="6">
        <v>0.5</v>
      </c>
      <c r="Q123" s="6">
        <v>0</v>
      </c>
      <c r="R123" s="6">
        <v>2.9772727272727271</v>
      </c>
      <c r="S123" s="6">
        <v>0.86363636363636365</v>
      </c>
      <c r="T123" s="6">
        <v>0.22727272727272727</v>
      </c>
      <c r="U123" s="6">
        <v>3.6590909090909087</v>
      </c>
      <c r="V123" s="6">
        <v>6.6590909090909083</v>
      </c>
      <c r="W123" s="7"/>
      <c r="X123" s="5" t="s">
        <v>406</v>
      </c>
      <c r="Y123" s="9" t="s">
        <v>572</v>
      </c>
      <c r="Z123" s="5" t="s">
        <v>580</v>
      </c>
      <c r="AA123" s="91" t="s">
        <v>581</v>
      </c>
      <c r="AB123" s="93" t="s">
        <v>406</v>
      </c>
      <c r="AC123" s="92" t="s">
        <v>245</v>
      </c>
      <c r="AD123" s="91">
        <v>43358</v>
      </c>
    </row>
    <row r="124" spans="1:30" ht="15.6" x14ac:dyDescent="0.3">
      <c r="A124" s="5" t="s">
        <v>411</v>
      </c>
      <c r="B124" s="5" t="s">
        <v>412</v>
      </c>
      <c r="C124" s="5" t="s">
        <v>413</v>
      </c>
      <c r="D124" s="5" t="s">
        <v>301</v>
      </c>
      <c r="E124" s="8">
        <v>89512</v>
      </c>
      <c r="F124" s="5" t="s">
        <v>302</v>
      </c>
      <c r="G124" s="5" t="s">
        <v>208</v>
      </c>
      <c r="H124" s="5" t="s">
        <v>145</v>
      </c>
      <c r="I124" s="94">
        <v>16.133333333333301</v>
      </c>
      <c r="J124" s="6">
        <v>0.56818181818181812</v>
      </c>
      <c r="K124" s="6">
        <v>1.8636363636363635</v>
      </c>
      <c r="L124" s="6">
        <v>1.5909090909090911</v>
      </c>
      <c r="M124" s="6">
        <v>4.9090909090909083</v>
      </c>
      <c r="N124" s="6">
        <v>7.1363636363636349</v>
      </c>
      <c r="O124" s="6">
        <v>0.97727272727272718</v>
      </c>
      <c r="P124" s="6">
        <v>0.81818181818181823</v>
      </c>
      <c r="Q124" s="6">
        <v>0</v>
      </c>
      <c r="R124" s="6">
        <v>2.9772727272727266</v>
      </c>
      <c r="S124" s="6">
        <v>9.0909090909090912E-2</v>
      </c>
      <c r="T124" s="6">
        <v>0.11363636363636363</v>
      </c>
      <c r="U124" s="6">
        <v>5.75</v>
      </c>
      <c r="V124" s="6">
        <v>7.8181818181818175</v>
      </c>
      <c r="W124" s="7"/>
      <c r="X124" s="5" t="s">
        <v>406</v>
      </c>
      <c r="Y124" s="9" t="s">
        <v>572</v>
      </c>
      <c r="Z124" s="5" t="s">
        <v>580</v>
      </c>
      <c r="AA124" s="91" t="s">
        <v>579</v>
      </c>
      <c r="AB124" s="93" t="s">
        <v>146</v>
      </c>
      <c r="AC124" s="92" t="s">
        <v>245</v>
      </c>
      <c r="AD124" s="91">
        <v>44119</v>
      </c>
    </row>
    <row r="125" spans="1:30" ht="15.6" x14ac:dyDescent="0.3">
      <c r="A125" s="5" t="s">
        <v>23</v>
      </c>
      <c r="B125" s="5" t="s">
        <v>338</v>
      </c>
      <c r="C125" s="5" t="s">
        <v>258</v>
      </c>
      <c r="D125" s="5" t="s">
        <v>157</v>
      </c>
      <c r="E125" s="8">
        <v>78046</v>
      </c>
      <c r="F125" s="5" t="s">
        <v>578</v>
      </c>
      <c r="G125" s="5" t="s">
        <v>144</v>
      </c>
      <c r="H125" s="5" t="s">
        <v>145</v>
      </c>
      <c r="I125" s="94">
        <v>33</v>
      </c>
      <c r="J125" s="6">
        <v>91.681818181818187</v>
      </c>
      <c r="K125" s="6">
        <v>5.2954545454545459</v>
      </c>
      <c r="L125" s="6">
        <v>41.86363636363636</v>
      </c>
      <c r="M125" s="6">
        <v>92.909090909090864</v>
      </c>
      <c r="N125" s="6">
        <v>55.499999999999986</v>
      </c>
      <c r="O125" s="6">
        <v>141.43181818181822</v>
      </c>
      <c r="P125" s="6">
        <v>15.863636363636367</v>
      </c>
      <c r="Q125" s="6">
        <v>18.954545454545457</v>
      </c>
      <c r="R125" s="6">
        <v>29.954545454545453</v>
      </c>
      <c r="S125" s="6">
        <v>10.772727272727275</v>
      </c>
      <c r="T125" s="6">
        <v>11.181818181818182</v>
      </c>
      <c r="U125" s="6">
        <v>179.84090909090946</v>
      </c>
      <c r="V125" s="6">
        <v>170.88636363636391</v>
      </c>
      <c r="W125" s="7"/>
      <c r="X125" s="5" t="s">
        <v>146</v>
      </c>
      <c r="Y125" s="9" t="s">
        <v>575</v>
      </c>
      <c r="Z125" s="5" t="s">
        <v>148</v>
      </c>
      <c r="AA125" s="91" t="s">
        <v>577</v>
      </c>
      <c r="AB125" s="93" t="s">
        <v>146</v>
      </c>
      <c r="AC125" s="92" t="s">
        <v>575</v>
      </c>
      <c r="AD125" s="91">
        <v>44230</v>
      </c>
    </row>
    <row r="126" spans="1:30" ht="15.6" x14ac:dyDescent="0.3">
      <c r="A126" s="5" t="s">
        <v>162</v>
      </c>
      <c r="B126" s="5" t="s">
        <v>163</v>
      </c>
      <c r="C126" s="5" t="s">
        <v>164</v>
      </c>
      <c r="D126" s="5" t="s">
        <v>165</v>
      </c>
      <c r="E126" s="8">
        <v>71483</v>
      </c>
      <c r="F126" s="5" t="s">
        <v>166</v>
      </c>
      <c r="G126" s="5" t="s">
        <v>144</v>
      </c>
      <c r="H126" s="5" t="s">
        <v>4</v>
      </c>
      <c r="I126" s="94">
        <v>40.5</v>
      </c>
      <c r="J126" s="6">
        <v>1309.0909090909031</v>
      </c>
      <c r="K126" s="6">
        <v>36.977272727272734</v>
      </c>
      <c r="L126" s="6">
        <v>67.295454545454589</v>
      </c>
      <c r="M126" s="6">
        <v>60.204545454545439</v>
      </c>
      <c r="N126" s="6">
        <v>161.45454545454533</v>
      </c>
      <c r="O126" s="6">
        <v>1312.1136363636301</v>
      </c>
      <c r="P126" s="6">
        <v>0</v>
      </c>
      <c r="Q126" s="6">
        <v>0</v>
      </c>
      <c r="R126" s="6">
        <v>76.977272727272705</v>
      </c>
      <c r="S126" s="6">
        <v>19.59090909090909</v>
      </c>
      <c r="T126" s="6">
        <v>35.909090909090914</v>
      </c>
      <c r="U126" s="6">
        <v>1341.0909090909026</v>
      </c>
      <c r="V126" s="6">
        <v>997.04545454545678</v>
      </c>
      <c r="W126" s="7">
        <v>946</v>
      </c>
      <c r="X126" s="5" t="s">
        <v>146</v>
      </c>
      <c r="Y126" s="9" t="s">
        <v>575</v>
      </c>
      <c r="Z126" s="5" t="s">
        <v>148</v>
      </c>
      <c r="AA126" s="91" t="s">
        <v>576</v>
      </c>
      <c r="AB126" s="93" t="s">
        <v>146</v>
      </c>
      <c r="AC126" s="92" t="s">
        <v>575</v>
      </c>
      <c r="AD126" s="91">
        <v>44127</v>
      </c>
    </row>
    <row r="127" spans="1:30" ht="15.6" x14ac:dyDescent="0.3">
      <c r="A127" s="5" t="s">
        <v>334</v>
      </c>
      <c r="B127" s="5" t="s">
        <v>335</v>
      </c>
      <c r="C127" s="5" t="s">
        <v>336</v>
      </c>
      <c r="D127" s="5" t="s">
        <v>337</v>
      </c>
      <c r="E127" s="8">
        <v>2863</v>
      </c>
      <c r="F127" s="5" t="s">
        <v>276</v>
      </c>
      <c r="G127" s="5" t="s">
        <v>208</v>
      </c>
      <c r="H127" s="5" t="s">
        <v>4</v>
      </c>
      <c r="I127" s="94">
        <v>39</v>
      </c>
      <c r="J127" s="6">
        <v>43.545454545454525</v>
      </c>
      <c r="K127" s="6">
        <v>19.045454545454547</v>
      </c>
      <c r="L127" s="6">
        <v>4.5454545454545456E-2</v>
      </c>
      <c r="M127" s="6">
        <v>0</v>
      </c>
      <c r="N127" s="6">
        <v>19.86363636363636</v>
      </c>
      <c r="O127" s="6">
        <v>42.772727272727238</v>
      </c>
      <c r="P127" s="6">
        <v>0</v>
      </c>
      <c r="Q127" s="6">
        <v>0</v>
      </c>
      <c r="R127" s="6">
        <v>4.8181818181818175</v>
      </c>
      <c r="S127" s="6">
        <v>2.9772727272727275</v>
      </c>
      <c r="T127" s="6">
        <v>7.2727272727272725</v>
      </c>
      <c r="U127" s="6">
        <v>47.56818181818182</v>
      </c>
      <c r="V127" s="6">
        <v>44.500000000000007</v>
      </c>
      <c r="W127" s="7"/>
      <c r="X127" s="5" t="s">
        <v>146</v>
      </c>
      <c r="Y127" s="9" t="s">
        <v>572</v>
      </c>
      <c r="Z127" s="5" t="s">
        <v>256</v>
      </c>
      <c r="AA127" s="91" t="s">
        <v>574</v>
      </c>
      <c r="AB127" s="93" t="s">
        <v>146</v>
      </c>
      <c r="AC127" s="92" t="s">
        <v>572</v>
      </c>
      <c r="AD127" s="91">
        <v>44155</v>
      </c>
    </row>
    <row r="128" spans="1:30" ht="15.6" x14ac:dyDescent="0.3">
      <c r="A128" s="5" t="s">
        <v>481</v>
      </c>
      <c r="B128" s="5" t="s">
        <v>482</v>
      </c>
      <c r="C128" s="5" t="s">
        <v>247</v>
      </c>
      <c r="D128" s="5" t="s">
        <v>414</v>
      </c>
      <c r="E128" s="8">
        <v>29745</v>
      </c>
      <c r="F128" s="5" t="s">
        <v>154</v>
      </c>
      <c r="G128" s="5" t="s">
        <v>208</v>
      </c>
      <c r="H128" s="5" t="s">
        <v>145</v>
      </c>
      <c r="I128" s="94">
        <v>2</v>
      </c>
      <c r="J128" s="6">
        <v>6.8181818181818177E-2</v>
      </c>
      <c r="K128" s="6">
        <v>6.8181818181818177E-2</v>
      </c>
      <c r="L128" s="6">
        <v>0.20454545454545453</v>
      </c>
      <c r="M128" s="6">
        <v>0</v>
      </c>
      <c r="N128" s="6">
        <v>0.27272727272727271</v>
      </c>
      <c r="O128" s="6">
        <v>6.8181818181818177E-2</v>
      </c>
      <c r="P128" s="6">
        <v>0</v>
      </c>
      <c r="Q128" s="6">
        <v>0</v>
      </c>
      <c r="R128" s="6">
        <v>6.8181818181818177E-2</v>
      </c>
      <c r="S128" s="6">
        <v>0</v>
      </c>
      <c r="T128" s="6">
        <v>0</v>
      </c>
      <c r="U128" s="6">
        <v>0.27272727272727276</v>
      </c>
      <c r="V128" s="6">
        <v>0.18181818181818182</v>
      </c>
      <c r="W128" s="7"/>
      <c r="X128" s="5" t="s">
        <v>146</v>
      </c>
      <c r="Y128" s="9" t="s">
        <v>245</v>
      </c>
      <c r="Z128" s="5" t="s">
        <v>256</v>
      </c>
      <c r="AA128" s="91" t="s">
        <v>483</v>
      </c>
      <c r="AB128" s="93" t="s">
        <v>146</v>
      </c>
      <c r="AC128" s="92" t="s">
        <v>245</v>
      </c>
      <c r="AD128" s="91">
        <v>41865</v>
      </c>
    </row>
    <row r="129" spans="1:30" s="75" customFormat="1" ht="15.6" x14ac:dyDescent="0.3">
      <c r="A129" s="5" t="s">
        <v>309</v>
      </c>
      <c r="B129" s="5" t="s">
        <v>310</v>
      </c>
      <c r="C129" s="5" t="s">
        <v>311</v>
      </c>
      <c r="D129" s="5" t="s">
        <v>142</v>
      </c>
      <c r="E129" s="8">
        <v>95901</v>
      </c>
      <c r="F129" s="5" t="s">
        <v>272</v>
      </c>
      <c r="G129" s="5" t="s">
        <v>167</v>
      </c>
      <c r="H129" s="5" t="s">
        <v>145</v>
      </c>
      <c r="I129" s="94"/>
      <c r="J129" s="6">
        <v>0</v>
      </c>
      <c r="K129" s="6">
        <v>0</v>
      </c>
      <c r="L129" s="6">
        <v>1.5454545454545454</v>
      </c>
      <c r="M129" s="6">
        <v>0.90909090909090906</v>
      </c>
      <c r="N129" s="6">
        <v>2.4545454545454541</v>
      </c>
      <c r="O129" s="6">
        <v>0</v>
      </c>
      <c r="P129" s="6">
        <v>0</v>
      </c>
      <c r="Q129" s="6">
        <v>0</v>
      </c>
      <c r="R129" s="6">
        <v>1.7727272727272727</v>
      </c>
      <c r="S129" s="6">
        <v>0</v>
      </c>
      <c r="T129" s="6">
        <v>0</v>
      </c>
      <c r="U129" s="6">
        <v>0.68181818181818177</v>
      </c>
      <c r="V129" s="6">
        <v>2.4545454545454541</v>
      </c>
      <c r="W129" s="7">
        <v>150</v>
      </c>
      <c r="X129" s="5" t="s">
        <v>146</v>
      </c>
      <c r="Y129" s="9" t="s">
        <v>572</v>
      </c>
      <c r="Z129" s="5" t="s">
        <v>256</v>
      </c>
      <c r="AA129" s="91" t="s">
        <v>573</v>
      </c>
      <c r="AB129" s="93" t="s">
        <v>146</v>
      </c>
      <c r="AC129" s="92" t="s">
        <v>572</v>
      </c>
      <c r="AD129" s="91">
        <v>44195</v>
      </c>
    </row>
    <row r="130" spans="1:30" ht="15.6" x14ac:dyDescent="0.3">
      <c r="A130" s="74"/>
      <c r="B130" s="81"/>
      <c r="C130" s="81"/>
      <c r="D130" s="81"/>
      <c r="E130" s="90"/>
      <c r="F130" s="81"/>
      <c r="G130" s="81"/>
      <c r="H130" s="81"/>
      <c r="I130" s="89"/>
      <c r="J130" s="87"/>
      <c r="K130" s="87"/>
      <c r="L130" s="87"/>
      <c r="M130" s="87"/>
      <c r="N130" s="88"/>
      <c r="O130" s="88"/>
      <c r="P130" s="88"/>
      <c r="Q130" s="88"/>
      <c r="R130" s="87"/>
      <c r="S130" s="87"/>
      <c r="T130" s="87"/>
      <c r="U130" s="87"/>
      <c r="V130" s="87"/>
      <c r="W130" s="86"/>
      <c r="X130" s="81"/>
      <c r="Y130" s="85"/>
      <c r="Z130" s="81"/>
      <c r="AA130" s="82"/>
      <c r="AB130" s="84"/>
      <c r="AC130" s="83"/>
      <c r="AD130" s="82"/>
    </row>
    <row r="131" spans="1:30" ht="15.6" x14ac:dyDescent="0.3">
      <c r="A131" s="75" t="s">
        <v>571</v>
      </c>
      <c r="B131" s="75"/>
      <c r="C131" s="81"/>
      <c r="D131" s="75"/>
      <c r="E131" s="75"/>
      <c r="F131" s="75"/>
      <c r="G131" s="75"/>
      <c r="H131" s="75"/>
      <c r="I131" s="75"/>
      <c r="J131" s="75"/>
      <c r="K131" s="75"/>
      <c r="L131" s="75"/>
      <c r="M131" s="75"/>
      <c r="N131" s="75"/>
      <c r="O131" s="75"/>
      <c r="P131" s="75"/>
      <c r="Q131" s="75"/>
      <c r="R131" s="75"/>
      <c r="S131" s="75"/>
      <c r="T131" s="75"/>
      <c r="U131" s="75"/>
      <c r="V131" s="75"/>
      <c r="W131" s="75"/>
      <c r="X131" s="75"/>
      <c r="Y131" s="75"/>
      <c r="Z131" s="75"/>
      <c r="AA131" s="75"/>
      <c r="AB131" s="75"/>
      <c r="AC131" s="75"/>
      <c r="AD131" s="75"/>
    </row>
    <row r="132" spans="1:30" ht="15.6" x14ac:dyDescent="0.3">
      <c r="A132" s="78" t="s">
        <v>570</v>
      </c>
      <c r="B132" s="78"/>
      <c r="C132" s="81"/>
      <c r="D132" s="78"/>
      <c r="E132" s="78"/>
      <c r="F132" s="77"/>
      <c r="G132" s="80"/>
      <c r="H132" s="79"/>
      <c r="I132" s="78"/>
      <c r="J132" s="78"/>
      <c r="K132" s="78"/>
      <c r="L132" s="78"/>
      <c r="M132" s="77"/>
      <c r="N132" s="76"/>
      <c r="O132" s="76"/>
      <c r="P132" s="76"/>
      <c r="Q132" s="76"/>
      <c r="R132" s="76"/>
      <c r="S132" s="76"/>
      <c r="T132" s="76"/>
      <c r="U132" s="76"/>
      <c r="V132" s="76"/>
      <c r="W132" s="76"/>
      <c r="X132" s="76"/>
      <c r="Y132" s="76"/>
      <c r="Z132" s="76"/>
      <c r="AA132" s="76"/>
      <c r="AB132" s="76"/>
      <c r="AC132" s="76"/>
      <c r="AD132" s="76"/>
    </row>
    <row r="133" spans="1:30" ht="15.6" x14ac:dyDescent="0.3">
      <c r="A133" s="78" t="s">
        <v>569</v>
      </c>
      <c r="B133" s="78"/>
      <c r="C133" s="81"/>
      <c r="D133" s="78"/>
      <c r="E133" s="78"/>
      <c r="F133" s="77"/>
      <c r="G133" s="80"/>
      <c r="H133" s="79"/>
      <c r="I133" s="78"/>
      <c r="J133" s="78"/>
      <c r="K133" s="78"/>
      <c r="L133" s="78"/>
      <c r="M133" s="77"/>
      <c r="N133" s="76"/>
      <c r="O133" s="76"/>
      <c r="P133" s="76"/>
      <c r="Q133" s="76"/>
      <c r="R133" s="76"/>
      <c r="S133" s="76"/>
      <c r="T133" s="76"/>
      <c r="U133" s="76"/>
      <c r="V133" s="76"/>
      <c r="W133" s="76"/>
      <c r="X133" s="76"/>
      <c r="Y133" s="76"/>
      <c r="Z133" s="76"/>
      <c r="AA133" s="76"/>
      <c r="AB133" s="76"/>
      <c r="AC133" s="76"/>
      <c r="AD133" s="76"/>
    </row>
    <row r="134" spans="1:30" ht="15.6" x14ac:dyDescent="0.3">
      <c r="A134" s="75"/>
      <c r="C134" s="74"/>
    </row>
    <row r="135" spans="1:30" x14ac:dyDescent="0.3">
      <c r="A135" s="425"/>
      <c r="B135" s="426"/>
    </row>
  </sheetData>
  <mergeCells count="16">
    <mergeCell ref="A135:B135"/>
    <mergeCell ref="R5:U5"/>
    <mergeCell ref="W5:AD5"/>
    <mergeCell ref="A1:D1"/>
    <mergeCell ref="A2:D2"/>
    <mergeCell ref="A3:D3"/>
    <mergeCell ref="E3:H3"/>
    <mergeCell ref="I3:L3"/>
    <mergeCell ref="M3:P3"/>
    <mergeCell ref="Q3:T3"/>
    <mergeCell ref="U3:X3"/>
    <mergeCell ref="Y3:AB3"/>
    <mergeCell ref="AC3:AD3"/>
    <mergeCell ref="J5:M5"/>
    <mergeCell ref="N5:Q5"/>
    <mergeCell ref="A4:AD4"/>
  </mergeCells>
  <conditionalFormatting sqref="AD7">
    <cfRule type="cellIs" dxfId="63" priority="1" stopIfTrue="1" operator="equal">
      <formula>0</formula>
    </cfRule>
  </conditionalFormatting>
  <pageMargins left="0.7" right="0.7" top="0.75" bottom="0.75" header="0.3" footer="0.3"/>
  <pageSetup orientation="portrait" horizontalDpi="1200" verticalDpi="120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5BA2B-8F8A-412B-85FA-53A958BA60F6}">
  <dimension ref="A1:F23"/>
  <sheetViews>
    <sheetView workbookViewId="0">
      <selection activeCell="D23" sqref="D23"/>
    </sheetView>
  </sheetViews>
  <sheetFormatPr defaultRowHeight="14.4" x14ac:dyDescent="0.3"/>
  <cols>
    <col min="1" max="1" width="45.5546875" customWidth="1"/>
    <col min="2" max="2" width="19" customWidth="1"/>
  </cols>
  <sheetData>
    <row r="1" spans="1:6" ht="25.8" x14ac:dyDescent="0.3">
      <c r="A1" s="370" t="s">
        <v>44</v>
      </c>
      <c r="B1" s="370"/>
      <c r="C1" s="370"/>
      <c r="D1" s="370"/>
      <c r="E1" s="370"/>
      <c r="F1" s="370"/>
    </row>
    <row r="3" spans="1:6" ht="15" customHeight="1" x14ac:dyDescent="0.3">
      <c r="A3" s="388" t="s">
        <v>741</v>
      </c>
      <c r="B3" s="388"/>
      <c r="C3" s="388"/>
      <c r="D3" s="388"/>
      <c r="E3" s="388"/>
    </row>
    <row r="4" spans="1:6" x14ac:dyDescent="0.3">
      <c r="A4" s="71" t="s">
        <v>740</v>
      </c>
      <c r="B4" s="71" t="s">
        <v>739</v>
      </c>
    </row>
    <row r="5" spans="1:6" ht="15" thickBot="1" x14ac:dyDescent="0.35">
      <c r="A5" s="121" t="s">
        <v>738</v>
      </c>
      <c r="B5" s="120">
        <v>17</v>
      </c>
    </row>
    <row r="6" spans="1:6" ht="15" thickTop="1" x14ac:dyDescent="0.3">
      <c r="A6" s="117" t="s">
        <v>737</v>
      </c>
      <c r="B6" s="119">
        <v>18</v>
      </c>
    </row>
    <row r="7" spans="1:6" x14ac:dyDescent="0.3">
      <c r="A7" s="118" t="s">
        <v>736</v>
      </c>
      <c r="B7" s="72">
        <v>8</v>
      </c>
    </row>
    <row r="8" spans="1:6" x14ac:dyDescent="0.3">
      <c r="A8" s="118" t="s">
        <v>735</v>
      </c>
      <c r="B8" s="72">
        <v>10</v>
      </c>
    </row>
    <row r="9" spans="1:6" x14ac:dyDescent="0.3">
      <c r="A9" s="117" t="s">
        <v>734</v>
      </c>
      <c r="B9" s="117">
        <v>18</v>
      </c>
    </row>
    <row r="10" spans="1:6" x14ac:dyDescent="0.3">
      <c r="A10" s="116" t="s">
        <v>733</v>
      </c>
      <c r="B10" s="115">
        <v>4</v>
      </c>
    </row>
    <row r="11" spans="1:6" x14ac:dyDescent="0.3">
      <c r="A11" s="116" t="s">
        <v>732</v>
      </c>
      <c r="B11" s="115">
        <v>4</v>
      </c>
    </row>
    <row r="12" spans="1:6" x14ac:dyDescent="0.3">
      <c r="A12" s="116" t="s">
        <v>731</v>
      </c>
      <c r="B12" s="115">
        <v>2</v>
      </c>
    </row>
    <row r="13" spans="1:6" x14ac:dyDescent="0.3">
      <c r="A13" s="116" t="s">
        <v>730</v>
      </c>
      <c r="B13" s="115">
        <v>2</v>
      </c>
    </row>
    <row r="14" spans="1:6" x14ac:dyDescent="0.3">
      <c r="A14" s="116" t="s">
        <v>729</v>
      </c>
      <c r="B14" s="115">
        <v>2</v>
      </c>
    </row>
    <row r="15" spans="1:6" x14ac:dyDescent="0.3">
      <c r="A15" s="116" t="s">
        <v>728</v>
      </c>
      <c r="B15" s="115">
        <v>1</v>
      </c>
    </row>
    <row r="16" spans="1:6" x14ac:dyDescent="0.3">
      <c r="A16" s="116" t="s">
        <v>727</v>
      </c>
      <c r="B16" s="115">
        <v>1</v>
      </c>
    </row>
    <row r="17" spans="1:2" x14ac:dyDescent="0.3">
      <c r="A17" s="116" t="s">
        <v>726</v>
      </c>
      <c r="B17" s="115">
        <v>1</v>
      </c>
    </row>
    <row r="18" spans="1:2" x14ac:dyDescent="0.3">
      <c r="A18" s="116" t="s">
        <v>725</v>
      </c>
      <c r="B18" s="115">
        <v>1</v>
      </c>
    </row>
    <row r="20" spans="1:2" x14ac:dyDescent="0.3">
      <c r="A20" s="430" t="s">
        <v>724</v>
      </c>
      <c r="B20" s="430"/>
    </row>
    <row r="21" spans="1:2" x14ac:dyDescent="0.3">
      <c r="A21" s="430"/>
      <c r="B21" s="430"/>
    </row>
    <row r="22" spans="1:2" x14ac:dyDescent="0.3">
      <c r="A22" s="430"/>
      <c r="B22" s="430"/>
    </row>
    <row r="23" spans="1:2" x14ac:dyDescent="0.3">
      <c r="A23" s="430"/>
      <c r="B23" s="430"/>
    </row>
  </sheetData>
  <mergeCells count="3">
    <mergeCell ref="A1:F1"/>
    <mergeCell ref="A3:E3"/>
    <mergeCell ref="A20:B2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604C2-E523-41BF-9BB5-803B077174D5}">
  <dimension ref="A1:BD183"/>
  <sheetViews>
    <sheetView tabSelected="1" zoomScale="70" zoomScaleNormal="70" workbookViewId="0"/>
  </sheetViews>
  <sheetFormatPr defaultRowHeight="15.6" x14ac:dyDescent="0.3"/>
  <cols>
    <col min="1" max="1" width="21.44140625" customWidth="1"/>
    <col min="2" max="2" width="16.77734375" customWidth="1"/>
    <col min="3" max="3" width="29.77734375" customWidth="1"/>
    <col min="4" max="4" width="34.77734375" customWidth="1"/>
    <col min="5" max="9" width="19.5546875" customWidth="1"/>
    <col min="10" max="10" width="15" customWidth="1"/>
    <col min="13" max="13" width="9.21875" style="10"/>
  </cols>
  <sheetData>
    <row r="1" spans="1:50" ht="26.25" customHeight="1" thickBot="1" x14ac:dyDescent="0.35">
      <c r="A1" s="133" t="s">
        <v>765</v>
      </c>
      <c r="B1" s="133"/>
      <c r="C1" s="141"/>
      <c r="D1" s="140"/>
      <c r="E1" s="140"/>
      <c r="F1" s="140"/>
      <c r="G1" s="140"/>
      <c r="H1" s="139"/>
      <c r="I1" s="10"/>
      <c r="J1" s="10"/>
      <c r="K1" s="10"/>
      <c r="L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row>
    <row r="2" spans="1:50" ht="150.75" customHeight="1" thickBot="1" x14ac:dyDescent="0.35">
      <c r="A2" s="437" t="s">
        <v>764</v>
      </c>
      <c r="B2" s="438"/>
      <c r="C2" s="438"/>
      <c r="D2" s="438"/>
      <c r="E2" s="438"/>
      <c r="F2" s="438"/>
      <c r="G2" s="438"/>
      <c r="H2" s="439"/>
      <c r="I2" s="10"/>
      <c r="J2" s="10"/>
      <c r="K2" s="10"/>
      <c r="L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row>
    <row r="3" spans="1:50" ht="16.2" thickBot="1" x14ac:dyDescent="0.35">
      <c r="I3" s="10"/>
      <c r="J3" s="10"/>
      <c r="K3" s="10"/>
      <c r="L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row>
    <row r="4" spans="1:50" ht="16.2" thickBot="1" x14ac:dyDescent="0.35">
      <c r="A4" s="440" t="s">
        <v>763</v>
      </c>
      <c r="B4" s="441"/>
      <c r="C4" s="441"/>
      <c r="D4" s="442"/>
      <c r="I4" s="67"/>
      <c r="J4" s="10"/>
      <c r="K4" s="10"/>
      <c r="L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row>
    <row r="5" spans="1:50" ht="29.4" thickBot="1" x14ac:dyDescent="0.35">
      <c r="A5" s="133" t="s">
        <v>756</v>
      </c>
      <c r="B5" s="132" t="s">
        <v>755</v>
      </c>
      <c r="C5" s="132" t="s">
        <v>754</v>
      </c>
      <c r="D5" s="132" t="s">
        <v>753</v>
      </c>
      <c r="I5" s="67"/>
      <c r="J5" s="10"/>
      <c r="K5" s="10"/>
      <c r="L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row>
    <row r="6" spans="1:50" ht="29.55" customHeight="1" thickBot="1" x14ac:dyDescent="0.35">
      <c r="A6" s="130" t="s">
        <v>752</v>
      </c>
      <c r="B6" s="129">
        <v>55</v>
      </c>
      <c r="C6" s="129">
        <v>12.36</v>
      </c>
      <c r="D6" s="129">
        <v>36.24</v>
      </c>
      <c r="I6" s="10"/>
      <c r="J6" s="10"/>
      <c r="K6" s="10"/>
      <c r="L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row>
    <row r="7" spans="1:50" ht="16.2" thickBot="1" x14ac:dyDescent="0.35">
      <c r="A7" s="130" t="s">
        <v>751</v>
      </c>
      <c r="B7" s="129">
        <v>9</v>
      </c>
      <c r="C7" s="129">
        <v>40.78</v>
      </c>
      <c r="D7" s="129">
        <v>74.78</v>
      </c>
      <c r="I7" s="10"/>
      <c r="J7" s="10"/>
      <c r="K7" s="10"/>
      <c r="L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row>
    <row r="8" spans="1:50" ht="16.2" thickBot="1" x14ac:dyDescent="0.35">
      <c r="A8" s="130" t="s">
        <v>750</v>
      </c>
      <c r="B8" s="129">
        <v>235</v>
      </c>
      <c r="C8" s="129">
        <v>13.41</v>
      </c>
      <c r="D8" s="129">
        <v>14.48</v>
      </c>
      <c r="I8" s="10"/>
      <c r="J8" s="10"/>
      <c r="K8" s="10"/>
      <c r="L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row>
    <row r="9" spans="1:50" ht="29.4" thickBot="1" x14ac:dyDescent="0.35">
      <c r="A9" s="131" t="s">
        <v>749</v>
      </c>
      <c r="B9" s="129">
        <v>13</v>
      </c>
      <c r="C9" s="129">
        <v>17.850000000000001</v>
      </c>
      <c r="D9" s="129">
        <v>22.62</v>
      </c>
      <c r="I9" s="10"/>
      <c r="J9" s="10"/>
      <c r="K9" s="10"/>
      <c r="L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row>
    <row r="10" spans="1:50" ht="16.2" thickBot="1" x14ac:dyDescent="0.35">
      <c r="A10" s="130" t="s">
        <v>748</v>
      </c>
      <c r="B10" s="129">
        <v>1</v>
      </c>
      <c r="C10" s="129">
        <v>22</v>
      </c>
      <c r="D10" s="129">
        <v>51</v>
      </c>
      <c r="I10" s="10"/>
      <c r="J10" s="10"/>
      <c r="K10" s="10"/>
      <c r="L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row>
    <row r="11" spans="1:50" ht="16.2" thickBot="1" x14ac:dyDescent="0.35">
      <c r="A11" s="127" t="s">
        <v>747</v>
      </c>
      <c r="B11" s="126">
        <v>313</v>
      </c>
      <c r="C11" s="126">
        <v>14.23</v>
      </c>
      <c r="D11" s="126">
        <v>20.49</v>
      </c>
      <c r="I11" s="10"/>
      <c r="J11" s="10"/>
      <c r="K11" s="10"/>
      <c r="L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row>
    <row r="12" spans="1:50" x14ac:dyDescent="0.3">
      <c r="A12" s="138"/>
      <c r="I12" s="10"/>
      <c r="J12" s="10"/>
      <c r="K12" s="10"/>
      <c r="L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row>
    <row r="13" spans="1:50" x14ac:dyDescent="0.3">
      <c r="A13" s="443" t="s">
        <v>762</v>
      </c>
      <c r="B13" s="443"/>
      <c r="C13" s="443"/>
      <c r="D13" s="443"/>
      <c r="E13" s="443"/>
      <c r="F13" s="443"/>
      <c r="G13" s="443"/>
      <c r="H13" s="443"/>
      <c r="I13" s="10"/>
      <c r="J13" s="10"/>
      <c r="K13" s="10"/>
      <c r="L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row>
    <row r="14" spans="1:50" ht="16.2" thickBot="1" x14ac:dyDescent="0.35">
      <c r="A14" s="138"/>
      <c r="I14" s="10"/>
      <c r="J14" s="10"/>
      <c r="K14" s="10"/>
      <c r="L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row>
    <row r="15" spans="1:50" ht="29.25" customHeight="1" thickBot="1" x14ac:dyDescent="0.35">
      <c r="A15" s="440" t="s">
        <v>766</v>
      </c>
      <c r="B15" s="441"/>
      <c r="C15" s="441"/>
      <c r="D15" s="442"/>
      <c r="I15" s="10"/>
      <c r="J15" s="10"/>
      <c r="K15" s="10"/>
      <c r="L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row>
    <row r="16" spans="1:50" ht="29.4" thickBot="1" x14ac:dyDescent="0.35">
      <c r="A16" s="133" t="s">
        <v>756</v>
      </c>
      <c r="B16" s="132" t="s">
        <v>755</v>
      </c>
      <c r="C16" s="132" t="s">
        <v>754</v>
      </c>
      <c r="D16" s="132" t="s">
        <v>753</v>
      </c>
      <c r="I16" s="10"/>
      <c r="J16" s="10"/>
      <c r="K16" s="10"/>
      <c r="L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row>
    <row r="17" spans="1:56" ht="16.2" thickBot="1" x14ac:dyDescent="0.35">
      <c r="A17" s="130" t="s">
        <v>752</v>
      </c>
      <c r="B17" s="129">
        <v>41</v>
      </c>
      <c r="C17" s="129">
        <v>14.46</v>
      </c>
      <c r="D17" s="129">
        <v>19.63</v>
      </c>
      <c r="I17" s="10"/>
      <c r="J17" s="10"/>
      <c r="K17" s="10"/>
      <c r="L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row>
    <row r="18" spans="1:56" ht="16.2" thickBot="1" x14ac:dyDescent="0.35">
      <c r="A18" s="130" t="s">
        <v>751</v>
      </c>
      <c r="B18" s="129">
        <v>10</v>
      </c>
      <c r="C18" s="129">
        <v>26.3</v>
      </c>
      <c r="D18" s="129">
        <v>29.5</v>
      </c>
      <c r="I18" s="10"/>
      <c r="J18" s="10"/>
      <c r="K18" s="10"/>
      <c r="L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row>
    <row r="19" spans="1:56" ht="16.2" thickBot="1" x14ac:dyDescent="0.35">
      <c r="A19" s="130" t="s">
        <v>750</v>
      </c>
      <c r="B19" s="129">
        <v>231</v>
      </c>
      <c r="C19" s="129">
        <v>10.48</v>
      </c>
      <c r="D19" s="129">
        <v>12.6</v>
      </c>
      <c r="I19" s="10"/>
      <c r="J19" s="10"/>
      <c r="K19" s="10"/>
      <c r="L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row>
    <row r="20" spans="1:56" ht="29.4" thickBot="1" x14ac:dyDescent="0.35">
      <c r="A20" s="131" t="s">
        <v>749</v>
      </c>
      <c r="B20" s="129">
        <v>12</v>
      </c>
      <c r="C20" s="129">
        <v>20.83</v>
      </c>
      <c r="D20" s="129">
        <v>25.5</v>
      </c>
      <c r="I20" s="10"/>
      <c r="J20" s="10"/>
      <c r="K20" s="10"/>
      <c r="L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row>
    <row r="21" spans="1:56" ht="16.2" thickBot="1" x14ac:dyDescent="0.35">
      <c r="A21" s="130" t="s">
        <v>748</v>
      </c>
      <c r="B21" s="129">
        <v>2</v>
      </c>
      <c r="C21" s="129">
        <v>11</v>
      </c>
      <c r="D21" s="129">
        <v>19.5</v>
      </c>
      <c r="I21" s="10"/>
      <c r="J21" s="10"/>
      <c r="K21" s="10"/>
      <c r="L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row>
    <row r="22" spans="1:56" ht="16.2" thickBot="1" x14ac:dyDescent="0.35">
      <c r="A22" s="127" t="s">
        <v>747</v>
      </c>
      <c r="B22" s="126">
        <v>296</v>
      </c>
      <c r="C22" s="126">
        <v>11.99</v>
      </c>
      <c r="D22" s="126">
        <v>14.72</v>
      </c>
      <c r="I22" s="10"/>
      <c r="J22" s="10"/>
      <c r="K22" s="10"/>
      <c r="L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row>
    <row r="23" spans="1:56" x14ac:dyDescent="0.3">
      <c r="I23" s="10"/>
      <c r="J23" s="10"/>
      <c r="K23" s="10"/>
      <c r="L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row>
    <row r="24" spans="1:56" x14ac:dyDescent="0.3">
      <c r="A24" s="443" t="s">
        <v>761</v>
      </c>
      <c r="B24" s="443"/>
      <c r="C24" s="443"/>
      <c r="D24" s="443"/>
      <c r="E24" s="443"/>
      <c r="F24" s="443"/>
      <c r="G24" s="443"/>
      <c r="H24" s="443"/>
      <c r="I24" s="10"/>
      <c r="J24" s="10"/>
      <c r="K24" s="10"/>
      <c r="L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row>
    <row r="25" spans="1:56" ht="16.2" thickBot="1" x14ac:dyDescent="0.35">
      <c r="A25" s="124"/>
      <c r="B25" s="124"/>
      <c r="C25" s="124"/>
      <c r="D25" s="124"/>
      <c r="E25" s="124"/>
      <c r="F25" s="124"/>
      <c r="G25" s="124"/>
      <c r="H25" s="124"/>
      <c r="I25" s="10"/>
      <c r="J25" s="10"/>
      <c r="K25" s="10"/>
      <c r="L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row>
    <row r="26" spans="1:56" ht="28.5" customHeight="1" thickBot="1" x14ac:dyDescent="0.35">
      <c r="A26" s="440" t="s">
        <v>760</v>
      </c>
      <c r="B26" s="441"/>
      <c r="C26" s="441"/>
      <c r="D26" s="442"/>
      <c r="I26" s="10"/>
      <c r="J26" s="10"/>
      <c r="K26" s="10"/>
      <c r="L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row>
    <row r="27" spans="1:56" ht="29.4" thickBot="1" x14ac:dyDescent="0.35">
      <c r="A27" s="133" t="s">
        <v>756</v>
      </c>
      <c r="B27" s="132" t="s">
        <v>755</v>
      </c>
      <c r="C27" s="132" t="s">
        <v>754</v>
      </c>
      <c r="D27" s="132" t="s">
        <v>753</v>
      </c>
      <c r="E27" s="135"/>
      <c r="F27" s="134"/>
      <c r="G27" s="134"/>
      <c r="H27" s="134"/>
      <c r="I27" s="10"/>
      <c r="J27" s="10"/>
      <c r="K27" s="10"/>
      <c r="L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row>
    <row r="28" spans="1:56" ht="16.2" thickBot="1" x14ac:dyDescent="0.35">
      <c r="A28" s="130" t="s">
        <v>752</v>
      </c>
      <c r="B28" s="129">
        <v>52</v>
      </c>
      <c r="C28" s="128">
        <v>9.884615385</v>
      </c>
      <c r="D28" s="128">
        <v>11.42222222</v>
      </c>
      <c r="E28" s="137"/>
      <c r="F28" s="136"/>
      <c r="G28" s="136"/>
      <c r="H28" s="136"/>
      <c r="I28" s="10"/>
      <c r="J28" s="10"/>
      <c r="K28" s="10"/>
      <c r="L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row>
    <row r="29" spans="1:56" ht="16.2" thickBot="1" x14ac:dyDescent="0.35">
      <c r="A29" s="130" t="s">
        <v>751</v>
      </c>
      <c r="B29" s="129">
        <v>5</v>
      </c>
      <c r="C29" s="128">
        <v>15.2</v>
      </c>
      <c r="D29" s="128">
        <v>15.2</v>
      </c>
      <c r="I29" s="10"/>
      <c r="J29" s="10"/>
      <c r="K29" s="10"/>
      <c r="L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row>
    <row r="30" spans="1:56" ht="16.2" thickBot="1" x14ac:dyDescent="0.35">
      <c r="A30" s="130" t="s">
        <v>750</v>
      </c>
      <c r="B30" s="129">
        <v>111</v>
      </c>
      <c r="C30" s="128">
        <v>7.4864864860000004</v>
      </c>
      <c r="D30" s="128">
        <v>7.6944444440000002</v>
      </c>
      <c r="E30" s="135"/>
      <c r="F30" s="134"/>
      <c r="G30" s="134"/>
      <c r="H30" s="134"/>
      <c r="I30" s="10"/>
      <c r="J30" s="10"/>
      <c r="K30" s="10"/>
      <c r="L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row>
    <row r="31" spans="1:56" ht="29.4" thickBot="1" x14ac:dyDescent="0.35">
      <c r="A31" s="131" t="s">
        <v>749</v>
      </c>
      <c r="B31" s="129">
        <v>19</v>
      </c>
      <c r="C31" s="128">
        <v>7.0526315789999998</v>
      </c>
      <c r="D31" s="128">
        <v>7.4444444440000002</v>
      </c>
      <c r="E31" s="123"/>
      <c r="F31" s="123"/>
      <c r="G31" s="123"/>
      <c r="H31" s="123"/>
      <c r="I31" s="10"/>
      <c r="J31" s="10"/>
      <c r="K31" s="10"/>
      <c r="L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row>
    <row r="32" spans="1:56" ht="16.2" thickBot="1" x14ac:dyDescent="0.35">
      <c r="A32" s="130" t="s">
        <v>748</v>
      </c>
      <c r="B32" s="129">
        <v>39</v>
      </c>
      <c r="C32" s="128">
        <v>17.410256409999999</v>
      </c>
      <c r="D32" s="128">
        <v>19.399999999999999</v>
      </c>
      <c r="E32" s="73"/>
      <c r="I32" s="10"/>
      <c r="J32" s="10"/>
      <c r="K32" s="10"/>
      <c r="L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row>
    <row r="33" spans="1:56" ht="16.2" thickBot="1" x14ac:dyDescent="0.35">
      <c r="A33" s="127" t="s">
        <v>747</v>
      </c>
      <c r="B33" s="126">
        <v>226</v>
      </c>
      <c r="C33" s="125">
        <v>11.406797971999998</v>
      </c>
      <c r="D33" s="125">
        <v>12.232222221599999</v>
      </c>
      <c r="I33" s="10"/>
      <c r="J33" s="10"/>
      <c r="K33" s="10"/>
      <c r="L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row>
    <row r="34" spans="1:56" x14ac:dyDescent="0.3">
      <c r="I34" s="10"/>
      <c r="J34" s="10"/>
      <c r="K34" s="10"/>
      <c r="L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row>
    <row r="35" spans="1:56" x14ac:dyDescent="0.3">
      <c r="A35" s="443" t="s">
        <v>759</v>
      </c>
      <c r="B35" s="443"/>
      <c r="C35" s="443"/>
      <c r="D35" s="443"/>
      <c r="E35" s="443"/>
      <c r="F35" s="443"/>
      <c r="G35" s="443"/>
      <c r="H35" s="443"/>
      <c r="I35" s="10"/>
      <c r="J35" s="10"/>
      <c r="K35" s="10"/>
      <c r="L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row>
    <row r="36" spans="1:56" x14ac:dyDescent="0.3">
      <c r="A36" s="124" t="s">
        <v>758</v>
      </c>
      <c r="B36" s="124"/>
      <c r="C36" s="124"/>
      <c r="D36" s="124"/>
      <c r="E36" s="124"/>
      <c r="F36" s="124"/>
      <c r="G36" s="124"/>
      <c r="H36" s="124"/>
      <c r="I36" s="10"/>
      <c r="J36" s="10"/>
      <c r="K36" s="10"/>
      <c r="L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row>
    <row r="37" spans="1:56" ht="16.2" thickBot="1" x14ac:dyDescent="0.35">
      <c r="A37" s="124"/>
      <c r="B37" s="124"/>
      <c r="C37" s="124"/>
      <c r="D37" s="124"/>
      <c r="E37" s="124"/>
      <c r="F37" s="124"/>
      <c r="G37" s="124"/>
      <c r="H37" s="124"/>
      <c r="I37" s="10"/>
      <c r="J37" s="10"/>
      <c r="K37" s="10"/>
      <c r="L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row>
    <row r="38" spans="1:56" ht="26.25" customHeight="1" thickBot="1" x14ac:dyDescent="0.35">
      <c r="A38" s="440" t="s">
        <v>757</v>
      </c>
      <c r="B38" s="441"/>
      <c r="C38" s="441"/>
      <c r="D38" s="442"/>
      <c r="E38" s="124"/>
      <c r="F38" s="124"/>
      <c r="G38" s="124"/>
      <c r="H38" s="124"/>
      <c r="I38" s="10"/>
      <c r="J38" s="10"/>
      <c r="K38" s="10"/>
      <c r="L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row>
    <row r="39" spans="1:56" ht="29.4" thickBot="1" x14ac:dyDescent="0.35">
      <c r="A39" s="133" t="s">
        <v>756</v>
      </c>
      <c r="B39" s="132" t="s">
        <v>755</v>
      </c>
      <c r="C39" s="132" t="s">
        <v>754</v>
      </c>
      <c r="D39" s="132" t="s">
        <v>753</v>
      </c>
      <c r="E39" s="124"/>
      <c r="F39" s="124"/>
      <c r="G39" s="124"/>
      <c r="H39" s="124"/>
      <c r="I39" s="10"/>
      <c r="J39" s="10"/>
      <c r="K39" s="10"/>
      <c r="L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row>
    <row r="40" spans="1:56" ht="16.2" thickBot="1" x14ac:dyDescent="0.35">
      <c r="A40" s="130" t="s">
        <v>752</v>
      </c>
      <c r="B40" s="129">
        <v>59</v>
      </c>
      <c r="C40" s="128">
        <v>11.78</v>
      </c>
      <c r="D40" s="128">
        <v>35</v>
      </c>
      <c r="E40" s="124"/>
      <c r="F40" s="124"/>
      <c r="G40" s="124"/>
      <c r="H40" s="124"/>
      <c r="I40" s="10"/>
      <c r="J40" s="10"/>
      <c r="K40" s="10"/>
      <c r="L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row>
    <row r="41" spans="1:56" ht="16.2" thickBot="1" x14ac:dyDescent="0.35">
      <c r="A41" s="130" t="s">
        <v>751</v>
      </c>
      <c r="B41" s="129">
        <v>13</v>
      </c>
      <c r="C41" s="128">
        <v>17.079999999999998</v>
      </c>
      <c r="D41" s="128">
        <v>64.540000000000006</v>
      </c>
      <c r="E41" s="124"/>
      <c r="F41" s="124"/>
      <c r="G41" s="124"/>
      <c r="H41" s="124"/>
      <c r="I41" s="10"/>
      <c r="J41" s="10"/>
      <c r="K41" s="10"/>
      <c r="L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row>
    <row r="42" spans="1:56" ht="16.2" thickBot="1" x14ac:dyDescent="0.35">
      <c r="A42" s="130" t="s">
        <v>750</v>
      </c>
      <c r="B42" s="129">
        <v>146</v>
      </c>
      <c r="C42" s="128">
        <v>10.210000000000001</v>
      </c>
      <c r="D42" s="128">
        <v>18.420000000000002</v>
      </c>
      <c r="E42" s="124"/>
      <c r="F42" s="124"/>
      <c r="G42" s="124"/>
      <c r="H42" s="124"/>
      <c r="I42" s="10"/>
      <c r="J42" s="10"/>
      <c r="K42" s="10"/>
      <c r="L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row>
    <row r="43" spans="1:56" ht="29.4" thickBot="1" x14ac:dyDescent="0.35">
      <c r="A43" s="131" t="s">
        <v>749</v>
      </c>
      <c r="B43" s="129">
        <v>32</v>
      </c>
      <c r="C43" s="128">
        <v>4.91</v>
      </c>
      <c r="D43" s="128">
        <v>9.9700000000000006</v>
      </c>
      <c r="E43" s="124"/>
      <c r="F43" s="124"/>
      <c r="G43" s="124"/>
      <c r="H43" s="124"/>
      <c r="I43" s="10"/>
      <c r="J43" s="10"/>
      <c r="K43" s="10"/>
      <c r="L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row>
    <row r="44" spans="1:56" ht="16.2" thickBot="1" x14ac:dyDescent="0.35">
      <c r="A44" s="130" t="s">
        <v>748</v>
      </c>
      <c r="B44" s="129">
        <v>61</v>
      </c>
      <c r="C44" s="128">
        <v>50.8</v>
      </c>
      <c r="D44" s="128">
        <v>87.23</v>
      </c>
      <c r="E44" s="124"/>
      <c r="F44" s="124"/>
      <c r="G44" s="124"/>
      <c r="H44" s="124"/>
      <c r="I44" s="10"/>
      <c r="J44" s="10"/>
      <c r="K44" s="10"/>
      <c r="L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row>
    <row r="45" spans="1:56" ht="16.2" thickBot="1" x14ac:dyDescent="0.35">
      <c r="A45" s="127" t="s">
        <v>747</v>
      </c>
      <c r="B45" s="126">
        <v>311</v>
      </c>
      <c r="C45" s="125">
        <v>18.21</v>
      </c>
      <c r="D45" s="125">
        <v>36.119999999999997</v>
      </c>
      <c r="E45" s="124"/>
      <c r="F45" s="124"/>
      <c r="G45" s="124"/>
      <c r="H45" s="124"/>
      <c r="I45" s="10"/>
      <c r="J45" s="10"/>
      <c r="K45" s="10"/>
      <c r="L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row>
    <row r="46" spans="1:56" x14ac:dyDescent="0.3">
      <c r="I46" s="10"/>
      <c r="J46" s="10"/>
      <c r="K46" s="10"/>
      <c r="L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row>
    <row r="47" spans="1:56" x14ac:dyDescent="0.3">
      <c r="A47" t="s">
        <v>746</v>
      </c>
      <c r="I47" s="10"/>
      <c r="J47" s="10"/>
      <c r="K47" s="10"/>
      <c r="L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row>
    <row r="48" spans="1:56" x14ac:dyDescent="0.3">
      <c r="I48" s="10"/>
      <c r="J48" s="10"/>
      <c r="K48" s="10"/>
      <c r="L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row>
    <row r="49" spans="1:56" x14ac:dyDescent="0.3">
      <c r="A49" s="431" t="s">
        <v>745</v>
      </c>
      <c r="B49" s="432"/>
      <c r="C49" s="432"/>
      <c r="D49" s="432"/>
      <c r="E49" s="432"/>
      <c r="F49" s="432"/>
      <c r="G49" s="432"/>
      <c r="H49" s="432"/>
      <c r="I49" s="10"/>
      <c r="J49" s="10"/>
      <c r="K49" s="10"/>
      <c r="L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row>
    <row r="50" spans="1:56" ht="15.6" customHeight="1" x14ac:dyDescent="0.3">
      <c r="A50" s="433" t="s">
        <v>744</v>
      </c>
      <c r="B50" s="434"/>
      <c r="C50" s="434"/>
      <c r="D50" s="434"/>
      <c r="E50" s="434"/>
      <c r="F50" s="434"/>
      <c r="G50" s="434"/>
      <c r="H50" s="434"/>
      <c r="I50" s="10"/>
      <c r="J50" s="10"/>
      <c r="K50" s="10"/>
      <c r="L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row>
    <row r="51" spans="1:56" x14ac:dyDescent="0.3">
      <c r="I51" s="10"/>
      <c r="J51" s="10"/>
      <c r="K51" s="10"/>
      <c r="L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row>
    <row r="52" spans="1:56" x14ac:dyDescent="0.3">
      <c r="A52" s="431" t="s">
        <v>743</v>
      </c>
      <c r="B52" s="432"/>
      <c r="C52" s="432"/>
      <c r="D52" s="432"/>
      <c r="E52" s="432"/>
      <c r="F52" s="432"/>
      <c r="G52" s="432"/>
      <c r="H52" s="432"/>
      <c r="I52" s="10"/>
      <c r="J52" s="10"/>
      <c r="K52" s="10"/>
      <c r="L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row>
    <row r="53" spans="1:56" x14ac:dyDescent="0.3">
      <c r="A53" s="435" t="s">
        <v>742</v>
      </c>
      <c r="B53" s="436"/>
      <c r="C53" s="436"/>
      <c r="D53" s="436"/>
      <c r="E53" s="436"/>
      <c r="F53" s="436"/>
      <c r="G53" s="436"/>
      <c r="H53" s="436"/>
      <c r="I53" s="10"/>
      <c r="J53" s="10"/>
      <c r="K53" s="10"/>
      <c r="L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row>
    <row r="54" spans="1:56" x14ac:dyDescent="0.3">
      <c r="A54" s="123"/>
      <c r="B54" s="123"/>
      <c r="C54" s="123"/>
      <c r="D54" s="123"/>
      <c r="E54" s="123"/>
      <c r="F54" s="123"/>
      <c r="G54" s="123"/>
      <c r="H54" s="123"/>
      <c r="I54" s="10"/>
      <c r="J54" s="10"/>
      <c r="K54" s="10"/>
      <c r="L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row>
    <row r="55" spans="1:56" x14ac:dyDescent="0.3">
      <c r="A55" s="123"/>
      <c r="B55" s="123"/>
      <c r="C55" s="123"/>
      <c r="D55" s="123"/>
      <c r="E55" s="123"/>
      <c r="F55" s="123"/>
      <c r="G55" s="123"/>
      <c r="H55" s="123"/>
      <c r="I55" s="10"/>
      <c r="J55" s="10"/>
      <c r="K55" s="10"/>
      <c r="L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row>
    <row r="56" spans="1:56" x14ac:dyDescent="0.3">
      <c r="A56" s="123"/>
      <c r="B56" s="123"/>
      <c r="C56" s="123"/>
      <c r="D56" s="123"/>
      <c r="E56" s="123"/>
      <c r="F56" s="123"/>
      <c r="G56" s="123"/>
      <c r="H56" s="123"/>
      <c r="I56" s="10"/>
      <c r="J56" s="10"/>
      <c r="K56" s="10"/>
      <c r="L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row>
    <row r="57" spans="1:56" x14ac:dyDescent="0.3">
      <c r="A57" s="122"/>
      <c r="B57" s="122"/>
      <c r="C57" s="122"/>
      <c r="D57" s="122"/>
      <c r="E57" s="10"/>
      <c r="F57" s="10"/>
      <c r="G57" s="10"/>
      <c r="H57" s="10"/>
      <c r="I57" s="10"/>
      <c r="J57" s="10"/>
      <c r="K57" s="10"/>
      <c r="L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row>
    <row r="58" spans="1:56" x14ac:dyDescent="0.3">
      <c r="A58" s="122"/>
      <c r="B58" s="122"/>
      <c r="C58" s="122"/>
      <c r="D58" s="122"/>
      <c r="E58" s="10"/>
      <c r="F58" s="10"/>
      <c r="G58" s="10"/>
      <c r="H58" s="10"/>
      <c r="I58" s="10"/>
      <c r="J58" s="10"/>
      <c r="K58" s="10"/>
      <c r="L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row>
    <row r="59" spans="1:56" x14ac:dyDescent="0.3">
      <c r="A59" s="122"/>
      <c r="B59" s="122"/>
      <c r="C59" s="122"/>
      <c r="D59" s="122"/>
      <c r="E59" s="10"/>
      <c r="F59" s="10"/>
      <c r="G59" s="10"/>
      <c r="H59" s="10"/>
      <c r="I59" s="10"/>
      <c r="J59" s="10"/>
      <c r="K59" s="10"/>
      <c r="L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row>
    <row r="60" spans="1:56" x14ac:dyDescent="0.3">
      <c r="A60" s="122"/>
      <c r="B60" s="122"/>
      <c r="C60" s="122"/>
      <c r="D60" s="122"/>
      <c r="E60" s="10"/>
      <c r="F60" s="10"/>
      <c r="G60" s="10"/>
      <c r="H60" s="10"/>
      <c r="I60" s="10"/>
      <c r="J60" s="10"/>
      <c r="K60" s="10"/>
      <c r="L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row>
    <row r="61" spans="1:56" x14ac:dyDescent="0.3">
      <c r="A61" s="122"/>
      <c r="B61" s="122"/>
      <c r="C61" s="122"/>
      <c r="D61" s="122"/>
      <c r="E61" s="10"/>
      <c r="F61" s="10"/>
      <c r="G61" s="10"/>
      <c r="H61" s="10"/>
      <c r="I61" s="10"/>
      <c r="J61" s="10"/>
      <c r="K61" s="10"/>
      <c r="L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row>
    <row r="62" spans="1:56" x14ac:dyDescent="0.3">
      <c r="A62" s="122"/>
      <c r="B62" s="122"/>
      <c r="C62" s="122"/>
      <c r="D62" s="122"/>
      <c r="E62" s="10"/>
      <c r="F62" s="10"/>
      <c r="G62" s="10"/>
      <c r="H62" s="10"/>
      <c r="I62" s="10"/>
      <c r="J62" s="10"/>
      <c r="K62" s="10"/>
      <c r="L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row>
    <row r="63" spans="1:56" x14ac:dyDescent="0.3">
      <c r="A63" s="122"/>
      <c r="B63" s="122"/>
      <c r="C63" s="122"/>
      <c r="D63" s="122"/>
      <c r="E63" s="10"/>
      <c r="F63" s="10"/>
      <c r="G63" s="10"/>
      <c r="H63" s="10"/>
      <c r="I63" s="10"/>
      <c r="J63" s="10"/>
      <c r="K63" s="10"/>
      <c r="L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row>
    <row r="64" spans="1:56" x14ac:dyDescent="0.3">
      <c r="A64" s="122"/>
      <c r="B64" s="122"/>
      <c r="C64" s="122"/>
      <c r="D64" s="122"/>
      <c r="E64" s="10"/>
      <c r="F64" s="10"/>
      <c r="G64" s="10"/>
      <c r="H64" s="10"/>
      <c r="I64" s="10"/>
      <c r="J64" s="10"/>
      <c r="K64" s="10"/>
      <c r="L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row>
    <row r="65" spans="1:56" x14ac:dyDescent="0.3">
      <c r="A65" s="122"/>
      <c r="B65" s="122"/>
      <c r="C65" s="122"/>
      <c r="D65" s="122"/>
      <c r="E65" s="10"/>
      <c r="F65" s="10"/>
      <c r="G65" s="10"/>
      <c r="H65" s="10"/>
      <c r="I65" s="10"/>
      <c r="J65" s="10"/>
      <c r="K65" s="10"/>
      <c r="L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row>
    <row r="66" spans="1:56" x14ac:dyDescent="0.3">
      <c r="A66" s="122"/>
      <c r="B66" s="122"/>
      <c r="C66" s="122"/>
      <c r="D66" s="122"/>
      <c r="E66" s="10"/>
      <c r="F66" s="10"/>
      <c r="G66" s="10"/>
      <c r="H66" s="10"/>
      <c r="I66" s="10"/>
      <c r="J66" s="10"/>
      <c r="K66" s="10"/>
      <c r="L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row>
    <row r="67" spans="1:56" x14ac:dyDescent="0.3">
      <c r="A67" s="122"/>
      <c r="B67" s="122"/>
      <c r="C67" s="122"/>
      <c r="D67" s="122"/>
      <c r="E67" s="10"/>
      <c r="F67" s="10"/>
      <c r="G67" s="10"/>
      <c r="H67" s="10"/>
      <c r="I67" s="10"/>
      <c r="J67" s="10"/>
      <c r="K67" s="10"/>
      <c r="L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row>
    <row r="68" spans="1:56" x14ac:dyDescent="0.3">
      <c r="A68" s="122"/>
      <c r="B68" s="122"/>
      <c r="C68" s="122"/>
      <c r="D68" s="122"/>
      <c r="E68" s="10"/>
      <c r="F68" s="10"/>
      <c r="G68" s="10"/>
      <c r="H68" s="10"/>
      <c r="I68" s="10"/>
      <c r="J68" s="10"/>
      <c r="K68" s="10"/>
      <c r="L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row>
    <row r="69" spans="1:56" x14ac:dyDescent="0.3">
      <c r="A69" s="122"/>
      <c r="B69" s="122"/>
      <c r="C69" s="122"/>
      <c r="D69" s="122"/>
      <c r="E69" s="10"/>
      <c r="F69" s="10"/>
      <c r="G69" s="10"/>
      <c r="H69" s="10"/>
      <c r="I69" s="10"/>
      <c r="J69" s="10"/>
      <c r="K69" s="10"/>
      <c r="L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row>
    <row r="70" spans="1:56" x14ac:dyDescent="0.3">
      <c r="A70" s="122"/>
      <c r="B70" s="122"/>
      <c r="C70" s="122"/>
      <c r="D70" s="122"/>
      <c r="E70" s="10"/>
      <c r="F70" s="10"/>
      <c r="G70" s="10"/>
      <c r="H70" s="10"/>
      <c r="I70" s="10"/>
      <c r="J70" s="10"/>
      <c r="K70" s="10"/>
      <c r="L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row>
    <row r="71" spans="1:56" x14ac:dyDescent="0.3">
      <c r="A71" s="122"/>
      <c r="B71" s="122"/>
      <c r="C71" s="122"/>
      <c r="D71" s="122"/>
      <c r="E71" s="10"/>
      <c r="F71" s="10"/>
      <c r="G71" s="10"/>
      <c r="H71" s="10"/>
      <c r="I71" s="10"/>
      <c r="J71" s="10"/>
      <c r="K71" s="10"/>
      <c r="L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row>
    <row r="72" spans="1:56" x14ac:dyDescent="0.3">
      <c r="A72" s="122"/>
      <c r="B72" s="122"/>
      <c r="C72" s="122"/>
      <c r="D72" s="122"/>
      <c r="E72" s="10"/>
      <c r="F72" s="10"/>
      <c r="G72" s="10"/>
      <c r="H72" s="10"/>
      <c r="I72" s="10"/>
      <c r="J72" s="10"/>
      <c r="K72" s="10"/>
      <c r="L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row>
    <row r="73" spans="1:56" x14ac:dyDescent="0.3">
      <c r="A73" s="122"/>
      <c r="B73" s="122"/>
      <c r="C73" s="122"/>
      <c r="D73" s="122"/>
      <c r="E73" s="10"/>
      <c r="F73" s="10"/>
      <c r="G73" s="10"/>
      <c r="H73" s="10"/>
      <c r="I73" s="10"/>
      <c r="J73" s="10"/>
      <c r="K73" s="10"/>
      <c r="L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row>
    <row r="74" spans="1:56" x14ac:dyDescent="0.3">
      <c r="A74" s="122"/>
      <c r="B74" s="122"/>
      <c r="C74" s="122"/>
      <c r="D74" s="122"/>
      <c r="E74" s="10"/>
      <c r="F74" s="10"/>
      <c r="G74" s="10"/>
      <c r="H74" s="10"/>
      <c r="I74" s="10"/>
      <c r="J74" s="10"/>
      <c r="K74" s="10"/>
      <c r="L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row>
    <row r="75" spans="1:56" x14ac:dyDescent="0.3">
      <c r="A75" s="122"/>
      <c r="B75" s="122"/>
      <c r="C75" s="122"/>
      <c r="D75" s="122"/>
      <c r="E75" s="10"/>
      <c r="F75" s="10"/>
      <c r="G75" s="10"/>
      <c r="H75" s="10"/>
      <c r="I75" s="10"/>
      <c r="J75" s="10"/>
      <c r="K75" s="10"/>
      <c r="L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row>
    <row r="76" spans="1:56" x14ac:dyDescent="0.3">
      <c r="A76" s="122"/>
      <c r="B76" s="122"/>
      <c r="C76" s="122"/>
      <c r="D76" s="122"/>
      <c r="E76" s="10"/>
      <c r="F76" s="10"/>
      <c r="G76" s="10"/>
      <c r="H76" s="10"/>
      <c r="I76" s="10"/>
      <c r="J76" s="10"/>
      <c r="K76" s="10"/>
      <c r="L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row>
    <row r="77" spans="1:56" x14ac:dyDescent="0.3">
      <c r="A77" s="122"/>
      <c r="B77" s="122"/>
      <c r="C77" s="122"/>
      <c r="D77" s="122"/>
      <c r="E77" s="10"/>
      <c r="F77" s="10"/>
      <c r="G77" s="10"/>
      <c r="H77" s="10"/>
      <c r="I77" s="10"/>
      <c r="J77" s="10"/>
      <c r="K77" s="10"/>
      <c r="L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row>
    <row r="78" spans="1:56" x14ac:dyDescent="0.3">
      <c r="A78" s="122"/>
      <c r="B78" s="122"/>
      <c r="C78" s="122"/>
      <c r="D78" s="122"/>
      <c r="E78" s="10"/>
      <c r="F78" s="10"/>
      <c r="G78" s="10"/>
      <c r="H78" s="10"/>
      <c r="I78" s="10"/>
      <c r="J78" s="10"/>
      <c r="K78" s="10"/>
      <c r="L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row>
    <row r="79" spans="1:56" x14ac:dyDescent="0.3">
      <c r="A79" s="122"/>
      <c r="B79" s="122"/>
      <c r="C79" s="122"/>
      <c r="D79" s="122"/>
      <c r="E79" s="10"/>
      <c r="F79" s="10"/>
      <c r="G79" s="10"/>
      <c r="H79" s="10"/>
      <c r="I79" s="10"/>
      <c r="J79" s="10"/>
      <c r="K79" s="10"/>
      <c r="L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row>
    <row r="80" spans="1:56" x14ac:dyDescent="0.3">
      <c r="A80" s="122"/>
      <c r="B80" s="122"/>
      <c r="C80" s="122"/>
      <c r="D80" s="122"/>
      <c r="E80" s="10"/>
      <c r="F80" s="10"/>
      <c r="G80" s="10"/>
      <c r="H80" s="10"/>
      <c r="I80" s="10"/>
      <c r="J80" s="10"/>
      <c r="K80" s="10"/>
      <c r="L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row>
    <row r="81" spans="1:56" x14ac:dyDescent="0.3">
      <c r="A81" s="122"/>
      <c r="B81" s="122"/>
      <c r="C81" s="122"/>
      <c r="D81" s="122"/>
      <c r="E81" s="10"/>
      <c r="F81" s="10"/>
      <c r="G81" s="10"/>
      <c r="H81" s="10"/>
      <c r="I81" s="10"/>
      <c r="J81" s="10"/>
      <c r="K81" s="10"/>
      <c r="L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row>
    <row r="82" spans="1:56" x14ac:dyDescent="0.3">
      <c r="A82" s="122"/>
      <c r="B82" s="122"/>
      <c r="C82" s="122"/>
      <c r="D82" s="122"/>
      <c r="E82" s="10"/>
      <c r="F82" s="10"/>
      <c r="G82" s="10"/>
      <c r="H82" s="10"/>
      <c r="I82" s="10"/>
      <c r="J82" s="10"/>
      <c r="K82" s="10"/>
      <c r="L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row>
    <row r="83" spans="1:56" x14ac:dyDescent="0.3">
      <c r="A83" s="122"/>
      <c r="B83" s="122"/>
      <c r="C83" s="122"/>
      <c r="D83" s="122"/>
      <c r="E83" s="10"/>
      <c r="F83" s="10"/>
      <c r="G83" s="10"/>
      <c r="H83" s="10"/>
      <c r="I83" s="10"/>
      <c r="J83" s="10"/>
      <c r="K83" s="10"/>
      <c r="L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row>
    <row r="84" spans="1:56" x14ac:dyDescent="0.3">
      <c r="A84" s="122"/>
      <c r="B84" s="122"/>
      <c r="C84" s="122"/>
      <c r="D84" s="122"/>
      <c r="E84" s="10"/>
      <c r="F84" s="10"/>
      <c r="G84" s="10"/>
      <c r="H84" s="10"/>
      <c r="I84" s="10"/>
      <c r="J84" s="10"/>
      <c r="K84" s="10"/>
      <c r="L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row>
    <row r="85" spans="1:56" x14ac:dyDescent="0.3">
      <c r="A85" s="122"/>
      <c r="B85" s="122"/>
      <c r="C85" s="122"/>
      <c r="D85" s="122"/>
      <c r="E85" s="10"/>
      <c r="F85" s="10"/>
      <c r="G85" s="10"/>
      <c r="H85" s="10"/>
      <c r="I85" s="10"/>
      <c r="J85" s="10"/>
      <c r="K85" s="10"/>
      <c r="L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row>
    <row r="86" spans="1:56" x14ac:dyDescent="0.3">
      <c r="A86" s="122"/>
      <c r="B86" s="122"/>
      <c r="C86" s="122"/>
      <c r="D86" s="122"/>
      <c r="E86" s="10"/>
      <c r="F86" s="10"/>
      <c r="G86" s="10"/>
      <c r="H86" s="10"/>
      <c r="I86" s="10"/>
      <c r="J86" s="10"/>
      <c r="K86" s="10"/>
      <c r="L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row>
    <row r="87" spans="1:56" x14ac:dyDescent="0.3">
      <c r="A87" s="122"/>
      <c r="B87" s="122"/>
      <c r="C87" s="122"/>
      <c r="D87" s="122"/>
      <c r="E87" s="10"/>
      <c r="F87" s="10"/>
      <c r="G87" s="10"/>
      <c r="H87" s="10"/>
      <c r="I87" s="10"/>
      <c r="J87" s="10"/>
      <c r="K87" s="10"/>
      <c r="L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row>
    <row r="88" spans="1:56" x14ac:dyDescent="0.3">
      <c r="A88" s="122"/>
      <c r="B88" s="122"/>
      <c r="C88" s="122"/>
      <c r="D88" s="122"/>
      <c r="E88" s="10"/>
      <c r="F88" s="10"/>
      <c r="G88" s="10"/>
      <c r="H88" s="10"/>
      <c r="I88" s="10"/>
      <c r="J88" s="10"/>
      <c r="K88" s="10"/>
      <c r="L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row>
    <row r="89" spans="1:56" x14ac:dyDescent="0.3">
      <c r="A89" s="122"/>
      <c r="B89" s="122"/>
      <c r="C89" s="122"/>
      <c r="D89" s="122"/>
      <c r="E89" s="10"/>
      <c r="F89" s="10"/>
      <c r="G89" s="10"/>
      <c r="H89" s="10"/>
      <c r="I89" s="10"/>
      <c r="J89" s="10"/>
      <c r="K89" s="10"/>
      <c r="L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row>
    <row r="90" spans="1:56" x14ac:dyDescent="0.3">
      <c r="A90" s="122"/>
      <c r="B90" s="122"/>
      <c r="C90" s="122"/>
      <c r="D90" s="122"/>
      <c r="E90" s="10"/>
      <c r="F90" s="10"/>
      <c r="G90" s="10"/>
      <c r="H90" s="10"/>
      <c r="I90" s="10"/>
      <c r="J90" s="10"/>
      <c r="K90" s="10"/>
      <c r="L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row>
    <row r="91" spans="1:56" x14ac:dyDescent="0.3">
      <c r="A91" s="122"/>
      <c r="B91" s="122"/>
      <c r="C91" s="122"/>
      <c r="D91" s="122"/>
      <c r="E91" s="10"/>
      <c r="F91" s="10"/>
      <c r="G91" s="10"/>
      <c r="H91" s="10"/>
      <c r="I91" s="10"/>
      <c r="J91" s="10"/>
      <c r="K91" s="10"/>
      <c r="L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row>
    <row r="92" spans="1:56" x14ac:dyDescent="0.3">
      <c r="A92" s="122"/>
      <c r="B92" s="122"/>
      <c r="C92" s="122"/>
      <c r="D92" s="122"/>
      <c r="E92" s="10"/>
      <c r="F92" s="10"/>
      <c r="G92" s="10"/>
      <c r="H92" s="10"/>
      <c r="I92" s="10"/>
      <c r="J92" s="10"/>
      <c r="K92" s="10"/>
      <c r="L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row>
    <row r="93" spans="1:56" x14ac:dyDescent="0.3">
      <c r="A93" s="122"/>
      <c r="B93" s="122"/>
      <c r="C93" s="122"/>
      <c r="D93" s="122"/>
      <c r="E93" s="10"/>
      <c r="F93" s="10"/>
      <c r="G93" s="10"/>
      <c r="H93" s="10"/>
      <c r="I93" s="10"/>
      <c r="J93" s="10"/>
      <c r="K93" s="10"/>
      <c r="L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row>
    <row r="94" spans="1:56" x14ac:dyDescent="0.3">
      <c r="A94" s="122"/>
      <c r="B94" s="122"/>
      <c r="C94" s="122"/>
      <c r="D94" s="122"/>
      <c r="E94" s="10"/>
      <c r="F94" s="10"/>
      <c r="G94" s="10"/>
      <c r="H94" s="10"/>
      <c r="I94" s="10"/>
      <c r="J94" s="10"/>
      <c r="K94" s="10"/>
      <c r="L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row>
    <row r="95" spans="1:56" x14ac:dyDescent="0.3">
      <c r="A95" s="122"/>
      <c r="B95" s="122"/>
      <c r="C95" s="122"/>
      <c r="D95" s="122"/>
      <c r="E95" s="10"/>
      <c r="F95" s="10"/>
      <c r="G95" s="10"/>
      <c r="H95" s="10"/>
      <c r="I95" s="10"/>
      <c r="J95" s="10"/>
      <c r="K95" s="10"/>
      <c r="L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row>
    <row r="96" spans="1:56" x14ac:dyDescent="0.3">
      <c r="A96" s="122"/>
      <c r="B96" s="122"/>
      <c r="C96" s="122"/>
      <c r="D96" s="122"/>
      <c r="E96" s="10"/>
      <c r="F96" s="10"/>
      <c r="G96" s="10"/>
      <c r="H96" s="10"/>
      <c r="I96" s="10"/>
      <c r="J96" s="10"/>
      <c r="K96" s="10"/>
      <c r="L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row>
    <row r="97" spans="1:56" x14ac:dyDescent="0.3">
      <c r="A97" s="122"/>
      <c r="B97" s="122"/>
      <c r="C97" s="122"/>
      <c r="D97" s="122"/>
      <c r="E97" s="10"/>
      <c r="F97" s="10"/>
      <c r="G97" s="10"/>
      <c r="H97" s="10"/>
      <c r="I97" s="10"/>
      <c r="J97" s="10"/>
      <c r="K97" s="10"/>
      <c r="L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row>
    <row r="98" spans="1:56" x14ac:dyDescent="0.3">
      <c r="A98" s="122"/>
      <c r="B98" s="122"/>
      <c r="C98" s="122"/>
      <c r="D98" s="122"/>
      <c r="E98" s="10"/>
      <c r="F98" s="10"/>
      <c r="G98" s="10"/>
      <c r="H98" s="10"/>
      <c r="I98" s="10"/>
      <c r="J98" s="10"/>
      <c r="K98" s="10"/>
      <c r="L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row>
    <row r="99" spans="1:56" x14ac:dyDescent="0.3">
      <c r="A99" s="122"/>
      <c r="B99" s="122"/>
      <c r="C99" s="122"/>
      <c r="D99" s="122"/>
      <c r="E99" s="10"/>
      <c r="F99" s="10"/>
      <c r="G99" s="10"/>
      <c r="H99" s="10"/>
      <c r="I99" s="10"/>
      <c r="J99" s="10"/>
      <c r="K99" s="10"/>
      <c r="L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row>
    <row r="100" spans="1:56" x14ac:dyDescent="0.3">
      <c r="A100" s="122"/>
      <c r="B100" s="122"/>
      <c r="C100" s="122"/>
      <c r="D100" s="122"/>
      <c r="E100" s="10"/>
      <c r="F100" s="10"/>
      <c r="G100" s="10"/>
      <c r="H100" s="10"/>
      <c r="I100" s="10"/>
      <c r="J100" s="10"/>
      <c r="K100" s="10"/>
      <c r="L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row>
    <row r="101" spans="1:56" x14ac:dyDescent="0.3">
      <c r="A101" s="122"/>
      <c r="B101" s="122"/>
      <c r="C101" s="122"/>
      <c r="D101" s="122"/>
      <c r="E101" s="10"/>
      <c r="F101" s="10"/>
      <c r="G101" s="10"/>
      <c r="H101" s="10"/>
      <c r="I101" s="10"/>
      <c r="J101" s="10"/>
      <c r="K101" s="10"/>
      <c r="L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row>
    <row r="102" spans="1:56" x14ac:dyDescent="0.3">
      <c r="A102" s="122"/>
      <c r="B102" s="122"/>
      <c r="C102" s="122"/>
      <c r="D102" s="122"/>
      <c r="E102" s="10"/>
      <c r="F102" s="10"/>
      <c r="G102" s="10"/>
      <c r="H102" s="10"/>
      <c r="I102" s="10"/>
      <c r="J102" s="10"/>
      <c r="K102" s="10"/>
      <c r="L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row>
    <row r="103" spans="1:56" x14ac:dyDescent="0.3">
      <c r="A103" s="122"/>
      <c r="B103" s="122"/>
      <c r="C103" s="122"/>
      <c r="D103" s="122"/>
      <c r="E103" s="10"/>
      <c r="F103" s="10"/>
      <c r="G103" s="10"/>
      <c r="H103" s="10"/>
      <c r="I103" s="10"/>
      <c r="J103" s="10"/>
      <c r="K103" s="10"/>
      <c r="L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row>
    <row r="104" spans="1:56" x14ac:dyDescent="0.3">
      <c r="A104" s="122"/>
      <c r="B104" s="122"/>
      <c r="C104" s="122"/>
      <c r="D104" s="122"/>
      <c r="E104" s="10"/>
      <c r="F104" s="10"/>
      <c r="G104" s="10"/>
      <c r="H104" s="10"/>
      <c r="I104" s="10"/>
      <c r="J104" s="10"/>
      <c r="K104" s="10"/>
      <c r="L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row>
    <row r="105" spans="1:56" x14ac:dyDescent="0.3">
      <c r="A105" s="122"/>
      <c r="B105" s="122"/>
      <c r="C105" s="122"/>
      <c r="D105" s="122"/>
      <c r="E105" s="10"/>
      <c r="F105" s="10"/>
      <c r="G105" s="10"/>
      <c r="H105" s="10"/>
      <c r="I105" s="10"/>
      <c r="J105" s="10"/>
      <c r="K105" s="10"/>
      <c r="L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row>
    <row r="106" spans="1:56" x14ac:dyDescent="0.3">
      <c r="A106" s="122"/>
      <c r="B106" s="122"/>
      <c r="C106" s="122"/>
      <c r="D106" s="122"/>
      <c r="E106" s="10"/>
      <c r="F106" s="10"/>
      <c r="G106" s="10"/>
      <c r="H106" s="10"/>
      <c r="I106" s="10"/>
      <c r="J106" s="10"/>
      <c r="K106" s="10"/>
      <c r="L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row>
    <row r="107" spans="1:56" x14ac:dyDescent="0.3">
      <c r="A107" s="122"/>
      <c r="B107" s="122"/>
      <c r="C107" s="122"/>
      <c r="D107" s="122"/>
      <c r="E107" s="10"/>
      <c r="F107" s="10"/>
      <c r="G107" s="10"/>
      <c r="H107" s="10"/>
      <c r="I107" s="10"/>
      <c r="J107" s="10"/>
      <c r="K107" s="10"/>
      <c r="L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row>
    <row r="108" spans="1:56" x14ac:dyDescent="0.3">
      <c r="A108" s="122"/>
      <c r="B108" s="122"/>
      <c r="C108" s="122"/>
      <c r="D108" s="122"/>
      <c r="E108" s="10"/>
      <c r="F108" s="10"/>
      <c r="G108" s="10"/>
      <c r="H108" s="10"/>
      <c r="I108" s="10"/>
      <c r="J108" s="10"/>
      <c r="K108" s="10"/>
      <c r="L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row>
    <row r="109" spans="1:56" x14ac:dyDescent="0.3">
      <c r="A109" s="122"/>
      <c r="B109" s="122"/>
      <c r="C109" s="122"/>
      <c r="D109" s="122"/>
      <c r="E109" s="10"/>
      <c r="F109" s="10"/>
      <c r="G109" s="10"/>
      <c r="H109" s="10"/>
      <c r="I109" s="10"/>
      <c r="J109" s="10"/>
      <c r="K109" s="10"/>
      <c r="L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row>
    <row r="110" spans="1:56" x14ac:dyDescent="0.3">
      <c r="A110" s="122"/>
      <c r="B110" s="122"/>
      <c r="C110" s="122"/>
      <c r="D110" s="122"/>
      <c r="E110" s="10"/>
      <c r="F110" s="10"/>
      <c r="G110" s="10"/>
      <c r="H110" s="10"/>
      <c r="I110" s="10"/>
      <c r="J110" s="10"/>
      <c r="K110" s="10"/>
      <c r="L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row>
    <row r="111" spans="1:56" x14ac:dyDescent="0.3">
      <c r="A111" s="122"/>
      <c r="B111" s="122"/>
      <c r="C111" s="122"/>
      <c r="D111" s="122"/>
      <c r="E111" s="10"/>
      <c r="F111" s="10"/>
      <c r="G111" s="10"/>
      <c r="H111" s="10"/>
      <c r="I111" s="10"/>
      <c r="J111" s="10"/>
      <c r="K111" s="10"/>
      <c r="L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row>
    <row r="112" spans="1:56" x14ac:dyDescent="0.3">
      <c r="A112" s="122"/>
      <c r="B112" s="122"/>
      <c r="C112" s="122"/>
      <c r="D112" s="122"/>
      <c r="E112" s="10"/>
      <c r="F112" s="10"/>
      <c r="G112" s="10"/>
      <c r="H112" s="10"/>
      <c r="I112" s="10"/>
      <c r="J112" s="10"/>
      <c r="K112" s="10"/>
      <c r="L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row>
    <row r="113" spans="1:56" x14ac:dyDescent="0.3">
      <c r="A113" s="122"/>
      <c r="B113" s="122"/>
      <c r="C113" s="122"/>
      <c r="D113" s="122"/>
      <c r="E113" s="10"/>
      <c r="F113" s="10"/>
      <c r="G113" s="10"/>
      <c r="H113" s="10"/>
      <c r="I113" s="10"/>
      <c r="J113" s="10"/>
      <c r="K113" s="10"/>
      <c r="L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row>
    <row r="114" spans="1:56" x14ac:dyDescent="0.3">
      <c r="A114" s="122"/>
      <c r="B114" s="122"/>
      <c r="C114" s="122"/>
      <c r="D114" s="122"/>
      <c r="E114" s="10"/>
      <c r="F114" s="10"/>
      <c r="G114" s="10"/>
      <c r="H114" s="10"/>
      <c r="I114" s="10"/>
      <c r="J114" s="10"/>
      <c r="K114" s="10"/>
      <c r="L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row>
    <row r="115" spans="1:56" x14ac:dyDescent="0.3">
      <c r="A115" s="122"/>
      <c r="B115" s="122"/>
      <c r="C115" s="122"/>
      <c r="D115" s="122"/>
      <c r="E115" s="10"/>
      <c r="F115" s="10"/>
      <c r="G115" s="10"/>
      <c r="H115" s="10"/>
      <c r="I115" s="10"/>
      <c r="J115" s="10"/>
      <c r="K115" s="10"/>
      <c r="L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row>
    <row r="116" spans="1:56" x14ac:dyDescent="0.3">
      <c r="A116" s="122"/>
      <c r="B116" s="122"/>
      <c r="C116" s="122"/>
      <c r="D116" s="122"/>
      <c r="E116" s="10"/>
      <c r="F116" s="10"/>
      <c r="G116" s="10"/>
      <c r="H116" s="10"/>
      <c r="I116" s="10"/>
      <c r="J116" s="10"/>
      <c r="K116" s="10"/>
      <c r="L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row>
    <row r="117" spans="1:56" x14ac:dyDescent="0.3">
      <c r="A117" s="122"/>
      <c r="B117" s="122"/>
      <c r="C117" s="122"/>
      <c r="D117" s="122"/>
      <c r="E117" s="10"/>
      <c r="F117" s="10"/>
      <c r="G117" s="10"/>
      <c r="H117" s="10"/>
      <c r="I117" s="10"/>
      <c r="J117" s="10"/>
      <c r="K117" s="10"/>
      <c r="L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row>
    <row r="118" spans="1:56" x14ac:dyDescent="0.3">
      <c r="A118" s="122"/>
      <c r="B118" s="122"/>
      <c r="C118" s="122"/>
      <c r="D118" s="122"/>
      <c r="E118" s="10"/>
      <c r="F118" s="10"/>
      <c r="G118" s="10"/>
      <c r="H118" s="10"/>
      <c r="I118" s="10"/>
      <c r="J118" s="10"/>
      <c r="K118" s="10"/>
      <c r="L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row>
    <row r="119" spans="1:56" x14ac:dyDescent="0.3">
      <c r="A119" s="122"/>
      <c r="B119" s="122"/>
      <c r="C119" s="122"/>
      <c r="D119" s="122"/>
      <c r="E119" s="10"/>
      <c r="F119" s="10"/>
      <c r="G119" s="10"/>
      <c r="H119" s="10"/>
      <c r="I119" s="10"/>
      <c r="J119" s="10"/>
      <c r="K119" s="10"/>
      <c r="L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row>
    <row r="120" spans="1:56" x14ac:dyDescent="0.3">
      <c r="A120" s="122"/>
      <c r="B120" s="122"/>
      <c r="C120" s="122"/>
      <c r="D120" s="122"/>
      <c r="E120" s="10"/>
      <c r="F120" s="10"/>
      <c r="G120" s="10"/>
      <c r="H120" s="10"/>
      <c r="I120" s="10"/>
      <c r="J120" s="10"/>
      <c r="K120" s="10"/>
      <c r="L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row>
    <row r="121" spans="1:56" x14ac:dyDescent="0.3">
      <c r="A121" s="122"/>
      <c r="B121" s="122"/>
      <c r="C121" s="122"/>
      <c r="D121" s="122"/>
      <c r="E121" s="10"/>
      <c r="F121" s="10"/>
      <c r="G121" s="10"/>
      <c r="H121" s="10"/>
      <c r="I121" s="10"/>
      <c r="J121" s="10"/>
      <c r="K121" s="10"/>
      <c r="L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row>
    <row r="122" spans="1:56" x14ac:dyDescent="0.3">
      <c r="A122" s="122"/>
      <c r="B122" s="122"/>
      <c r="C122" s="122"/>
      <c r="D122" s="122"/>
      <c r="E122" s="10"/>
      <c r="F122" s="10"/>
      <c r="G122" s="10"/>
      <c r="H122" s="10"/>
      <c r="I122" s="10"/>
      <c r="J122" s="10"/>
      <c r="K122" s="10"/>
      <c r="L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row>
    <row r="123" spans="1:56" x14ac:dyDescent="0.3">
      <c r="A123" s="122"/>
      <c r="B123" s="122"/>
      <c r="C123" s="122"/>
      <c r="D123" s="122"/>
      <c r="E123" s="10"/>
      <c r="F123" s="10"/>
      <c r="G123" s="10"/>
      <c r="H123" s="10"/>
      <c r="I123" s="10"/>
      <c r="J123" s="10"/>
      <c r="K123" s="10"/>
      <c r="L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row>
    <row r="124" spans="1:56" x14ac:dyDescent="0.3">
      <c r="A124" s="122"/>
      <c r="B124" s="122"/>
      <c r="C124" s="122"/>
      <c r="D124" s="122"/>
      <c r="E124" s="10"/>
      <c r="F124" s="10"/>
      <c r="G124" s="10"/>
      <c r="H124" s="10"/>
      <c r="I124" s="10"/>
      <c r="J124" s="10"/>
      <c r="K124" s="10"/>
      <c r="L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row>
    <row r="125" spans="1:56" x14ac:dyDescent="0.3">
      <c r="A125" s="122"/>
      <c r="B125" s="122"/>
      <c r="C125" s="122"/>
      <c r="D125" s="122"/>
      <c r="E125" s="10"/>
      <c r="F125" s="10"/>
      <c r="G125" s="10"/>
      <c r="H125" s="10"/>
      <c r="I125" s="10"/>
      <c r="J125" s="10"/>
      <c r="K125" s="10"/>
      <c r="L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row>
    <row r="126" spans="1:56" x14ac:dyDescent="0.3">
      <c r="A126" s="122"/>
      <c r="B126" s="122"/>
      <c r="C126" s="122"/>
      <c r="D126" s="122"/>
      <c r="E126" s="10"/>
      <c r="F126" s="10"/>
      <c r="G126" s="10"/>
      <c r="H126" s="10"/>
      <c r="I126" s="10"/>
      <c r="J126" s="10"/>
      <c r="K126" s="10"/>
      <c r="L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row>
    <row r="127" spans="1:56" x14ac:dyDescent="0.3">
      <c r="A127" s="122"/>
      <c r="B127" s="122"/>
      <c r="C127" s="122"/>
      <c r="D127" s="122"/>
      <c r="E127" s="10"/>
      <c r="F127" s="10"/>
      <c r="G127" s="10"/>
      <c r="H127" s="10"/>
      <c r="I127" s="10"/>
      <c r="J127" s="10"/>
      <c r="K127" s="10"/>
      <c r="L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row>
    <row r="128" spans="1:56" x14ac:dyDescent="0.3">
      <c r="A128" s="122"/>
      <c r="B128" s="122"/>
      <c r="C128" s="122"/>
      <c r="D128" s="122"/>
      <c r="E128" s="10"/>
      <c r="F128" s="10"/>
      <c r="G128" s="10"/>
      <c r="H128" s="10"/>
      <c r="I128" s="10"/>
      <c r="J128" s="10"/>
      <c r="K128" s="10"/>
      <c r="L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row>
    <row r="129" spans="1:56" x14ac:dyDescent="0.3">
      <c r="A129" s="122"/>
      <c r="B129" s="122"/>
      <c r="C129" s="122"/>
      <c r="D129" s="122"/>
      <c r="E129" s="10"/>
      <c r="F129" s="10"/>
      <c r="G129" s="10"/>
      <c r="H129" s="10"/>
      <c r="I129" s="10"/>
      <c r="J129" s="10"/>
      <c r="K129" s="10"/>
      <c r="L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row>
    <row r="130" spans="1:56" x14ac:dyDescent="0.3">
      <c r="A130" s="122"/>
      <c r="B130" s="122"/>
      <c r="C130" s="122"/>
      <c r="D130" s="122"/>
      <c r="E130" s="10"/>
      <c r="F130" s="10"/>
      <c r="G130" s="10"/>
      <c r="H130" s="10"/>
      <c r="I130" s="10"/>
      <c r="J130" s="10"/>
      <c r="K130" s="10"/>
      <c r="L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row>
    <row r="131" spans="1:56" x14ac:dyDescent="0.3">
      <c r="A131" s="122"/>
      <c r="B131" s="122"/>
      <c r="C131" s="122"/>
      <c r="D131" s="122"/>
      <c r="E131" s="10"/>
      <c r="F131" s="10"/>
      <c r="G131" s="10"/>
      <c r="H131" s="10"/>
      <c r="I131" s="10"/>
      <c r="J131" s="10"/>
      <c r="K131" s="10"/>
      <c r="L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row>
    <row r="132" spans="1:56" x14ac:dyDescent="0.3">
      <c r="A132" s="122"/>
      <c r="B132" s="122"/>
      <c r="C132" s="122"/>
      <c r="D132" s="122"/>
      <c r="E132" s="10"/>
      <c r="F132" s="10"/>
      <c r="G132" s="10"/>
      <c r="H132" s="10"/>
      <c r="I132" s="10"/>
      <c r="J132" s="10"/>
      <c r="K132" s="10"/>
      <c r="L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row>
    <row r="133" spans="1:56" x14ac:dyDescent="0.3">
      <c r="A133" s="122"/>
      <c r="B133" s="122"/>
      <c r="C133" s="122"/>
      <c r="D133" s="122"/>
      <c r="E133" s="10"/>
      <c r="F133" s="10"/>
      <c r="G133" s="10"/>
      <c r="H133" s="10"/>
      <c r="I133" s="10"/>
      <c r="J133" s="10"/>
      <c r="K133" s="10"/>
      <c r="L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row>
    <row r="134" spans="1:56" x14ac:dyDescent="0.3">
      <c r="A134" s="122"/>
      <c r="B134" s="122"/>
      <c r="C134" s="122"/>
      <c r="D134" s="122"/>
      <c r="E134" s="10"/>
      <c r="F134" s="10"/>
      <c r="G134" s="10"/>
      <c r="H134" s="10"/>
      <c r="I134" s="10"/>
      <c r="J134" s="10"/>
      <c r="K134" s="10"/>
      <c r="L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row>
    <row r="135" spans="1:56" x14ac:dyDescent="0.3">
      <c r="A135" s="122"/>
      <c r="B135" s="122"/>
      <c r="C135" s="122"/>
      <c r="D135" s="122"/>
      <c r="E135" s="10"/>
      <c r="F135" s="10"/>
      <c r="G135" s="10"/>
      <c r="H135" s="10"/>
      <c r="I135" s="10"/>
      <c r="J135" s="10"/>
      <c r="K135" s="10"/>
      <c r="L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row>
    <row r="136" spans="1:56" x14ac:dyDescent="0.3">
      <c r="A136" s="122"/>
      <c r="B136" s="122"/>
      <c r="C136" s="122"/>
      <c r="D136" s="122"/>
      <c r="E136" s="10"/>
      <c r="F136" s="10"/>
      <c r="G136" s="10"/>
      <c r="H136" s="10"/>
      <c r="I136" s="10"/>
      <c r="J136" s="10"/>
      <c r="K136" s="10"/>
      <c r="L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row>
    <row r="137" spans="1:56" x14ac:dyDescent="0.3">
      <c r="A137" s="122"/>
      <c r="B137" s="122"/>
      <c r="C137" s="122"/>
      <c r="D137" s="122"/>
      <c r="E137" s="10"/>
      <c r="F137" s="10"/>
      <c r="G137" s="10"/>
      <c r="H137" s="10"/>
      <c r="I137" s="10"/>
      <c r="J137" s="10"/>
      <c r="K137" s="10"/>
      <c r="L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row>
    <row r="138" spans="1:56" x14ac:dyDescent="0.3">
      <c r="A138" s="122"/>
      <c r="B138" s="122"/>
      <c r="C138" s="122"/>
      <c r="D138" s="122"/>
      <c r="E138" s="10"/>
      <c r="F138" s="10"/>
      <c r="G138" s="10"/>
      <c r="H138" s="10"/>
      <c r="I138" s="10"/>
      <c r="J138" s="10"/>
      <c r="K138" s="10"/>
      <c r="L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row>
    <row r="139" spans="1:56" x14ac:dyDescent="0.3">
      <c r="A139" s="122"/>
      <c r="B139" s="122"/>
      <c r="C139" s="122"/>
      <c r="D139" s="122"/>
      <c r="E139" s="10"/>
      <c r="F139" s="10"/>
      <c r="G139" s="10"/>
      <c r="H139" s="10"/>
      <c r="I139" s="10"/>
      <c r="J139" s="10"/>
      <c r="K139" s="10"/>
      <c r="L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row>
    <row r="140" spans="1:56" x14ac:dyDescent="0.3">
      <c r="A140" s="122"/>
      <c r="B140" s="122"/>
      <c r="C140" s="122"/>
      <c r="D140" s="122"/>
      <c r="E140" s="10"/>
      <c r="F140" s="10"/>
      <c r="G140" s="10"/>
      <c r="H140" s="10"/>
      <c r="I140" s="10"/>
      <c r="J140" s="10"/>
      <c r="K140" s="10"/>
      <c r="L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row>
    <row r="141" spans="1:56" x14ac:dyDescent="0.3">
      <c r="A141" s="122"/>
      <c r="B141" s="122"/>
      <c r="C141" s="122"/>
      <c r="D141" s="122"/>
      <c r="E141" s="10"/>
      <c r="F141" s="10"/>
      <c r="G141" s="10"/>
      <c r="H141" s="10"/>
      <c r="I141" s="10"/>
      <c r="J141" s="10"/>
      <c r="K141" s="10"/>
      <c r="L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row>
    <row r="142" spans="1:56" x14ac:dyDescent="0.3">
      <c r="A142" s="122"/>
      <c r="B142" s="122"/>
      <c r="C142" s="122"/>
      <c r="D142" s="122"/>
      <c r="E142" s="10"/>
      <c r="F142" s="10"/>
      <c r="G142" s="10"/>
      <c r="H142" s="10"/>
      <c r="I142" s="10"/>
      <c r="J142" s="10"/>
      <c r="K142" s="10"/>
      <c r="L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row>
    <row r="143" spans="1:56" x14ac:dyDescent="0.3">
      <c r="A143" s="122"/>
      <c r="B143" s="122"/>
      <c r="C143" s="122"/>
      <c r="D143" s="122"/>
      <c r="E143" s="10"/>
      <c r="F143" s="10"/>
      <c r="G143" s="10"/>
      <c r="H143" s="10"/>
      <c r="I143" s="10"/>
      <c r="J143" s="10"/>
      <c r="K143" s="10"/>
      <c r="L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row>
    <row r="144" spans="1:56" x14ac:dyDescent="0.3">
      <c r="A144" s="122"/>
      <c r="B144" s="122"/>
      <c r="C144" s="122"/>
      <c r="D144" s="122"/>
      <c r="E144" s="10"/>
      <c r="F144" s="10"/>
      <c r="G144" s="10"/>
      <c r="H144" s="10"/>
      <c r="I144" s="10"/>
      <c r="J144" s="10"/>
      <c r="K144" s="10"/>
      <c r="L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row>
    <row r="145" spans="1:56" x14ac:dyDescent="0.3">
      <c r="A145" s="122"/>
      <c r="B145" s="122"/>
      <c r="C145" s="122"/>
      <c r="D145" s="122"/>
      <c r="E145" s="10"/>
      <c r="F145" s="10"/>
      <c r="G145" s="10"/>
      <c r="H145" s="10"/>
      <c r="I145" s="10"/>
      <c r="J145" s="10"/>
      <c r="K145" s="10"/>
      <c r="L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row>
    <row r="146" spans="1:56" x14ac:dyDescent="0.3">
      <c r="A146" s="122"/>
      <c r="B146" s="122"/>
      <c r="C146" s="122"/>
      <c r="D146" s="122"/>
      <c r="E146" s="10"/>
      <c r="F146" s="10"/>
      <c r="G146" s="10"/>
      <c r="H146" s="10"/>
      <c r="I146" s="10"/>
      <c r="J146" s="10"/>
      <c r="K146" s="10"/>
      <c r="L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row>
    <row r="147" spans="1:56" x14ac:dyDescent="0.3">
      <c r="A147" s="122"/>
      <c r="B147" s="122"/>
      <c r="C147" s="122"/>
      <c r="D147" s="122"/>
      <c r="E147" s="10"/>
      <c r="F147" s="10"/>
      <c r="G147" s="10"/>
      <c r="H147" s="10"/>
      <c r="I147" s="10"/>
      <c r="J147" s="10"/>
      <c r="K147" s="10"/>
      <c r="L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row>
    <row r="148" spans="1:56" x14ac:dyDescent="0.3">
      <c r="A148" s="122"/>
      <c r="B148" s="122"/>
      <c r="C148" s="122"/>
      <c r="D148" s="122"/>
      <c r="E148" s="10"/>
      <c r="F148" s="10"/>
      <c r="G148" s="10"/>
      <c r="H148" s="10"/>
      <c r="I148" s="10"/>
      <c r="J148" s="10"/>
      <c r="K148" s="10"/>
      <c r="L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row>
    <row r="149" spans="1:56" x14ac:dyDescent="0.3">
      <c r="A149" s="122"/>
      <c r="B149" s="122"/>
      <c r="C149" s="122"/>
      <c r="D149" s="122"/>
      <c r="G149" s="10"/>
      <c r="H149" s="10"/>
      <c r="I149" s="10"/>
      <c r="J149" s="10"/>
      <c r="K149" s="10"/>
      <c r="L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row>
    <row r="150" spans="1:56" x14ac:dyDescent="0.3">
      <c r="A150" s="122"/>
      <c r="B150" s="122"/>
      <c r="C150" s="122"/>
      <c r="D150" s="122"/>
      <c r="G150" s="10"/>
      <c r="H150" s="10"/>
      <c r="I150" s="10"/>
      <c r="J150" s="10"/>
      <c r="K150" s="10"/>
      <c r="L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row>
    <row r="151" spans="1:56" x14ac:dyDescent="0.3">
      <c r="A151" s="122"/>
      <c r="B151" s="122"/>
      <c r="C151" s="122"/>
      <c r="D151" s="122"/>
      <c r="M151"/>
    </row>
    <row r="152" spans="1:56" x14ac:dyDescent="0.3">
      <c r="A152" s="122"/>
      <c r="B152" s="122"/>
      <c r="C152" s="122"/>
      <c r="D152" s="122"/>
      <c r="M152"/>
    </row>
    <row r="153" spans="1:56" x14ac:dyDescent="0.3">
      <c r="A153" s="122"/>
      <c r="B153" s="122"/>
      <c r="C153" s="122"/>
      <c r="D153" s="122"/>
    </row>
    <row r="154" spans="1:56" x14ac:dyDescent="0.3">
      <c r="A154" s="122"/>
      <c r="B154" s="122"/>
      <c r="C154" s="122"/>
      <c r="D154" s="122"/>
    </row>
    <row r="155" spans="1:56" x14ac:dyDescent="0.3">
      <c r="A155" s="122"/>
      <c r="B155" s="122"/>
      <c r="C155" s="122"/>
      <c r="D155" s="122"/>
    </row>
    <row r="156" spans="1:56" x14ac:dyDescent="0.3">
      <c r="A156" s="122"/>
      <c r="B156" s="122"/>
      <c r="C156" s="122"/>
      <c r="D156" s="122"/>
    </row>
    <row r="157" spans="1:56" x14ac:dyDescent="0.3">
      <c r="A157" s="122"/>
      <c r="B157" s="122"/>
      <c r="C157" s="122"/>
      <c r="D157" s="122"/>
    </row>
    <row r="158" spans="1:56" x14ac:dyDescent="0.3">
      <c r="A158" s="122"/>
      <c r="B158" s="122"/>
      <c r="C158" s="122"/>
      <c r="D158" s="122"/>
    </row>
    <row r="159" spans="1:56" x14ac:dyDescent="0.3">
      <c r="A159" s="122"/>
      <c r="B159" s="122"/>
      <c r="C159" s="122"/>
      <c r="D159" s="122"/>
    </row>
    <row r="160" spans="1:56" x14ac:dyDescent="0.3">
      <c r="A160" s="122"/>
      <c r="B160" s="122"/>
      <c r="C160" s="122"/>
      <c r="D160" s="122"/>
    </row>
    <row r="161" spans="1:4" x14ac:dyDescent="0.3">
      <c r="A161" s="122"/>
      <c r="B161" s="122"/>
      <c r="C161" s="122"/>
      <c r="D161" s="122"/>
    </row>
    <row r="162" spans="1:4" x14ac:dyDescent="0.3">
      <c r="A162" s="122"/>
      <c r="B162" s="122"/>
      <c r="C162" s="122"/>
      <c r="D162" s="122"/>
    </row>
    <row r="163" spans="1:4" x14ac:dyDescent="0.3">
      <c r="A163" s="122"/>
      <c r="B163" s="122"/>
      <c r="C163" s="122"/>
      <c r="D163" s="122"/>
    </row>
    <row r="164" spans="1:4" x14ac:dyDescent="0.3">
      <c r="A164" s="122"/>
      <c r="B164" s="122"/>
      <c r="C164" s="122"/>
      <c r="D164" s="122"/>
    </row>
    <row r="165" spans="1:4" x14ac:dyDescent="0.3">
      <c r="A165" s="122"/>
      <c r="B165" s="122"/>
      <c r="C165" s="122"/>
      <c r="D165" s="122"/>
    </row>
    <row r="166" spans="1:4" x14ac:dyDescent="0.3">
      <c r="A166" s="122"/>
      <c r="B166" s="122"/>
      <c r="C166" s="122"/>
      <c r="D166" s="122"/>
    </row>
    <row r="167" spans="1:4" x14ac:dyDescent="0.3">
      <c r="A167" s="122"/>
      <c r="B167" s="122"/>
      <c r="C167" s="122"/>
      <c r="D167" s="122"/>
    </row>
    <row r="168" spans="1:4" x14ac:dyDescent="0.3">
      <c r="A168" s="122"/>
      <c r="B168" s="122"/>
      <c r="C168" s="122"/>
      <c r="D168" s="122"/>
    </row>
    <row r="169" spans="1:4" x14ac:dyDescent="0.3">
      <c r="A169" s="122"/>
      <c r="B169" s="122"/>
      <c r="C169" s="122"/>
      <c r="D169" s="122"/>
    </row>
    <row r="170" spans="1:4" x14ac:dyDescent="0.3">
      <c r="A170" s="122"/>
      <c r="B170" s="122"/>
      <c r="C170" s="122"/>
      <c r="D170" s="122"/>
    </row>
    <row r="171" spans="1:4" x14ac:dyDescent="0.3">
      <c r="A171" s="122"/>
      <c r="B171" s="122"/>
      <c r="C171" s="122"/>
      <c r="D171" s="122"/>
    </row>
    <row r="172" spans="1:4" x14ac:dyDescent="0.3">
      <c r="A172" s="122"/>
      <c r="B172" s="122"/>
      <c r="C172" s="122"/>
      <c r="D172" s="122"/>
    </row>
    <row r="173" spans="1:4" x14ac:dyDescent="0.3">
      <c r="A173" s="122"/>
      <c r="B173" s="122"/>
      <c r="C173" s="122"/>
      <c r="D173" s="122"/>
    </row>
    <row r="174" spans="1:4" x14ac:dyDescent="0.3">
      <c r="A174" s="122"/>
      <c r="B174" s="122"/>
      <c r="C174" s="122"/>
      <c r="D174" s="122"/>
    </row>
    <row r="175" spans="1:4" x14ac:dyDescent="0.3">
      <c r="A175" s="122"/>
      <c r="B175" s="122"/>
      <c r="C175" s="122"/>
      <c r="D175" s="122"/>
    </row>
    <row r="176" spans="1:4" x14ac:dyDescent="0.3">
      <c r="A176" s="122"/>
      <c r="B176" s="122"/>
      <c r="C176" s="122"/>
      <c r="D176" s="122"/>
    </row>
    <row r="177" spans="1:4" x14ac:dyDescent="0.3">
      <c r="A177" s="122"/>
      <c r="B177" s="122"/>
      <c r="C177" s="122"/>
      <c r="D177" s="122"/>
    </row>
    <row r="178" spans="1:4" x14ac:dyDescent="0.3">
      <c r="A178" s="122"/>
      <c r="B178" s="122"/>
      <c r="C178" s="122"/>
      <c r="D178" s="122"/>
    </row>
    <row r="179" spans="1:4" x14ac:dyDescent="0.3">
      <c r="A179" s="122"/>
      <c r="B179" s="122"/>
      <c r="C179" s="122"/>
      <c r="D179" s="122"/>
    </row>
    <row r="180" spans="1:4" x14ac:dyDescent="0.3">
      <c r="A180" s="122"/>
      <c r="B180" s="122"/>
      <c r="C180" s="122"/>
      <c r="D180" s="122"/>
    </row>
    <row r="181" spans="1:4" x14ac:dyDescent="0.3">
      <c r="A181" s="122"/>
      <c r="B181" s="122"/>
      <c r="C181" s="122"/>
      <c r="D181" s="122"/>
    </row>
    <row r="182" spans="1:4" x14ac:dyDescent="0.3">
      <c r="A182" s="122"/>
      <c r="B182" s="122"/>
      <c r="C182" s="122"/>
      <c r="D182" s="122"/>
    </row>
    <row r="183" spans="1:4" x14ac:dyDescent="0.3">
      <c r="A183" s="122"/>
      <c r="B183" s="122"/>
      <c r="C183" s="122"/>
      <c r="D183" s="122"/>
    </row>
  </sheetData>
  <mergeCells count="12">
    <mergeCell ref="A49:H49"/>
    <mergeCell ref="A50:H50"/>
    <mergeCell ref="A52:H52"/>
    <mergeCell ref="A53:H53"/>
    <mergeCell ref="A2:H2"/>
    <mergeCell ref="A4:D4"/>
    <mergeCell ref="A13:H13"/>
    <mergeCell ref="A15:D15"/>
    <mergeCell ref="A24:H24"/>
    <mergeCell ref="A26:D26"/>
    <mergeCell ref="A38:D38"/>
    <mergeCell ref="A35:H35"/>
  </mergeCells>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4BC4B-EF8F-41AB-B3BE-7252D368461E}">
  <sheetPr>
    <pageSetUpPr fitToPage="1"/>
  </sheetPr>
  <dimension ref="A1:B156"/>
  <sheetViews>
    <sheetView showGridLines="0" zoomScale="80" zoomScaleNormal="80" workbookViewId="0">
      <selection sqref="A1:B1"/>
    </sheetView>
  </sheetViews>
  <sheetFormatPr defaultRowHeight="14.4" x14ac:dyDescent="0.3"/>
  <cols>
    <col min="1" max="1" width="26.5546875" style="3" customWidth="1"/>
    <col min="2" max="2" width="160.77734375" customWidth="1"/>
  </cols>
  <sheetData>
    <row r="1" spans="1:2" s="4" customFormat="1" ht="25.8" x14ac:dyDescent="0.3">
      <c r="A1" s="456" t="s">
        <v>44</v>
      </c>
      <c r="B1" s="456"/>
    </row>
    <row r="2" spans="1:2" s="4" customFormat="1" ht="74.25" customHeight="1" x14ac:dyDescent="0.3">
      <c r="A2" s="373" t="s">
        <v>45</v>
      </c>
      <c r="B2" s="373"/>
    </row>
    <row r="3" spans="1:2" s="4" customFormat="1" ht="48.6" customHeight="1" thickBot="1" x14ac:dyDescent="0.35">
      <c r="A3" s="18" t="s">
        <v>516</v>
      </c>
      <c r="B3" s="333"/>
    </row>
    <row r="4" spans="1:2" ht="18" x14ac:dyDescent="0.3">
      <c r="A4" s="20" t="s">
        <v>112</v>
      </c>
      <c r="B4" s="21" t="s">
        <v>113</v>
      </c>
    </row>
    <row r="5" spans="1:2" ht="15.6" x14ac:dyDescent="0.3">
      <c r="A5" s="143" t="s">
        <v>46</v>
      </c>
      <c r="B5" s="22" t="s">
        <v>47</v>
      </c>
    </row>
    <row r="6" spans="1:2" ht="15.6" x14ac:dyDescent="0.3">
      <c r="A6" s="143" t="s">
        <v>48</v>
      </c>
      <c r="B6" s="22" t="s">
        <v>49</v>
      </c>
    </row>
    <row r="7" spans="1:2" ht="15.6" x14ac:dyDescent="0.3">
      <c r="A7" s="143" t="s">
        <v>50</v>
      </c>
      <c r="B7" s="22" t="s">
        <v>51</v>
      </c>
    </row>
    <row r="8" spans="1:2" ht="15.6" x14ac:dyDescent="0.3">
      <c r="A8" s="143" t="s">
        <v>52</v>
      </c>
      <c r="B8" s="22" t="s">
        <v>53</v>
      </c>
    </row>
    <row r="9" spans="1:2" ht="15.6" x14ac:dyDescent="0.3">
      <c r="A9" s="143" t="s">
        <v>3</v>
      </c>
      <c r="B9" s="22" t="s">
        <v>54</v>
      </c>
    </row>
    <row r="10" spans="1:2" ht="15.6" x14ac:dyDescent="0.3">
      <c r="A10" s="143" t="s">
        <v>55</v>
      </c>
      <c r="B10" s="22" t="s">
        <v>56</v>
      </c>
    </row>
    <row r="11" spans="1:2" ht="15.6" x14ac:dyDescent="0.3">
      <c r="A11" s="143" t="s">
        <v>57</v>
      </c>
      <c r="B11" s="22" t="s">
        <v>58</v>
      </c>
    </row>
    <row r="12" spans="1:2" ht="15.6" x14ac:dyDescent="0.3">
      <c r="A12" s="143" t="s">
        <v>59</v>
      </c>
      <c r="B12" s="22" t="s">
        <v>60</v>
      </c>
    </row>
    <row r="13" spans="1:2" ht="46.8" x14ac:dyDescent="0.3">
      <c r="A13" s="143" t="s">
        <v>61</v>
      </c>
      <c r="B13" s="22" t="s">
        <v>62</v>
      </c>
    </row>
    <row r="14" spans="1:2" ht="46.8" x14ac:dyDescent="0.3">
      <c r="A14" s="143" t="s">
        <v>63</v>
      </c>
      <c r="B14" s="22" t="s">
        <v>64</v>
      </c>
    </row>
    <row r="15" spans="1:2" ht="15.6" x14ac:dyDescent="0.3">
      <c r="A15" s="143" t="s">
        <v>65</v>
      </c>
      <c r="B15" s="22" t="s">
        <v>66</v>
      </c>
    </row>
    <row r="16" spans="1:2" ht="47.25" customHeight="1" x14ac:dyDescent="0.3">
      <c r="A16" s="455" t="s">
        <v>67</v>
      </c>
      <c r="B16" s="22" t="s">
        <v>68</v>
      </c>
    </row>
    <row r="17" spans="1:2" ht="46.8" x14ac:dyDescent="0.3">
      <c r="A17" s="455"/>
      <c r="B17" s="22" t="s">
        <v>69</v>
      </c>
    </row>
    <row r="18" spans="1:2" ht="47.1" customHeight="1" x14ac:dyDescent="0.3">
      <c r="A18" s="455" t="s">
        <v>519</v>
      </c>
      <c r="B18" s="22" t="s">
        <v>520</v>
      </c>
    </row>
    <row r="19" spans="1:2" ht="46.8" x14ac:dyDescent="0.3">
      <c r="A19" s="455"/>
      <c r="B19" s="22" t="s">
        <v>521</v>
      </c>
    </row>
    <row r="20" spans="1:2" ht="201" customHeight="1" x14ac:dyDescent="0.3">
      <c r="A20" s="143" t="s">
        <v>70</v>
      </c>
      <c r="B20" s="22" t="s">
        <v>900</v>
      </c>
    </row>
    <row r="21" spans="1:2" ht="15.6" x14ac:dyDescent="0.3">
      <c r="A21" s="143" t="s">
        <v>71</v>
      </c>
      <c r="B21" s="22" t="s">
        <v>72</v>
      </c>
    </row>
    <row r="22" spans="1:2" ht="15.6" x14ac:dyDescent="0.3">
      <c r="A22" s="143" t="s">
        <v>73</v>
      </c>
      <c r="B22" s="22" t="s">
        <v>74</v>
      </c>
    </row>
    <row r="23" spans="1:2" ht="15.6" x14ac:dyDescent="0.3">
      <c r="A23" s="143" t="s">
        <v>75</v>
      </c>
      <c r="B23" s="22" t="s">
        <v>76</v>
      </c>
    </row>
    <row r="24" spans="1:2" ht="46.8" x14ac:dyDescent="0.3">
      <c r="A24" s="143" t="s">
        <v>77</v>
      </c>
      <c r="B24" s="22" t="s">
        <v>78</v>
      </c>
    </row>
    <row r="25" spans="1:2" ht="31.2" x14ac:dyDescent="0.3">
      <c r="A25" s="143" t="s">
        <v>79</v>
      </c>
      <c r="B25" s="22" t="s">
        <v>80</v>
      </c>
    </row>
    <row r="26" spans="1:2" ht="15.6" x14ac:dyDescent="0.3">
      <c r="A26" s="143" t="s">
        <v>81</v>
      </c>
      <c r="B26" s="22" t="s">
        <v>82</v>
      </c>
    </row>
    <row r="27" spans="1:2" ht="15.6" x14ac:dyDescent="0.3">
      <c r="A27" s="143" t="s">
        <v>83</v>
      </c>
      <c r="B27" s="22" t="s">
        <v>84</v>
      </c>
    </row>
    <row r="28" spans="1:2" ht="15.6" x14ac:dyDescent="0.3">
      <c r="A28" s="143" t="s">
        <v>85</v>
      </c>
      <c r="B28" s="22" t="s">
        <v>86</v>
      </c>
    </row>
    <row r="29" spans="1:2" ht="15.6" x14ac:dyDescent="0.3">
      <c r="A29" s="143" t="s">
        <v>87</v>
      </c>
      <c r="B29" s="22" t="s">
        <v>88</v>
      </c>
    </row>
    <row r="30" spans="1:2" ht="15.6" x14ac:dyDescent="0.3">
      <c r="A30" s="143" t="s">
        <v>89</v>
      </c>
      <c r="B30" s="22" t="s">
        <v>90</v>
      </c>
    </row>
    <row r="31" spans="1:2" ht="15.6" x14ac:dyDescent="0.3">
      <c r="A31" s="143" t="s">
        <v>1</v>
      </c>
      <c r="B31" s="22" t="s">
        <v>91</v>
      </c>
    </row>
    <row r="32" spans="1:2" ht="31.2" x14ac:dyDescent="0.3">
      <c r="A32" s="143" t="s">
        <v>544</v>
      </c>
      <c r="B32" s="22" t="s">
        <v>92</v>
      </c>
    </row>
    <row r="33" spans="1:2" ht="15.6" x14ac:dyDescent="0.3">
      <c r="A33" s="143" t="s">
        <v>2</v>
      </c>
      <c r="B33" s="22" t="s">
        <v>93</v>
      </c>
    </row>
    <row r="34" spans="1:2" ht="31.2" x14ac:dyDescent="0.3">
      <c r="A34" s="143" t="s">
        <v>94</v>
      </c>
      <c r="B34" s="22" t="s">
        <v>95</v>
      </c>
    </row>
    <row r="35" spans="1:2" ht="15.6" x14ac:dyDescent="0.3">
      <c r="A35" s="143" t="s">
        <v>96</v>
      </c>
      <c r="B35" s="22" t="s">
        <v>97</v>
      </c>
    </row>
    <row r="36" spans="1:2" ht="31.2" x14ac:dyDescent="0.3">
      <c r="A36" s="143" t="s">
        <v>98</v>
      </c>
      <c r="B36" s="22" t="s">
        <v>99</v>
      </c>
    </row>
    <row r="37" spans="1:2" ht="15.6" x14ac:dyDescent="0.3">
      <c r="A37" s="143" t="s">
        <v>100</v>
      </c>
      <c r="B37" s="22" t="s">
        <v>522</v>
      </c>
    </row>
    <row r="38" spans="1:2" ht="15.6" x14ac:dyDescent="0.3">
      <c r="A38" s="143" t="s">
        <v>21</v>
      </c>
      <c r="B38" s="22" t="s">
        <v>523</v>
      </c>
    </row>
    <row r="39" spans="1:2" ht="15.6" x14ac:dyDescent="0.3">
      <c r="A39" s="455" t="s">
        <v>101</v>
      </c>
      <c r="B39" s="22" t="s">
        <v>102</v>
      </c>
    </row>
    <row r="40" spans="1:2" ht="15.6" x14ac:dyDescent="0.3">
      <c r="A40" s="455"/>
      <c r="B40" s="22" t="s">
        <v>103</v>
      </c>
    </row>
    <row r="41" spans="1:2" ht="46.8" x14ac:dyDescent="0.3">
      <c r="A41" s="455"/>
      <c r="B41" s="22" t="s">
        <v>104</v>
      </c>
    </row>
    <row r="42" spans="1:2" ht="15.6" x14ac:dyDescent="0.3">
      <c r="A42" s="455"/>
      <c r="B42" s="22" t="s">
        <v>105</v>
      </c>
    </row>
    <row r="43" spans="1:2" ht="46.8" x14ac:dyDescent="0.3">
      <c r="A43" s="455"/>
      <c r="B43" s="22" t="s">
        <v>106</v>
      </c>
    </row>
    <row r="44" spans="1:2" ht="15.6" x14ac:dyDescent="0.3">
      <c r="A44" s="455"/>
      <c r="B44" s="22" t="s">
        <v>107</v>
      </c>
    </row>
    <row r="45" spans="1:2" ht="15.6" x14ac:dyDescent="0.3">
      <c r="A45" s="455"/>
      <c r="B45" s="22" t="s">
        <v>108</v>
      </c>
    </row>
    <row r="46" spans="1:2" ht="15.6" x14ac:dyDescent="0.3">
      <c r="A46" s="455"/>
      <c r="B46" s="22" t="s">
        <v>109</v>
      </c>
    </row>
    <row r="47" spans="1:2" ht="15.6" x14ac:dyDescent="0.3">
      <c r="A47" s="143" t="s">
        <v>110</v>
      </c>
      <c r="B47" s="22" t="s">
        <v>111</v>
      </c>
    </row>
    <row r="48" spans="1:2" ht="31.2" x14ac:dyDescent="0.3">
      <c r="A48" s="455" t="s">
        <v>539</v>
      </c>
      <c r="B48" s="22" t="s">
        <v>524</v>
      </c>
    </row>
    <row r="49" spans="1:2" ht="15.6" x14ac:dyDescent="0.3">
      <c r="A49" s="455"/>
      <c r="B49" s="22" t="s">
        <v>525</v>
      </c>
    </row>
    <row r="50" spans="1:2" ht="15.6" x14ac:dyDescent="0.3">
      <c r="A50" s="455"/>
      <c r="B50" s="22" t="s">
        <v>526</v>
      </c>
    </row>
    <row r="51" spans="1:2" ht="15.75" customHeight="1" x14ac:dyDescent="0.3">
      <c r="A51" s="455" t="s">
        <v>901</v>
      </c>
      <c r="B51" s="334" t="s">
        <v>902</v>
      </c>
    </row>
    <row r="52" spans="1:2" ht="15.6" x14ac:dyDescent="0.3">
      <c r="A52" s="455"/>
      <c r="B52" s="22" t="s">
        <v>527</v>
      </c>
    </row>
    <row r="53" spans="1:2" ht="35.549999999999997" customHeight="1" x14ac:dyDescent="0.3">
      <c r="A53" s="455"/>
      <c r="B53" s="22" t="s">
        <v>528</v>
      </c>
    </row>
    <row r="54" spans="1:2" ht="86.25" customHeight="1" x14ac:dyDescent="0.3">
      <c r="A54" s="455"/>
      <c r="B54" s="22" t="s">
        <v>903</v>
      </c>
    </row>
    <row r="55" spans="1:2" ht="87.6" customHeight="1" x14ac:dyDescent="0.3">
      <c r="A55" s="455"/>
      <c r="B55" s="22" t="s">
        <v>542</v>
      </c>
    </row>
    <row r="56" spans="1:2" ht="31.2" x14ac:dyDescent="0.3">
      <c r="A56" s="455"/>
      <c r="B56" s="22" t="s">
        <v>529</v>
      </c>
    </row>
    <row r="57" spans="1:2" ht="78" x14ac:dyDescent="0.3">
      <c r="A57" s="455"/>
      <c r="B57" s="22" t="s">
        <v>540</v>
      </c>
    </row>
    <row r="58" spans="1:2" ht="15.6" x14ac:dyDescent="0.3">
      <c r="A58" s="455"/>
      <c r="B58" s="22" t="s">
        <v>530</v>
      </c>
    </row>
    <row r="59" spans="1:2" ht="31.2" x14ac:dyDescent="0.3">
      <c r="A59" s="455"/>
      <c r="B59" s="22" t="s">
        <v>904</v>
      </c>
    </row>
    <row r="60" spans="1:2" ht="171.6" x14ac:dyDescent="0.3">
      <c r="A60" s="455"/>
      <c r="B60" s="22" t="s">
        <v>905</v>
      </c>
    </row>
    <row r="61" spans="1:2" ht="15.6" x14ac:dyDescent="0.3">
      <c r="A61" s="455" t="s">
        <v>906</v>
      </c>
      <c r="B61" s="334" t="s">
        <v>907</v>
      </c>
    </row>
    <row r="62" spans="1:2" ht="31.2" x14ac:dyDescent="0.3">
      <c r="A62" s="455"/>
      <c r="B62" s="22" t="s">
        <v>531</v>
      </c>
    </row>
    <row r="63" spans="1:2" ht="15.6" x14ac:dyDescent="0.3">
      <c r="A63" s="455"/>
      <c r="B63" s="22" t="s">
        <v>532</v>
      </c>
    </row>
    <row r="64" spans="1:2" ht="15.6" x14ac:dyDescent="0.3">
      <c r="A64" s="455"/>
      <c r="B64" s="22" t="s">
        <v>908</v>
      </c>
    </row>
    <row r="65" spans="1:2" ht="78" x14ac:dyDescent="0.3">
      <c r="A65" s="455"/>
      <c r="B65" s="22" t="s">
        <v>541</v>
      </c>
    </row>
    <row r="66" spans="1:2" ht="178.05" customHeight="1" x14ac:dyDescent="0.3">
      <c r="A66" s="455"/>
      <c r="B66" s="22" t="s">
        <v>905</v>
      </c>
    </row>
    <row r="67" spans="1:2" ht="15.6" x14ac:dyDescent="0.3">
      <c r="A67" s="446" t="s">
        <v>909</v>
      </c>
      <c r="B67" s="334" t="s">
        <v>910</v>
      </c>
    </row>
    <row r="68" spans="1:2" ht="15.6" x14ac:dyDescent="0.3">
      <c r="A68" s="446"/>
      <c r="B68" s="22" t="s">
        <v>533</v>
      </c>
    </row>
    <row r="69" spans="1:2" ht="50.55" customHeight="1" x14ac:dyDescent="0.3">
      <c r="A69" s="446"/>
      <c r="B69" s="22" t="s">
        <v>911</v>
      </c>
    </row>
    <row r="70" spans="1:2" ht="46.8" x14ac:dyDescent="0.3">
      <c r="A70" s="446"/>
      <c r="B70" s="22" t="s">
        <v>912</v>
      </c>
    </row>
    <row r="71" spans="1:2" ht="171.6" x14ac:dyDescent="0.3">
      <c r="A71" s="446"/>
      <c r="B71" s="22" t="s">
        <v>905</v>
      </c>
    </row>
    <row r="72" spans="1:2" ht="15.6" x14ac:dyDescent="0.3">
      <c r="A72" s="446" t="s">
        <v>543</v>
      </c>
      <c r="B72" s="334" t="s">
        <v>913</v>
      </c>
    </row>
    <row r="73" spans="1:2" ht="15.6" x14ac:dyDescent="0.3">
      <c r="A73" s="446"/>
      <c r="B73" s="22" t="s">
        <v>534</v>
      </c>
    </row>
    <row r="74" spans="1:2" ht="83.55" customHeight="1" x14ac:dyDescent="0.3">
      <c r="A74" s="446"/>
      <c r="B74" s="22" t="s">
        <v>541</v>
      </c>
    </row>
    <row r="75" spans="1:2" ht="78" x14ac:dyDescent="0.3">
      <c r="A75" s="446"/>
      <c r="B75" s="23" t="s">
        <v>540</v>
      </c>
    </row>
    <row r="76" spans="1:2" ht="15.6" x14ac:dyDescent="0.3">
      <c r="A76" s="446"/>
      <c r="B76" s="22" t="s">
        <v>530</v>
      </c>
    </row>
    <row r="77" spans="1:2" ht="31.2" x14ac:dyDescent="0.3">
      <c r="A77" s="446"/>
      <c r="B77" s="22" t="s">
        <v>914</v>
      </c>
    </row>
    <row r="78" spans="1:2" ht="171.6" x14ac:dyDescent="0.3">
      <c r="A78" s="446"/>
      <c r="B78" s="22" t="s">
        <v>905</v>
      </c>
    </row>
    <row r="79" spans="1:2" ht="15.6" x14ac:dyDescent="0.3">
      <c r="A79" s="445" t="s">
        <v>915</v>
      </c>
      <c r="B79" s="334" t="s">
        <v>916</v>
      </c>
    </row>
    <row r="80" spans="1:2" ht="15.6" x14ac:dyDescent="0.3">
      <c r="A80" s="445"/>
      <c r="B80" s="22" t="s">
        <v>534</v>
      </c>
    </row>
    <row r="81" spans="1:2" ht="31.2" x14ac:dyDescent="0.3">
      <c r="A81" s="445"/>
      <c r="B81" s="22" t="s">
        <v>529</v>
      </c>
    </row>
    <row r="82" spans="1:2" ht="15.6" x14ac:dyDescent="0.3">
      <c r="A82" s="445"/>
      <c r="B82" s="22" t="s">
        <v>535</v>
      </c>
    </row>
    <row r="83" spans="1:2" ht="46.8" x14ac:dyDescent="0.3">
      <c r="A83" s="445"/>
      <c r="B83" s="22" t="s">
        <v>536</v>
      </c>
    </row>
    <row r="84" spans="1:2" ht="15.6" x14ac:dyDescent="0.3">
      <c r="A84" s="445"/>
      <c r="B84" s="22" t="s">
        <v>537</v>
      </c>
    </row>
    <row r="85" spans="1:2" ht="15.6" x14ac:dyDescent="0.3">
      <c r="A85" s="445"/>
      <c r="B85" s="22" t="s">
        <v>538</v>
      </c>
    </row>
    <row r="86" spans="1:2" ht="15.6" x14ac:dyDescent="0.3">
      <c r="A86" s="445"/>
      <c r="B86" s="22" t="s">
        <v>530</v>
      </c>
    </row>
    <row r="87" spans="1:2" ht="78" x14ac:dyDescent="0.3">
      <c r="A87" s="445"/>
      <c r="B87" s="22" t="s">
        <v>541</v>
      </c>
    </row>
    <row r="88" spans="1:2" ht="171.6" x14ac:dyDescent="0.3">
      <c r="A88" s="445"/>
      <c r="B88" s="22" t="s">
        <v>905</v>
      </c>
    </row>
    <row r="89" spans="1:2" ht="15.6" customHeight="1" x14ac:dyDescent="0.3">
      <c r="A89" s="444" t="s">
        <v>917</v>
      </c>
      <c r="B89" s="24" t="s">
        <v>918</v>
      </c>
    </row>
    <row r="90" spans="1:2" ht="15.6" x14ac:dyDescent="0.3">
      <c r="A90" s="444"/>
      <c r="B90" s="334" t="s">
        <v>907</v>
      </c>
    </row>
    <row r="91" spans="1:2" ht="15.6" x14ac:dyDescent="0.3">
      <c r="A91" s="444"/>
      <c r="B91" s="25" t="s">
        <v>534</v>
      </c>
    </row>
    <row r="92" spans="1:2" ht="15.6" x14ac:dyDescent="0.3">
      <c r="A92" s="444"/>
      <c r="B92" s="24" t="s">
        <v>919</v>
      </c>
    </row>
    <row r="93" spans="1:2" ht="62.4" x14ac:dyDescent="0.3">
      <c r="A93" s="444"/>
      <c r="B93" s="25" t="s">
        <v>920</v>
      </c>
    </row>
    <row r="94" spans="1:2" ht="31.2" x14ac:dyDescent="0.3">
      <c r="A94" s="444"/>
      <c r="B94" s="25" t="s">
        <v>921</v>
      </c>
    </row>
    <row r="95" spans="1:2" ht="49.05" customHeight="1" x14ac:dyDescent="0.3">
      <c r="A95" s="444"/>
      <c r="B95" s="24" t="s">
        <v>922</v>
      </c>
    </row>
    <row r="96" spans="1:2" ht="31.2" x14ac:dyDescent="0.3">
      <c r="A96" s="444"/>
      <c r="B96" s="25" t="s">
        <v>923</v>
      </c>
    </row>
    <row r="97" spans="1:2" ht="143.55000000000001" customHeight="1" x14ac:dyDescent="0.3">
      <c r="A97" s="444"/>
      <c r="B97" s="24" t="s">
        <v>924</v>
      </c>
    </row>
    <row r="98" spans="1:2" ht="66" customHeight="1" x14ac:dyDescent="0.3">
      <c r="A98" s="444"/>
      <c r="B98" s="25" t="s">
        <v>925</v>
      </c>
    </row>
    <row r="99" spans="1:2" ht="31.2" x14ac:dyDescent="0.3">
      <c r="A99" s="444" t="s">
        <v>926</v>
      </c>
      <c r="B99" s="25" t="s">
        <v>927</v>
      </c>
    </row>
    <row r="100" spans="1:2" ht="148.05000000000001" customHeight="1" x14ac:dyDescent="0.3">
      <c r="A100" s="444"/>
      <c r="B100" s="335" t="s">
        <v>928</v>
      </c>
    </row>
    <row r="101" spans="1:2" ht="15.6" customHeight="1" x14ac:dyDescent="0.3">
      <c r="A101" s="444"/>
      <c r="B101" s="25" t="s">
        <v>929</v>
      </c>
    </row>
    <row r="102" spans="1:2" ht="176.1" customHeight="1" x14ac:dyDescent="0.3">
      <c r="A102" s="444"/>
      <c r="B102" s="336" t="s">
        <v>905</v>
      </c>
    </row>
    <row r="103" spans="1:2" ht="31.2" x14ac:dyDescent="0.3">
      <c r="A103" s="444"/>
      <c r="B103" s="337" t="s">
        <v>930</v>
      </c>
    </row>
    <row r="104" spans="1:2" ht="15.6" x14ac:dyDescent="0.3">
      <c r="A104" s="444"/>
      <c r="B104" s="25" t="s">
        <v>931</v>
      </c>
    </row>
    <row r="105" spans="1:2" ht="15.6" x14ac:dyDescent="0.3">
      <c r="A105" s="445" t="s">
        <v>932</v>
      </c>
      <c r="B105" s="24" t="s">
        <v>907</v>
      </c>
    </row>
    <row r="106" spans="1:2" ht="31.2" x14ac:dyDescent="0.3">
      <c r="A106" s="445"/>
      <c r="B106" s="22" t="s">
        <v>933</v>
      </c>
    </row>
    <row r="107" spans="1:2" ht="15.6" x14ac:dyDescent="0.3">
      <c r="A107" s="445"/>
      <c r="B107" s="22" t="s">
        <v>532</v>
      </c>
    </row>
    <row r="108" spans="1:2" ht="15.6" x14ac:dyDescent="0.3">
      <c r="A108" s="445"/>
      <c r="B108" s="22" t="s">
        <v>908</v>
      </c>
    </row>
    <row r="109" spans="1:2" ht="15.6" x14ac:dyDescent="0.3">
      <c r="A109" s="445"/>
      <c r="B109" s="24" t="s">
        <v>934</v>
      </c>
    </row>
    <row r="110" spans="1:2" ht="21" customHeight="1" x14ac:dyDescent="0.3">
      <c r="A110" s="445"/>
      <c r="B110" s="24" t="s">
        <v>935</v>
      </c>
    </row>
    <row r="111" spans="1:2" ht="31.2" x14ac:dyDescent="0.3">
      <c r="A111" s="445"/>
      <c r="B111" s="24" t="s">
        <v>936</v>
      </c>
    </row>
    <row r="112" spans="1:2" ht="31.2" x14ac:dyDescent="0.3">
      <c r="A112" s="445"/>
      <c r="B112" s="24" t="s">
        <v>937</v>
      </c>
    </row>
    <row r="113" spans="1:2" ht="15.6" customHeight="1" x14ac:dyDescent="0.3">
      <c r="A113" s="446" t="s">
        <v>938</v>
      </c>
      <c r="B113" s="23" t="s">
        <v>939</v>
      </c>
    </row>
    <row r="114" spans="1:2" ht="15.6" x14ac:dyDescent="0.3">
      <c r="A114" s="446"/>
      <c r="B114" s="24" t="s">
        <v>940</v>
      </c>
    </row>
    <row r="115" spans="1:2" ht="15.6" x14ac:dyDescent="0.3">
      <c r="A115" s="446"/>
      <c r="B115" s="24" t="s">
        <v>941</v>
      </c>
    </row>
    <row r="116" spans="1:2" ht="15.6" x14ac:dyDescent="0.3">
      <c r="A116" s="446"/>
      <c r="B116" s="24" t="s">
        <v>942</v>
      </c>
    </row>
    <row r="117" spans="1:2" ht="15.6" x14ac:dyDescent="0.3">
      <c r="A117" s="446"/>
      <c r="B117" s="24" t="s">
        <v>943</v>
      </c>
    </row>
    <row r="118" spans="1:2" ht="15.45" customHeight="1" x14ac:dyDescent="0.3">
      <c r="A118" s="453" t="s">
        <v>977</v>
      </c>
      <c r="B118" s="24" t="s">
        <v>902</v>
      </c>
    </row>
    <row r="119" spans="1:2" ht="15.6" x14ac:dyDescent="0.3">
      <c r="A119" s="454"/>
      <c r="B119" s="24" t="s">
        <v>527</v>
      </c>
    </row>
    <row r="120" spans="1:2" ht="30.45" customHeight="1" x14ac:dyDescent="0.3">
      <c r="A120" s="454"/>
      <c r="B120" s="24" t="s">
        <v>529</v>
      </c>
    </row>
    <row r="121" spans="1:2" ht="83.55" customHeight="1" x14ac:dyDescent="0.3">
      <c r="A121" s="454"/>
      <c r="B121" s="24" t="s">
        <v>540</v>
      </c>
    </row>
    <row r="122" spans="1:2" ht="15.6" x14ac:dyDescent="0.3">
      <c r="A122" s="454"/>
      <c r="B122" s="24" t="s">
        <v>530</v>
      </c>
    </row>
    <row r="123" spans="1:2" ht="15.6" x14ac:dyDescent="0.3">
      <c r="A123" s="447" t="s">
        <v>944</v>
      </c>
      <c r="B123" s="24" t="s">
        <v>945</v>
      </c>
    </row>
    <row r="124" spans="1:2" ht="15.6" customHeight="1" x14ac:dyDescent="0.3">
      <c r="A124" s="448"/>
      <c r="B124" s="23" t="s">
        <v>946</v>
      </c>
    </row>
    <row r="125" spans="1:2" ht="15.6" x14ac:dyDescent="0.3">
      <c r="A125" s="448"/>
      <c r="B125" s="23" t="s">
        <v>947</v>
      </c>
    </row>
    <row r="126" spans="1:2" ht="16.5" customHeight="1" x14ac:dyDescent="0.3">
      <c r="A126" s="448"/>
      <c r="B126" s="23" t="s">
        <v>948</v>
      </c>
    </row>
    <row r="127" spans="1:2" ht="16.5" customHeight="1" x14ac:dyDescent="0.3">
      <c r="A127" s="448"/>
      <c r="B127" s="24" t="s">
        <v>949</v>
      </c>
    </row>
    <row r="128" spans="1:2" ht="16.5" customHeight="1" x14ac:dyDescent="0.3">
      <c r="A128" s="448"/>
      <c r="B128" s="23" t="s">
        <v>950</v>
      </c>
    </row>
    <row r="129" spans="1:2" ht="16.5" customHeight="1" x14ac:dyDescent="0.3">
      <c r="A129" s="448"/>
      <c r="B129" s="23" t="s">
        <v>951</v>
      </c>
    </row>
    <row r="130" spans="1:2" ht="16.5" customHeight="1" x14ac:dyDescent="0.3">
      <c r="A130" s="448"/>
      <c r="B130" s="23" t="s">
        <v>952</v>
      </c>
    </row>
    <row r="131" spans="1:2" ht="15.6" x14ac:dyDescent="0.3">
      <c r="A131" s="448"/>
      <c r="B131" s="24" t="s">
        <v>953</v>
      </c>
    </row>
    <row r="132" spans="1:2" ht="15.6" x14ac:dyDescent="0.3">
      <c r="A132" s="448"/>
      <c r="B132" s="23" t="s">
        <v>946</v>
      </c>
    </row>
    <row r="133" spans="1:2" ht="15.6" x14ac:dyDescent="0.3">
      <c r="A133" s="448"/>
      <c r="B133" s="23" t="s">
        <v>947</v>
      </c>
    </row>
    <row r="134" spans="1:2" ht="15.6" x14ac:dyDescent="0.3">
      <c r="A134" s="448"/>
      <c r="B134" s="23" t="s">
        <v>954</v>
      </c>
    </row>
    <row r="135" spans="1:2" ht="15.6" x14ac:dyDescent="0.3">
      <c r="A135" s="448"/>
      <c r="B135" s="24" t="s">
        <v>955</v>
      </c>
    </row>
    <row r="136" spans="1:2" ht="15.6" x14ac:dyDescent="0.3">
      <c r="A136" s="448"/>
      <c r="B136" s="23" t="s">
        <v>956</v>
      </c>
    </row>
    <row r="137" spans="1:2" ht="15.6" x14ac:dyDescent="0.3">
      <c r="A137" s="448"/>
      <c r="B137" s="23" t="s">
        <v>957</v>
      </c>
    </row>
    <row r="138" spans="1:2" ht="15.6" x14ac:dyDescent="0.3">
      <c r="A138" s="448"/>
      <c r="B138" s="23" t="s">
        <v>958</v>
      </c>
    </row>
    <row r="139" spans="1:2" ht="15.6" x14ac:dyDescent="0.3">
      <c r="A139" s="448"/>
      <c r="B139" s="23" t="s">
        <v>959</v>
      </c>
    </row>
    <row r="140" spans="1:2" ht="15.6" x14ac:dyDescent="0.3">
      <c r="A140" s="448"/>
      <c r="B140" s="23" t="s">
        <v>960</v>
      </c>
    </row>
    <row r="141" spans="1:2" ht="15.6" x14ac:dyDescent="0.3">
      <c r="A141" s="448"/>
      <c r="B141" s="23" t="s">
        <v>961</v>
      </c>
    </row>
    <row r="142" spans="1:2" ht="54.45" customHeight="1" x14ac:dyDescent="0.3">
      <c r="A142" s="448"/>
      <c r="B142" s="23" t="s">
        <v>962</v>
      </c>
    </row>
    <row r="143" spans="1:2" ht="15.6" x14ac:dyDescent="0.3">
      <c r="A143" s="448"/>
      <c r="B143" s="23" t="s">
        <v>963</v>
      </c>
    </row>
    <row r="144" spans="1:2" ht="31.2" x14ac:dyDescent="0.3">
      <c r="A144" s="448"/>
      <c r="B144" s="23" t="s">
        <v>964</v>
      </c>
    </row>
    <row r="145" spans="1:2" ht="15.6" x14ac:dyDescent="0.3">
      <c r="A145" s="448"/>
      <c r="B145" s="23" t="s">
        <v>527</v>
      </c>
    </row>
    <row r="146" spans="1:2" ht="31.2" x14ac:dyDescent="0.3">
      <c r="A146" s="448"/>
      <c r="B146" s="23" t="s">
        <v>965</v>
      </c>
    </row>
    <row r="147" spans="1:2" ht="93.6" x14ac:dyDescent="0.3">
      <c r="A147" s="448"/>
      <c r="B147" s="23" t="s">
        <v>966</v>
      </c>
    </row>
    <row r="148" spans="1:2" ht="15.6" x14ac:dyDescent="0.3">
      <c r="A148" s="448"/>
      <c r="B148" s="23" t="s">
        <v>967</v>
      </c>
    </row>
    <row r="149" spans="1:2" ht="31.2" x14ac:dyDescent="0.3">
      <c r="A149" s="448"/>
      <c r="B149" s="23" t="s">
        <v>968</v>
      </c>
    </row>
    <row r="150" spans="1:2" ht="15.6" x14ac:dyDescent="0.3">
      <c r="A150" s="449"/>
      <c r="B150" s="338" t="s">
        <v>969</v>
      </c>
    </row>
    <row r="151" spans="1:2" ht="15.6" x14ac:dyDescent="0.3">
      <c r="A151" s="450" t="s">
        <v>970</v>
      </c>
      <c r="B151" s="23" t="s">
        <v>971</v>
      </c>
    </row>
    <row r="152" spans="1:2" ht="15.6" x14ac:dyDescent="0.3">
      <c r="A152" s="451"/>
      <c r="B152" s="23" t="s">
        <v>972</v>
      </c>
    </row>
    <row r="153" spans="1:2" ht="15.6" x14ac:dyDescent="0.3">
      <c r="A153" s="451"/>
      <c r="B153" s="23" t="s">
        <v>973</v>
      </c>
    </row>
    <row r="154" spans="1:2" ht="15.6" x14ac:dyDescent="0.3">
      <c r="A154" s="451"/>
      <c r="B154" s="23" t="s">
        <v>974</v>
      </c>
    </row>
    <row r="155" spans="1:2" ht="15.6" x14ac:dyDescent="0.3">
      <c r="A155" s="451"/>
      <c r="B155" s="23" t="s">
        <v>975</v>
      </c>
    </row>
    <row r="156" spans="1:2" ht="16.2" thickBot="1" x14ac:dyDescent="0.35">
      <c r="A156" s="452"/>
      <c r="B156" s="339" t="s">
        <v>976</v>
      </c>
    </row>
  </sheetData>
  <mergeCells count="18">
    <mergeCell ref="A89:A98"/>
    <mergeCell ref="A1:B1"/>
    <mergeCell ref="A2:B2"/>
    <mergeCell ref="A16:A17"/>
    <mergeCell ref="A18:A19"/>
    <mergeCell ref="A39:A46"/>
    <mergeCell ref="A48:A50"/>
    <mergeCell ref="A51:A60"/>
    <mergeCell ref="A61:A66"/>
    <mergeCell ref="A67:A71"/>
    <mergeCell ref="A72:A78"/>
    <mergeCell ref="A79:A88"/>
    <mergeCell ref="A99:A104"/>
    <mergeCell ref="A105:A112"/>
    <mergeCell ref="A113:A117"/>
    <mergeCell ref="A123:A150"/>
    <mergeCell ref="A151:A156"/>
    <mergeCell ref="A118:A122"/>
  </mergeCells>
  <pageMargins left="0.25" right="0.25" top="0.75" bottom="0.75" header="0.3" footer="0.3"/>
  <pageSetup scale="14"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1f64f43-848e-4f71-a29c-5b275075194e">
      <Terms xmlns="http://schemas.microsoft.com/office/infopath/2007/PartnerControls"/>
    </lcf76f155ced4ddcb4097134ff3c332f>
    <TaxCatchAll xmlns="9225b539-7b15-42b2-871d-c20cb6e17ae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2CC6643690C2D4A8E9C51BEFB2BDFED" ma:contentTypeVersion="10" ma:contentTypeDescription="Create a new document." ma:contentTypeScope="" ma:versionID="dfb8ef197b6e20b824207ab65ee2a0fc">
  <xsd:schema xmlns:xsd="http://www.w3.org/2001/XMLSchema" xmlns:xs="http://www.w3.org/2001/XMLSchema" xmlns:p="http://schemas.microsoft.com/office/2006/metadata/properties" xmlns:ns2="51f64f43-848e-4f71-a29c-5b275075194e" xmlns:ns3="9225b539-7b15-42b2-871d-c20cb6e17ae7" targetNamespace="http://schemas.microsoft.com/office/2006/metadata/properties" ma:root="true" ma:fieldsID="b375f4ca330c89612a5091718de7a761" ns2:_="" ns3:_="">
    <xsd:import namespace="51f64f43-848e-4f71-a29c-5b275075194e"/>
    <xsd:import namespace="9225b539-7b15-42b2-871d-c20cb6e17ae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f64f43-848e-4f71-a29c-5b27507519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26ce853-7349-4a33-988e-bfef8f1d57f1"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225b539-7b15-42b2-871d-c20cb6e17ae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cc4b600a-5654-43e9-bd8c-8b417a7ccf18}" ma:internalName="TaxCatchAll" ma:showField="CatchAllData" ma:web="fde1efa3-de85-4ab3-ac60-6cf1d18bfb9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5A08AC0-783C-4C1B-927A-AB27E36B29B1}">
  <ds:schemaRefs>
    <ds:schemaRef ds:uri="http://schemas.microsoft.com/office/2006/metadata/properties"/>
    <ds:schemaRef ds:uri="http://schemas.microsoft.com/office/2006/documentManagement/types"/>
    <ds:schemaRef ds:uri="51f64f43-848e-4f71-a29c-5b275075194e"/>
    <ds:schemaRef ds:uri="http://purl.org/dc/elements/1.1/"/>
    <ds:schemaRef ds:uri="http://schemas.openxmlformats.org/package/2006/metadata/core-properties"/>
    <ds:schemaRef ds:uri="http://www.w3.org/XML/1998/namespace"/>
    <ds:schemaRef ds:uri="http://purl.org/dc/dcmitype/"/>
    <ds:schemaRef ds:uri="http://purl.org/dc/terms/"/>
    <ds:schemaRef ds:uri="http://schemas.microsoft.com/office/infopath/2007/PartnerControls"/>
    <ds:schemaRef ds:uri="9225b539-7b15-42b2-871d-c20cb6e17ae7"/>
  </ds:schemaRefs>
</ds:datastoreItem>
</file>

<file path=customXml/itemProps2.xml><?xml version="1.0" encoding="utf-8"?>
<ds:datastoreItem xmlns:ds="http://schemas.openxmlformats.org/officeDocument/2006/customXml" ds:itemID="{8A769038-1B56-401F-A296-AEF91E3F8D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f64f43-848e-4f71-a29c-5b275075194e"/>
    <ds:schemaRef ds:uri="9225b539-7b15-42b2-871d-c20cb6e17a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AEF2A48-5B03-4C1F-A9CC-64566AC266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Header</vt:lpstr>
      <vt:lpstr>ATD FY23 YTD</vt:lpstr>
      <vt:lpstr>Detention FY23</vt:lpstr>
      <vt:lpstr> ICLOS and Detainees</vt:lpstr>
      <vt:lpstr>Monthly Bond Statistics</vt:lpstr>
      <vt:lpstr>USCIS-Established Fear Summary</vt:lpstr>
      <vt:lpstr>Semiannual</vt:lpstr>
      <vt:lpstr>Facilities FY23 </vt:lpstr>
      <vt:lpstr>Trans. Detainee Pop. FY23 YTD </vt:lpstr>
      <vt:lpstr>Vulnerable &amp; Special Population</vt:lpstr>
      <vt:lpstr>Footnotes</vt:lpstr>
      <vt:lpstr>'Detention FY23'!Print_Area</vt:lpstr>
      <vt:lpstr>'USCIS-Established Fear Summary'!Print_Area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Black, Tyler M (CTR)</dc:creator>
  <cp:lastModifiedBy>Rogers, Amanda D</cp:lastModifiedBy>
  <cp:lastPrinted>2020-02-10T19:14:43Z</cp:lastPrinted>
  <dcterms:created xsi:type="dcterms:W3CDTF">2020-01-31T18:40:16Z</dcterms:created>
  <dcterms:modified xsi:type="dcterms:W3CDTF">2022-11-28T19:01:41Z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0x010100B2CC6643690C2D4A8E9C51BEFB2BDFED</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