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icegov-my.sharepoint.com/personal/0618654271_ice_dhs_gov/Documents/"/>
    </mc:Choice>
  </mc:AlternateContent>
  <xr:revisionPtr revIDLastSave="0" documentId="8_{9235E4F0-7CAA-4A0A-9A5C-13AF40D1BBB3}" xr6:coauthVersionLast="47" xr6:coauthVersionMax="47" xr10:uidLastSave="{00000000-0000-0000-0000-000000000000}"/>
  <bookViews>
    <workbookView xWindow="-110" yWindow="-110" windowWidth="19420" windowHeight="10420" tabRatio="668" activeTab="1" xr2:uid="{00000000-000D-0000-FFFF-FFFF00000000}"/>
  </bookViews>
  <sheets>
    <sheet name="Header" sheetId="9" r:id="rId1"/>
    <sheet name="ATD FY23 YTD" sheetId="12" r:id="rId2"/>
    <sheet name="Detention FY23" sheetId="19" r:id="rId3"/>
    <sheet name=" ICLOS and Detainees" sheetId="20" r:id="rId4"/>
    <sheet name="Monthly Bond Statistics" sheetId="21" r:id="rId5"/>
    <sheet name="Semiannual" sheetId="23" r:id="rId6"/>
    <sheet name="Facilities FY23 " sheetId="17" r:id="rId7"/>
    <sheet name="Trans. Detainee Pop. FY23 YTD " sheetId="18" r:id="rId8"/>
    <sheet name="Vulnerable &amp; Special Population" sheetId="16" r:id="rId9"/>
    <sheet name="Footnotes" sheetId="24" r:id="rId10"/>
  </sheets>
  <definedNames>
    <definedName name="_xlnm._FilterDatabase" localSheetId="5" hidden="1">Semiannual!$A$76:$F$91</definedName>
    <definedName name="_xlnm.Print_Area" localSheetId="2">'Detention FY23'!$A$1:$V$110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6" i="21" l="1"/>
  <c r="M6" i="21"/>
  <c r="L6" i="21"/>
  <c r="K6" i="21"/>
  <c r="J6" i="21"/>
  <c r="I6" i="21"/>
  <c r="H6" i="21"/>
  <c r="G6" i="21"/>
  <c r="F6" i="21"/>
  <c r="E6" i="21"/>
  <c r="D6" i="21"/>
  <c r="C6" i="21"/>
  <c r="B6" i="21"/>
  <c r="BG47" i="20"/>
  <c r="BF47" i="20"/>
  <c r="BE47" i="20"/>
  <c r="BD47" i="20"/>
  <c r="BC47" i="20"/>
  <c r="BB47" i="20"/>
  <c r="BA47" i="20"/>
  <c r="AZ47" i="20"/>
  <c r="AY47" i="20"/>
  <c r="AX47" i="20"/>
  <c r="AW47" i="20"/>
  <c r="AV47" i="20"/>
  <c r="AU47" i="20"/>
  <c r="AT47" i="20"/>
  <c r="AS47" i="20"/>
  <c r="AR47" i="20"/>
  <c r="AQ47" i="20"/>
  <c r="AP47" i="20"/>
  <c r="AO47" i="20"/>
  <c r="AN47" i="20"/>
  <c r="AM47" i="20"/>
  <c r="AL47" i="20"/>
  <c r="AK47" i="20"/>
  <c r="AJ47" i="20"/>
  <c r="AI47" i="20"/>
  <c r="AH47" i="20"/>
  <c r="AG47" i="20"/>
  <c r="AF47" i="20"/>
  <c r="AE47" i="20"/>
  <c r="AD47" i="20"/>
  <c r="AC47" i="20"/>
  <c r="AB47" i="20"/>
  <c r="AA47" i="20"/>
  <c r="Z47" i="20"/>
  <c r="Y47" i="20"/>
  <c r="X47" i="20"/>
  <c r="W47" i="20"/>
  <c r="V47" i="20"/>
  <c r="U47" i="20"/>
  <c r="T47" i="20"/>
  <c r="S47" i="20"/>
  <c r="R47" i="20"/>
  <c r="Q47" i="20"/>
  <c r="P47" i="20"/>
  <c r="O47" i="20"/>
  <c r="N47" i="20"/>
  <c r="M47" i="20"/>
  <c r="L47" i="20"/>
  <c r="K47" i="20"/>
  <c r="J47" i="20"/>
  <c r="I47" i="20"/>
  <c r="H47" i="20"/>
  <c r="G47" i="20"/>
  <c r="F47" i="20"/>
  <c r="E47" i="20"/>
  <c r="D47" i="20"/>
  <c r="C47" i="20"/>
  <c r="B47" i="20"/>
  <c r="BG46" i="20"/>
  <c r="BF46" i="20"/>
  <c r="BE46" i="20"/>
  <c r="BD46" i="20"/>
  <c r="BC46" i="20"/>
  <c r="BB46" i="20"/>
  <c r="BA46" i="20"/>
  <c r="AZ46" i="20"/>
  <c r="AY46" i="20"/>
  <c r="AX46" i="20"/>
  <c r="AW46" i="20"/>
  <c r="AV46" i="20"/>
  <c r="AU46" i="20"/>
  <c r="AT46" i="20"/>
  <c r="AS46" i="20"/>
  <c r="AR46" i="20"/>
  <c r="AQ46" i="20"/>
  <c r="AP46" i="20"/>
  <c r="AO46" i="20"/>
  <c r="AN46" i="20"/>
  <c r="AM46" i="20"/>
  <c r="AL46" i="20"/>
  <c r="AK46" i="20"/>
  <c r="AJ46" i="20"/>
  <c r="AI46" i="20"/>
  <c r="AH46" i="20"/>
  <c r="AG46" i="20"/>
  <c r="AF46" i="20"/>
  <c r="AE46" i="20"/>
  <c r="AD46" i="20"/>
  <c r="AC46" i="20"/>
  <c r="AB46" i="20"/>
  <c r="AA46" i="20"/>
  <c r="Z46" i="20"/>
  <c r="Y46" i="20"/>
  <c r="X46" i="20"/>
  <c r="W46" i="20"/>
  <c r="V46" i="20"/>
  <c r="U46" i="20"/>
  <c r="T46" i="20"/>
  <c r="S46" i="20"/>
  <c r="R46" i="20"/>
  <c r="Q46" i="20"/>
  <c r="P46" i="20"/>
  <c r="O46" i="20"/>
  <c r="N46" i="20"/>
  <c r="M46" i="20"/>
  <c r="L46" i="20"/>
  <c r="K46" i="20"/>
  <c r="J46" i="20"/>
  <c r="I46" i="20"/>
  <c r="H46" i="20"/>
  <c r="G46" i="20"/>
  <c r="F46" i="20"/>
  <c r="E46" i="20"/>
  <c r="D46" i="20"/>
  <c r="C46" i="20"/>
  <c r="B46" i="20"/>
  <c r="BG45" i="20"/>
  <c r="BF45" i="20"/>
  <c r="BE45" i="20"/>
  <c r="BD45" i="20"/>
  <c r="BC45" i="20"/>
  <c r="BB45" i="20"/>
  <c r="BA45" i="20"/>
  <c r="AZ45" i="20"/>
  <c r="AY45" i="20"/>
  <c r="AX45" i="20"/>
  <c r="AW45" i="20"/>
  <c r="AV45" i="20"/>
  <c r="AU45" i="20"/>
  <c r="AT45" i="20"/>
  <c r="AS45" i="20"/>
  <c r="AR45" i="20"/>
  <c r="AQ45" i="20"/>
  <c r="AP45" i="20"/>
  <c r="AO45" i="20"/>
  <c r="AN45" i="20"/>
  <c r="AM45" i="20"/>
  <c r="AL45" i="20"/>
  <c r="AK45" i="20"/>
  <c r="AJ45" i="20"/>
  <c r="AI45" i="20"/>
  <c r="AH45" i="20"/>
  <c r="AG45" i="20"/>
  <c r="AF45" i="20"/>
  <c r="AE45" i="20"/>
  <c r="AD45" i="20"/>
  <c r="AC45" i="20"/>
  <c r="AB45" i="20"/>
  <c r="AA45" i="20"/>
  <c r="Z45" i="20"/>
  <c r="Y45" i="20"/>
  <c r="X45" i="20"/>
  <c r="W45" i="20"/>
  <c r="V45" i="20"/>
  <c r="U45" i="20"/>
  <c r="T45" i="20"/>
  <c r="S45" i="20"/>
  <c r="R45" i="20"/>
  <c r="Q45" i="20"/>
  <c r="P45" i="20"/>
  <c r="O45" i="20"/>
  <c r="N45" i="20"/>
  <c r="M45" i="20"/>
  <c r="L45" i="20"/>
  <c r="K45" i="20"/>
  <c r="J45" i="20"/>
  <c r="I45" i="20"/>
  <c r="H45" i="20"/>
  <c r="G45" i="20"/>
  <c r="F45" i="20"/>
  <c r="E45" i="20"/>
  <c r="D45" i="20"/>
  <c r="C45" i="20"/>
  <c r="B45" i="20"/>
  <c r="BG44" i="20"/>
  <c r="BG48" i="20" s="1"/>
  <c r="BF44" i="20"/>
  <c r="BF48" i="20" s="1"/>
  <c r="BE44" i="20"/>
  <c r="BE48" i="20" s="1"/>
  <c r="BD44" i="20"/>
  <c r="BD48" i="20" s="1"/>
  <c r="BC44" i="20"/>
  <c r="BC48" i="20" s="1"/>
  <c r="BB44" i="20"/>
  <c r="BB48" i="20" s="1"/>
  <c r="BA44" i="20"/>
  <c r="BA48" i="20" s="1"/>
  <c r="AZ44" i="20"/>
  <c r="AZ48" i="20" s="1"/>
  <c r="AY44" i="20"/>
  <c r="AY48" i="20" s="1"/>
  <c r="AX44" i="20"/>
  <c r="AX48" i="20" s="1"/>
  <c r="AW44" i="20"/>
  <c r="AW48" i="20" s="1"/>
  <c r="AV44" i="20"/>
  <c r="AV48" i="20" s="1"/>
  <c r="AU44" i="20"/>
  <c r="AU48" i="20" s="1"/>
  <c r="AT44" i="20"/>
  <c r="AT48" i="20" s="1"/>
  <c r="AS44" i="20"/>
  <c r="AS48" i="20" s="1"/>
  <c r="AR44" i="20"/>
  <c r="AR48" i="20" s="1"/>
  <c r="AQ44" i="20"/>
  <c r="AQ48" i="20" s="1"/>
  <c r="AP44" i="20"/>
  <c r="AP48" i="20" s="1"/>
  <c r="AO44" i="20"/>
  <c r="AO48" i="20" s="1"/>
  <c r="AN44" i="20"/>
  <c r="AN48" i="20" s="1"/>
  <c r="AM44" i="20"/>
  <c r="AM48" i="20" s="1"/>
  <c r="AL44" i="20"/>
  <c r="AL48" i="20" s="1"/>
  <c r="AK44" i="20"/>
  <c r="AK48" i="20" s="1"/>
  <c r="AJ44" i="20"/>
  <c r="AJ48" i="20" s="1"/>
  <c r="AI44" i="20"/>
  <c r="AI48" i="20" s="1"/>
  <c r="AH44" i="20"/>
  <c r="AH48" i="20" s="1"/>
  <c r="AG44" i="20"/>
  <c r="AG48" i="20" s="1"/>
  <c r="AF44" i="20"/>
  <c r="AF48" i="20" s="1"/>
  <c r="AE44" i="20"/>
  <c r="AE48" i="20" s="1"/>
  <c r="AD44" i="20"/>
  <c r="AD48" i="20" s="1"/>
  <c r="AC44" i="20"/>
  <c r="AC48" i="20" s="1"/>
  <c r="AB44" i="20"/>
  <c r="AB48" i="20" s="1"/>
  <c r="AA44" i="20"/>
  <c r="AA48" i="20" s="1"/>
  <c r="Z44" i="20"/>
  <c r="Z48" i="20" s="1"/>
  <c r="Y44" i="20"/>
  <c r="Y48" i="20" s="1"/>
  <c r="X44" i="20"/>
  <c r="X48" i="20" s="1"/>
  <c r="W44" i="20"/>
  <c r="W48" i="20" s="1"/>
  <c r="V44" i="20"/>
  <c r="V48" i="20" s="1"/>
  <c r="U44" i="20"/>
  <c r="U48" i="20" s="1"/>
  <c r="T44" i="20"/>
  <c r="T48" i="20" s="1"/>
  <c r="S44" i="20"/>
  <c r="S48" i="20" s="1"/>
  <c r="R44" i="20"/>
  <c r="R48" i="20" s="1"/>
  <c r="Q44" i="20"/>
  <c r="Q48" i="20" s="1"/>
  <c r="P44" i="20"/>
  <c r="P48" i="20" s="1"/>
  <c r="O44" i="20"/>
  <c r="O48" i="20" s="1"/>
  <c r="N44" i="20"/>
  <c r="N48" i="20" s="1"/>
  <c r="M44" i="20"/>
  <c r="M48" i="20" s="1"/>
  <c r="L44" i="20"/>
  <c r="L48" i="20" s="1"/>
  <c r="K44" i="20"/>
  <c r="K48" i="20" s="1"/>
  <c r="J44" i="20"/>
  <c r="J48" i="20" s="1"/>
  <c r="I44" i="20"/>
  <c r="I48" i="20" s="1"/>
  <c r="H44" i="20"/>
  <c r="H48" i="20" s="1"/>
  <c r="G44" i="20"/>
  <c r="G48" i="20" s="1"/>
  <c r="F44" i="20"/>
  <c r="F48" i="20" s="1"/>
  <c r="E44" i="20"/>
  <c r="E48" i="20" s="1"/>
  <c r="D44" i="20"/>
  <c r="D48" i="20" s="1"/>
  <c r="C44" i="20"/>
  <c r="C48" i="20" s="1"/>
  <c r="B44" i="20"/>
  <c r="B48" i="20" s="1"/>
  <c r="BG30" i="20"/>
  <c r="BF30" i="20"/>
  <c r="BE30" i="20"/>
  <c r="BD30" i="20"/>
  <c r="BC30" i="20"/>
  <c r="BB30" i="20"/>
  <c r="BA30" i="20"/>
  <c r="AZ30" i="20"/>
  <c r="AY30" i="20"/>
  <c r="AX30" i="20"/>
  <c r="AW30" i="20"/>
  <c r="AV30" i="20"/>
  <c r="AU30" i="20"/>
  <c r="AT30" i="20"/>
  <c r="AS30" i="20"/>
  <c r="AR30" i="20"/>
  <c r="AQ30" i="20"/>
  <c r="M30" i="20"/>
  <c r="L30" i="20"/>
  <c r="K30" i="20"/>
  <c r="J30" i="20"/>
  <c r="I30" i="20"/>
  <c r="H30" i="20"/>
  <c r="G30" i="20"/>
  <c r="F30" i="20"/>
  <c r="E30" i="20"/>
  <c r="D30" i="20"/>
  <c r="C30" i="20"/>
  <c r="B30" i="20"/>
  <c r="M24" i="20"/>
  <c r="L24" i="20"/>
  <c r="K24" i="20"/>
  <c r="J24" i="20"/>
  <c r="I24" i="20"/>
  <c r="H24" i="20"/>
  <c r="G24" i="20"/>
  <c r="F24" i="20"/>
  <c r="E24" i="20"/>
  <c r="D24" i="20"/>
  <c r="C24" i="20"/>
  <c r="B24" i="20"/>
  <c r="O131" i="19"/>
  <c r="O130" i="19"/>
  <c r="O129" i="19"/>
  <c r="O128" i="19"/>
  <c r="O127" i="19"/>
  <c r="O126" i="19"/>
  <c r="N122" i="19"/>
  <c r="N121" i="19"/>
  <c r="N120" i="19"/>
  <c r="O62" i="19"/>
  <c r="O61" i="19"/>
  <c r="O60" i="19"/>
  <c r="N59" i="19"/>
  <c r="M59" i="19"/>
  <c r="L59" i="19"/>
  <c r="K59" i="19"/>
  <c r="J59" i="19"/>
  <c r="I59" i="19"/>
  <c r="H59" i="19"/>
  <c r="G59" i="19"/>
  <c r="F59" i="19"/>
  <c r="E59" i="19"/>
  <c r="D59" i="19"/>
  <c r="O59" i="19" s="1"/>
  <c r="C59" i="19"/>
  <c r="O58" i="19"/>
  <c r="O57" i="19"/>
  <c r="O56" i="19"/>
  <c r="N55" i="19"/>
  <c r="M55" i="19"/>
  <c r="L55" i="19"/>
  <c r="K55" i="19"/>
  <c r="J55" i="19"/>
  <c r="I55" i="19"/>
  <c r="H55" i="19"/>
  <c r="G55" i="19"/>
  <c r="F55" i="19"/>
  <c r="E55" i="19"/>
  <c r="D55" i="19"/>
  <c r="O55" i="19" s="1"/>
  <c r="C55" i="19"/>
  <c r="O54" i="19"/>
  <c r="O53" i="19"/>
  <c r="O52" i="19"/>
  <c r="N51" i="19"/>
  <c r="M51" i="19"/>
  <c r="L51" i="19"/>
  <c r="K51" i="19"/>
  <c r="J51" i="19"/>
  <c r="I51" i="19"/>
  <c r="H51" i="19"/>
  <c r="G51" i="19"/>
  <c r="F51" i="19"/>
  <c r="E51" i="19"/>
  <c r="D51" i="19"/>
  <c r="O51" i="19" s="1"/>
  <c r="C51" i="19"/>
  <c r="O50" i="19"/>
  <c r="O49" i="19"/>
  <c r="O48" i="19"/>
  <c r="N47" i="19"/>
  <c r="M47" i="19"/>
  <c r="L47" i="19"/>
  <c r="K47" i="19"/>
  <c r="J47" i="19"/>
  <c r="I47" i="19"/>
  <c r="H47" i="19"/>
  <c r="G47" i="19"/>
  <c r="F47" i="19"/>
  <c r="E47" i="19"/>
  <c r="D47" i="19"/>
  <c r="O47" i="19" s="1"/>
  <c r="C47" i="19"/>
  <c r="O46" i="19"/>
  <c r="O45" i="19"/>
  <c r="O44" i="19"/>
  <c r="N43" i="19"/>
  <c r="M43" i="19"/>
  <c r="L43" i="19"/>
  <c r="K43" i="19"/>
  <c r="J43" i="19"/>
  <c r="I43" i="19"/>
  <c r="H43" i="19"/>
  <c r="G43" i="19"/>
  <c r="F43" i="19"/>
  <c r="E43" i="19"/>
  <c r="D43" i="19"/>
  <c r="O43" i="19" s="1"/>
  <c r="C43" i="19"/>
  <c r="O42" i="19"/>
  <c r="O41" i="19"/>
  <c r="O40" i="19"/>
  <c r="N39" i="19"/>
  <c r="N38" i="19" s="1"/>
  <c r="M39" i="19"/>
  <c r="M38" i="19" s="1"/>
  <c r="L39" i="19"/>
  <c r="L38" i="19" s="1"/>
  <c r="K39" i="19"/>
  <c r="J39" i="19"/>
  <c r="I39" i="19"/>
  <c r="H39" i="19"/>
  <c r="H38" i="19" s="1"/>
  <c r="G39" i="19"/>
  <c r="G38" i="19" s="1"/>
  <c r="F39" i="19"/>
  <c r="F38" i="19" s="1"/>
  <c r="E39" i="19"/>
  <c r="E38" i="19" s="1"/>
  <c r="D39" i="19"/>
  <c r="O39" i="19" s="1"/>
  <c r="C39" i="19"/>
  <c r="K38" i="19"/>
  <c r="J38" i="19"/>
  <c r="I38" i="19"/>
  <c r="C38" i="19"/>
  <c r="E31" i="19"/>
  <c r="E30" i="19"/>
  <c r="J29" i="19"/>
  <c r="D29" i="19"/>
  <c r="C29" i="19"/>
  <c r="B29" i="19"/>
  <c r="E29" i="19" s="1"/>
  <c r="F23" i="19"/>
  <c r="E23" i="19"/>
  <c r="C23" i="19"/>
  <c r="V22" i="19"/>
  <c r="F22" i="19"/>
  <c r="E22" i="19"/>
  <c r="C22" i="19"/>
  <c r="V21" i="19"/>
  <c r="F21" i="19"/>
  <c r="E21" i="19"/>
  <c r="C21" i="19"/>
  <c r="U20" i="19"/>
  <c r="T20" i="19"/>
  <c r="S20" i="19"/>
  <c r="R20" i="19"/>
  <c r="Q20" i="19"/>
  <c r="P20" i="19"/>
  <c r="O20" i="19"/>
  <c r="N20" i="19"/>
  <c r="M20" i="19"/>
  <c r="L20" i="19"/>
  <c r="K20" i="19"/>
  <c r="J20" i="19"/>
  <c r="V20" i="19" s="1"/>
  <c r="D20" i="19"/>
  <c r="F20" i="19" s="1"/>
  <c r="C20" i="19" s="1"/>
  <c r="B20" i="19"/>
  <c r="D14" i="19"/>
  <c r="D13" i="19"/>
  <c r="D12" i="19"/>
  <c r="D11" i="19"/>
  <c r="O10" i="19"/>
  <c r="D10" i="19"/>
  <c r="C10" i="19"/>
  <c r="E20" i="19" l="1"/>
  <c r="D38" i="19"/>
  <c r="O38" i="19" s="1"/>
</calcChain>
</file>

<file path=xl/sharedStrings.xml><?xml version="1.0" encoding="utf-8"?>
<sst xmlns="http://schemas.openxmlformats.org/spreadsheetml/2006/main" count="2696" uniqueCount="986">
  <si>
    <t>Total</t>
  </si>
  <si>
    <t>Order of Recognizance</t>
  </si>
  <si>
    <t>Order of Supervision</t>
  </si>
  <si>
    <t>ATD</t>
  </si>
  <si>
    <t>Male</t>
  </si>
  <si>
    <t>ADELANTO ICE PROCESSING CENTER</t>
  </si>
  <si>
    <t>ALLEN PARISH PUBLIC SAFETY COMPLEX</t>
  </si>
  <si>
    <t>BROWARD TRANSITIONAL CENTER</t>
  </si>
  <si>
    <t>ALEXANDRIA STAGING FACILITY</t>
  </si>
  <si>
    <t>Female</t>
  </si>
  <si>
    <t>EL VALLE DETENTION FACILITY</t>
  </si>
  <si>
    <t>BRAZIL</t>
  </si>
  <si>
    <t>FLORENCE STAGING FACILITY</t>
  </si>
  <si>
    <t>SENECA COUNTY JAIL</t>
  </si>
  <si>
    <t>RIO GRANDE DETENTION CENTER</t>
  </si>
  <si>
    <t>LAREDO PROCESSING CENTER</t>
  </si>
  <si>
    <t>SOUTH TEXAS ICE PROCESSING CENTER</t>
  </si>
  <si>
    <t>SHERBURNE COUNTY JAIL</t>
  </si>
  <si>
    <t>JACKSON PARISH CORRECTIONAL CENTER</t>
  </si>
  <si>
    <t>MONROE COUNTY DETENTION-DORM</t>
  </si>
  <si>
    <t>ELIZABETH</t>
  </si>
  <si>
    <t>TR</t>
  </si>
  <si>
    <t>CIBOLA COUNTY CORRECTIONAL CENTER</t>
  </si>
  <si>
    <t>WEBB COUNTY DETENTION CENTER (CCA)</t>
  </si>
  <si>
    <t>ADAMS COUNTY DET CENTER</t>
  </si>
  <si>
    <t>ORANGE COUNTY JAIL</t>
  </si>
  <si>
    <t>MA</t>
  </si>
  <si>
    <t>MIA</t>
  </si>
  <si>
    <t>ALEXANDRIA</t>
  </si>
  <si>
    <t>NEVADA SOUTHERN DETENTION CENTER</t>
  </si>
  <si>
    <t>ELOY</t>
  </si>
  <si>
    <t>TAYLOR</t>
  </si>
  <si>
    <t>CHI</t>
  </si>
  <si>
    <t>MILAN</t>
  </si>
  <si>
    <t>EDEN</t>
  </si>
  <si>
    <t>PINE PRAIRIE ICE PROCESSING CENTER</t>
  </si>
  <si>
    <t>ALVARADO</t>
  </si>
  <si>
    <t>AURORA</t>
  </si>
  <si>
    <t>JEFFERSON COUNTY JAIL</t>
  </si>
  <si>
    <t>PINELLAS COUNTY JAIL</t>
  </si>
  <si>
    <t>GEAUGA COUNTY JAIL</t>
  </si>
  <si>
    <t>AL</t>
  </si>
  <si>
    <t>HENDERSON</t>
  </si>
  <si>
    <t>GUAYNABO MDC (SAN JUAN)</t>
  </si>
  <si>
    <t>DALTON</t>
  </si>
  <si>
    <t>KNOX COUNTY DETENTION FACILITY</t>
  </si>
  <si>
    <t>MESA VERDE ICE PROCESSING CENTER</t>
  </si>
  <si>
    <t>U.S. Immigration and Customs Enforcement</t>
  </si>
  <si>
    <t>These statistics are made available to the public pursuant to the Fiscal Year 2020 Department of Homeland Security Appropriations Bill.</t>
  </si>
  <si>
    <t>ADP</t>
  </si>
  <si>
    <t>Average daily population</t>
  </si>
  <si>
    <t>ALIP</t>
  </si>
  <si>
    <t>Average length in program</t>
  </si>
  <si>
    <t>ALOS</t>
  </si>
  <si>
    <t>Average length of stay</t>
  </si>
  <si>
    <t>AOR</t>
  </si>
  <si>
    <t>Area of Responsibility</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</si>
  <si>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</si>
  <si>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</si>
  <si>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</si>
  <si>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</si>
  <si>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</si>
  <si>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</si>
  <si>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</si>
  <si>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</si>
  <si>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</si>
  <si>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</si>
  <si>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</si>
  <si>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</si>
  <si>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</si>
  <si>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</si>
  <si>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</si>
  <si>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</si>
  <si>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</si>
  <si>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</si>
  <si>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</si>
  <si>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</si>
  <si>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</si>
  <si>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</si>
  <si>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</si>
  <si>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</si>
  <si>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</si>
  <si>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</si>
  <si>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</si>
  <si>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</si>
  <si>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</si>
  <si>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</si>
  <si>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</si>
  <si>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Last Inspection Standard</t>
  </si>
  <si>
    <t>The inspection standard the facility was last inspected against.</t>
  </si>
  <si>
    <t>Male/Female</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</si>
  <si>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</si>
  <si>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</si>
  <si>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</si>
  <si>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</si>
  <si>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</si>
  <si>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</si>
  <si>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</si>
  <si>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</si>
  <si>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</si>
  <si>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</si>
  <si>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</si>
  <si>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</si>
  <si>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</si>
  <si>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</si>
  <si>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</si>
  <si>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</si>
  <si>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</si>
  <si>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FRC (Family Residential Center):  A facility that accommodates and cares for family units who remain together while awaiting their proceedings.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</si>
  <si>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</si>
  <si>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</si>
  <si>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</si>
  <si>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</si>
  <si>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</si>
  <si>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</si>
  <si>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Term</t>
  </si>
  <si>
    <t>Definition</t>
  </si>
  <si>
    <t>Facility Information</t>
  </si>
  <si>
    <t>Facility Average Length of Stay</t>
  </si>
  <si>
    <t>Contract Facility Inspections Information</t>
  </si>
  <si>
    <t>Name</t>
  </si>
  <si>
    <t>Address</t>
  </si>
  <si>
    <t>City</t>
  </si>
  <si>
    <t>State</t>
  </si>
  <si>
    <t>Zip</t>
  </si>
  <si>
    <t>Type Detailed</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</si>
  <si>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</si>
  <si>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</si>
  <si>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</si>
  <si>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</si>
  <si>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</si>
  <si>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</si>
  <si>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</si>
  <si>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</si>
  <si>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</si>
  <si>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</si>
  <si>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</si>
  <si>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</si>
  <si>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</si>
  <si>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</si>
  <si>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</si>
  <si>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Rating - Final</t>
  </si>
  <si>
    <t>Second to Last Inspection Type</t>
  </si>
  <si>
    <t>10250 RANCHO ROAD</t>
  </si>
  <si>
    <t>ADELANTO</t>
  </si>
  <si>
    <t>CA</t>
  </si>
  <si>
    <t>LOS</t>
  </si>
  <si>
    <t>DIGSA</t>
  </si>
  <si>
    <t>Female/Male</t>
  </si>
  <si>
    <t>Regular</t>
  </si>
  <si>
    <t>PBNDS 2011</t>
  </si>
  <si>
    <t>Meets Standard</t>
  </si>
  <si>
    <t>Pending</t>
  </si>
  <si>
    <t>STEWART DETENTION CENTER</t>
  </si>
  <si>
    <t>146 CCA ROAD</t>
  </si>
  <si>
    <t>LUMPKIN</t>
  </si>
  <si>
    <t>GA</t>
  </si>
  <si>
    <t>ATL</t>
  </si>
  <si>
    <t>566 VETERANS DRIVE</t>
  </si>
  <si>
    <t>PEARSALL</t>
  </si>
  <si>
    <t>TX</t>
  </si>
  <si>
    <t>SNA</t>
  </si>
  <si>
    <t>CDF</t>
  </si>
  <si>
    <t>DILLEY</t>
  </si>
  <si>
    <t>WINN CORRECTIONAL CENTER</t>
  </si>
  <si>
    <t>560 GUM SPRING ROAD</t>
  </si>
  <si>
    <t>WINNFIELD</t>
  </si>
  <si>
    <t>LA</t>
  </si>
  <si>
    <t>NOL</t>
  </si>
  <si>
    <t>IGSA</t>
  </si>
  <si>
    <t>N/A</t>
  </si>
  <si>
    <t>AZ</t>
  </si>
  <si>
    <t>PHO</t>
  </si>
  <si>
    <t>830 PINEHILL ROAD</t>
  </si>
  <si>
    <t>JENA</t>
  </si>
  <si>
    <t>ELOY FEDERAL CONTRACT FACILITY</t>
  </si>
  <si>
    <t>1705 EAST HANNA RD.</t>
  </si>
  <si>
    <t>20 HOBO FORK RD.</t>
  </si>
  <si>
    <t>NATCHEZ</t>
  </si>
  <si>
    <t>MS</t>
  </si>
  <si>
    <t>OTAY MESA DETENTION CENTER (SAN DIEGO CDF)</t>
  </si>
  <si>
    <t>7488 CALZADA DE LA FUENTE</t>
  </si>
  <si>
    <t>SAN DIEGO</t>
  </si>
  <si>
    <t>SND</t>
  </si>
  <si>
    <t>USMS CDF</t>
  </si>
  <si>
    <t>TACOMA ICE PROCESSING CENTER (NORTHWEST DET CTR)</t>
  </si>
  <si>
    <t>1623 E. J STREET</t>
  </si>
  <si>
    <t>TACOMA</t>
  </si>
  <si>
    <t>WA</t>
  </si>
  <si>
    <t>SEA</t>
  </si>
  <si>
    <t>PORT ISABEL</t>
  </si>
  <si>
    <t>27991 BUENA VISTA BOULEVARD</t>
  </si>
  <si>
    <t>LOS FRESNOS</t>
  </si>
  <si>
    <t>SPC</t>
  </si>
  <si>
    <t>OTERO COUNTY PROCESSING CENTER</t>
  </si>
  <si>
    <t>26 MCGREGOR RANGE ROAD</t>
  </si>
  <si>
    <t>CHAPARRAL</t>
  </si>
  <si>
    <t>NM</t>
  </si>
  <si>
    <t>ELP</t>
  </si>
  <si>
    <t>MONTGOMERY ICE PROCESSING CENTER</t>
  </si>
  <si>
    <t>806 HILBIG RD</t>
  </si>
  <si>
    <t>CONROE</t>
  </si>
  <si>
    <t>HOU</t>
  </si>
  <si>
    <t>RICHWOOD CORRECTIONAL CENTER</t>
  </si>
  <si>
    <t>180 PINE BAYOU CIRCLE</t>
  </si>
  <si>
    <t>RICHWOOD</t>
  </si>
  <si>
    <t>327 INDUSTRIAL DRIVE</t>
  </si>
  <si>
    <t>JONESBORO</t>
  </si>
  <si>
    <t>1800 INDUSTRIAL DRIVE</t>
  </si>
  <si>
    <t>RAYMONDVILLE</t>
  </si>
  <si>
    <t>USMS IGA</t>
  </si>
  <si>
    <t>PBNDS 2008</t>
  </si>
  <si>
    <t>EL PASO SERVICE PROCESSING CENTER</t>
  </si>
  <si>
    <t>8915 MONTANA AVE.</t>
  </si>
  <si>
    <t>EL PASO</t>
  </si>
  <si>
    <t>HOUSTON CONTRACT DETENTION FACILITY</t>
  </si>
  <si>
    <t>15850 EXPORT PLAZA DRIVE</t>
  </si>
  <si>
    <t>HOUSTON</t>
  </si>
  <si>
    <t>1133 HAMPTON DUPRE ROAD</t>
  </si>
  <si>
    <t>PINE PRAIRIE</t>
  </si>
  <si>
    <t>SOUTH LOUISIANA DETENTION CENTER</t>
  </si>
  <si>
    <t>3843 STAGG AVENUE</t>
  </si>
  <si>
    <t>BASILE</t>
  </si>
  <si>
    <t>IMPERIAL REGIONAL DETENTION FACILITY</t>
  </si>
  <si>
    <t>1572 GATEWAY</t>
  </si>
  <si>
    <t>CALEXICO</t>
  </si>
  <si>
    <t>PRAIRIELAND DETENTION FACILITY</t>
  </si>
  <si>
    <t>1209 SUNFLOWER LN</t>
  </si>
  <si>
    <t>DAL</t>
  </si>
  <si>
    <t>NJ</t>
  </si>
  <si>
    <t>NEW</t>
  </si>
  <si>
    <t>IMMIGRATION CENTERS OF AMERICA FARMVILLE</t>
  </si>
  <si>
    <t>508 WATERWORKS ROAD</t>
  </si>
  <si>
    <t>FARMVILLE</t>
  </si>
  <si>
    <t>VA</t>
  </si>
  <si>
    <t>WAS</t>
  </si>
  <si>
    <t>KROME NORTH SERVICE PROCESSING CENTER</t>
  </si>
  <si>
    <t>18201 SOUTHWEST 12TH STREET</t>
  </si>
  <si>
    <t>MIAMI</t>
  </si>
  <si>
    <t>FL</t>
  </si>
  <si>
    <t>DENVER CONTRACT DETENTION FACILITY</t>
  </si>
  <si>
    <t>3130 N. OAKLAND ST.</t>
  </si>
  <si>
    <t>CO</t>
  </si>
  <si>
    <t>DEN</t>
  </si>
  <si>
    <t>FOLKSTON</t>
  </si>
  <si>
    <t>3900 NORTH POWERLINE ROAD</t>
  </si>
  <si>
    <t>POMPANO BEACH</t>
  </si>
  <si>
    <t>NDS</t>
  </si>
  <si>
    <t>Superior</t>
  </si>
  <si>
    <t>PA</t>
  </si>
  <si>
    <t>PHI</t>
  </si>
  <si>
    <t>1001 WELCH STREET</t>
  </si>
  <si>
    <t>BUFFALO (BATAVIA) SERVICE PROCESSING CENTER</t>
  </si>
  <si>
    <t>4250 FEDERAL DRIVE</t>
  </si>
  <si>
    <t>BATAVIA</t>
  </si>
  <si>
    <t>NY</t>
  </si>
  <si>
    <t>BUF</t>
  </si>
  <si>
    <t>Acceptable</t>
  </si>
  <si>
    <t>1001 SAN RIO BOULEVARD</t>
  </si>
  <si>
    <t>LAREDO</t>
  </si>
  <si>
    <t>RIVER CORRECTIONAL CENTER</t>
  </si>
  <si>
    <t>26362 HIGHWAY 15</t>
  </si>
  <si>
    <t>FERRIDAY</t>
  </si>
  <si>
    <t>IAH SECURE ADULT DETENTION FACILITY (POLK)</t>
  </si>
  <si>
    <t>3400 FM 350 SOUTH</t>
  </si>
  <si>
    <t>LIVINGSTON</t>
  </si>
  <si>
    <t>EDEN DETENTION CENTER</t>
  </si>
  <si>
    <t>702 E BROADWAY ST</t>
  </si>
  <si>
    <t>FLORENCE SERVICE PROCESSING CENTER</t>
  </si>
  <si>
    <t>3250 NORTH PINAL PARKWAY</t>
  </si>
  <si>
    <t>FLORENCE</t>
  </si>
  <si>
    <t>425 GOLDEN STATE AVE</t>
  </si>
  <si>
    <t>BAKERSFIELD</t>
  </si>
  <si>
    <t>SFR</t>
  </si>
  <si>
    <t>PLYMOUTH COUNTY CORRECTIONAL FACILITY</t>
  </si>
  <si>
    <t>26 LONG POND ROAD</t>
  </si>
  <si>
    <t>PLYMOUTH</t>
  </si>
  <si>
    <t>BOS</t>
  </si>
  <si>
    <t>13880 BUSINESS CENTER DRIVE</t>
  </si>
  <si>
    <t>ELK RIVER</t>
  </si>
  <si>
    <t>MN</t>
  </si>
  <si>
    <t>SPM</t>
  </si>
  <si>
    <t>NYC</t>
  </si>
  <si>
    <t>TORRANCE COUNTY DETENTION FACILITY</t>
  </si>
  <si>
    <t>209 COUNTY ROAD 49</t>
  </si>
  <si>
    <t>ESTANCIA</t>
  </si>
  <si>
    <t>96 GEORGE THOMPSON DRIVE</t>
  </si>
  <si>
    <t>STAGING</t>
  </si>
  <si>
    <t>CAROLINE DETENTION FACILITY</t>
  </si>
  <si>
    <t>11093 S.W. LEWIS MEMORIAL DRIVE</t>
  </si>
  <si>
    <t>BOWLING GREEN</t>
  </si>
  <si>
    <t>BAKER COUNTY SHERIFF'S OFFICE</t>
  </si>
  <si>
    <t>1 SHERIFF OFFICE DRIVE</t>
  </si>
  <si>
    <t>MACCLENNY</t>
  </si>
  <si>
    <t>IL</t>
  </si>
  <si>
    <t>ANNEX - FOLKSTON IPC</t>
  </si>
  <si>
    <t>3424 HIGHWAY 252 EAST</t>
  </si>
  <si>
    <t>4702 EAST SAUNDERS STREET</t>
  </si>
  <si>
    <t>ELIZABETH CONTRACT DETENTION FACILITY</t>
  </si>
  <si>
    <t>625 EVANS STREET</t>
  </si>
  <si>
    <t>OK</t>
  </si>
  <si>
    <t>HENDERSON DETENTION CENTER</t>
  </si>
  <si>
    <t>18 E BASIC ROAD</t>
  </si>
  <si>
    <t>NV</t>
  </si>
  <si>
    <t>SLC</t>
  </si>
  <si>
    <t>PIKE COUNTY CORRECTIONAL FACILITY</t>
  </si>
  <si>
    <t>175 PIKE COUNTY BOULEVARD</t>
  </si>
  <si>
    <t>LORDS VALLEY</t>
  </si>
  <si>
    <t>2190 EAST MESQUITE AVENUE</t>
  </si>
  <si>
    <t>PAHRUMP</t>
  </si>
  <si>
    <t>KARNES CITY</t>
  </si>
  <si>
    <t>YUBA COUNTY JAIL</t>
  </si>
  <si>
    <t>215 5TH STREET</t>
  </si>
  <si>
    <t>MARYSVILLE</t>
  </si>
  <si>
    <t>OH</t>
  </si>
  <si>
    <t>DET</t>
  </si>
  <si>
    <t>WI</t>
  </si>
  <si>
    <t>CALHOUN COUNTY CORRECTIONAL CENTER</t>
  </si>
  <si>
    <t>185 EAST MICHIGAN AVENUE</t>
  </si>
  <si>
    <t>BATTLE CREEK</t>
  </si>
  <si>
    <t>MI</t>
  </si>
  <si>
    <t>BLUEBONNET DETENTION FACILITY</t>
  </si>
  <si>
    <t>400 2ND STREET</t>
  </si>
  <si>
    <t>ANSON</t>
  </si>
  <si>
    <t>BOONE COUNTY JAIL</t>
  </si>
  <si>
    <t>3020 CONRAD LANE</t>
  </si>
  <si>
    <t>BURLINGTON</t>
  </si>
  <si>
    <t>KY</t>
  </si>
  <si>
    <t>DODGE COUNTY JAIL</t>
  </si>
  <si>
    <t>215 WEST CENTRAL STREET</t>
  </si>
  <si>
    <t>JUNEAU</t>
  </si>
  <si>
    <t>110 WELLS FARM ROAD</t>
  </si>
  <si>
    <t>GOSHEN</t>
  </si>
  <si>
    <t>7340 HIGHWAY 26 WEST</t>
  </si>
  <si>
    <t>OBERLIN</t>
  </si>
  <si>
    <t>2000 CIBOLA LOOP</t>
  </si>
  <si>
    <t>WYATT DETENTION CENTER</t>
  </si>
  <si>
    <t>950 HIGH STREET</t>
  </si>
  <si>
    <t>CENTRAL FALLS</t>
  </si>
  <si>
    <t>RI</t>
  </si>
  <si>
    <t>9998 SOUTH HIGHWAY 83</t>
  </si>
  <si>
    <t>KAY COUNTY JUSTICE FACILITY</t>
  </si>
  <si>
    <t>1101 WEST DRY ROAD</t>
  </si>
  <si>
    <t>NEWKIRK</t>
  </si>
  <si>
    <t>STRAFFORD COUNTY CORRECTIONS</t>
  </si>
  <si>
    <t>266 COUNTY FARM ROAD</t>
  </si>
  <si>
    <t>DOVER</t>
  </si>
  <si>
    <t>NH</t>
  </si>
  <si>
    <t>NYE COUNTY DETENTION CENTER, SOUTHERN (PAHRUMP)</t>
  </si>
  <si>
    <t>1520 E. BASIN ROAD</t>
  </si>
  <si>
    <t>HALL COUNTY DEPARTMENT OF CORRECTIONS</t>
  </si>
  <si>
    <t>110 PUBLIC SAFETY DRIVE</t>
  </si>
  <si>
    <t>GRAND ISLAND</t>
  </si>
  <si>
    <t>NE</t>
  </si>
  <si>
    <t>7000 EAST DUNBAR ROAD</t>
  </si>
  <si>
    <t>MONROE</t>
  </si>
  <si>
    <t>CHASE COUNTY DETENTION FACILITY</t>
  </si>
  <si>
    <t>301 SOUTH WALNUT STREET</t>
  </si>
  <si>
    <t>COTTONWOOD FALLS</t>
  </si>
  <si>
    <t>KS</t>
  </si>
  <si>
    <t>CLINTON COUNTY CORRECTIONAL FACILITY</t>
  </si>
  <si>
    <t>419 SHOEMAKER ROAD</t>
  </si>
  <si>
    <t>LOCK HAVEN</t>
  </si>
  <si>
    <t>TULSA COUNTY JAIL (DAVID L. MOSS JUSTICE CTR)</t>
  </si>
  <si>
    <t>300 NORTH DENVER AVENUE</t>
  </si>
  <si>
    <t>TULSA</t>
  </si>
  <si>
    <t>IA</t>
  </si>
  <si>
    <t>SAINT CLAIR COUNTY JAIL</t>
  </si>
  <si>
    <t>1170 MICHIGAN ROAD</t>
  </si>
  <si>
    <t>PORT HURON</t>
  </si>
  <si>
    <t>LEESPORT</t>
  </si>
  <si>
    <t>3040 SOUTH STATE HIGHWAY 100</t>
  </si>
  <si>
    <t>TIFFIN</t>
  </si>
  <si>
    <t>SAN LUIS REGIONAL DETENTION CENTER</t>
  </si>
  <si>
    <t>406 NORTH AVENUE D</t>
  </si>
  <si>
    <t>SAN LUIS</t>
  </si>
  <si>
    <t>KANDIYOHI COUNTY JAIL</t>
  </si>
  <si>
    <t>2201 23RD ST NE</t>
  </si>
  <si>
    <t>WILLMAR</t>
  </si>
  <si>
    <t>FREEBORN COUNTY ADULT DETENTION CENTER</t>
  </si>
  <si>
    <t>411 SOUTH BROADWAY AVENUE</t>
  </si>
  <si>
    <t>ALBERT LEA</t>
  </si>
  <si>
    <t>CLAY COUNTY JAIL</t>
  </si>
  <si>
    <t>611 EAST JACKSON STREET</t>
  </si>
  <si>
    <t>IN</t>
  </si>
  <si>
    <t>12450 MERRITT DR</t>
  </si>
  <si>
    <t>CHARDON</t>
  </si>
  <si>
    <t>ALAMANCE COUNTY DETENTION FACILITY</t>
  </si>
  <si>
    <t>109 SOUTH MAPLE STREET</t>
  </si>
  <si>
    <t>GRAHAM</t>
  </si>
  <si>
    <t>NC</t>
  </si>
  <si>
    <t>HONOLULU FEDERAL DETENTION CENTER</t>
  </si>
  <si>
    <t>351 ELLIOTT ST.</t>
  </si>
  <si>
    <t>HONOLULU</t>
  </si>
  <si>
    <t>HI</t>
  </si>
  <si>
    <t>BOP</t>
  </si>
  <si>
    <t>POLK COUNTY JAIL</t>
  </si>
  <si>
    <t>1985 NE 51ST PLACE</t>
  </si>
  <si>
    <t>DES MOINES</t>
  </si>
  <si>
    <t>CHIPPEWA COUNTY SSM</t>
  </si>
  <si>
    <t>325 COURT STREET</t>
  </si>
  <si>
    <t>SAULT SAINTE MARIE</t>
  </si>
  <si>
    <t>COASTAL BEND DETENTION FACILITY</t>
  </si>
  <si>
    <t>4909 FM (FARM TO MARKET) 2826</t>
  </si>
  <si>
    <t>ROBSTOWN</t>
  </si>
  <si>
    <t>ROBERT A. DEYTON DETENTION FACILITY</t>
  </si>
  <si>
    <t>11866 HASTINGS BRIDGE RD</t>
  </si>
  <si>
    <t>LOVEJOY</t>
  </si>
  <si>
    <t>ORSA</t>
  </si>
  <si>
    <t>CACHE COUNTY JAIL</t>
  </si>
  <si>
    <t>50 WEST 200 NORTH</t>
  </si>
  <si>
    <t>LOGAN</t>
  </si>
  <si>
    <t>UT</t>
  </si>
  <si>
    <t>WASHOE COUNTY JAIL</t>
  </si>
  <si>
    <t>911 PARR BOULEVARD</t>
  </si>
  <si>
    <t>RENO</t>
  </si>
  <si>
    <t>SC</t>
  </si>
  <si>
    <t>COLLIER COUNTY NAPLES JAIL CENTER</t>
  </si>
  <si>
    <t>3301 TAMIAMI TRAIL EAST</t>
  </si>
  <si>
    <t>NAPLES</t>
  </si>
  <si>
    <t>14400 49TH STREET NORTH</t>
  </si>
  <si>
    <t>CLEARWATER</t>
  </si>
  <si>
    <t>WASHINGTON COUNTY JAIL (PURGATORY CORRECTIONAL FAC</t>
  </si>
  <si>
    <t>HURRICANE</t>
  </si>
  <si>
    <t>HWY 28 INTSECT OF ROAD 165</t>
  </si>
  <si>
    <t>SAN JUAN</t>
  </si>
  <si>
    <t>PR</t>
  </si>
  <si>
    <t>5/8/2008</t>
  </si>
  <si>
    <t>SAIPAN DEPARTMENT OF CORRECTIONS (SUSUPE)</t>
  </si>
  <si>
    <t>TEKKEN ST., SUSUPE VILLAGE</t>
  </si>
  <si>
    <t>SAIPAN</t>
  </si>
  <si>
    <t>MP</t>
  </si>
  <si>
    <t xml:space="preserve">DEPARTMENT OF CORRECTIONS HAGATNA </t>
  </si>
  <si>
    <t>203 ASPINALL AVENUE</t>
  </si>
  <si>
    <t>HAGATNA</t>
  </si>
  <si>
    <t>GU</t>
  </si>
  <si>
    <t>PHELPS COUNTY JAIL</t>
  </si>
  <si>
    <t>715 5TH AVENUE</t>
  </si>
  <si>
    <t>HOLDREGE</t>
  </si>
  <si>
    <t>LINN COUNTY JAIL</t>
  </si>
  <si>
    <t>53 3RD AVENUE BRIDGE</t>
  </si>
  <si>
    <t>CEDAR RAPIDS</t>
  </si>
  <si>
    <t>SOUTH CENTRAL REGIONAL JAIL</t>
  </si>
  <si>
    <t>1001 CENTRE WAY</t>
  </si>
  <si>
    <t>CHARLESTON</t>
  </si>
  <si>
    <t>WV</t>
  </si>
  <si>
    <t>8/23/2018</t>
  </si>
  <si>
    <t>MINICASSIA DETENTION CENTER</t>
  </si>
  <si>
    <t>1415 ALBION AVENUE</t>
  </si>
  <si>
    <t>BURLEY</t>
  </si>
  <si>
    <t>ID</t>
  </si>
  <si>
    <t>200 COURTHOUSE WAY</t>
  </si>
  <si>
    <t>RIGBY</t>
  </si>
  <si>
    <t>POTTAWATTAMIE COUNTY JAIL</t>
  </si>
  <si>
    <t>1400 BIG LAKE ROAD</t>
  </si>
  <si>
    <t>COUNCIL BLUFFS</t>
  </si>
  <si>
    <t>5001 Maloneyville Rd</t>
  </si>
  <si>
    <t>Knoxville</t>
  </si>
  <si>
    <t>TN</t>
  </si>
  <si>
    <t>OLDHAM COUNTY JAIL</t>
  </si>
  <si>
    <t>100 W MAIN STREET</t>
  </si>
  <si>
    <t>LA GRANGE</t>
  </si>
  <si>
    <t>EAST HIDALGO DETENTION CENTER</t>
  </si>
  <si>
    <t>1330 HIGHWAY 107</t>
  </si>
  <si>
    <t>LA VILLA</t>
  </si>
  <si>
    <t>FAYETTE COUNTY DETENTION CENTER</t>
  </si>
  <si>
    <t>600 OLD FRANKFORD CR</t>
  </si>
  <si>
    <t>LEXINGTON</t>
  </si>
  <si>
    <t>LEXINGTON COUNTY JAIL</t>
  </si>
  <si>
    <t>521 GIBSON ROAD</t>
  </si>
  <si>
    <t>WHITFIELD COUNTY JAIL</t>
  </si>
  <si>
    <t>805 PROFESSIONAL BLVD</t>
  </si>
  <si>
    <t>10/16/2018</t>
  </si>
  <si>
    <t>BEAVER COUNTY JAIL</t>
  </si>
  <si>
    <t>6000 WOODLAWN BOULEVARD</t>
  </si>
  <si>
    <t>ALIQUIPPA</t>
  </si>
  <si>
    <t>NEW HANOVER COUNTY JAIL</t>
  </si>
  <si>
    <t>3950 JUVENILE RD</t>
  </si>
  <si>
    <t>CASTLE HAYNE</t>
  </si>
  <si>
    <t>SALT LAKE COUNTY METRO JAIL</t>
  </si>
  <si>
    <t>3415 SOUTH 900 WEST</t>
  </si>
  <si>
    <t>SALT LAKE CITY</t>
  </si>
  <si>
    <t>FLOYD COUNTY JAIL</t>
  </si>
  <si>
    <t>2526 NEW CALHOUN HWY</t>
  </si>
  <si>
    <t>ROME</t>
  </si>
  <si>
    <t>ERIE COUNTY JAIL</t>
  </si>
  <si>
    <t>1618 ASH STREET</t>
  </si>
  <si>
    <t>ERIE</t>
  </si>
  <si>
    <t xml:space="preserve">ICE confirms the integrity of the data as published on this site and cannot attest to subsequent transmissions.  Data fluctuate until “locked” at the conclusion of the fiscal year. </t>
  </si>
  <si>
    <t>FAMU Status</t>
  </si>
  <si>
    <t>Count</t>
  </si>
  <si>
    <t>FAMU</t>
  </si>
  <si>
    <t>SmartLINK</t>
  </si>
  <si>
    <t>Atlanta</t>
  </si>
  <si>
    <t>Baltimore</t>
  </si>
  <si>
    <t>Boston</t>
  </si>
  <si>
    <t>Buffalo</t>
  </si>
  <si>
    <t>Chicago</t>
  </si>
  <si>
    <t>Dallas</t>
  </si>
  <si>
    <t>Denver</t>
  </si>
  <si>
    <t>El Paso</t>
  </si>
  <si>
    <t>Houston</t>
  </si>
  <si>
    <t>Los Angeles</t>
  </si>
  <si>
    <t>Miami</t>
  </si>
  <si>
    <t>New Orleans</t>
  </si>
  <si>
    <t>New York</t>
  </si>
  <si>
    <t>Newark</t>
  </si>
  <si>
    <t>Philadelphia</t>
  </si>
  <si>
    <t>Phoenix</t>
  </si>
  <si>
    <t>Salt Lake City</t>
  </si>
  <si>
    <t>San Antonio</t>
  </si>
  <si>
    <t>San Diego</t>
  </si>
  <si>
    <t>San Francisco</t>
  </si>
  <si>
    <t>Seattle</t>
  </si>
  <si>
    <t>St Paul</t>
  </si>
  <si>
    <t>Records related to credible fear are USCIS records, and are provided to ICE by USCIS.</t>
  </si>
  <si>
    <t>ICE Detention Statistics</t>
  </si>
  <si>
    <t>Single Adult</t>
  </si>
  <si>
    <t>ECMS-FAMU</t>
  </si>
  <si>
    <t>ECMS-Single Adult</t>
  </si>
  <si>
    <t>ICE FOOTNOTES</t>
  </si>
  <si>
    <t>AOR/Technology</t>
  </si>
  <si>
    <t>Average Length in Program</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</si>
  <si>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</si>
  <si>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</si>
  <si>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</si>
  <si>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Online tracking device using smart phone or tablet</t>
  </si>
  <si>
    <t>Telephonic reporting</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</si>
  <si>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</si>
  <si>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</si>
  <si>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</si>
  <si>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</si>
  <si>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</si>
  <si>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All stats are pulled based on Current Program which attributes all cases back to the Program of the processing officer of the event.  However, if Current Program = OPL, XXX, ZZZ, or null, then Event Program is used.</t>
  </si>
  <si>
    <t>The CBP Arresting Agency includes the following programs:  Border Patrol, Inspections, Inspections-Air, Inspections-Land, and Inspections-Sea.</t>
  </si>
  <si>
    <t>An ICE Final Release is defined as a Final Bookout that reflects  one of the following release reasons:   Bonded Out, Order of Recognizance, Order of Supervision, Paroled, or Prosecutorial Discretion.  All Case Statuses are included.</t>
  </si>
  <si>
    <t>ICE Detention data exclude ORR transfers/facilities, and U.S. Marshals Service prisoners.</t>
  </si>
  <si>
    <t>ICE Removal Data Include Returns.  Returns include Voluntary Returns, Voluntary Departures and Withdrawals Under Docket Control.</t>
  </si>
  <si>
    <t>ICE Detention data excludes ORR transfers/facilities, as well as U.S. Marshals Service Prisoners.</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</si>
  <si>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</si>
  <si>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</si>
  <si>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</si>
  <si>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</si>
  <si>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FY2019 ICE Alternatives to Detention</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</si>
  <si>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</si>
  <si>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</si>
  <si>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</si>
  <si>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</si>
  <si>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Order of Supervision-No SLRFF</t>
  </si>
  <si>
    <t>Washington DC</t>
  </si>
  <si>
    <t xml:space="preserve">ICE provides the following Detention and Alternatives to Detention (ATD) statistics, which may be downloaded by clicking below. The data tables are searchable and sortable, and worksheets are protected to ensure their accuracy and reliability. </t>
  </si>
  <si>
    <t>Harlingen</t>
  </si>
  <si>
    <t>Technology</t>
  </si>
  <si>
    <t>Daily Tech Cost</t>
  </si>
  <si>
    <t>ATD Active Population Counts and Daily Cost by Technology</t>
  </si>
  <si>
    <t>No Technology</t>
  </si>
  <si>
    <t>VoiceID</t>
  </si>
  <si>
    <t>No Tech</t>
  </si>
  <si>
    <t>Metric</t>
  </si>
  <si>
    <t>%</t>
  </si>
  <si>
    <t>Attended</t>
  </si>
  <si>
    <t>Failed to Attend</t>
  </si>
  <si>
    <t>Court Data from BI Inc.</t>
  </si>
  <si>
    <t>*Only Participants with court tracking assigned</t>
  </si>
  <si>
    <t>Detroit</t>
  </si>
  <si>
    <t>ICE ALTERNATIVES TO DETENTION DATA, FY23</t>
  </si>
  <si>
    <t>ATD Active Population by Status, Extended Case Management Service, Count and ALIP, FY23</t>
  </si>
  <si>
    <t>FY23 Court Appearance: Total Hearings*</t>
  </si>
  <si>
    <t>FY23 Court Appearance: Final Hearings*</t>
  </si>
  <si>
    <t>Data from OBP Report, 11.20.2022 Unofficial</t>
  </si>
  <si>
    <t>Data from BI Inc. Participants Report, 12.03.2022</t>
  </si>
  <si>
    <t>Active ATD Participants and Average Length in Program, FY23,  as of 12/03/2022, by AOR and Technology</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</si>
  <si>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</si>
  <si>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</si>
  <si>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Fiscal Year (FY) 2022 Quarter 1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</si>
  <si>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</si>
  <si>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</si>
  <si>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</si>
  <si>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</si>
  <si>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</si>
  <si>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</si>
  <si>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</si>
  <si>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</si>
  <si>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</si>
  <si>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Grand Total</t>
  </si>
  <si>
    <t>* Data represents 287 unique detainees. Some detainees have multiple placements within FY22 Q1 (313 total placements).</t>
  </si>
  <si>
    <t>Fiscal Year (FY)  2022 Quarter 2 Data</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</si>
  <si>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</si>
  <si>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</si>
  <si>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</si>
  <si>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</si>
  <si>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</si>
  <si>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</si>
  <si>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</si>
  <si>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</si>
  <si>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</si>
  <si>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</si>
  <si>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These statistics are made available to the public pursuant to H.R. 1158 Sec. 218 - Department of Homeland Security Appropriations Act, 2020. ) *The information in this report is subject to change.</t>
  </si>
  <si>
    <t xml:space="preserve">ICE FACILITIES DATA, FY23 </t>
  </si>
  <si>
    <t>ICE Enforcement and Removal Operations Data, EOFY2023</t>
  </si>
  <si>
    <t>FY23 ADP: Detainee Classification Level</t>
  </si>
  <si>
    <t>FY23 ADP: Criminality</t>
  </si>
  <si>
    <t>FY23 ADP: ICE Threat Level</t>
  </si>
  <si>
    <t>FY23 ADP: Mandatory</t>
  </si>
  <si>
    <t>Source: ICE Integrated Decision Support (IIDS), 11/28/2022</t>
  </si>
  <si>
    <t>FY23 ALOS</t>
  </si>
  <si>
    <r>
      <t>SOUTH TEXAS FAMILY RESIDENTIAL CENTER</t>
    </r>
    <r>
      <rPr>
        <vertAlign val="superscript"/>
        <sz val="12"/>
        <color rgb="FF000000"/>
        <rFont val="Times New Roman"/>
        <family val="1"/>
      </rPr>
      <t>1</t>
    </r>
  </si>
  <si>
    <t>300 EL RANCHO WAY</t>
  </si>
  <si>
    <t>FRS Standards</t>
  </si>
  <si>
    <t>6/15/2022</t>
  </si>
  <si>
    <t>PBNDS 2011 - 2016 Revisions</t>
  </si>
  <si>
    <t>9/30/2021</t>
  </si>
  <si>
    <t>2/17/2022</t>
  </si>
  <si>
    <t>5/5/2022</t>
  </si>
  <si>
    <t>12/2/2021</t>
  </si>
  <si>
    <t>1/27/2022</t>
  </si>
  <si>
    <t>2/3/2022</t>
  </si>
  <si>
    <t>12/17/2021</t>
  </si>
  <si>
    <r>
      <t>KARNES COUNTY IMMIGRATION PROCESSING CENTER</t>
    </r>
    <r>
      <rPr>
        <vertAlign val="superscript"/>
        <sz val="12"/>
        <color rgb="FF000000"/>
        <rFont val="Times New Roman"/>
        <family val="1"/>
      </rPr>
      <t>2</t>
    </r>
  </si>
  <si>
    <t>409 FM 1144</t>
  </si>
  <si>
    <t>4/28/2022</t>
  </si>
  <si>
    <t>MOSHANNON VALLEY CORRECTIONAL</t>
  </si>
  <si>
    <t>555 GEO Drive</t>
  </si>
  <si>
    <t>PHILIPSBURG</t>
  </si>
  <si>
    <t>3/3/2022</t>
  </si>
  <si>
    <t>11/17/2021</t>
  </si>
  <si>
    <t>CENTRAL LOUISIANA ICE PROCESSING CENTER (CLIPC)</t>
  </si>
  <si>
    <t>9/23/2021</t>
  </si>
  <si>
    <t>HLG</t>
  </si>
  <si>
    <t>1/13/2022</t>
  </si>
  <si>
    <t>11/4/2021</t>
  </si>
  <si>
    <t>10/28/2021</t>
  </si>
  <si>
    <t>NDS 2019</t>
  </si>
  <si>
    <t>1/6/2022</t>
  </si>
  <si>
    <t>11/19/2021</t>
  </si>
  <si>
    <t>10/7/2021</t>
  </si>
  <si>
    <t>3/10/2022</t>
  </si>
  <si>
    <t>FOLKSTON MAIN IPC</t>
  </si>
  <si>
    <t>3026 HWY 252 EAST</t>
  </si>
  <si>
    <t>7/28/2022</t>
  </si>
  <si>
    <t>5/12/2022</t>
  </si>
  <si>
    <t>2/10/2022</t>
  </si>
  <si>
    <t>10/21/2021</t>
  </si>
  <si>
    <t>12/9/2021</t>
  </si>
  <si>
    <t>T. DON HUTTO DETENTION CENTER</t>
  </si>
  <si>
    <t>3/31/2022</t>
  </si>
  <si>
    <t>4/21/2021</t>
  </si>
  <si>
    <t>2/25/2022</t>
  </si>
  <si>
    <t>CCA, FLORENCE CORRECTIONAL CENTER</t>
  </si>
  <si>
    <t>1100 BOWLING ROAD</t>
  </si>
  <si>
    <t>8/25/2022</t>
  </si>
  <si>
    <t>8/18/2022</t>
  </si>
  <si>
    <t>JOE CORLEY PROCESSING CTR</t>
  </si>
  <si>
    <t>500 HILBIG RD</t>
  </si>
  <si>
    <t>5/26/2022</t>
  </si>
  <si>
    <t>3/17/2022</t>
  </si>
  <si>
    <t>GOLDEN STATE ANNEX</t>
  </si>
  <si>
    <t>611 FRONTAGE RD</t>
  </si>
  <si>
    <t>MCFARLAND</t>
  </si>
  <si>
    <t>DESERT VIEW</t>
  </si>
  <si>
    <t>10450 RANCHO ROAD</t>
  </si>
  <si>
    <t>11/5/2021</t>
  </si>
  <si>
    <t>4/14/2022</t>
  </si>
  <si>
    <t>4/21/2022</t>
  </si>
  <si>
    <t>6/23/2022</t>
  </si>
  <si>
    <t>6/3/2022</t>
  </si>
  <si>
    <t>5/19/2022</t>
  </si>
  <si>
    <t>7/14/2022</t>
  </si>
  <si>
    <t>4/7/2022</t>
  </si>
  <si>
    <t>8/4/2022</t>
  </si>
  <si>
    <t>11/10/2021</t>
  </si>
  <si>
    <t>4/8/2021</t>
  </si>
  <si>
    <r>
      <t>BERKS COUNTY RESIDENTIAL CENTER</t>
    </r>
    <r>
      <rPr>
        <vertAlign val="superscript"/>
        <sz val="12"/>
        <color rgb="FF000000"/>
        <rFont val="Times New Roman"/>
        <family val="1"/>
      </rPr>
      <t>3</t>
    </r>
  </si>
  <si>
    <t>1040 BERKS RD</t>
  </si>
  <si>
    <t>2/12/2021</t>
  </si>
  <si>
    <t>7/22/2022</t>
  </si>
  <si>
    <t>6/16/2022</t>
  </si>
  <si>
    <t>Meets Standards</t>
  </si>
  <si>
    <t>12/16/2021</t>
  </si>
  <si>
    <t>7/29/2021</t>
  </si>
  <si>
    <t>11/3/2021</t>
  </si>
  <si>
    <t>11/18/2021</t>
  </si>
  <si>
    <t>PICKENS COUNTY DET CTR</t>
  </si>
  <si>
    <t>188 CEMETERY ST</t>
  </si>
  <si>
    <t>CARROLLTON</t>
  </si>
  <si>
    <t>12/13/2021</t>
  </si>
  <si>
    <t>11/8/2021</t>
  </si>
  <si>
    <t>12/10/2021</t>
  </si>
  <si>
    <t>11/16/2021</t>
  </si>
  <si>
    <t>12/30/2021</t>
  </si>
  <si>
    <t>8/11/2022</t>
  </si>
  <si>
    <t>750 SOUTH 5300 WEST</t>
  </si>
  <si>
    <t>3/24/2021</t>
  </si>
  <si>
    <t>SAN JUAN STAGING</t>
  </si>
  <si>
    <t>651 FEDERAL DRIVE, SUITE 104</t>
  </si>
  <si>
    <t>GUAYNABO</t>
  </si>
  <si>
    <t>ELMORE COUNTY JAIL</t>
  </si>
  <si>
    <t>2255 E. 8TH NORTH</t>
  </si>
  <si>
    <t>MOUNTAIN HOME</t>
  </si>
  <si>
    <t>12/8/2021</t>
  </si>
  <si>
    <t>HANCOCK CO PUB SFTY CPLX</t>
  </si>
  <si>
    <t>8450 HIGHWAY 90</t>
  </si>
  <si>
    <t>BAY ST. LOUIS</t>
  </si>
  <si>
    <t>12/28/2021</t>
  </si>
  <si>
    <t>12/17/2020</t>
  </si>
  <si>
    <t>3/12/2021</t>
  </si>
  <si>
    <t>NORTHWEST STATE CORRECTIONAL CENTER</t>
  </si>
  <si>
    <t>3649 LOWER NEWTON ROAD</t>
  </si>
  <si>
    <t>SWANTON</t>
  </si>
  <si>
    <t>VT</t>
  </si>
  <si>
    <t>9/5/2018</t>
  </si>
  <si>
    <t>CUMBERLAND COUNTY JAIL</t>
  </si>
  <si>
    <t>50 COUNTY WAY</t>
  </si>
  <si>
    <t>PORTLAND</t>
  </si>
  <si>
    <t>ME</t>
  </si>
  <si>
    <t>12/31/2021</t>
  </si>
  <si>
    <t>CLINTON COUNTY JAIL</t>
  </si>
  <si>
    <t>25 MCCARTHY DRIVE</t>
  </si>
  <si>
    <t>PLATTSBURGH</t>
  </si>
  <si>
    <t>12/20/2021</t>
  </si>
  <si>
    <t>12/7/2021</t>
  </si>
  <si>
    <t>11/30/2021</t>
  </si>
  <si>
    <t>10/13/2022</t>
  </si>
  <si>
    <t>7/15/2021</t>
  </si>
  <si>
    <t>11/15/2021</t>
  </si>
  <si>
    <t>RANDALL COUNTY JAIL</t>
  </si>
  <si>
    <t>9100 SOUTH GEORGIA STREET</t>
  </si>
  <si>
    <t>AMARILLO</t>
  </si>
  <si>
    <t>10/31/2021</t>
  </si>
  <si>
    <t>11/29/2021</t>
  </si>
  <si>
    <t>2/18/2022</t>
  </si>
  <si>
    <t>2/26/2022</t>
  </si>
  <si>
    <t>3855 SOUTH JOHN YOUNG PARKWAY</t>
  </si>
  <si>
    <t>ORLANDO</t>
  </si>
  <si>
    <t>11/23/2021</t>
  </si>
  <si>
    <t>12/3/2021</t>
  </si>
  <si>
    <t>CHITTENDEN REGIONAL CORRECTIONAL FACILITY</t>
  </si>
  <si>
    <t>7 FARRELL STREET</t>
  </si>
  <si>
    <t>SOUTH BURLINGTON</t>
  </si>
  <si>
    <t>COBB COUNTY JAIL</t>
  </si>
  <si>
    <t>1825 COUNTY SERVICES PARKWAY</t>
  </si>
  <si>
    <t>MARIETTA</t>
  </si>
  <si>
    <t>WESTERN VIRGINIA REGIONAL JAIL</t>
  </si>
  <si>
    <t>5885 W RIVER RD</t>
  </si>
  <si>
    <t>SALEM</t>
  </si>
  <si>
    <t>LEVY COUNTY JAIL</t>
  </si>
  <si>
    <t>9150 NE 80TH AVE</t>
  </si>
  <si>
    <t>BRONSON</t>
  </si>
  <si>
    <t>SOUTH BAY DETENT FACILITY</t>
  </si>
  <si>
    <t>500 3RD AVENUE</t>
  </si>
  <si>
    <t>CHULA VISTA</t>
  </si>
  <si>
    <t>BROADVIEW SERVICE STAGING</t>
  </si>
  <si>
    <t>1930 BEACH STREET</t>
  </si>
  <si>
    <t>BROADVIEW</t>
  </si>
  <si>
    <t>[1] (STFRCTX) SOUTH TEXAS FAMILY RESIDENTIAL CENTER houses single adults and no longer house family units as of 12/11/21.</t>
  </si>
  <si>
    <t>[2] (KRNRCTX) KARNES COUNTY IMMIGRATION PROCESSING CENTER houses single adults and no longer house family units as of 11/10/21.</t>
  </si>
  <si>
    <t>[3] (BCORCPA) BERKS COUNTY RESIDENTIAL CENTER houses single adults and no longer house family units as of 11/27/21.</t>
  </si>
  <si>
    <t>ICE Transgender* Detainee Population FY 2023 YTD:  as of 12/5/2022</t>
  </si>
  <si>
    <t>FY 2023 YTD</t>
  </si>
  <si>
    <t>County</t>
  </si>
  <si>
    <t xml:space="preserve">Total Book-Ins </t>
  </si>
  <si>
    <t>Currently Detained Total</t>
  </si>
  <si>
    <t>Currently Detained with Final Order</t>
  </si>
  <si>
    <t>Currently Detained without Final Order</t>
  </si>
  <si>
    <t>Currently Detained Location/Area of Responsibility Total</t>
  </si>
  <si>
    <t>Houston Area of Responsibility</t>
  </si>
  <si>
    <t>New Orleans Area of Responsibility</t>
  </si>
  <si>
    <t>Miami Area of Responsibility</t>
  </si>
  <si>
    <t>Seattle Area of Responsibility</t>
  </si>
  <si>
    <t>Philadelphia Area of Responsibility</t>
  </si>
  <si>
    <t>Dallas Area of Responsibility</t>
  </si>
  <si>
    <t>Buffalo Area of Responsibility</t>
  </si>
  <si>
    <t>Phoenix Area of Responsibility</t>
  </si>
  <si>
    <t>San Francisco Area of Responsibility</t>
  </si>
  <si>
    <t xml:space="preserve">* Data are based on an individuals self-identification as transgender and are subject to change daily, depending on the number of individuals booked in and out of ICE custody. </t>
  </si>
  <si>
    <t>ICE DETENTION DATA, FY2023</t>
  </si>
  <si>
    <t xml:space="preserve">ICE Currently Detained by Processing Disposition and Detention Facility Type: </t>
  </si>
  <si>
    <t>Average Time from USCIS Fear Decision Service Date to ICE Release (In Days)</t>
  </si>
  <si>
    <t>Noncitizens with USCIS-Established Fear Decisions in an ICE Detention Facility by Facility Type</t>
  </si>
  <si>
    <t>Processing Disposition</t>
  </si>
  <si>
    <t>FSC</t>
  </si>
  <si>
    <t>Adult</t>
  </si>
  <si>
    <t>ICE Release Fiscal Year</t>
  </si>
  <si>
    <t>Detention Facility Type</t>
  </si>
  <si>
    <t>Total Detained</t>
  </si>
  <si>
    <t>FY2023</t>
  </si>
  <si>
    <t>Expedited Removal (I-860)</t>
  </si>
  <si>
    <t>Notice to Appear (I-862)</t>
  </si>
  <si>
    <t>Reinstatement of Deport Order (I-871)</t>
  </si>
  <si>
    <t>Other</t>
  </si>
  <si>
    <t>ICE Currently Detained by Criminality and Arresting Agency</t>
  </si>
  <si>
    <t>ICE Initial Book-Ins by Arresting Agency and Month: FY2023</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</si>
  <si>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</si>
  <si>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</si>
  <si>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</si>
  <si>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</si>
  <si>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</si>
  <si>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</si>
  <si>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</si>
  <si>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</si>
  <si>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</si>
  <si>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</si>
  <si>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</si>
  <si>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</si>
  <si>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</si>
  <si>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</si>
  <si>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</si>
  <si>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</si>
  <si>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</si>
  <si>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</si>
  <si>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</si>
  <si>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</si>
  <si>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FY2023</t>
  </si>
  <si>
    <t>ICE Final Releases by Facility Type: FY2023</t>
  </si>
  <si>
    <t>ICE Removals: FY2023</t>
  </si>
  <si>
    <t>Facility Type</t>
  </si>
  <si>
    <t>Removals</t>
  </si>
  <si>
    <t>Removals with a FSC Detention</t>
  </si>
  <si>
    <t>ICE Final Releases by Release Reason, Month and Criminality: FY2023</t>
  </si>
  <si>
    <t>Release Reason</t>
  </si>
  <si>
    <t>Bonded Out</t>
  </si>
  <si>
    <t>Bond Set by ICE</t>
  </si>
  <si>
    <t>Bond Set by IJ</t>
  </si>
  <si>
    <t>Paroled</t>
  </si>
  <si>
    <t>ICE Average Daily Population by Arresting Agency, Month and Criminality: FY2023</t>
  </si>
  <si>
    <t>FY Overall</t>
  </si>
  <si>
    <t>CBP Average</t>
  </si>
  <si>
    <t xml:space="preserve">ICE Average  </t>
  </si>
  <si>
    <t xml:space="preserve">Average </t>
  </si>
  <si>
    <t>ICE Average Length of Stay by Arresting Agency, Month and Criminality: FY2023</t>
  </si>
  <si>
    <t>ICE Average Daily Population by Facility Type and Month: FY2023</t>
  </si>
  <si>
    <t>ICE Average Length of Stay by Facility Type and Month: FY2023</t>
  </si>
  <si>
    <t>ICE Average Length of Stay Adult Facility Type by Month and Arresting Agency: FY2023</t>
  </si>
  <si>
    <t>Arresting Agency</t>
  </si>
  <si>
    <t>Individuals with Positive Credible Fear Determination Parole Requested: FY2021 - FY2023</t>
  </si>
  <si>
    <t>Fiscal Year</t>
  </si>
  <si>
    <t>FY2022</t>
  </si>
  <si>
    <t>FY2021</t>
  </si>
  <si>
    <t>Individuals with Positive Credible Fear Determination Parole Status: FY2021 - FY2023</t>
  </si>
  <si>
    <t>Parole Status</t>
  </si>
  <si>
    <t>Parole Granted</t>
  </si>
  <si>
    <t>Parole Denied</t>
  </si>
  <si>
    <t>Average In Custody Length of Stay (ICLOS)</t>
  </si>
  <si>
    <t xml:space="preserve">Population </t>
  </si>
  <si>
    <t>July</t>
  </si>
  <si>
    <t>August</t>
  </si>
  <si>
    <t>September</t>
  </si>
  <si>
    <t>October</t>
  </si>
  <si>
    <t>November</t>
  </si>
  <si>
    <t>December</t>
  </si>
  <si>
    <t>January</t>
  </si>
  <si>
    <t>February</t>
  </si>
  <si>
    <t>March</t>
  </si>
  <si>
    <t>April</t>
  </si>
  <si>
    <t>June</t>
  </si>
  <si>
    <t xml:space="preserve">mid </t>
  </si>
  <si>
    <t>end</t>
  </si>
  <si>
    <t>mid</t>
  </si>
  <si>
    <t>Adult Facility Individuals</t>
  </si>
  <si>
    <t>FSC Facility Individuals</t>
  </si>
  <si>
    <t>Post-Determination for Adult Facility Individuals with Postive Fear Claim</t>
  </si>
  <si>
    <t>Post-Determination for FSC Facility Individuals with Positive Fear Claim</t>
  </si>
  <si>
    <t>Detainees</t>
  </si>
  <si>
    <t>0-180 Days</t>
  </si>
  <si>
    <t>181-365 Days</t>
  </si>
  <si>
    <t>366-730 Days</t>
  </si>
  <si>
    <t>More than 730 Days</t>
  </si>
  <si>
    <t>FY2023 Bonded Out Releases Count and ALOS - Prior 12 months plus Current Month</t>
  </si>
  <si>
    <t>Total ICE Final Releases</t>
  </si>
  <si>
    <t>ICE Final Releases with Bond Posted</t>
  </si>
  <si>
    <t>Bond Posted Releases (%)</t>
  </si>
  <si>
    <t>Average Bond Amount ($)</t>
  </si>
  <si>
    <t>ALOS (Days)</t>
  </si>
  <si>
    <t xml:space="preserve">The data contained within this Semiannual page has been refreshed for the United States Citizens, Parents of United States Citizens and Temporary Protective Status Countries tables for the End of Fiscal Year 2022 and will remain historic and static. The  United States Armed Forces Noncitizen data will continue to be updated to capture the most accurate data possible. ERO, OPLA, and the DHS IMMVI unit are currently working in conjunction to verify past and current Veterans in the database on a continuous basis. </t>
  </si>
  <si>
    <t>Arrests</t>
  </si>
  <si>
    <t>FY2018</t>
  </si>
  <si>
    <t>FY2019</t>
  </si>
  <si>
    <t>FY2020</t>
  </si>
  <si>
    <t xml:space="preserve">FY2022 </t>
  </si>
  <si>
    <t>Bookins</t>
  </si>
  <si>
    <t>United States Citizen Arrests FY2018 - FY2022</t>
  </si>
  <si>
    <t>United States Citizens Bookins FY2018 - FY2022</t>
  </si>
  <si>
    <t>United States Citizens Removals FY2018 - FY2022</t>
  </si>
  <si>
    <t>Parents of USC Arrests FY2018 - FY2022</t>
  </si>
  <si>
    <t>Parents of USC Bookins FY2018 - FY2022</t>
  </si>
  <si>
    <t>Parents of USC Removals FY2018 - FY2022</t>
  </si>
  <si>
    <t>Temporary Protected Status Countries Arrests FY2018 - FY2022</t>
  </si>
  <si>
    <t>Citizenship Country</t>
  </si>
  <si>
    <t>Afghanistan</t>
  </si>
  <si>
    <t>Burma (Myanmar)</t>
  </si>
  <si>
    <t>Cameroon</t>
  </si>
  <si>
    <t>El Salvador</t>
  </si>
  <si>
    <t>Haiti</t>
  </si>
  <si>
    <t>Honduras</t>
  </si>
  <si>
    <t>Nepal</t>
  </si>
  <si>
    <t>Nicaragua</t>
  </si>
  <si>
    <t>Somalia</t>
  </si>
  <si>
    <t>South Sudan</t>
  </si>
  <si>
    <t>Sudan</t>
  </si>
  <si>
    <t>Syria</t>
  </si>
  <si>
    <t>Ukraine</t>
  </si>
  <si>
    <t>Venezuela</t>
  </si>
  <si>
    <t>Yemen</t>
  </si>
  <si>
    <t>Temporary Protected Status Countries Bookins FY2018 - FY2022</t>
  </si>
  <si>
    <t>Temporary Protected Status Countries Removals FY2018 - FY2022</t>
  </si>
  <si>
    <t>Non-U.S. citizen child or children under the age of 18, accompanied by his/her/their parent(s) or legal guardian(s).
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</si>
  <si>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Average Daily Population and ICE Average Length of Stay</t>
  </si>
  <si>
    <t>FY2023 ICE Detention data are updated through 12/03/2022 (IIDS v.2.0 run date 12/05/2022; EID as of 12/03/2022).</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</si>
  <si>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</si>
  <si>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</si>
  <si>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Family Staging Centers (FSC) include the Karnes County Family Staging Center (active end date of 11/03/2021), South Texas Family Staging Center (active end date of 12/20/2021), Berks County Family Staging Center (active end date of 02/26/2021), Artesia Family Residential Center (active end date of 12/31/2021), T. Don Hutto Family Residential Center (active end date of 09/01/2009), Suites on Scottsdale – Casa De Alegria (active end date of 12/31/2021), Best Western – Casa De Estrella (active end date of 12/31/2021), Comfort Suites – Casa Consuelo (active end date of 12/31/2021), La Quinta – Wyndham – Casa De Paz (active end date of 12/31/2021), Holiday Inn Express – Casa De La Luz (active end date of 12/31/2021), Wingate – Wyndham Casa Esperanza (active end date of 12/31/2021), Hotel Ava Casa Do Tranquilidade (active end date of 03/31/2022), La Quinta Wyndham Casa Do Sonho (active end date of 03/31/2022), Best Western – Casa Do Tranquilidade (no active end date), Best West Rose Gr-Dn I&amp;S (no active end date), Candelwood Inn Cotulla (no active end date), Hampton Inn – Pearsall (no active end date), Holiday Inn Express &amp; Suites Pearsall (no active end date), Holiday Inn Expr &amp; Stes Cotulla (no active end date), Extended Stay America (no active end date), La Copa Inn Hotel (no active end date), Traveler's Inn – Phoenix (no active end date), Holiday Inn Express &amp; Suites El Paso (no active end date), Holiday Inn Express &amp; Suites Raymondville (no active end date), La Quinta Inn By Wyndham Sna (no active end date), and Super 8 By Wyndham Hidalgo (no active end date). FSC records are determined by these facilities and the Detention Book In date of the noncitizen, therefore noncitizens can still be counted as FSC after the active end date of a facility.</t>
  </si>
  <si>
    <t>FY2023 ICE Final Releases</t>
  </si>
  <si>
    <t>FY2023 ICE Final Releases data are updated through 12/03/2022 (IIDS v.2.0 run date 12/05/2022; EID as of 12/03/2022).</t>
  </si>
  <si>
    <t>A Non-Citizen may have multiple releases; only the most recent release is included in this report.</t>
  </si>
  <si>
    <t>FY2023 ICE Removals</t>
  </si>
  <si>
    <t>FY2023 ICE Removals data are updated through 12/03/2022 (IIDS v.2.0 run date 12/05/2022; EID as of 12/03/2022).</t>
  </si>
  <si>
    <t>ICE Removals include Non Citizens processed for Expedited Removal (ER) or Voluntary Return (VR) that are turned over to ERO for detention.  Non Citizens processed for ER and not detained by ERO or VR after June 1st, 2013 and not detained by ERO are primarily processed by Border Patrol.  CBP should be contacted for those statistics.</t>
  </si>
  <si>
    <t xml:space="preserve">Starting in FY2009, ICE began to "lock" removal statistics on October 5th at the end of each fiscal year and counted only the Non Citizens whose removal or return was already confirmed.  Non Citizens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</si>
  <si>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12/04/2022 (IIDS v.2.0 run date 12/05/2022; EID as of 12/04/2022).</t>
  </si>
  <si>
    <t>Processing dispositions of Other may include, but are not limited to, Non Citizens processed under Administrative Removal, Visa Waiver Program Removal, Stowaway or Crewmember.</t>
  </si>
  <si>
    <t>FY2023 ICE Initial Book-Ins</t>
  </si>
  <si>
    <t>FY2023 ICE Book-ins data is updated through 12/03/2022 (IIDS v.2.0 run date 12/05/2022; EID as of 12/03/2022).</t>
  </si>
  <si>
    <t>USCIS Average Time from USCIS Fear Decision Service Date to ICE Release (In Days) &amp; Non-Citizens with USCIS-Established Fear Decisions in an ICE Detention Facility</t>
  </si>
  <si>
    <t>Non Citizens Currently in ICE Detention Facilities data are a snapshot as of 12/04/2022 (IIDS v.2.0 run date 12/05/2022; EID as of 12/04/2022).</t>
  </si>
  <si>
    <t>USCIS provided data containing APSO (Asylum Pre Screening Officer) cases clocked during FY2020 - FY2023. Data were received on 12/05/2022.</t>
  </si>
  <si>
    <t>Non Citizens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</si>
  <si>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 Non-Citizens Fear Screening Determination cannot be confirmed as directly related to an ICE Detention Stay, even if the USCIS Decision Service Date falls within the ICE Detention Stay.</t>
  </si>
  <si>
    <t>Of the 158,960 records in the USCIS provided data, the breakdown of the fear screening determinations is as follows; 73,034 positive fear screening determinations, 41,991 negative fear screening determinations and 43,935 without an identified determination. Of the 73,034 with positive fear screening determinations; 56,421 have Persecution Claim Established and 16,613 have Torture Claim Established.</t>
  </si>
  <si>
    <t>Non Citizens Currently in ICE Detention Facilities and the Average Time from USCIS Fear Decision Service Date to ICE Release include detentions not associated with a removal case.</t>
  </si>
  <si>
    <t>The data provided by USCIS contains multiple records for some Alien File Numbers. There are 158,960 unique fear determinations and 5,028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</si>
  <si>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Non-Citizen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</si>
  <si>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</si>
  <si>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</si>
  <si>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</si>
  <si>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</si>
  <si>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</si>
  <si>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11/30/2022 (IIDS v.2.0 run date 12/06/2022; EID as of 12/05/2022).</t>
  </si>
  <si>
    <t>Monthly Bond Statistics</t>
  </si>
  <si>
    <t>An ICE Final Release is defined as a Final Bookout that reflects one of the following release reasons: Bonded Out, Order of Recognizance, Order of Supervision, Paroled, or Prosecutorial Discretion. All Case Statuses are included.</t>
  </si>
  <si>
    <t>BMU provided data containing Bonds Posted cases recorded from 11/01/2021 - 12/05/2022 . Data were received on 11/22/2022.</t>
  </si>
  <si>
    <t xml:space="preserve">Bond Posted Releases (%) is calculated by the sum total count of ICE Final Releases of the noncitizens with bond posted divided by the total count of ICE Final Releases. </t>
  </si>
  <si>
    <t xml:space="preserve">ICE Final Releases is limited to one release reason per release. A Final Release may have more than one release reason but only one reason is recorded. Due to this system limitation, there are noncitizens with a bond posted whose ICE Final Release reason is recorded as other than "Bonded Out". </t>
  </si>
  <si>
    <t>STU determines Bonded Out releases by Release Reason entered and Detention Book Out Date. BMU data uses the Bond Post Date which is not necessarily the same as the Detention Book Out Date.</t>
  </si>
  <si>
    <t>Individuals with Credible Fear Parole</t>
  </si>
  <si>
    <t>FY2023 Encounters data is updated through 12/05/2022 (IIDS v.2.0 run date 12/06/2022; EID as of 12/05/2022).</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</si>
  <si>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</si>
  <si>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</si>
  <si>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</si>
  <si>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</si>
  <si>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</si>
  <si>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</si>
  <si>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FY2018 - 2022 ICE Arrests data are updated through 09/30/2022 (IIDS v.2.0 run date 10/11/2022; EID as of 10/10/2022).</t>
  </si>
  <si>
    <t>FY2018 - 2022 ICE Detention data are updated through 09/30/2022 (IIDS v.2.0 run date 10/11/2022; EID as of 10/10/2022).</t>
  </si>
  <si>
    <t>FY2018 - 2022 ICE Removals data are updated through 09/30/2022 (IIDS v.2.0 run date 10/11/2022; EID as of 10/10/2022).</t>
  </si>
  <si>
    <t>For United States Citizens tables:</t>
  </si>
  <si>
    <t>FY2018 - 2022 ICE Arrests data are updated through 09/30/2022 (IIDS v.2.0 run date 10/05/2022; EID as of 10/04/2022).</t>
  </si>
  <si>
    <t>FY2018 - 2022 ICE Detention data are updated through 09/30/2022 (IIDS v.2.0 run date 10/05/2022; EID as of 10/04/2022).</t>
  </si>
  <si>
    <t>FY2018 - 2022  ICE Removals data are updated through 09/30/2022 (IIDS v.2.0 run date 10/05/2022; EID as of 10/04/2022).</t>
  </si>
  <si>
    <t>For Parents of United States Citizens tables:</t>
  </si>
  <si>
    <t>FY2018 - 2022 ICE Removals data are updated through 09/30/2022 (IIDS v.2.0 run date10/05/2022; EID as of 10/04/2022).</t>
  </si>
  <si>
    <t>For Temporary Protected Status Countries tables:</t>
  </si>
  <si>
    <t>FY2022 ICE Arrests data are updated through 09/30/2022 (IIDS v.2.0 run date10/05/2022; EID as of 10/04/2022).</t>
  </si>
  <si>
    <t>FY2022 ICE Detention data are updated through 09/30/2022 (IIDS v.2.0 run date10/05/2022; EID as of 10/04/2022).</t>
  </si>
  <si>
    <t>FY2022 ICE Removals data are updated through 09/30/2022 (IIDS v.2.0 run date10/05/2022; EID as of 10/04/2022).</t>
  </si>
  <si>
    <t xml:space="preserve">FY2018- 2021 data are historical and remain static. </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</si>
  <si>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</si>
  <si>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</si>
  <si>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</si>
  <si>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</si>
  <si>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non-citizen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</si>
  <si>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</si>
  <si>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</si>
  <si>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</si>
  <si>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ICE Removals include noncitizens processed for Expedited Removal (ER) or Voluntary Return (VR) that are turned over to ERO for detention.  Noncitizens processed for ER and not detained by ERO or VR after June 1st, 2013 and not detained by ERO are primarily processed by Border Patrol.  CBP should be contacted for those statistics.</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</si>
  <si>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</si>
  <si>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</si>
  <si>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</si>
  <si>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</si>
  <si>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Burma reported are since the designation date.</t>
  </si>
  <si>
    <t>Afghanistan designated TPS as of 05/20/2022. Arrests, Bookins, and Removals for Burma reported are since the designation date.</t>
  </si>
  <si>
    <t>Cameroon designated TPS as of 06/07/2022. Arrests, Bookins, and Removals reported are since the designation date.</t>
  </si>
  <si>
    <t>Ukraine designated TPS as of 04/19/2022. Arrests, Bookins, and Removals for Burma reported are since the designation date.</t>
  </si>
  <si>
    <t>United States Armed Forces Noncitizen Arrests FY2018 - FY2022</t>
  </si>
  <si>
    <t>United States Armed Forces Noncitizen Bookins FY2018 - FY2022</t>
  </si>
  <si>
    <t>United States Armed Forces Noncitizen Removals FY2018 - FY2022</t>
  </si>
  <si>
    <t>These statistics are made available to the public pursuant to the Fiscal Year 2023 Department of Homeland Security Appropriations Bill.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</si>
</sst>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_(* #,##0.0_);_(* \(#,##0.0\);_(* &quot;-&quot;_);_(@_)"/>
    <numFmt numFmtId="167" formatCode="#,##0.0"/>
    <numFmt numFmtId="169" formatCode="&quot;$&quot;#,##0.00"/>
    <numFmt numFmtId="170" formatCode="0.0%"/>
    <numFmt numFmtId="171" formatCode="0.0"/>
    <numFmt numFmtId="172" formatCode="_(* #,##0.0_);_(* \(#,##0.0\);_(* &quot;-&quot;?_);_(@_)"/>
    <numFmt numFmtId="173" formatCode="#,##0.0_);\(#,##0.0\)"/>
    <numFmt numFmtId="174" formatCode="mmm\-yyyy"/>
  </numFmts>
  <fonts count="52" x14ac:knownFonts="1">
    <font>
      <sz val="11"/>
      <color theme="1"/>
      <name val="Calibri"/>
      <family val="2"/>
      <scheme val="minor"/>
    </font>
    <font>
      <sz val="11"/>
      <color theme="1"/>
      <name val="Calibri"/>
      <family val="2"/>
      <scheme val="minor"/>
    </font>
    <font>
      <sz val="9"/>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b/>
      <sz val="14"/>
      <color theme="0"/>
      <name val="Times New Roman"/>
      <family val="1"/>
    </font>
    <font>
      <sz val="14"/>
      <color theme="0"/>
      <name val="Times New Roman"/>
      <family val="1"/>
    </font>
    <font>
      <b/>
      <sz val="9"/>
      <color theme="1"/>
      <name val="Calibri"/>
      <family val="2"/>
      <scheme val="minor"/>
    </font>
    <font>
      <sz val="10"/>
      <color indexed="72"/>
      <name val="MS Sans Serif"/>
      <family val="2"/>
    </font>
    <font>
      <b/>
      <sz val="12"/>
      <name val="Times New Roman"/>
      <family val="1"/>
    </font>
    <font>
      <sz val="12"/>
      <color indexed="8"/>
      <name val="Times New Roman"/>
      <family val="1"/>
    </font>
    <font>
      <b/>
      <sz val="11"/>
      <color rgb="FF000000"/>
      <name val="Calibri"/>
      <family val="2"/>
    </font>
    <font>
      <sz val="11"/>
      <color rgb="FF000000"/>
      <name val="Calibri"/>
      <family val="2"/>
    </font>
    <font>
      <b/>
      <sz val="11"/>
      <color theme="0"/>
      <name val="Calibri"/>
      <family val="2"/>
    </font>
    <font>
      <b/>
      <sz val="9"/>
      <color theme="0"/>
      <name val="Calibri"/>
      <family val="2"/>
      <scheme val="minor"/>
    </font>
    <font>
      <b/>
      <sz val="14"/>
      <color theme="3" tint="-0.499984740745262"/>
      <name val="Calibri"/>
      <family val="2"/>
      <scheme val="minor"/>
    </font>
    <font>
      <b/>
      <sz val="18"/>
      <color theme="0"/>
      <name val="Calibri"/>
      <family val="2"/>
      <scheme val="minor"/>
    </font>
    <font>
      <b/>
      <sz val="10"/>
      <color theme="0"/>
      <name val="Calibri"/>
      <family val="2"/>
      <scheme val="minor"/>
    </font>
    <font>
      <b/>
      <sz val="12"/>
      <color theme="4" tint="-0.499984740745262"/>
      <name val="Calibri"/>
      <family val="2"/>
      <scheme val="minor"/>
    </font>
    <font>
      <b/>
      <sz val="12"/>
      <color rgb="FFFF0000"/>
      <name val="Times New Roman"/>
      <family val="1"/>
    </font>
    <font>
      <b/>
      <sz val="10"/>
      <name val="Calibri"/>
      <family val="2"/>
    </font>
    <font>
      <sz val="8"/>
      <name val="Calibri"/>
      <family val="2"/>
    </font>
    <font>
      <b/>
      <sz val="20"/>
      <color theme="4" tint="-0.499984740745262"/>
      <name val="Calibri"/>
      <family val="2"/>
      <scheme val="minor"/>
    </font>
    <font>
      <b/>
      <sz val="24"/>
      <color theme="4" tint="-0.499984740745262"/>
      <name val="Calibri"/>
      <family val="2"/>
      <scheme val="minor"/>
    </font>
    <font>
      <i/>
      <sz val="9"/>
      <color theme="1"/>
      <name val="Calibri"/>
      <family val="2"/>
      <scheme val="minor"/>
    </font>
    <font>
      <b/>
      <sz val="12"/>
      <color theme="0"/>
      <name val="Times New Roman"/>
      <family val="1"/>
    </font>
    <font>
      <b/>
      <sz val="12"/>
      <color theme="1"/>
      <name val="Times New Roman"/>
      <family val="1"/>
    </font>
    <font>
      <b/>
      <sz val="12"/>
      <color indexed="8"/>
      <name val="Times New Roman"/>
      <family val="1"/>
    </font>
    <font>
      <sz val="12"/>
      <name val="Times New Roman"/>
      <family val="1"/>
    </font>
    <font>
      <sz val="10"/>
      <color rgb="FF000000"/>
      <name val="Arial"/>
      <family val="2"/>
    </font>
    <font>
      <b/>
      <sz val="11"/>
      <color theme="0"/>
      <name val="Calibri"/>
      <family val="2"/>
      <scheme val="minor"/>
    </font>
    <font>
      <b/>
      <sz val="11"/>
      <color theme="1"/>
      <name val="Calibri"/>
      <family val="2"/>
      <scheme val="minor"/>
    </font>
    <font>
      <sz val="8"/>
      <color theme="1"/>
      <name val="Calibri"/>
      <family val="2"/>
      <scheme val="minor"/>
    </font>
    <font>
      <b/>
      <sz val="11"/>
      <color rgb="FF000000"/>
      <name val="Calibri"/>
      <family val="2"/>
      <scheme val="minor"/>
    </font>
    <font>
      <sz val="11"/>
      <color rgb="FF000000"/>
      <name val="Calibri"/>
      <family val="2"/>
      <scheme val="minor"/>
    </font>
    <font>
      <i/>
      <sz val="11"/>
      <color theme="1"/>
      <name val="Calibri"/>
      <family val="2"/>
      <scheme val="minor"/>
    </font>
    <font>
      <sz val="11"/>
      <name val="Calibri"/>
      <family val="2"/>
      <scheme val="minor"/>
    </font>
    <font>
      <vertAlign val="superscript"/>
      <sz val="12"/>
      <color rgb="FF000000"/>
      <name val="Times New Roman"/>
      <family val="1"/>
    </font>
    <font>
      <sz val="10"/>
      <color indexed="8"/>
      <name val="Arial"/>
      <family val="2"/>
    </font>
    <font>
      <sz val="11"/>
      <color rgb="FF1F497D"/>
      <name val="Calibri"/>
      <family val="2"/>
      <scheme val="minor"/>
    </font>
    <font>
      <sz val="11"/>
      <color rgb="FF1F497D"/>
      <name val="Symbol"/>
      <family val="1"/>
      <charset val="2"/>
    </font>
    <font>
      <b/>
      <sz val="18"/>
      <color theme="3" tint="-0.499984740745262"/>
      <name val="Calibri"/>
      <family val="2"/>
      <scheme val="minor"/>
    </font>
    <font>
      <b/>
      <sz val="9"/>
      <color theme="0"/>
      <name val="Times New Roman"/>
      <family val="1"/>
    </font>
    <font>
      <b/>
      <sz val="9"/>
      <color theme="1"/>
      <name val="Times New Roman"/>
      <family val="1"/>
    </font>
    <font>
      <b/>
      <i/>
      <sz val="9"/>
      <color theme="1"/>
      <name val="Calibri"/>
      <family val="2"/>
      <scheme val="minor"/>
    </font>
    <font>
      <b/>
      <sz val="11"/>
      <color theme="1"/>
      <name val="Times New Roman"/>
      <family val="1"/>
    </font>
    <font>
      <sz val="11"/>
      <color theme="1"/>
      <name val="Times New Roman"/>
      <family val="1"/>
    </font>
    <font>
      <sz val="9"/>
      <color theme="1"/>
      <name val="Times New Roman"/>
      <family val="1"/>
    </font>
    <font>
      <sz val="11"/>
      <color theme="1"/>
      <name val="Calibri"/>
      <family val="2"/>
    </font>
    <font>
      <b/>
      <sz val="14"/>
      <color theme="1"/>
      <name val="Times New Roman"/>
      <family val="1"/>
    </font>
  </fonts>
  <fills count="1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9"/>
        <bgColor indexed="64"/>
      </patternFill>
    </fill>
    <fill>
      <patternFill patternType="solid">
        <fgColor rgb="FFD9D9D9"/>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D9E1F2"/>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1"/>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diagonal/>
    </border>
    <border>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s>
  <cellStyleXfs count="11">
    <xf numFmtId="0" fontId="0" fillId="0" borderId="0"/>
    <xf numFmtId="43" fontId="1" fillId="0" borderId="0" applyFont="0" applyFill="0" applyBorder="0" applyAlignment="0" applyProtection="0"/>
    <xf numFmtId="0" fontId="3" fillId="0" borderId="0"/>
    <xf numFmtId="0" fontId="4" fillId="0" borderId="0"/>
    <xf numFmtId="0" fontId="10" fillId="0" borderId="0"/>
    <xf numFmtId="9" fontId="1" fillId="0" borderId="0" applyFont="0" applyFill="0" applyBorder="0" applyAlignment="0" applyProtection="0"/>
    <xf numFmtId="0" fontId="31" fillId="0" borderId="0"/>
    <xf numFmtId="44" fontId="1" fillId="0" borderId="0" applyFont="0" applyFill="0" applyBorder="0" applyAlignment="0" applyProtection="0"/>
    <xf numFmtId="0" fontId="1" fillId="0" borderId="0"/>
    <xf numFmtId="43" fontId="1" fillId="0" borderId="0" applyFont="0" applyFill="0" applyBorder="0" applyAlignment="0" applyProtection="0"/>
    <xf numFmtId="0" fontId="50" fillId="0" borderId="0"/>
  </cellStyleXfs>
  <cellXfs count="429">
    <xf numFmtId="0" fontId="0" fillId="0" borderId="0" xfId="0"/>
    <xf numFmtId="0" fontId="0" fillId="0" borderId="0" xfId="0" applyBorder="1"/>
    <xf numFmtId="0" fontId="0" fillId="0" borderId="0" xfId="0" applyAlignment="1"/>
    <xf numFmtId="0" fontId="0" fillId="0" borderId="0" xfId="0" applyAlignment="1">
      <alignment horizontal="left" vertical="top"/>
    </xf>
    <xf numFmtId="0" fontId="4" fillId="0" borderId="0" xfId="4" applyFont="1" applyAlignment="1">
      <alignment horizontal="left" vertical="center"/>
    </xf>
    <xf numFmtId="0" fontId="12" fillId="0" borderId="1" xfId="0" applyFont="1" applyBorder="1" applyAlignment="1">
      <alignment vertical="center"/>
    </xf>
    <xf numFmtId="3" fontId="12" fillId="0" borderId="1" xfId="0" applyNumberFormat="1" applyFont="1" applyBorder="1" applyAlignment="1">
      <alignment horizontal="right" vertical="center"/>
    </xf>
    <xf numFmtId="3" fontId="6" fillId="0" borderId="1" xfId="0" applyNumberFormat="1" applyFont="1" applyBorder="1" applyAlignment="1">
      <alignment horizontal="right" vertical="center"/>
    </xf>
    <xf numFmtId="165" fontId="12" fillId="0" borderId="1" xfId="0" applyNumberFormat="1" applyFont="1" applyBorder="1" applyAlignment="1">
      <alignment vertical="center"/>
    </xf>
    <xf numFmtId="0" fontId="6" fillId="0" borderId="1" xfId="0" applyFont="1" applyBorder="1" applyAlignment="1">
      <alignment horizontal="left" vertical="center"/>
    </xf>
    <xf numFmtId="0" fontId="5" fillId="6" borderId="0" xfId="3" applyFont="1" applyFill="1" applyAlignment="1">
      <alignment vertical="center" wrapText="1"/>
    </xf>
    <xf numFmtId="0" fontId="5" fillId="6" borderId="0" xfId="3" applyFont="1" applyFill="1" applyBorder="1" applyAlignment="1">
      <alignment vertical="center" wrapText="1"/>
    </xf>
    <xf numFmtId="0" fontId="14" fillId="0" borderId="1" xfId="0" applyFont="1" applyBorder="1" applyAlignment="1">
      <alignment vertical="center"/>
    </xf>
    <xf numFmtId="0" fontId="13" fillId="7" borderId="1" xfId="0" applyFont="1" applyFill="1" applyBorder="1" applyAlignment="1">
      <alignment vertical="center"/>
    </xf>
    <xf numFmtId="3" fontId="14" fillId="0" borderId="1" xfId="0" applyNumberFormat="1" applyFont="1" applyBorder="1" applyAlignment="1">
      <alignment vertical="center"/>
    </xf>
    <xf numFmtId="3" fontId="13" fillId="7" borderId="1" xfId="0" applyNumberFormat="1" applyFont="1" applyFill="1" applyBorder="1" applyAlignment="1">
      <alignment vertical="center"/>
    </xf>
    <xf numFmtId="0" fontId="20" fillId="6" borderId="9" xfId="3" applyFont="1" applyFill="1" applyBorder="1" applyAlignment="1">
      <alignment vertical="center" wrapText="1"/>
    </xf>
    <xf numFmtId="0" fontId="25" fillId="6" borderId="6" xfId="3" applyFont="1" applyFill="1" applyBorder="1" applyAlignment="1">
      <alignment vertical="center" wrapText="1"/>
    </xf>
    <xf numFmtId="0" fontId="24" fillId="5" borderId="0" xfId="2" applyFont="1" applyFill="1" applyAlignment="1">
      <alignment vertical="top"/>
    </xf>
    <xf numFmtId="0" fontId="5" fillId="2" borderId="0" xfId="3" applyFont="1" applyFill="1" applyBorder="1" applyAlignment="1">
      <alignment vertical="center" wrapText="1"/>
    </xf>
    <xf numFmtId="0" fontId="8" fillId="3" borderId="10" xfId="0" applyFont="1" applyFill="1" applyBorder="1" applyAlignment="1">
      <alignment horizontal="left" vertical="top" wrapText="1"/>
    </xf>
    <xf numFmtId="0" fontId="8" fillId="3" borderId="11" xfId="0" applyFont="1" applyFill="1" applyBorder="1" applyAlignment="1">
      <alignment horizontal="left" vertical="top" wrapText="1"/>
    </xf>
    <xf numFmtId="0" fontId="6" fillId="0" borderId="12" xfId="0" applyFont="1" applyBorder="1" applyAlignment="1">
      <alignment horizontal="left" vertical="top" wrapText="1"/>
    </xf>
    <xf numFmtId="0" fontId="6" fillId="2" borderId="12" xfId="0" applyFont="1" applyFill="1" applyBorder="1" applyAlignment="1">
      <alignment horizontal="left" vertical="top" wrapText="1"/>
    </xf>
    <xf numFmtId="49" fontId="30" fillId="2" borderId="12" xfId="0" applyNumberFormat="1" applyFont="1" applyFill="1" applyBorder="1" applyAlignment="1">
      <alignment vertical="top" wrapText="1"/>
    </xf>
    <xf numFmtId="49" fontId="30" fillId="0" borderId="12" xfId="0" applyNumberFormat="1" applyFont="1" applyBorder="1" applyAlignment="1">
      <alignment vertical="top" wrapText="1"/>
    </xf>
    <xf numFmtId="0" fontId="15" fillId="8" borderId="1" xfId="0" applyFont="1" applyFill="1" applyBorder="1" applyAlignment="1">
      <alignment horizontal="left" vertical="top"/>
    </xf>
    <xf numFmtId="0" fontId="23" fillId="2" borderId="0" xfId="0" applyFont="1" applyFill="1" applyBorder="1" applyAlignment="1">
      <alignment horizontal="left" vertical="center" wrapText="1"/>
    </xf>
    <xf numFmtId="169" fontId="14" fillId="0" borderId="1" xfId="7" applyNumberFormat="1" applyFont="1" applyBorder="1" applyAlignment="1">
      <alignment vertical="center"/>
    </xf>
    <xf numFmtId="169" fontId="13" fillId="7" borderId="1" xfId="7" applyNumberFormat="1" applyFont="1" applyFill="1" applyBorder="1" applyAlignment="1">
      <alignment vertical="center"/>
    </xf>
    <xf numFmtId="0" fontId="22" fillId="2" borderId="0" xfId="0" applyFont="1" applyFill="1" applyBorder="1" applyAlignment="1">
      <alignment horizontal="left" vertical="center" wrapText="1"/>
    </xf>
    <xf numFmtId="0" fontId="24" fillId="5" borderId="0" xfId="2" applyFont="1" applyFill="1" applyAlignment="1">
      <alignment horizontal="left" vertical="top"/>
    </xf>
    <xf numFmtId="0" fontId="5" fillId="6" borderId="0" xfId="3" applyFont="1" applyFill="1" applyBorder="1" applyAlignment="1">
      <alignment horizontal="left" vertical="center" wrapText="1"/>
    </xf>
    <xf numFmtId="0" fontId="24" fillId="5" borderId="0" xfId="2" applyFont="1" applyFill="1" applyBorder="1" applyAlignment="1">
      <alignment horizontal="left" vertical="top"/>
    </xf>
    <xf numFmtId="0" fontId="21" fillId="6" borderId="0" xfId="3" applyFont="1" applyFill="1" applyBorder="1" applyAlignment="1">
      <alignment vertical="center" wrapText="1"/>
    </xf>
    <xf numFmtId="0" fontId="0" fillId="0" borderId="0" xfId="0" applyAlignment="1">
      <alignment horizontal="left"/>
    </xf>
    <xf numFmtId="0" fontId="27" fillId="3" borderId="16" xfId="0" applyFont="1" applyFill="1" applyBorder="1" applyAlignment="1">
      <alignment horizontal="center" vertical="center" wrapText="1"/>
    </xf>
    <xf numFmtId="0" fontId="28" fillId="4" borderId="16" xfId="0" applyFont="1" applyFill="1" applyBorder="1"/>
    <xf numFmtId="41" fontId="29" fillId="4" borderId="16" xfId="0" applyNumberFormat="1" applyFont="1" applyFill="1" applyBorder="1" applyAlignment="1">
      <alignment horizontal="center"/>
    </xf>
    <xf numFmtId="166" fontId="29" fillId="4" borderId="16" xfId="0" applyNumberFormat="1" applyFont="1" applyFill="1" applyBorder="1" applyAlignment="1">
      <alignment horizontal="center"/>
    </xf>
    <xf numFmtId="0" fontId="6" fillId="0" borderId="16" xfId="0" applyFont="1" applyBorder="1" applyAlignment="1">
      <alignment horizontal="left" indent="1"/>
    </xf>
    <xf numFmtId="3" fontId="6" fillId="0" borderId="16" xfId="0" applyNumberFormat="1" applyFont="1" applyBorder="1"/>
    <xf numFmtId="167" fontId="6" fillId="0" borderId="16" xfId="0" applyNumberFormat="1" applyFont="1" applyBorder="1"/>
    <xf numFmtId="0" fontId="28" fillId="10" borderId="16" xfId="0" applyFont="1" applyFill="1" applyBorder="1" applyAlignment="1">
      <alignment vertical="center"/>
    </xf>
    <xf numFmtId="3" fontId="28" fillId="10" borderId="16" xfId="0" applyNumberFormat="1" applyFont="1" applyFill="1" applyBorder="1" applyAlignment="1">
      <alignment vertical="center"/>
    </xf>
    <xf numFmtId="167" fontId="28" fillId="10" borderId="16" xfId="0" applyNumberFormat="1" applyFont="1" applyFill="1" applyBorder="1" applyAlignment="1">
      <alignment vertical="center"/>
    </xf>
    <xf numFmtId="3" fontId="0" fillId="0" borderId="1" xfId="0" applyNumberFormat="1" applyFont="1" applyBorder="1" applyAlignment="1">
      <alignment horizontal="right"/>
    </xf>
    <xf numFmtId="170" fontId="0" fillId="0" borderId="1" xfId="5" applyNumberFormat="1" applyFont="1" applyBorder="1" applyAlignment="1">
      <alignment horizontal="right"/>
    </xf>
    <xf numFmtId="3" fontId="33" fillId="9" borderId="1" xfId="0" applyNumberFormat="1" applyFont="1" applyFill="1" applyBorder="1" applyAlignment="1">
      <alignment horizontal="right"/>
    </xf>
    <xf numFmtId="170" fontId="0" fillId="9" borderId="1" xfId="5" applyNumberFormat="1" applyFont="1" applyFill="1" applyBorder="1" applyAlignment="1">
      <alignment horizontal="right"/>
    </xf>
    <xf numFmtId="0" fontId="0" fillId="0" borderId="1" xfId="0" applyBorder="1" applyAlignment="1">
      <alignment horizontal="right"/>
    </xf>
    <xf numFmtId="3" fontId="0" fillId="0" borderId="1" xfId="0" applyNumberFormat="1" applyBorder="1" applyAlignment="1">
      <alignment horizontal="right"/>
    </xf>
    <xf numFmtId="0" fontId="22" fillId="2" borderId="0" xfId="0" applyFont="1" applyFill="1" applyBorder="1" applyAlignment="1">
      <alignment horizontal="left" vertical="center" wrapText="1"/>
    </xf>
    <xf numFmtId="0" fontId="33" fillId="0" borderId="1" xfId="0" applyFont="1" applyFill="1" applyBorder="1" applyAlignment="1">
      <alignment horizontal="left"/>
    </xf>
    <xf numFmtId="0" fontId="32" fillId="8" borderId="1" xfId="0" applyFont="1" applyFill="1" applyBorder="1" applyAlignment="1">
      <alignment horizontal="left"/>
    </xf>
    <xf numFmtId="10" fontId="0" fillId="0" borderId="1" xfId="0" applyNumberFormat="1" applyFont="1" applyBorder="1" applyAlignment="1">
      <alignment horizontal="right"/>
    </xf>
    <xf numFmtId="0" fontId="34" fillId="0" borderId="1" xfId="0" applyFont="1" applyBorder="1" applyAlignment="1">
      <alignment horizontal="left"/>
    </xf>
    <xf numFmtId="0" fontId="0" fillId="0" borderId="1" xfId="0" applyBorder="1" applyAlignment="1">
      <alignment horizontal="left"/>
    </xf>
    <xf numFmtId="0" fontId="33" fillId="0" borderId="1" xfId="0" applyFont="1" applyFill="1" applyBorder="1" applyAlignment="1">
      <alignment horizontal="right"/>
    </xf>
    <xf numFmtId="0" fontId="32" fillId="8" borderId="1" xfId="0" applyFont="1" applyFill="1" applyBorder="1" applyAlignment="1">
      <alignment horizontal="right"/>
    </xf>
    <xf numFmtId="0" fontId="34" fillId="0" borderId="1" xfId="0" applyFont="1" applyBorder="1" applyAlignment="1">
      <alignment horizontal="right"/>
    </xf>
    <xf numFmtId="0" fontId="0" fillId="0" borderId="1" xfId="0" applyFont="1" applyBorder="1" applyAlignment="1">
      <alignment horizontal="left"/>
    </xf>
    <xf numFmtId="0" fontId="33" fillId="9" borderId="1" xfId="0" applyFont="1" applyFill="1" applyBorder="1" applyAlignment="1">
      <alignment horizontal="left"/>
    </xf>
    <xf numFmtId="0" fontId="5" fillId="2" borderId="0" xfId="3" applyFont="1" applyFill="1" applyAlignment="1">
      <alignment vertical="center" wrapText="1"/>
    </xf>
    <xf numFmtId="0" fontId="0" fillId="9" borderId="1" xfId="0" applyFont="1" applyFill="1" applyBorder="1" applyAlignment="1">
      <alignment horizontal="left"/>
    </xf>
    <xf numFmtId="3" fontId="0" fillId="9" borderId="1" xfId="0" applyNumberFormat="1" applyFont="1" applyFill="1" applyBorder="1" applyAlignment="1">
      <alignment horizontal="right"/>
    </xf>
    <xf numFmtId="170" fontId="1" fillId="9" borderId="1" xfId="5" applyNumberFormat="1" applyFont="1" applyFill="1" applyBorder="1" applyAlignment="1">
      <alignment horizontal="right"/>
    </xf>
    <xf numFmtId="0" fontId="16" fillId="3" borderId="1" xfId="0" applyFont="1" applyFill="1" applyBorder="1" applyAlignment="1">
      <alignment horizontal="center" vertical="center" wrapText="1"/>
    </xf>
    <xf numFmtId="164" fontId="2" fillId="2" borderId="1" xfId="1" applyNumberFormat="1" applyFont="1" applyFill="1" applyBorder="1" applyAlignment="1">
      <alignment horizontal="left"/>
    </xf>
    <xf numFmtId="0" fontId="0" fillId="0" borderId="0" xfId="0" applyBorder="1" applyAlignment="1"/>
    <xf numFmtId="0" fontId="0" fillId="0" borderId="0" xfId="0" applyNumberFormat="1" applyBorder="1" applyAlignment="1"/>
    <xf numFmtId="2" fontId="0" fillId="0" borderId="0" xfId="0" applyNumberFormat="1" applyBorder="1" applyAlignment="1"/>
    <xf numFmtId="3" fontId="0" fillId="0" borderId="1" xfId="0" applyNumberFormat="1" applyBorder="1"/>
    <xf numFmtId="3" fontId="0" fillId="0" borderId="1" xfId="0" applyNumberFormat="1" applyBorder="1" applyAlignment="1"/>
    <xf numFmtId="169" fontId="0" fillId="0" borderId="1" xfId="0" applyNumberFormat="1" applyBorder="1"/>
    <xf numFmtId="0" fontId="35" fillId="11" borderId="16" xfId="0" applyFont="1" applyFill="1" applyBorder="1" applyAlignment="1">
      <alignment vertical="center"/>
    </xf>
    <xf numFmtId="0" fontId="35" fillId="11" borderId="17" xfId="0" applyFont="1" applyFill="1" applyBorder="1" applyAlignment="1">
      <alignment vertical="center"/>
    </xf>
    <xf numFmtId="0" fontId="35" fillId="11" borderId="18" xfId="0" applyFont="1" applyFill="1" applyBorder="1" applyAlignment="1">
      <alignment vertical="center"/>
    </xf>
    <xf numFmtId="0" fontId="35" fillId="11" borderId="19" xfId="0" applyFont="1" applyFill="1" applyBorder="1" applyAlignment="1">
      <alignment vertical="center"/>
    </xf>
    <xf numFmtId="0" fontId="35" fillId="11" borderId="19" xfId="0" applyFont="1" applyFill="1" applyBorder="1" applyAlignment="1">
      <alignment vertical="center" wrapText="1"/>
    </xf>
    <xf numFmtId="0" fontId="36" fillId="0" borderId="20" xfId="0" applyFont="1" applyBorder="1" applyAlignment="1">
      <alignment vertical="center"/>
    </xf>
    <xf numFmtId="0" fontId="36" fillId="0" borderId="21" xfId="0" applyFont="1" applyBorder="1" applyAlignment="1">
      <alignment horizontal="right" vertical="center"/>
    </xf>
    <xf numFmtId="0" fontId="36" fillId="0" borderId="20" xfId="0" applyFont="1" applyBorder="1" applyAlignment="1">
      <alignment vertical="center" wrapText="1"/>
    </xf>
    <xf numFmtId="0" fontId="35" fillId="11" borderId="20" xfId="0" applyFont="1" applyFill="1" applyBorder="1" applyAlignment="1">
      <alignment vertical="center"/>
    </xf>
    <xf numFmtId="0" fontId="35" fillId="11" borderId="21" xfId="0" applyFont="1" applyFill="1" applyBorder="1" applyAlignment="1">
      <alignment horizontal="right" vertical="center"/>
    </xf>
    <xf numFmtId="0" fontId="0" fillId="0" borderId="0" xfId="0" applyAlignment="1">
      <alignment vertical="center"/>
    </xf>
    <xf numFmtId="0" fontId="37" fillId="0" borderId="0" xfId="0" applyFont="1" applyAlignment="1">
      <alignment horizontal="left" vertical="center"/>
    </xf>
    <xf numFmtId="0" fontId="35" fillId="0" borderId="7" xfId="0" applyFont="1" applyBorder="1" applyAlignment="1">
      <alignment horizontal="left" vertical="center"/>
    </xf>
    <xf numFmtId="0" fontId="35" fillId="0" borderId="0" xfId="0" applyFont="1" applyAlignment="1">
      <alignment horizontal="left" vertical="center"/>
    </xf>
    <xf numFmtId="2" fontId="36" fillId="0" borderId="21" xfId="0" applyNumberFormat="1" applyFont="1" applyBorder="1" applyAlignment="1">
      <alignment horizontal="right" vertical="center"/>
    </xf>
    <xf numFmtId="0" fontId="0" fillId="0" borderId="7" xfId="0" applyBorder="1" applyAlignment="1">
      <alignment horizontal="left" vertical="top" wrapText="1"/>
    </xf>
    <xf numFmtId="0" fontId="0" fillId="0" borderId="0" xfId="0" applyAlignment="1">
      <alignment horizontal="left" vertical="top" wrapText="1"/>
    </xf>
    <xf numFmtId="0" fontId="38" fillId="0" borderId="0" xfId="0" applyFont="1" applyAlignment="1">
      <alignment horizontal="left" vertical="top" wrapText="1"/>
    </xf>
    <xf numFmtId="0" fontId="0" fillId="0" borderId="7" xfId="0" applyBorder="1"/>
    <xf numFmtId="2" fontId="35" fillId="11" borderId="21" xfId="0" applyNumberFormat="1" applyFont="1" applyFill="1" applyBorder="1" applyAlignment="1">
      <alignment horizontal="right" vertical="center"/>
    </xf>
    <xf numFmtId="0" fontId="5" fillId="0" borderId="0" xfId="3" applyFont="1" applyAlignment="1">
      <alignment vertical="center" wrapText="1"/>
    </xf>
    <xf numFmtId="1" fontId="5" fillId="6" borderId="0" xfId="3" applyNumberFormat="1" applyFont="1" applyFill="1" applyAlignment="1">
      <alignment vertical="center" wrapText="1"/>
    </xf>
    <xf numFmtId="14" fontId="5" fillId="6" borderId="0" xfId="3" applyNumberFormat="1" applyFont="1" applyFill="1" applyAlignment="1">
      <alignment vertical="center" wrapText="1"/>
    </xf>
    <xf numFmtId="0" fontId="18" fillId="3" borderId="1" xfId="4" applyFont="1" applyFill="1" applyBorder="1" applyAlignment="1">
      <alignment vertical="top" wrapText="1"/>
    </xf>
    <xf numFmtId="0" fontId="7" fillId="3" borderId="1" xfId="4" applyFont="1" applyFill="1" applyBorder="1" applyAlignment="1">
      <alignment vertical="top" wrapText="1"/>
    </xf>
    <xf numFmtId="3" fontId="7" fillId="3" borderId="1" xfId="1" applyNumberFormat="1" applyFont="1" applyFill="1" applyBorder="1" applyAlignment="1">
      <alignment vertical="top" wrapText="1"/>
    </xf>
    <xf numFmtId="0" fontId="19" fillId="3" borderId="1" xfId="4" applyFont="1" applyFill="1" applyBorder="1" applyAlignment="1">
      <alignment horizontal="left" vertical="top" wrapText="1"/>
    </xf>
    <xf numFmtId="0" fontId="7" fillId="3" borderId="1" xfId="4" applyFont="1" applyFill="1" applyBorder="1" applyAlignment="1">
      <alignment horizontal="left" vertical="top" wrapText="1"/>
    </xf>
    <xf numFmtId="3" fontId="7" fillId="3" borderId="1" xfId="1" applyNumberFormat="1" applyFont="1" applyFill="1" applyBorder="1" applyAlignment="1">
      <alignment horizontal="left" vertical="top" wrapText="1"/>
    </xf>
    <xf numFmtId="1" fontId="7" fillId="3" borderId="1" xfId="1" applyNumberFormat="1" applyFont="1" applyFill="1" applyBorder="1" applyAlignment="1">
      <alignment horizontal="left" vertical="top" wrapText="1"/>
    </xf>
    <xf numFmtId="14" fontId="7" fillId="3" borderId="1" xfId="1" applyNumberFormat="1" applyFont="1" applyFill="1" applyBorder="1" applyAlignment="1">
      <alignment horizontal="left" vertical="top" wrapText="1"/>
    </xf>
    <xf numFmtId="1" fontId="11" fillId="4" borderId="6" xfId="0" applyNumberFormat="1" applyFont="1" applyFill="1" applyBorder="1" applyAlignment="1">
      <alignment horizontal="left" wrapText="1"/>
    </xf>
    <xf numFmtId="1" fontId="11" fillId="4" borderId="6" xfId="4" applyNumberFormat="1" applyFont="1" applyFill="1" applyBorder="1" applyAlignment="1">
      <alignment horizontal="left" wrapText="1"/>
    </xf>
    <xf numFmtId="3" fontId="12" fillId="0" borderId="1" xfId="1" applyNumberFormat="1" applyFont="1" applyFill="1" applyBorder="1" applyAlignment="1">
      <alignment vertical="center"/>
    </xf>
    <xf numFmtId="14" fontId="6" fillId="0" borderId="1" xfId="0" applyNumberFormat="1" applyFont="1" applyBorder="1" applyAlignment="1">
      <alignment horizontal="right" vertical="center"/>
    </xf>
    <xf numFmtId="14" fontId="12" fillId="0" borderId="1" xfId="0" applyNumberFormat="1" applyFont="1" applyBorder="1" applyAlignment="1">
      <alignment vertical="center"/>
    </xf>
    <xf numFmtId="14" fontId="6" fillId="0" borderId="1" xfId="0" applyNumberFormat="1" applyFont="1" applyBorder="1" applyAlignment="1">
      <alignment horizontal="left" vertical="center"/>
    </xf>
    <xf numFmtId="0" fontId="12" fillId="0" borderId="1" xfId="4" applyFont="1" applyBorder="1" applyAlignment="1">
      <alignment vertical="center"/>
    </xf>
    <xf numFmtId="165" fontId="12" fillId="0" borderId="1" xfId="4" applyNumberFormat="1" applyFont="1" applyBorder="1" applyAlignment="1">
      <alignment vertical="center"/>
    </xf>
    <xf numFmtId="3" fontId="12" fillId="0" borderId="1" xfId="1" applyNumberFormat="1" applyFont="1" applyFill="1" applyBorder="1" applyAlignment="1">
      <alignment horizontal="right" vertical="center"/>
    </xf>
    <xf numFmtId="3" fontId="6" fillId="0" borderId="1" xfId="1" applyNumberFormat="1" applyFont="1" applyFill="1" applyBorder="1" applyAlignment="1">
      <alignment horizontal="right" vertical="center"/>
    </xf>
    <xf numFmtId="0" fontId="6" fillId="0" borderId="1" xfId="4" applyFont="1" applyBorder="1" applyAlignment="1">
      <alignment horizontal="left" vertical="center"/>
    </xf>
    <xf numFmtId="14" fontId="6" fillId="0" borderId="1" xfId="4" applyNumberFormat="1" applyFont="1" applyBorder="1" applyAlignment="1">
      <alignment horizontal="right" vertical="center"/>
    </xf>
    <xf numFmtId="14" fontId="12" fillId="0" borderId="1" xfId="4" applyNumberFormat="1" applyFont="1" applyBorder="1" applyAlignment="1">
      <alignment vertical="center"/>
    </xf>
    <xf numFmtId="14" fontId="6" fillId="0" borderId="1" xfId="4" applyNumberFormat="1" applyFont="1" applyBorder="1" applyAlignment="1">
      <alignment horizontal="left" vertical="center"/>
    </xf>
    <xf numFmtId="0" fontId="12" fillId="0" borderId="0" xfId="0" applyFont="1" applyAlignment="1">
      <alignment vertical="center"/>
    </xf>
    <xf numFmtId="165" fontId="12" fillId="0" borderId="0" xfId="0" applyNumberFormat="1" applyFont="1" applyAlignment="1">
      <alignment vertical="center"/>
    </xf>
    <xf numFmtId="3" fontId="12" fillId="0" borderId="0" xfId="1" applyNumberFormat="1" applyFont="1" applyFill="1" applyBorder="1" applyAlignment="1">
      <alignment vertical="center"/>
    </xf>
    <xf numFmtId="3" fontId="12" fillId="0" borderId="0" xfId="0" applyNumberFormat="1" applyFont="1" applyAlignment="1">
      <alignment horizontal="right" vertical="center"/>
    </xf>
    <xf numFmtId="3" fontId="6" fillId="0" borderId="0" xfId="0" applyNumberFormat="1" applyFont="1" applyAlignment="1">
      <alignment horizontal="right" vertical="center"/>
    </xf>
    <xf numFmtId="0" fontId="6" fillId="0" borderId="0" xfId="0" applyFont="1" applyAlignment="1">
      <alignment horizontal="left" vertical="center"/>
    </xf>
    <xf numFmtId="14" fontId="6" fillId="0" borderId="0" xfId="0" applyNumberFormat="1" applyFont="1" applyAlignment="1">
      <alignment horizontal="right" vertical="center"/>
    </xf>
    <xf numFmtId="14" fontId="12" fillId="0" borderId="0" xfId="0" applyNumberFormat="1" applyFont="1" applyAlignment="1">
      <alignment vertical="center"/>
    </xf>
    <xf numFmtId="14" fontId="6" fillId="0" borderId="0" xfId="0" applyNumberFormat="1" applyFont="1" applyAlignment="1">
      <alignment horizontal="left" vertical="center"/>
    </xf>
    <xf numFmtId="0" fontId="30" fillId="0" borderId="0" xfId="0" applyFont="1" applyAlignment="1">
      <alignment horizontal="left"/>
    </xf>
    <xf numFmtId="0" fontId="30" fillId="0" borderId="0" xfId="0" applyFont="1"/>
    <xf numFmtId="165" fontId="30" fillId="0" borderId="0" xfId="0" applyNumberFormat="1" applyFont="1" applyAlignment="1">
      <alignment horizontal="center"/>
    </xf>
    <xf numFmtId="49" fontId="30" fillId="0" borderId="0" xfId="0" applyNumberFormat="1" applyFont="1" applyAlignment="1">
      <alignment horizontal="right"/>
    </xf>
    <xf numFmtId="0" fontId="30" fillId="0" borderId="0" xfId="0" applyFont="1" applyAlignment="1">
      <alignment horizontal="center" vertical="center"/>
    </xf>
    <xf numFmtId="0" fontId="6" fillId="0" borderId="0" xfId="0" applyFont="1"/>
    <xf numFmtId="0" fontId="40" fillId="0" borderId="0" xfId="0" applyFont="1" applyAlignment="1">
      <alignment vertical="center"/>
    </xf>
    <xf numFmtId="0" fontId="2" fillId="0" borderId="1" xfId="0" applyFont="1" applyBorder="1"/>
    <xf numFmtId="164" fontId="2" fillId="0" borderId="4" xfId="1" applyNumberFormat="1" applyFont="1" applyFill="1" applyBorder="1"/>
    <xf numFmtId="164" fontId="2" fillId="5" borderId="1" xfId="1" applyNumberFormat="1" applyFont="1" applyFill="1" applyBorder="1" applyAlignment="1">
      <alignment horizontal="left"/>
    </xf>
    <xf numFmtId="164" fontId="2" fillId="5" borderId="3" xfId="1" applyNumberFormat="1" applyFont="1" applyFill="1" applyBorder="1" applyAlignment="1">
      <alignment horizontal="left"/>
    </xf>
    <xf numFmtId="164" fontId="26" fillId="2" borderId="1" xfId="1" applyNumberFormat="1" applyFont="1" applyFill="1" applyBorder="1" applyAlignment="1">
      <alignment horizontal="right"/>
    </xf>
    <xf numFmtId="0" fontId="37" fillId="0" borderId="22" xfId="0" applyFont="1" applyBorder="1" applyAlignment="1">
      <alignment horizontal="left"/>
    </xf>
    <xf numFmtId="0" fontId="0" fillId="0" borderId="22" xfId="0" applyBorder="1"/>
    <xf numFmtId="0" fontId="9" fillId="2" borderId="0" xfId="0" applyFont="1" applyFill="1" applyAlignment="1">
      <alignment horizontal="left" vertical="center" wrapText="1"/>
    </xf>
    <xf numFmtId="0" fontId="6" fillId="0" borderId="5" xfId="0" applyFont="1" applyBorder="1" applyAlignment="1">
      <alignment horizontal="left" vertical="top" wrapText="1"/>
    </xf>
    <xf numFmtId="0" fontId="2" fillId="2" borderId="0" xfId="0" applyFont="1" applyFill="1"/>
    <xf numFmtId="0" fontId="20" fillId="6" borderId="0" xfId="3" applyFont="1" applyFill="1" applyAlignment="1">
      <alignment vertical="center" wrapText="1"/>
    </xf>
    <xf numFmtId="0" fontId="2" fillId="0" borderId="0" xfId="0" applyFont="1"/>
    <xf numFmtId="0" fontId="5" fillId="5" borderId="0" xfId="3" applyFont="1" applyFill="1" applyAlignment="1">
      <alignment vertical="center" wrapText="1"/>
    </xf>
    <xf numFmtId="0" fontId="44" fillId="2" borderId="0" xfId="0" applyFont="1" applyFill="1"/>
    <xf numFmtId="0" fontId="45" fillId="2" borderId="0" xfId="0" applyFont="1" applyFill="1" applyAlignment="1">
      <alignment horizontal="center"/>
    </xf>
    <xf numFmtId="0" fontId="45" fillId="0" borderId="0" xfId="0" applyFont="1" applyAlignment="1">
      <alignment horizont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9" fillId="2" borderId="24" xfId="0" applyFont="1" applyFill="1" applyBorder="1" applyAlignment="1">
      <alignment horizontal="center" vertical="center"/>
    </xf>
    <xf numFmtId="0" fontId="9" fillId="2" borderId="0" xfId="0" applyFont="1" applyFill="1" applyAlignment="1">
      <alignment horizontal="center"/>
    </xf>
    <xf numFmtId="0" fontId="2" fillId="2" borderId="0" xfId="0" applyFont="1" applyFill="1" applyAlignment="1">
      <alignment horizontal="left"/>
    </xf>
    <xf numFmtId="0" fontId="9" fillId="2" borderId="0" xfId="0" applyFont="1" applyFill="1" applyAlignment="1">
      <alignment horizontal="left" vertical="center"/>
    </xf>
    <xf numFmtId="0" fontId="9" fillId="2" borderId="24" xfId="0" applyFont="1" applyFill="1" applyBorder="1" applyAlignment="1">
      <alignment horizontal="left" vertical="center"/>
    </xf>
    <xf numFmtId="0" fontId="9" fillId="2" borderId="0" xfId="0" applyFont="1" applyFill="1" applyAlignment="1">
      <alignment horizontal="left"/>
    </xf>
    <xf numFmtId="3" fontId="2" fillId="2" borderId="0" xfId="0" applyNumberFormat="1" applyFont="1" applyFill="1" applyAlignment="1">
      <alignment horizontal="left"/>
    </xf>
    <xf numFmtId="0" fontId="16" fillId="3" borderId="8" xfId="0" applyFont="1" applyFill="1" applyBorder="1" applyAlignment="1">
      <alignment horizontal="center" vertical="center" wrapText="1"/>
    </xf>
    <xf numFmtId="171" fontId="16" fillId="3" borderId="1" xfId="0" applyNumberFormat="1" applyFont="1" applyFill="1" applyBorder="1" applyAlignment="1">
      <alignment horizontal="center" vertical="center" wrapText="1"/>
    </xf>
    <xf numFmtId="0" fontId="16" fillId="3" borderId="1" xfId="0" applyFont="1" applyFill="1" applyBorder="1" applyAlignment="1">
      <alignment vertical="center" wrapText="1"/>
    </xf>
    <xf numFmtId="0" fontId="9" fillId="2" borderId="24" xfId="0" applyFont="1" applyFill="1" applyBorder="1" applyAlignment="1">
      <alignment horizontal="center"/>
    </xf>
    <xf numFmtId="3" fontId="2" fillId="2" borderId="0" xfId="0" applyNumberFormat="1" applyFont="1" applyFill="1"/>
    <xf numFmtId="0" fontId="2" fillId="5" borderId="27" xfId="0" applyFont="1" applyFill="1" applyBorder="1"/>
    <xf numFmtId="164" fontId="2" fillId="5" borderId="4" xfId="1" applyNumberFormat="1" applyFont="1" applyFill="1" applyBorder="1"/>
    <xf numFmtId="171" fontId="2" fillId="0" borderId="1" xfId="1" applyNumberFormat="1" applyFont="1" applyFill="1" applyBorder="1"/>
    <xf numFmtId="41" fontId="2" fillId="5" borderId="28" xfId="0" applyNumberFormat="1" applyFont="1" applyFill="1" applyBorder="1"/>
    <xf numFmtId="3" fontId="9" fillId="2" borderId="0" xfId="0" applyNumberFormat="1" applyFont="1" applyFill="1" applyAlignment="1">
      <alignment horizontal="center"/>
    </xf>
    <xf numFmtId="3" fontId="9" fillId="2" borderId="24" xfId="0" applyNumberFormat="1" applyFont="1" applyFill="1" applyBorder="1" applyAlignment="1">
      <alignment horizontal="center"/>
    </xf>
    <xf numFmtId="164" fontId="2" fillId="2" borderId="2" xfId="1" applyNumberFormat="1" applyFont="1" applyFill="1" applyBorder="1" applyAlignment="1">
      <alignment horizontal="left"/>
    </xf>
    <xf numFmtId="41" fontId="2" fillId="0" borderId="1" xfId="1" applyNumberFormat="1" applyFont="1" applyFill="1" applyBorder="1" applyAlignment="1">
      <alignment horizontal="right"/>
    </xf>
    <xf numFmtId="41" fontId="2" fillId="2" borderId="1" xfId="1" applyNumberFormat="1" applyFont="1" applyFill="1" applyBorder="1" applyAlignment="1">
      <alignment horizontal="right"/>
    </xf>
    <xf numFmtId="171" fontId="2" fillId="2" borderId="0" xfId="1" applyNumberFormat="1" applyFont="1" applyFill="1" applyBorder="1"/>
    <xf numFmtId="164" fontId="2" fillId="0" borderId="30" xfId="1" applyNumberFormat="1" applyFont="1" applyFill="1" applyBorder="1" applyAlignment="1"/>
    <xf numFmtId="164" fontId="2" fillId="2" borderId="5" xfId="1" applyNumberFormat="1" applyFont="1" applyFill="1" applyBorder="1" applyAlignment="1">
      <alignment horizontal="left"/>
    </xf>
    <xf numFmtId="164" fontId="2" fillId="0" borderId="26" xfId="1" applyNumberFormat="1" applyFont="1" applyFill="1" applyBorder="1" applyAlignment="1"/>
    <xf numFmtId="164" fontId="2" fillId="2" borderId="7" xfId="1" applyNumberFormat="1" applyFont="1" applyFill="1" applyBorder="1" applyAlignment="1">
      <alignment horizontal="left"/>
    </xf>
    <xf numFmtId="164" fontId="2" fillId="2" borderId="0" xfId="1" applyNumberFormat="1" applyFont="1" applyFill="1" applyBorder="1" applyAlignment="1">
      <alignment horizontal="left"/>
    </xf>
    <xf numFmtId="0" fontId="2" fillId="2" borderId="0" xfId="0" applyFont="1" applyFill="1" applyAlignment="1">
      <alignment wrapText="1"/>
    </xf>
    <xf numFmtId="0" fontId="9" fillId="2" borderId="0" xfId="0" applyFont="1" applyFill="1" applyAlignment="1">
      <alignment horizontal="center" wrapText="1"/>
    </xf>
    <xf numFmtId="0" fontId="9" fillId="0" borderId="0" xfId="0" applyFont="1" applyAlignment="1">
      <alignment horizontal="center"/>
    </xf>
    <xf numFmtId="16" fontId="9" fillId="0" borderId="0" xfId="0" applyNumberFormat="1" applyFont="1" applyAlignment="1">
      <alignment horizontal="center"/>
    </xf>
    <xf numFmtId="16" fontId="9" fillId="2" borderId="0" xfId="0" applyNumberFormat="1" applyFont="1" applyFill="1" applyAlignment="1">
      <alignment horizontal="center" wrapText="1"/>
    </xf>
    <xf numFmtId="16" fontId="2" fillId="2" borderId="0" xfId="0" applyNumberFormat="1" applyFont="1" applyFill="1" applyAlignment="1">
      <alignment wrapText="1"/>
    </xf>
    <xf numFmtId="16" fontId="2" fillId="0" borderId="0" xfId="0" applyNumberFormat="1" applyFont="1"/>
    <xf numFmtId="3" fontId="2" fillId="0" borderId="0" xfId="0" applyNumberFormat="1" applyFont="1"/>
    <xf numFmtId="9" fontId="2" fillId="5" borderId="4" xfId="5" applyFont="1" applyFill="1" applyBorder="1"/>
    <xf numFmtId="0" fontId="2" fillId="5" borderId="4" xfId="0" applyFont="1" applyFill="1" applyBorder="1"/>
    <xf numFmtId="41" fontId="2" fillId="5" borderId="4" xfId="1" applyNumberFormat="1" applyFont="1" applyFill="1" applyBorder="1"/>
    <xf numFmtId="41" fontId="2" fillId="5" borderId="4" xfId="0" applyNumberFormat="1" applyFont="1" applyFill="1" applyBorder="1"/>
    <xf numFmtId="41" fontId="2" fillId="5" borderId="34" xfId="1" applyNumberFormat="1" applyFont="1" applyFill="1" applyBorder="1"/>
    <xf numFmtId="164" fontId="2" fillId="0" borderId="3" xfId="1" applyNumberFormat="1" applyFont="1" applyFill="1" applyBorder="1" applyAlignment="1">
      <alignment horizontal="left"/>
    </xf>
    <xf numFmtId="9" fontId="2" fillId="2" borderId="3" xfId="5" applyFont="1" applyFill="1" applyBorder="1" applyAlignment="1">
      <alignment horizontal="right"/>
    </xf>
    <xf numFmtId="164" fontId="2" fillId="2" borderId="3" xfId="1" applyNumberFormat="1" applyFont="1" applyFill="1" applyBorder="1" applyAlignment="1">
      <alignment horizontal="left"/>
    </xf>
    <xf numFmtId="41" fontId="2" fillId="0" borderId="3" xfId="1" applyNumberFormat="1" applyFont="1" applyFill="1" applyBorder="1" applyAlignment="1">
      <alignment horizontal="left"/>
    </xf>
    <xf numFmtId="41" fontId="2" fillId="2" borderId="35" xfId="1" applyNumberFormat="1" applyFont="1" applyFill="1" applyBorder="1" applyAlignment="1">
      <alignment horizontal="left"/>
    </xf>
    <xf numFmtId="3" fontId="9" fillId="0" borderId="0" xfId="0" applyNumberFormat="1" applyFont="1" applyAlignment="1">
      <alignment horizontal="center"/>
    </xf>
    <xf numFmtId="164" fontId="2" fillId="0" borderId="1" xfId="1" applyNumberFormat="1" applyFont="1" applyFill="1" applyBorder="1" applyAlignment="1">
      <alignment horizontal="left"/>
    </xf>
    <xf numFmtId="9" fontId="2" fillId="2" borderId="1" xfId="5" applyFont="1" applyFill="1" applyBorder="1" applyAlignment="1">
      <alignment horizontal="right"/>
    </xf>
    <xf numFmtId="41" fontId="2" fillId="0" borderId="1" xfId="1" applyNumberFormat="1" applyFont="1" applyFill="1" applyBorder="1" applyAlignment="1">
      <alignment horizontal="left"/>
    </xf>
    <xf numFmtId="41" fontId="2" fillId="2" borderId="12" xfId="1" applyNumberFormat="1" applyFont="1" applyFill="1" applyBorder="1" applyAlignment="1">
      <alignment horizontal="left"/>
    </xf>
    <xf numFmtId="0" fontId="2" fillId="0" borderId="7" xfId="0" applyFont="1" applyBorder="1"/>
    <xf numFmtId="0" fontId="9" fillId="2" borderId="0" xfId="0" applyFont="1" applyFill="1" applyAlignment="1">
      <alignment vertical="center" wrapText="1"/>
    </xf>
    <xf numFmtId="0" fontId="9" fillId="2" borderId="24" xfId="0" applyFont="1" applyFill="1" applyBorder="1"/>
    <xf numFmtId="0" fontId="9" fillId="2" borderId="0" xfId="0" applyFont="1" applyFill="1"/>
    <xf numFmtId="16" fontId="9" fillId="2" borderId="0" xfId="0" applyNumberFormat="1" applyFont="1" applyFill="1"/>
    <xf numFmtId="16" fontId="2" fillId="2" borderId="0" xfId="0" applyNumberFormat="1" applyFont="1" applyFill="1"/>
    <xf numFmtId="0" fontId="16" fillId="3" borderId="38" xfId="0" applyFont="1" applyFill="1" applyBorder="1" applyAlignment="1">
      <alignment vertical="center" wrapText="1"/>
    </xf>
    <xf numFmtId="0" fontId="9" fillId="0" borderId="24" xfId="0" applyFont="1" applyBorder="1" applyAlignment="1">
      <alignment horizontal="center"/>
    </xf>
    <xf numFmtId="164" fontId="2" fillId="4" borderId="28" xfId="1" applyNumberFormat="1" applyFont="1" applyFill="1" applyBorder="1" applyAlignment="1"/>
    <xf numFmtId="164" fontId="2" fillId="0" borderId="28" xfId="1" applyNumberFormat="1" applyFont="1" applyFill="1" applyBorder="1" applyAlignment="1"/>
    <xf numFmtId="3" fontId="9" fillId="0" borderId="24" xfId="0" applyNumberFormat="1" applyFont="1" applyBorder="1" applyAlignment="1">
      <alignment horizontal="center"/>
    </xf>
    <xf numFmtId="0" fontId="9" fillId="2" borderId="40" xfId="0" applyFont="1" applyFill="1" applyBorder="1" applyAlignment="1">
      <alignment horizontal="center"/>
    </xf>
    <xf numFmtId="16" fontId="9" fillId="2" borderId="0" xfId="0" applyNumberFormat="1" applyFont="1" applyFill="1" applyAlignment="1">
      <alignment horizontal="center"/>
    </xf>
    <xf numFmtId="0" fontId="2" fillId="2" borderId="24" xfId="0" applyFont="1" applyFill="1" applyBorder="1"/>
    <xf numFmtId="0" fontId="16" fillId="3" borderId="5" xfId="0" applyFont="1" applyFill="1" applyBorder="1" applyAlignment="1">
      <alignment horizontal="center" vertical="center" wrapText="1"/>
    </xf>
    <xf numFmtId="0" fontId="9" fillId="5" borderId="27" xfId="0" applyFont="1" applyFill="1" applyBorder="1"/>
    <xf numFmtId="41" fontId="2" fillId="5" borderId="4" xfId="0" applyNumberFormat="1" applyFont="1" applyFill="1" applyBorder="1" applyAlignment="1">
      <alignment horizontal="right"/>
    </xf>
    <xf numFmtId="164" fontId="2" fillId="5" borderId="4" xfId="1" applyNumberFormat="1" applyFont="1" applyFill="1" applyBorder="1" applyAlignment="1">
      <alignment horizontal="right"/>
    </xf>
    <xf numFmtId="3" fontId="2" fillId="2" borderId="24" xfId="0" applyNumberFormat="1" applyFont="1" applyFill="1" applyBorder="1"/>
    <xf numFmtId="164" fontId="9" fillId="12" borderId="3" xfId="1" applyNumberFormat="1" applyFont="1" applyFill="1" applyBorder="1" applyAlignment="1">
      <alignment horizontal="left"/>
    </xf>
    <xf numFmtId="164" fontId="2" fillId="12" borderId="3" xfId="1" applyNumberFormat="1" applyFont="1" applyFill="1" applyBorder="1" applyAlignment="1">
      <alignment horizontal="right"/>
    </xf>
    <xf numFmtId="164" fontId="2" fillId="2" borderId="0" xfId="0" applyNumberFormat="1" applyFont="1" applyFill="1"/>
    <xf numFmtId="164" fontId="2" fillId="0" borderId="3" xfId="1" applyNumberFormat="1" applyFont="1" applyFill="1" applyBorder="1" applyAlignment="1">
      <alignment horizontal="right"/>
    </xf>
    <xf numFmtId="164" fontId="2" fillId="0" borderId="1" xfId="1" applyNumberFormat="1" applyFont="1" applyFill="1" applyBorder="1" applyAlignment="1">
      <alignment horizontal="right"/>
    </xf>
    <xf numFmtId="164" fontId="2" fillId="2" borderId="3" xfId="1" applyNumberFormat="1" applyFont="1" applyFill="1" applyBorder="1" applyAlignment="1">
      <alignment horizontal="right"/>
    </xf>
    <xf numFmtId="164" fontId="46" fillId="12" borderId="1" xfId="1" applyNumberFormat="1" applyFont="1" applyFill="1" applyBorder="1" applyAlignment="1">
      <alignment horizontal="right"/>
    </xf>
    <xf numFmtId="164" fontId="9" fillId="12" borderId="1" xfId="1" applyNumberFormat="1" applyFont="1" applyFill="1" applyBorder="1" applyAlignment="1">
      <alignment horizontal="left"/>
    </xf>
    <xf numFmtId="164" fontId="2" fillId="12" borderId="1" xfId="1" applyNumberFormat="1" applyFont="1" applyFill="1" applyBorder="1" applyAlignment="1">
      <alignment horizontal="right"/>
    </xf>
    <xf numFmtId="164" fontId="2" fillId="2" borderId="1" xfId="1" applyNumberFormat="1" applyFont="1" applyFill="1" applyBorder="1" applyAlignment="1">
      <alignment horizontal="right"/>
    </xf>
    <xf numFmtId="0" fontId="9" fillId="2" borderId="41" xfId="0" applyFont="1" applyFill="1" applyBorder="1" applyAlignment="1">
      <alignment horizontal="center"/>
    </xf>
    <xf numFmtId="16" fontId="9" fillId="2" borderId="24" xfId="0" applyNumberFormat="1" applyFont="1" applyFill="1" applyBorder="1" applyAlignment="1">
      <alignment horizontal="center"/>
    </xf>
    <xf numFmtId="0" fontId="2" fillId="5" borderId="5" xfId="0" applyFont="1" applyFill="1" applyBorder="1"/>
    <xf numFmtId="41" fontId="2" fillId="7" borderId="1" xfId="1" applyNumberFormat="1" applyFont="1" applyFill="1" applyBorder="1"/>
    <xf numFmtId="41" fontId="2" fillId="7" borderId="1" xfId="0" applyNumberFormat="1" applyFont="1" applyFill="1" applyBorder="1" applyAlignment="1">
      <alignment horizontal="right" vertical="top"/>
    </xf>
    <xf numFmtId="41" fontId="2" fillId="7" borderId="1" xfId="1" applyNumberFormat="1" applyFont="1" applyFill="1" applyBorder="1" applyAlignment="1">
      <alignment horizontal="right" vertical="top"/>
    </xf>
    <xf numFmtId="41" fontId="9" fillId="2" borderId="0" xfId="0" applyNumberFormat="1" applyFont="1" applyFill="1" applyAlignment="1">
      <alignment horizontal="center"/>
    </xf>
    <xf numFmtId="4" fontId="9" fillId="2" borderId="0" xfId="0" applyNumberFormat="1" applyFont="1" applyFill="1" applyAlignment="1">
      <alignment horizontal="center"/>
    </xf>
    <xf numFmtId="4" fontId="9" fillId="2" borderId="24" xfId="0" applyNumberFormat="1" applyFont="1" applyFill="1" applyBorder="1" applyAlignment="1">
      <alignment horizontal="center"/>
    </xf>
    <xf numFmtId="4" fontId="9" fillId="0" borderId="0" xfId="0" applyNumberFormat="1" applyFont="1" applyAlignment="1">
      <alignment horizontal="center"/>
    </xf>
    <xf numFmtId="4" fontId="2" fillId="0" borderId="0" xfId="0" applyNumberFormat="1" applyFont="1"/>
    <xf numFmtId="164" fontId="2" fillId="2" borderId="2" xfId="1" applyNumberFormat="1" applyFont="1" applyFill="1" applyBorder="1" applyAlignment="1">
      <alignment horizontal="right"/>
    </xf>
    <xf numFmtId="41" fontId="2" fillId="0" borderId="1" xfId="1" applyNumberFormat="1" applyFont="1" applyFill="1" applyBorder="1" applyAlignment="1">
      <alignment horizontal="right" vertical="top"/>
    </xf>
    <xf numFmtId="164" fontId="2" fillId="2" borderId="5" xfId="1" applyNumberFormat="1" applyFont="1" applyFill="1" applyBorder="1" applyAlignment="1">
      <alignment horizontal="right"/>
    </xf>
    <xf numFmtId="4" fontId="9" fillId="0" borderId="0" xfId="0" applyNumberFormat="1" applyFont="1"/>
    <xf numFmtId="0" fontId="9" fillId="0" borderId="0" xfId="0" applyFont="1"/>
    <xf numFmtId="166" fontId="2" fillId="7" borderId="1" xfId="1" applyNumberFormat="1" applyFont="1" applyFill="1" applyBorder="1"/>
    <xf numFmtId="166" fontId="2" fillId="7" borderId="1" xfId="0" applyNumberFormat="1" applyFont="1" applyFill="1" applyBorder="1" applyAlignment="1">
      <alignment horizontal="right" vertical="top"/>
    </xf>
    <xf numFmtId="166" fontId="2" fillId="7" borderId="1" xfId="1" applyNumberFormat="1" applyFont="1" applyFill="1" applyBorder="1" applyAlignment="1">
      <alignment horizontal="right" vertical="top"/>
    </xf>
    <xf numFmtId="166" fontId="2" fillId="0" borderId="1" xfId="1" applyNumberFormat="1" applyFont="1" applyFill="1" applyBorder="1" applyAlignment="1">
      <alignment horizontal="left"/>
    </xf>
    <xf numFmtId="166" fontId="2" fillId="0" borderId="1" xfId="1" applyNumberFormat="1" applyFont="1" applyFill="1" applyBorder="1" applyAlignment="1">
      <alignment horizontal="right" vertical="top"/>
    </xf>
    <xf numFmtId="4" fontId="2" fillId="0" borderId="0" xfId="0" applyNumberFormat="1" applyFont="1" applyAlignment="1">
      <alignment horizontal="center" wrapText="1"/>
    </xf>
    <xf numFmtId="0" fontId="2" fillId="0" borderId="0" xfId="0" applyFont="1" applyAlignment="1">
      <alignment horizontal="center" wrapText="1"/>
    </xf>
    <xf numFmtId="4" fontId="2" fillId="2" borderId="24" xfId="0" applyNumberFormat="1" applyFont="1" applyFill="1" applyBorder="1"/>
    <xf numFmtId="4" fontId="2" fillId="2" borderId="0" xfId="0" applyNumberFormat="1" applyFont="1" applyFill="1"/>
    <xf numFmtId="0" fontId="2" fillId="0" borderId="24" xfId="0" applyFont="1" applyBorder="1"/>
    <xf numFmtId="16" fontId="2" fillId="0" borderId="24" xfId="0" applyNumberFormat="1" applyFont="1" applyBorder="1"/>
    <xf numFmtId="166" fontId="2" fillId="2" borderId="0" xfId="1" applyNumberFormat="1" applyFont="1" applyFill="1" applyBorder="1" applyAlignment="1">
      <alignment horizontal="left"/>
    </xf>
    <xf numFmtId="16" fontId="0" fillId="0" borderId="0" xfId="0" applyNumberFormat="1"/>
    <xf numFmtId="41" fontId="2" fillId="2" borderId="0" xfId="1" applyNumberFormat="1" applyFont="1" applyFill="1" applyBorder="1" applyAlignment="1">
      <alignment horizontal="right"/>
    </xf>
    <xf numFmtId="172" fontId="2" fillId="2" borderId="0" xfId="1" applyNumberFormat="1" applyFont="1" applyFill="1" applyBorder="1" applyAlignment="1">
      <alignment horizontal="left"/>
    </xf>
    <xf numFmtId="164" fontId="9" fillId="0" borderId="0" xfId="1" applyNumberFormat="1" applyFont="1" applyFill="1" applyBorder="1" applyAlignment="1">
      <alignment horizontal="left"/>
    </xf>
    <xf numFmtId="0" fontId="16" fillId="3" borderId="6" xfId="0" applyFont="1" applyFill="1" applyBorder="1" applyAlignment="1">
      <alignment horizontal="center" vertical="center" wrapText="1"/>
    </xf>
    <xf numFmtId="164" fontId="2" fillId="2" borderId="6" xfId="1" applyNumberFormat="1" applyFont="1" applyFill="1" applyBorder="1" applyAlignment="1">
      <alignment vertical="center"/>
    </xf>
    <xf numFmtId="164" fontId="2" fillId="2" borderId="1" xfId="1" applyNumberFormat="1" applyFont="1" applyFill="1" applyBorder="1" applyAlignment="1">
      <alignment vertical="center"/>
    </xf>
    <xf numFmtId="164" fontId="2" fillId="2" borderId="0" xfId="1" applyNumberFormat="1" applyFont="1" applyFill="1" applyBorder="1" applyAlignment="1">
      <alignment horizontal="center" vertical="center"/>
    </xf>
    <xf numFmtId="41" fontId="2" fillId="2" borderId="0" xfId="1" applyNumberFormat="1" applyFont="1" applyFill="1" applyBorder="1" applyAlignment="1">
      <alignment horizontal="left"/>
    </xf>
    <xf numFmtId="41" fontId="2" fillId="5" borderId="1" xfId="1" applyNumberFormat="1" applyFont="1" applyFill="1" applyBorder="1" applyAlignment="1">
      <alignment horizontal="left"/>
    </xf>
    <xf numFmtId="0" fontId="2" fillId="4" borderId="42" xfId="0" applyFont="1" applyFill="1" applyBorder="1" applyAlignment="1">
      <alignment horizontal="center" vertical="center"/>
    </xf>
    <xf numFmtId="0" fontId="2" fillId="4" borderId="43" xfId="0" applyFont="1" applyFill="1" applyBorder="1" applyAlignment="1">
      <alignment horizontal="center" vertical="center"/>
    </xf>
    <xf numFmtId="4" fontId="0" fillId="0" borderId="0" xfId="0" applyNumberFormat="1"/>
    <xf numFmtId="0" fontId="16" fillId="0" borderId="0" xfId="0" applyFont="1" applyAlignment="1">
      <alignment horizontal="center" vertical="center" wrapText="1"/>
    </xf>
    <xf numFmtId="16" fontId="16" fillId="0" borderId="0" xfId="0" applyNumberFormat="1" applyFont="1" applyAlignment="1">
      <alignment horizontal="center" vertical="center" wrapText="1"/>
    </xf>
    <xf numFmtId="164" fontId="2" fillId="0" borderId="0" xfId="1" applyNumberFormat="1" applyFont="1" applyFill="1" applyBorder="1" applyAlignment="1">
      <alignment horizontal="left"/>
    </xf>
    <xf numFmtId="0" fontId="28" fillId="0" borderId="0" xfId="0" applyFont="1"/>
    <xf numFmtId="0" fontId="48" fillId="10" borderId="25" xfId="0" applyFont="1" applyFill="1" applyBorder="1"/>
    <xf numFmtId="0" fontId="48" fillId="10" borderId="32" xfId="0" applyFont="1" applyFill="1" applyBorder="1"/>
    <xf numFmtId="0" fontId="48" fillId="10" borderId="26" xfId="0" applyFont="1" applyFill="1" applyBorder="1"/>
    <xf numFmtId="0" fontId="48" fillId="13" borderId="25" xfId="0" applyFont="1" applyFill="1" applyBorder="1"/>
    <xf numFmtId="0" fontId="48" fillId="13" borderId="32" xfId="0" applyFont="1" applyFill="1" applyBorder="1"/>
    <xf numFmtId="0" fontId="48" fillId="13" borderId="26" xfId="0" applyFont="1" applyFill="1" applyBorder="1"/>
    <xf numFmtId="0" fontId="48" fillId="14" borderId="25" xfId="0" applyFont="1" applyFill="1" applyBorder="1"/>
    <xf numFmtId="0" fontId="48" fillId="14" borderId="32" xfId="0" applyFont="1" applyFill="1" applyBorder="1"/>
    <xf numFmtId="0" fontId="48" fillId="15" borderId="25" xfId="0" applyFont="1" applyFill="1" applyBorder="1"/>
    <xf numFmtId="0" fontId="48" fillId="15" borderId="32" xfId="0" applyFont="1" applyFill="1" applyBorder="1"/>
    <xf numFmtId="0" fontId="48" fillId="15" borderId="26" xfId="0" applyFont="1" applyFill="1" applyBorder="1"/>
    <xf numFmtId="14" fontId="6" fillId="0" borderId="0" xfId="0" applyNumberFormat="1" applyFont="1"/>
    <xf numFmtId="0" fontId="48" fillId="10" borderId="1" xfId="0" applyFont="1" applyFill="1" applyBorder="1" applyAlignment="1">
      <alignment horizontal="center"/>
    </xf>
    <xf numFmtId="0" fontId="48" fillId="13" borderId="1" xfId="0" applyFont="1" applyFill="1" applyBorder="1" applyAlignment="1">
      <alignment horizontal="center"/>
    </xf>
    <xf numFmtId="0" fontId="48" fillId="14" borderId="1" xfId="0" applyFont="1" applyFill="1" applyBorder="1" applyAlignment="1">
      <alignment horizontal="center"/>
    </xf>
    <xf numFmtId="0" fontId="48" fillId="15" borderId="1" xfId="0" applyFont="1" applyFill="1" applyBorder="1" applyAlignment="1">
      <alignment horizontal="center"/>
    </xf>
    <xf numFmtId="0" fontId="48" fillId="0" borderId="1" xfId="0" applyFont="1" applyBorder="1"/>
    <xf numFmtId="173" fontId="49" fillId="2" borderId="1" xfId="1" applyNumberFormat="1" applyFont="1" applyFill="1" applyBorder="1" applyAlignment="1">
      <alignment horizontal="left"/>
    </xf>
    <xf numFmtId="172" fontId="49" fillId="2" borderId="1" xfId="1" applyNumberFormat="1" applyFont="1" applyFill="1" applyBorder="1" applyAlignment="1">
      <alignment horizontal="left"/>
    </xf>
    <xf numFmtId="172" fontId="49" fillId="0" borderId="1" xfId="1" applyNumberFormat="1" applyFont="1" applyFill="1" applyBorder="1" applyAlignment="1">
      <alignment horizontal="left"/>
    </xf>
    <xf numFmtId="0" fontId="48" fillId="0" borderId="44" xfId="0" applyFont="1" applyBorder="1"/>
    <xf numFmtId="173" fontId="49" fillId="2" borderId="44" xfId="1" applyNumberFormat="1" applyFont="1" applyFill="1" applyBorder="1" applyAlignment="1">
      <alignment horizontal="left"/>
    </xf>
    <xf numFmtId="172" fontId="49" fillId="2" borderId="44" xfId="1" applyNumberFormat="1" applyFont="1" applyFill="1" applyBorder="1" applyAlignment="1">
      <alignment horizontal="left"/>
    </xf>
    <xf numFmtId="0" fontId="47" fillId="5" borderId="3" xfId="0" applyFont="1" applyFill="1" applyBorder="1"/>
    <xf numFmtId="173" fontId="49" fillId="2" borderId="3" xfId="1" applyNumberFormat="1" applyFont="1" applyFill="1" applyBorder="1" applyAlignment="1">
      <alignment horizontal="left"/>
    </xf>
    <xf numFmtId="172" fontId="49" fillId="2" borderId="3" xfId="1" applyNumberFormat="1" applyFont="1" applyFill="1" applyBorder="1" applyAlignment="1">
      <alignment horizontal="left"/>
    </xf>
    <xf numFmtId="0" fontId="33" fillId="0" borderId="0" xfId="0" applyFont="1"/>
    <xf numFmtId="0" fontId="48" fillId="14" borderId="26" xfId="0" applyFont="1" applyFill="1" applyBorder="1"/>
    <xf numFmtId="0" fontId="47" fillId="5" borderId="0" xfId="0" applyFont="1" applyFill="1"/>
    <xf numFmtId="0" fontId="48" fillId="5" borderId="0" xfId="0" applyFont="1" applyFill="1"/>
    <xf numFmtId="164" fontId="49" fillId="2" borderId="1" xfId="1" applyNumberFormat="1" applyFont="1" applyFill="1" applyBorder="1" applyAlignment="1">
      <alignment horizontal="left"/>
    </xf>
    <xf numFmtId="3" fontId="6" fillId="0" borderId="0" xfId="0" applyNumberFormat="1" applyFont="1"/>
    <xf numFmtId="164" fontId="49" fillId="2" borderId="44" xfId="1" applyNumberFormat="1" applyFont="1" applyFill="1" applyBorder="1" applyAlignment="1">
      <alignment horizontal="left"/>
    </xf>
    <xf numFmtId="164" fontId="49" fillId="2" borderId="3" xfId="1" applyNumberFormat="1" applyFont="1" applyFill="1" applyBorder="1" applyAlignment="1">
      <alignment horizontal="left"/>
    </xf>
    <xf numFmtId="0" fontId="27" fillId="3" borderId="10" xfId="0" applyFont="1" applyFill="1" applyBorder="1" applyAlignment="1">
      <alignment horizontal="center" vertical="center" wrapText="1"/>
    </xf>
    <xf numFmtId="174" fontId="27" fillId="16" borderId="23" xfId="0" applyNumberFormat="1" applyFont="1" applyFill="1" applyBorder="1" applyAlignment="1">
      <alignment horizontal="center" vertical="center" wrapText="1"/>
    </xf>
    <xf numFmtId="174" fontId="27" fillId="3" borderId="23" xfId="0" applyNumberFormat="1" applyFont="1" applyFill="1" applyBorder="1" applyAlignment="1">
      <alignment horizontal="center" vertical="center" wrapText="1"/>
    </xf>
    <xf numFmtId="174" fontId="27" fillId="3" borderId="11" xfId="0" applyNumberFormat="1" applyFont="1" applyFill="1" applyBorder="1" applyAlignment="1">
      <alignment horizontal="center" vertical="center" wrapText="1"/>
    </xf>
    <xf numFmtId="164" fontId="28" fillId="12" borderId="5" xfId="1" applyNumberFormat="1" applyFont="1" applyFill="1" applyBorder="1" applyAlignment="1">
      <alignment horizontal="left"/>
    </xf>
    <xf numFmtId="41" fontId="6" fillId="2" borderId="1" xfId="1" applyNumberFormat="1" applyFont="1" applyFill="1" applyBorder="1" applyAlignment="1">
      <alignment horizontal="right"/>
    </xf>
    <xf numFmtId="41" fontId="6" fillId="2" borderId="12" xfId="1" applyNumberFormat="1" applyFont="1" applyFill="1" applyBorder="1" applyAlignment="1">
      <alignment horizontal="right"/>
    </xf>
    <xf numFmtId="170" fontId="6" fillId="2" borderId="1" xfId="1" applyNumberFormat="1" applyFont="1" applyFill="1" applyBorder="1" applyAlignment="1">
      <alignment horizontal="right"/>
    </xf>
    <xf numFmtId="170" fontId="6" fillId="2" borderId="12" xfId="1" applyNumberFormat="1" applyFont="1" applyFill="1" applyBorder="1" applyAlignment="1">
      <alignment horizontal="right"/>
    </xf>
    <xf numFmtId="164" fontId="28" fillId="12" borderId="45" xfId="1" applyNumberFormat="1" applyFont="1" applyFill="1" applyBorder="1" applyAlignment="1">
      <alignment horizontal="left"/>
    </xf>
    <xf numFmtId="172" fontId="6" fillId="2" borderId="44" xfId="1" applyNumberFormat="1" applyFont="1" applyFill="1" applyBorder="1" applyAlignment="1">
      <alignment horizontal="right"/>
    </xf>
    <xf numFmtId="172" fontId="6" fillId="2" borderId="15" xfId="1" applyNumberFormat="1" applyFont="1" applyFill="1" applyBorder="1" applyAlignment="1">
      <alignment horizontal="right"/>
    </xf>
    <xf numFmtId="3" fontId="6" fillId="2" borderId="12" xfId="1" applyNumberFormat="1" applyFont="1" applyFill="1" applyBorder="1" applyAlignment="1">
      <alignment horizontal="right"/>
    </xf>
    <xf numFmtId="3" fontId="6" fillId="2" borderId="15" xfId="1" applyNumberFormat="1" applyFont="1" applyFill="1" applyBorder="1" applyAlignment="1">
      <alignment horizontal="right"/>
    </xf>
    <xf numFmtId="3" fontId="6" fillId="2" borderId="0" xfId="1" applyNumberFormat="1" applyFont="1" applyFill="1" applyBorder="1" applyAlignment="1">
      <alignment horizontal="right"/>
    </xf>
    <xf numFmtId="41" fontId="6" fillId="2" borderId="15" xfId="1" applyNumberFormat="1" applyFont="1" applyFill="1" applyBorder="1" applyAlignment="1">
      <alignment horizontal="right"/>
    </xf>
    <xf numFmtId="1" fontId="6" fillId="2" borderId="15" xfId="1" applyNumberFormat="1" applyFont="1" applyFill="1" applyBorder="1" applyAlignment="1"/>
    <xf numFmtId="41" fontId="6" fillId="17" borderId="1" xfId="1" applyNumberFormat="1" applyFont="1" applyFill="1" applyBorder="1" applyAlignment="1">
      <alignment horizontal="right"/>
    </xf>
    <xf numFmtId="41" fontId="6" fillId="2" borderId="44" xfId="1" applyNumberFormat="1" applyFont="1" applyFill="1" applyBorder="1" applyAlignment="1">
      <alignment horizontal="right"/>
    </xf>
    <xf numFmtId="164" fontId="28" fillId="0" borderId="0" xfId="1" applyNumberFormat="1" applyFont="1" applyFill="1" applyBorder="1" applyAlignment="1">
      <alignment horizontal="left"/>
    </xf>
    <xf numFmtId="41" fontId="6" fillId="2" borderId="0" xfId="1" applyNumberFormat="1" applyFont="1" applyFill="1" applyBorder="1" applyAlignment="1">
      <alignment horizontal="right"/>
    </xf>
    <xf numFmtId="0" fontId="24" fillId="5" borderId="46" xfId="2" applyFont="1" applyFill="1" applyBorder="1" applyAlignment="1">
      <alignment horizontal="center" vertical="top"/>
    </xf>
    <xf numFmtId="0" fontId="6" fillId="0" borderId="24" xfId="0" applyFont="1" applyBorder="1" applyAlignment="1">
      <alignment vertical="center"/>
    </xf>
    <xf numFmtId="0" fontId="6" fillId="0" borderId="12" xfId="0" applyFont="1" applyBorder="1" applyAlignment="1">
      <alignment vertical="center"/>
    </xf>
    <xf numFmtId="49" fontId="30" fillId="0" borderId="12" xfId="0" applyNumberFormat="1" applyFont="1" applyBorder="1" applyAlignment="1">
      <alignment horizontal="left" vertical="top" wrapText="1"/>
    </xf>
    <xf numFmtId="0" fontId="6" fillId="0" borderId="12" xfId="0" applyFont="1" applyBorder="1" applyAlignment="1">
      <alignment wrapText="1"/>
    </xf>
    <xf numFmtId="0" fontId="6" fillId="0" borderId="12" xfId="0" applyFont="1" applyBorder="1" applyAlignment="1">
      <alignment vertical="center" wrapText="1"/>
    </xf>
    <xf numFmtId="0" fontId="6" fillId="2" borderId="47" xfId="0" applyFont="1" applyFill="1" applyBorder="1" applyAlignment="1">
      <alignment horizontal="left" vertical="top" wrapText="1"/>
    </xf>
    <xf numFmtId="0" fontId="6" fillId="2" borderId="15" xfId="0" applyFont="1" applyFill="1" applyBorder="1" applyAlignment="1">
      <alignment horizontal="left" vertical="top" wrapText="1"/>
    </xf>
    <xf numFmtId="0" fontId="22" fillId="2" borderId="0" xfId="0" applyFont="1" applyFill="1" applyBorder="1" applyAlignment="1">
      <alignment horizontal="left" vertical="center" wrapText="1"/>
    </xf>
    <xf numFmtId="0" fontId="24" fillId="5" borderId="0" xfId="2" applyFont="1" applyFill="1" applyAlignment="1">
      <alignment horizontal="left" vertical="top"/>
    </xf>
    <xf numFmtId="0" fontId="24" fillId="0" borderId="0" xfId="2" applyFont="1" applyAlignment="1">
      <alignment horizontal="left" vertical="top"/>
    </xf>
    <xf numFmtId="0" fontId="22" fillId="2" borderId="0" xfId="0" applyFont="1" applyFill="1" applyBorder="1" applyAlignment="1">
      <alignment horizontal="left" wrapText="1"/>
    </xf>
    <xf numFmtId="0" fontId="23" fillId="2" borderId="0" xfId="0" applyFont="1" applyFill="1" applyBorder="1" applyAlignment="1">
      <alignment horizontal="left" vertical="center" wrapText="1"/>
    </xf>
    <xf numFmtId="0" fontId="20" fillId="6" borderId="0" xfId="3" applyFont="1" applyFill="1" applyAlignment="1">
      <alignment horizontal="center" vertical="center" wrapText="1"/>
    </xf>
    <xf numFmtId="0" fontId="20" fillId="6" borderId="0" xfId="3" applyFont="1" applyFill="1" applyAlignment="1">
      <alignment horizontal="left" vertical="center" wrapText="1"/>
    </xf>
    <xf numFmtId="0" fontId="9" fillId="2" borderId="7" xfId="0" applyFont="1" applyFill="1" applyBorder="1" applyAlignment="1">
      <alignment horizontal="left" vertical="center" wrapText="1"/>
    </xf>
    <xf numFmtId="0" fontId="9" fillId="2" borderId="0" xfId="0" applyFont="1" applyFill="1" applyAlignment="1">
      <alignment horizontal="left" vertical="center" wrapText="1"/>
    </xf>
    <xf numFmtId="0" fontId="9" fillId="2" borderId="0" xfId="0" applyFont="1" applyFill="1" applyAlignment="1">
      <alignment horizontal="left" vertical="center"/>
    </xf>
    <xf numFmtId="0" fontId="9" fillId="2" borderId="24" xfId="0" applyFont="1" applyFill="1" applyBorder="1" applyAlignment="1">
      <alignment horizontal="left" vertical="center"/>
    </xf>
    <xf numFmtId="0" fontId="9" fillId="4" borderId="31" xfId="0" applyFont="1" applyFill="1" applyBorder="1" applyAlignment="1">
      <alignment horizontal="center" vertical="center"/>
    </xf>
    <xf numFmtId="0" fontId="9" fillId="4" borderId="32" xfId="0" applyFont="1" applyFill="1" applyBorder="1" applyAlignment="1">
      <alignment horizontal="center" vertical="center"/>
    </xf>
    <xf numFmtId="0" fontId="9" fillId="4" borderId="33" xfId="0" applyFont="1" applyFill="1" applyBorder="1" applyAlignment="1">
      <alignment horizontal="center" vertical="center"/>
    </xf>
    <xf numFmtId="0" fontId="9" fillId="2" borderId="7" xfId="0" applyFont="1" applyFill="1" applyBorder="1" applyAlignment="1">
      <alignment vertical="center" wrapText="1"/>
    </xf>
    <xf numFmtId="0" fontId="9" fillId="2" borderId="0" xfId="0" applyFont="1" applyFill="1" applyAlignment="1">
      <alignment vertical="center" wrapText="1"/>
    </xf>
    <xf numFmtId="0" fontId="9" fillId="0" borderId="0" xfId="0" applyFont="1" applyAlignment="1">
      <alignment vertical="center" wrapText="1"/>
    </xf>
    <xf numFmtId="0" fontId="43" fillId="2" borderId="0" xfId="0" applyFont="1" applyFill="1" applyAlignment="1">
      <alignment horizontal="left" vertical="center"/>
    </xf>
    <xf numFmtId="0" fontId="45" fillId="4" borderId="10" xfId="0" applyFont="1" applyFill="1" applyBorder="1" applyAlignment="1">
      <alignment horizontal="center" vertical="center"/>
    </xf>
    <xf numFmtId="0" fontId="45" fillId="4" borderId="23" xfId="0" applyFont="1" applyFill="1" applyBorder="1" applyAlignment="1">
      <alignment horizontal="center" vertical="center"/>
    </xf>
    <xf numFmtId="0" fontId="45" fillId="4" borderId="11" xfId="0" applyFont="1" applyFill="1" applyBorder="1" applyAlignment="1">
      <alignment horizontal="center" vertical="center"/>
    </xf>
    <xf numFmtId="0" fontId="16" fillId="3" borderId="25" xfId="0" applyFont="1" applyFill="1" applyBorder="1" applyAlignment="1">
      <alignment horizontal="center" vertical="center" wrapText="1"/>
    </xf>
    <xf numFmtId="0" fontId="16" fillId="3" borderId="26"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2" fillId="2" borderId="1" xfId="0" applyFont="1" applyFill="1" applyBorder="1"/>
    <xf numFmtId="0" fontId="2" fillId="5" borderId="4" xfId="0" applyFont="1" applyFill="1" applyBorder="1" applyAlignment="1">
      <alignment horizontal="left"/>
    </xf>
    <xf numFmtId="0" fontId="2" fillId="2" borderId="29" xfId="0" applyFont="1" applyFill="1" applyBorder="1"/>
    <xf numFmtId="164" fontId="2" fillId="2" borderId="3" xfId="1" applyNumberFormat="1" applyFont="1" applyFill="1" applyBorder="1" applyAlignment="1">
      <alignment horizontal="left"/>
    </xf>
    <xf numFmtId="164" fontId="2" fillId="2" borderId="1" xfId="1" applyNumberFormat="1" applyFont="1" applyFill="1" applyBorder="1" applyAlignment="1">
      <alignment horizontal="left"/>
    </xf>
    <xf numFmtId="0" fontId="2" fillId="4" borderId="31" xfId="0" applyFont="1" applyFill="1" applyBorder="1" applyAlignment="1">
      <alignment horizontal="center" vertical="center"/>
    </xf>
    <xf numFmtId="0" fontId="2" fillId="4" borderId="32" xfId="0" applyFont="1" applyFill="1" applyBorder="1" applyAlignment="1">
      <alignment horizontal="center" vertical="center"/>
    </xf>
    <xf numFmtId="0" fontId="2" fillId="4" borderId="33" xfId="0" applyFont="1" applyFill="1" applyBorder="1" applyAlignment="1">
      <alignment horizontal="center" vertical="center"/>
    </xf>
    <xf numFmtId="0" fontId="16" fillId="3" borderId="36" xfId="0" applyFont="1" applyFill="1" applyBorder="1" applyAlignment="1">
      <alignment horizontal="center" vertical="center" wrapText="1"/>
    </xf>
    <xf numFmtId="0" fontId="16" fillId="3" borderId="37" xfId="0" applyFont="1" applyFill="1" applyBorder="1" applyAlignment="1">
      <alignment horizontal="center" vertical="center" wrapText="1"/>
    </xf>
    <xf numFmtId="0" fontId="2" fillId="5" borderId="39" xfId="0" applyFont="1" applyFill="1" applyBorder="1" applyAlignment="1">
      <alignment horizontal="center"/>
    </xf>
    <xf numFmtId="0" fontId="2" fillId="5" borderId="28" xfId="0" applyFont="1" applyFill="1" applyBorder="1" applyAlignment="1">
      <alignment horizontal="center"/>
    </xf>
    <xf numFmtId="164" fontId="2" fillId="2" borderId="36" xfId="1" applyNumberFormat="1" applyFont="1" applyFill="1" applyBorder="1" applyAlignment="1">
      <alignment horizontal="left" wrapText="1"/>
    </xf>
    <xf numFmtId="164" fontId="2" fillId="2" borderId="38" xfId="1" applyNumberFormat="1" applyFont="1" applyFill="1" applyBorder="1" applyAlignment="1">
      <alignment horizontal="left" wrapText="1"/>
    </xf>
    <xf numFmtId="0" fontId="2" fillId="4" borderId="25" xfId="0" applyFont="1" applyFill="1" applyBorder="1" applyAlignment="1">
      <alignment horizontal="center" vertical="center"/>
    </xf>
    <xf numFmtId="0" fontId="2" fillId="4" borderId="26" xfId="0" applyFont="1" applyFill="1" applyBorder="1" applyAlignment="1">
      <alignment horizontal="center" vertical="center"/>
    </xf>
    <xf numFmtId="0" fontId="9" fillId="0" borderId="7" xfId="0" applyFont="1" applyBorder="1" applyAlignment="1">
      <alignment horizontal="left" vertical="center"/>
    </xf>
    <xf numFmtId="0" fontId="9" fillId="0" borderId="0" xfId="0" applyFont="1" applyAlignment="1">
      <alignment horizontal="left" vertical="center"/>
    </xf>
    <xf numFmtId="164" fontId="2" fillId="2" borderId="6" xfId="1" applyNumberFormat="1" applyFont="1" applyFill="1" applyBorder="1" applyAlignment="1">
      <alignment horizontal="left" vertical="center"/>
    </xf>
    <xf numFmtId="164" fontId="2" fillId="2" borderId="3" xfId="1" applyNumberFormat="1" applyFont="1" applyFill="1" applyBorder="1" applyAlignment="1">
      <alignment horizontal="left" vertical="center"/>
    </xf>
    <xf numFmtId="0" fontId="9" fillId="2" borderId="7" xfId="0" applyFont="1" applyFill="1" applyBorder="1" applyAlignment="1">
      <alignment horizontal="left" vertical="center"/>
    </xf>
    <xf numFmtId="0" fontId="48" fillId="13" borderId="25" xfId="0" applyFont="1" applyFill="1" applyBorder="1" applyAlignment="1">
      <alignment horizontal="center"/>
    </xf>
    <xf numFmtId="0" fontId="48" fillId="13" borderId="26" xfId="0" applyFont="1" applyFill="1" applyBorder="1" applyAlignment="1">
      <alignment horizontal="center"/>
    </xf>
    <xf numFmtId="0" fontId="47" fillId="4" borderId="1" xfId="0" applyFont="1" applyFill="1" applyBorder="1" applyAlignment="1">
      <alignment horizontal="center" vertical="center"/>
    </xf>
    <xf numFmtId="0" fontId="48" fillId="10" borderId="25" xfId="0" applyFont="1" applyFill="1" applyBorder="1" applyAlignment="1">
      <alignment horizontal="center"/>
    </xf>
    <xf numFmtId="0" fontId="48" fillId="10" borderId="26" xfId="0" applyFont="1" applyFill="1" applyBorder="1" applyAlignment="1">
      <alignment horizontal="center"/>
    </xf>
    <xf numFmtId="0" fontId="48" fillId="15" borderId="36" xfId="0" applyFont="1" applyFill="1" applyBorder="1" applyAlignment="1">
      <alignment horizontal="center"/>
    </xf>
    <xf numFmtId="0" fontId="48" fillId="15" borderId="38" xfId="0" applyFont="1" applyFill="1" applyBorder="1" applyAlignment="1">
      <alignment horizontal="center"/>
    </xf>
    <xf numFmtId="0" fontId="48" fillId="14" borderId="25" xfId="0" applyFont="1" applyFill="1" applyBorder="1" applyAlignment="1">
      <alignment horizontal="center"/>
    </xf>
    <xf numFmtId="0" fontId="48" fillId="14" borderId="26" xfId="0" applyFont="1" applyFill="1" applyBorder="1" applyAlignment="1">
      <alignment horizontal="center"/>
    </xf>
    <xf numFmtId="0" fontId="47" fillId="5" borderId="1" xfId="0" applyFont="1" applyFill="1" applyBorder="1" applyAlignment="1">
      <alignment horizontal="center" vertical="center"/>
    </xf>
    <xf numFmtId="0" fontId="51" fillId="0" borderId="0" xfId="0" applyFont="1" applyAlignment="1">
      <alignment wrapText="1"/>
    </xf>
    <xf numFmtId="0" fontId="28" fillId="0" borderId="0" xfId="0" applyFont="1" applyAlignment="1">
      <alignment wrapText="1"/>
    </xf>
    <xf numFmtId="0" fontId="41" fillId="0" borderId="0" xfId="0" applyFont="1" applyAlignment="1">
      <alignment horizontal="left" vertical="top" wrapText="1"/>
    </xf>
    <xf numFmtId="0" fontId="42" fillId="0" borderId="0" xfId="0" applyFont="1" applyAlignment="1">
      <alignment horizontal="left" vertical="top" wrapText="1"/>
    </xf>
    <xf numFmtId="0" fontId="17" fillId="2" borderId="1" xfId="0" applyFont="1" applyFill="1" applyBorder="1" applyAlignment="1">
      <alignment horizontal="center" vertical="center"/>
    </xf>
    <xf numFmtId="0" fontId="7" fillId="3" borderId="1" xfId="4" applyFont="1" applyFill="1" applyBorder="1" applyAlignment="1">
      <alignment horizontal="left" vertical="top" wrapText="1"/>
    </xf>
    <xf numFmtId="3" fontId="7" fillId="3" borderId="1" xfId="1" applyNumberFormat="1" applyFont="1" applyFill="1" applyBorder="1" applyAlignment="1">
      <alignment horizontal="left" vertical="top" wrapText="1"/>
    </xf>
    <xf numFmtId="0" fontId="2" fillId="0" borderId="0" xfId="0" applyFont="1" applyAlignment="1">
      <alignment vertical="top" wrapText="1"/>
    </xf>
    <xf numFmtId="0" fontId="38" fillId="0" borderId="7" xfId="0" applyFont="1" applyBorder="1" applyAlignment="1">
      <alignment horizontal="left" vertical="top" wrapText="1"/>
    </xf>
    <xf numFmtId="0" fontId="38" fillId="0" borderId="0" xfId="0" applyFont="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35" fillId="11" borderId="17" xfId="0" applyFont="1" applyFill="1" applyBorder="1" applyAlignment="1">
      <alignment horizontal="center" vertical="center"/>
    </xf>
    <xf numFmtId="0" fontId="35" fillId="11" borderId="18" xfId="0" applyFont="1" applyFill="1" applyBorder="1" applyAlignment="1">
      <alignment horizontal="center" vertical="center"/>
    </xf>
    <xf numFmtId="0" fontId="35" fillId="11" borderId="19" xfId="0" applyFont="1" applyFill="1" applyBorder="1" applyAlignment="1">
      <alignment horizontal="center" vertical="center"/>
    </xf>
    <xf numFmtId="0" fontId="37" fillId="0" borderId="0" xfId="0" applyFont="1" applyAlignment="1">
      <alignment horizontal="left" vertical="center"/>
    </xf>
    <xf numFmtId="0" fontId="35" fillId="11" borderId="7" xfId="0" applyFont="1" applyFill="1" applyBorder="1" applyAlignment="1">
      <alignment horizontal="center" vertical="center"/>
    </xf>
    <xf numFmtId="0" fontId="35" fillId="11" borderId="0" xfId="0" applyFont="1" applyFill="1" applyAlignment="1">
      <alignment horizontal="center" vertical="center"/>
    </xf>
    <xf numFmtId="0" fontId="0" fillId="0" borderId="7" xfId="0" applyBorder="1" applyAlignment="1">
      <alignment horizontal="left" vertical="top" wrapText="1"/>
    </xf>
    <xf numFmtId="0" fontId="0" fillId="0" borderId="0" xfId="0" applyAlignment="1">
      <alignment horizontal="left" vertical="top" wrapText="1"/>
    </xf>
    <xf numFmtId="0" fontId="6" fillId="0" borderId="5" xfId="0" applyFont="1" applyBorder="1" applyAlignment="1">
      <alignment horizontal="left" vertical="top" wrapText="1"/>
    </xf>
    <xf numFmtId="0" fontId="24" fillId="0" borderId="0" xfId="2" applyFont="1" applyAlignment="1">
      <alignment horizontal="center" vertical="top"/>
    </xf>
    <xf numFmtId="0" fontId="48" fillId="0" borderId="13" xfId="0" applyFont="1" applyBorder="1" applyAlignment="1">
      <alignment vertical="top" wrapText="1"/>
    </xf>
    <xf numFmtId="0" fontId="48" fillId="0" borderId="8" xfId="0" applyFont="1" applyBorder="1" applyAlignment="1">
      <alignment vertical="top" wrapText="1"/>
    </xf>
    <xf numFmtId="0" fontId="48" fillId="0" borderId="14" xfId="0" applyFont="1" applyBorder="1" applyAlignment="1">
      <alignment vertical="top" wrapText="1"/>
    </xf>
    <xf numFmtId="0" fontId="6" fillId="0" borderId="5" xfId="0" applyFont="1" applyBorder="1" applyAlignment="1">
      <alignment horizontal="center" vertical="top" wrapText="1"/>
    </xf>
    <xf numFmtId="0" fontId="6" fillId="0" borderId="5" xfId="0" applyFont="1" applyBorder="1" applyAlignment="1">
      <alignment horizontal="center" vertical="top"/>
    </xf>
    <xf numFmtId="0" fontId="6" fillId="2" borderId="5" xfId="0" applyFont="1" applyFill="1" applyBorder="1" applyAlignment="1">
      <alignment horizontal="center" vertical="top" wrapText="1"/>
    </xf>
    <xf numFmtId="0" fontId="48" fillId="0" borderId="13" xfId="0" applyFont="1" applyBorder="1" applyAlignment="1">
      <alignment horizontal="center" vertical="top" wrapText="1"/>
    </xf>
    <xf numFmtId="0" fontId="48" fillId="0" borderId="8" xfId="0" applyFont="1" applyBorder="1" applyAlignment="1">
      <alignment horizontal="center" vertical="top" wrapText="1"/>
    </xf>
    <xf numFmtId="0" fontId="48" fillId="0" borderId="2" xfId="0" applyFont="1" applyBorder="1" applyAlignment="1">
      <alignment horizontal="center" vertical="top" wrapText="1"/>
    </xf>
  </cellXfs>
  <cellStyles count="11">
    <cellStyle name="Comma" xfId="1" builtinId="3"/>
    <cellStyle name="Comma 2" xfId="9" xr:uid="{890EC64B-6990-4B84-814A-650CD5C930E5}"/>
    <cellStyle name="Currency" xfId="7" builtinId="4"/>
    <cellStyle name="Normal" xfId="0" builtinId="0"/>
    <cellStyle name="Normal 2" xfId="4" xr:uid="{00000000-0005-0000-0000-000002000000}"/>
    <cellStyle name="Normal 2 2" xfId="6" xr:uid="{A4A51A68-C48F-49A0-AF6C-5F5C7DBA2DBD}"/>
    <cellStyle name="Normal 2 3" xfId="8" xr:uid="{768FEA0E-3101-4C6A-B0AB-8E652B843DF2}"/>
    <cellStyle name="Normal 3" xfId="10" xr:uid="{934C521A-F585-4305-B93B-5E408DA39ECF}"/>
    <cellStyle name="Normal 5" xfId="2" xr:uid="{00000000-0005-0000-0000-000003000000}"/>
    <cellStyle name="Normal_FLQuickRefGuide_4.27.09" xfId="3" xr:uid="{00000000-0005-0000-0000-000004000000}"/>
    <cellStyle name="Percent" xfId="5" builtinId="5"/>
  </cellStyles>
  <dxfs count="63">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numFmt numFmtId="19" formatCode="m/d/yyyy"/>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color indexed="8"/>
        <name val="Times New Roman"/>
        <family val="1"/>
        <scheme val="none"/>
      </font>
      <numFmt numFmtId="19" formatCode="m/d/yyyy"/>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19" formatCode="m/d/yyyy"/>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sz val="12"/>
        <color indexed="8"/>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sz val="12"/>
        <name val="Times New Roman"/>
        <family val="1"/>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color indexed="8"/>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right" vertical="center" textRotation="0" wrapText="0" indent="0" justifyLastLine="0" shrinkToFit="0" readingOrder="0"/>
    </dxf>
    <dxf>
      <font>
        <strike val="0"/>
        <outline val="0"/>
        <shadow val="0"/>
        <u val="none"/>
        <sz val="12"/>
        <color indexed="8"/>
        <name val="Times New Roman"/>
        <family val="1"/>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font>
        <strike val="0"/>
        <outline val="0"/>
        <shadow val="0"/>
        <u val="none"/>
        <sz val="12"/>
        <color indexed="8"/>
        <name val="Times New Roman"/>
        <family val="1"/>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color indexed="8"/>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color indexed="8"/>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color indexed="8"/>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color indexed="8"/>
        <name val="Times New Roman"/>
        <family val="1"/>
        <scheme val="none"/>
      </font>
      <numFmt numFmtId="165" formatCode="00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sz val="12"/>
        <color indexed="8"/>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color indexed="8"/>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color indexed="8"/>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sz val="12"/>
        <color indexed="8"/>
        <name val="Times New Roman"/>
        <family val="1"/>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2"/>
        <color auto="1"/>
        <name val="Times New Roman"/>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ndense val="0"/>
        <extend val="0"/>
        <color indexed="9"/>
      </font>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D66C98-EEAC-4008-BDFB-65C0A15C90EE}" name="Table_Facility_List_Staging_8_26_2013.accdb_1143" displayName="Table_Facility_List_Staging_8_26_2013.accdb_1143" ref="A7:AD133" headerRowDxfId="61" totalsRowDxfId="58" headerRowBorderDxfId="60" tableBorderDxfId="59">
  <autoFilter ref="A7:AD133" xr:uid="{1E9B972B-205E-4BF9-BE01-16D9AC41883A}"/>
  <sortState xmlns:xlrd2="http://schemas.microsoft.com/office/spreadsheetml/2017/richdata2" ref="A8:AD116">
    <sortCondition ref="X7:X116"/>
  </sortState>
  <tableColumns count="30">
    <tableColumn id="2" xr3:uid="{10895AFD-F49E-40D9-948E-B701846377BB}" name="Name" dataDxfId="57" totalsRowDxfId="56"/>
    <tableColumn id="3" xr3:uid="{F0A027AE-C0F3-469D-9CE3-2988A7B03D71}" name="Address" dataDxfId="55" totalsRowDxfId="54"/>
    <tableColumn id="4" xr3:uid="{AB4D3FF5-9D0C-4E97-98F7-D39BD18F01A3}" name="City" dataDxfId="53" totalsRowDxfId="52"/>
    <tableColumn id="6" xr3:uid="{059B87C0-E12A-44CD-A2A5-864048BB5BB5}" name="State" dataDxfId="51"/>
    <tableColumn id="7" xr3:uid="{79165F63-6970-4F80-878B-0E5A0D9BD41A}" name="Zip" dataDxfId="50" totalsRowDxfId="49"/>
    <tableColumn id="9" xr3:uid="{741B3489-8AE9-477B-A5DE-D53AA18EFFFE}" name="AOR" dataDxfId="48" totalsRowDxfId="47"/>
    <tableColumn id="12" xr3:uid="{C87EE11E-73CC-46C5-8160-F9EC01F8A46A}" name="Type Detailed" dataDxfId="46" totalsRowDxfId="45"/>
    <tableColumn id="81" xr3:uid="{71754BA6-FBA5-4C05-BFB0-282A758F6B66}" name="Male/Female" dataDxfId="44" totalsRowDxfId="43"/>
    <tableColumn id="43" xr3:uid="{38BC0168-0264-46AE-BC38-977CAC477010}" name="FY23 ALOS" dataDxfId="42" totalsRowDxfId="41" dataCellStyle="Comma"/>
    <tableColumn id="67" xr3:uid="{5695D2F7-7B27-45C9-932B-74B6C86AD0B3}" name="Level A" dataDxfId="40" totalsRowDxfId="39"/>
    <tableColumn id="68" xr3:uid="{762AADEE-0375-46A4-8233-21EE47AF78AD}" name="Level B" dataDxfId="38" totalsRowDxfId="37"/>
    <tableColumn id="69" xr3:uid="{32C650B4-DB42-4844-A215-9A5CE105D873}" name="Level C" dataDxfId="36" totalsRowDxfId="35"/>
    <tableColumn id="70" xr3:uid="{78827C0A-AA86-455C-ACCB-3E49DC7A75E2}" name="Level D" dataDxfId="34" totalsRowDxfId="33"/>
    <tableColumn id="71" xr3:uid="{3012DB96-584B-4D22-8516-5873FCB359C9}" name="Male Crim" dataDxfId="32" totalsRowDxfId="31"/>
    <tableColumn id="72" xr3:uid="{8ACA202C-1C63-4272-8BCC-2536B7815E1D}" name="Male Non-Crim" dataDxfId="30" totalsRowDxfId="29"/>
    <tableColumn id="73" xr3:uid="{FF726A5C-C4DB-4B9A-90B8-EC9F564877E5}" name="Female Crim" dataDxfId="28" totalsRowDxfId="27"/>
    <tableColumn id="74" xr3:uid="{E9290274-E90B-4782-AC01-273DFEB6B6DC}" name="Female Non-Crim" dataDxfId="26" totalsRowDxfId="25"/>
    <tableColumn id="75" xr3:uid="{F77A62A0-AA8E-42A7-8F25-1B689F37B8E4}" name="ICE Threat Level 1" dataDxfId="24" totalsRowDxfId="23"/>
    <tableColumn id="76" xr3:uid="{4FFC1CB6-F098-4D6B-A904-E5B7164A0EC6}" name="ICE Threat Level 2" dataDxfId="22" totalsRowDxfId="21"/>
    <tableColumn id="77" xr3:uid="{42AE1F13-1AEC-4085-A24F-0E5B7E4B203B}" name="ICE Threat Level 3" dataDxfId="20" totalsRowDxfId="19"/>
    <tableColumn id="78" xr3:uid="{D96A840E-624E-4E3F-857A-F9A7636ABF82}" name="No ICE Threat Level" dataDxfId="18" totalsRowDxfId="17"/>
    <tableColumn id="79" xr3:uid="{05AE5A1E-118B-4B61-9E9E-A5B04CE85585}" name="Mandatory" dataDxfId="16" totalsRowDxfId="15"/>
    <tableColumn id="86" xr3:uid="{8CD16A7D-17BC-4DFF-9F76-A918D2D46B53}" name="Guaranteed Minimum" dataDxfId="14" totalsRowDxfId="13"/>
    <tableColumn id="124" xr3:uid="{A0CF3BB1-585B-4492-B42B-131ACD035C0D}" name="Last Inspection Type" dataDxfId="12" totalsRowDxfId="11"/>
    <tableColumn id="129" xr3:uid="{ED5A89C6-5593-4246-B901-CA1A361DEAEA}" name="Last Inspection Standard" dataDxfId="10" totalsRowDxfId="9"/>
    <tableColumn id="93" xr3:uid="{3113D64C-A15D-4095-AA04-8E729453B939}" name="Last Inspection Rating - Final" dataDxfId="8"/>
    <tableColumn id="95" xr3:uid="{F0099AAF-A63D-4222-A3CD-DE6E04695BBB}" name="Last Inspection Date" dataDxfId="7" totalsRowDxfId="6"/>
    <tableColumn id="125" xr3:uid="{DEB54A46-F1FD-4FC1-A2A4-8B2B1B9B6BB1}" name="Second to Last Inspection Type" dataDxfId="5" totalsRowDxfId="4"/>
    <tableColumn id="131" xr3:uid="{808F7F2B-13B5-4429-BA8C-0C233BB86DAC}" name="Second to Last Inspection Standard" dataDxfId="3" totalsRowDxfId="2"/>
    <tableColumn id="97" xr3:uid="{9B426976-5F3A-4B8A-B85B-59B2AD05D064}" name="Second to Last Inspection Date"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zoomScale="80" zoomScaleNormal="80" workbookViewId="0"/>
  </sheetViews>
  <sheetFormatPr defaultColWidth="0" defaultRowHeight="14.5" zeroHeight="1" x14ac:dyDescent="0.35"/>
  <cols>
    <col min="1" max="1" width="110.453125" customWidth="1"/>
    <col min="2" max="16384" width="8.81640625" hidden="1"/>
  </cols>
  <sheetData>
    <row r="1" spans="1:1" ht="119.15" customHeight="1" x14ac:dyDescent="0.35">
      <c r="A1" s="17" t="s">
        <v>516</v>
      </c>
    </row>
    <row r="2" spans="1:1" ht="51.75" customHeight="1" x14ac:dyDescent="0.35">
      <c r="A2" s="16" t="s">
        <v>48</v>
      </c>
    </row>
    <row r="3" spans="1:1" ht="76.400000000000006" customHeight="1" x14ac:dyDescent="0.35">
      <c r="A3" s="16" t="s">
        <v>550</v>
      </c>
    </row>
    <row r="4" spans="1:1" ht="22.5" customHeight="1" x14ac:dyDescent="0.35">
      <c r="A4" s="16" t="s">
        <v>515</v>
      </c>
    </row>
    <row r="5" spans="1:1" ht="36.75" customHeight="1" x14ac:dyDescent="0.35">
      <c r="A5" s="16" t="s">
        <v>488</v>
      </c>
    </row>
    <row r="6" spans="1: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BD155"/>
  <sheetViews>
    <sheetView showGridLines="0" tabSelected="1" topLeftCell="A2" zoomScaleNormal="100" workbookViewId="0">
      <selection activeCell="D14" sqref="D14"/>
    </sheetView>
  </sheetViews>
  <sheetFormatPr defaultRowHeight="15" x14ac:dyDescent="0.35"/>
  <cols>
    <col min="1" max="1" width="21.453125" customWidth="1"/>
    <col min="2" max="2" width="13.54296875" customWidth="1"/>
    <col min="3" max="3" width="18.453125" bestFit="1" customWidth="1"/>
    <col min="4" max="4" width="22.1796875" style="1" customWidth="1"/>
    <col min="5" max="9" width="19.54296875" style="1" customWidth="1"/>
    <col min="10" max="10" width="15" style="1" customWidth="1"/>
    <col min="11" max="12" width="9.1796875" style="1"/>
    <col min="13" max="13" width="8.81640625" style="11"/>
    <col min="14" max="16" width="9.1796875" style="1"/>
  </cols>
  <sheetData>
    <row r="1" spans="1:56" s="2" customFormat="1" ht="38.5" customHeight="1" x14ac:dyDescent="0.35">
      <c r="A1" s="344" t="s">
        <v>47</v>
      </c>
      <c r="B1" s="344"/>
      <c r="C1" s="344"/>
      <c r="D1" s="344"/>
      <c r="E1" s="11"/>
      <c r="F1" s="11"/>
      <c r="G1" s="11"/>
      <c r="H1" s="11"/>
      <c r="I1" s="11"/>
      <c r="J1" s="11"/>
      <c r="K1" s="11"/>
      <c r="L1" s="11"/>
      <c r="M1" s="11"/>
      <c r="N1" s="11"/>
      <c r="O1" s="11"/>
      <c r="P1" s="11"/>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row>
    <row r="2" spans="1:56" s="2" customFormat="1" ht="15.65" customHeight="1" x14ac:dyDescent="0.35">
      <c r="A2" s="347" t="s">
        <v>985</v>
      </c>
      <c r="B2" s="347"/>
      <c r="C2" s="347"/>
      <c r="D2" s="347"/>
      <c r="E2" s="11"/>
      <c r="F2" s="11"/>
      <c r="G2" s="11"/>
      <c r="H2" s="11"/>
      <c r="I2" s="11"/>
      <c r="J2" s="11"/>
      <c r="K2" s="11"/>
      <c r="L2" s="11"/>
      <c r="M2" s="11"/>
      <c r="N2" s="11"/>
      <c r="O2" s="11"/>
      <c r="P2" s="11"/>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row>
    <row r="3" spans="1:56" s="2" customFormat="1" x14ac:dyDescent="0.35">
      <c r="A3" s="347"/>
      <c r="B3" s="347"/>
      <c r="C3" s="347"/>
      <c r="D3" s="347"/>
      <c r="E3" s="11"/>
      <c r="F3" s="11"/>
      <c r="G3" s="32"/>
      <c r="H3" s="11"/>
      <c r="I3" s="11"/>
      <c r="J3" s="11"/>
      <c r="K3" s="11"/>
      <c r="L3" s="11"/>
      <c r="M3" s="11"/>
      <c r="N3" s="11"/>
      <c r="O3" s="11"/>
      <c r="P3" s="11"/>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6" ht="26" x14ac:dyDescent="0.35">
      <c r="A4" s="343" t="s">
        <v>565</v>
      </c>
      <c r="B4" s="343"/>
      <c r="C4" s="343"/>
      <c r="D4" s="343"/>
      <c r="E4" s="19"/>
      <c r="F4" s="19"/>
      <c r="G4" s="19"/>
      <c r="H4" s="19"/>
      <c r="I4" s="19"/>
      <c r="J4" s="11"/>
      <c r="K4" s="11"/>
      <c r="L4" s="11"/>
      <c r="N4" s="11"/>
      <c r="O4" s="11"/>
      <c r="P4" s="11"/>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row>
    <row r="5" spans="1:56" ht="26" x14ac:dyDescent="0.35">
      <c r="A5" s="31"/>
      <c r="B5" s="31"/>
      <c r="C5" s="31"/>
      <c r="D5" s="33"/>
      <c r="E5" s="19"/>
      <c r="F5" s="19"/>
      <c r="G5" s="19"/>
      <c r="H5" s="19"/>
      <c r="I5" s="19"/>
      <c r="J5" s="11"/>
      <c r="K5" s="11"/>
      <c r="L5" s="11"/>
      <c r="N5" s="11"/>
      <c r="O5" s="11"/>
      <c r="P5" s="11"/>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row>
    <row r="6" spans="1:56" x14ac:dyDescent="0.35">
      <c r="A6" s="30"/>
      <c r="B6" s="30"/>
      <c r="C6" s="30"/>
      <c r="D6" s="11"/>
      <c r="E6" s="11"/>
      <c r="F6" s="11"/>
      <c r="G6" s="11"/>
      <c r="H6" s="11"/>
      <c r="I6" s="11"/>
      <c r="J6" s="11"/>
      <c r="K6" s="11"/>
      <c r="L6" s="11"/>
      <c r="N6" s="11"/>
      <c r="O6" s="11"/>
      <c r="P6" s="11"/>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row>
    <row r="7" spans="1:56" ht="29.5" customHeight="1" x14ac:dyDescent="0.35">
      <c r="A7" s="345" t="s">
        <v>554</v>
      </c>
      <c r="B7" s="345"/>
      <c r="C7" s="345"/>
      <c r="D7" s="34"/>
      <c r="E7" s="11"/>
      <c r="F7" s="11"/>
      <c r="G7" s="11"/>
      <c r="H7" s="11"/>
      <c r="I7" s="11"/>
      <c r="J7" s="11"/>
      <c r="K7" s="11"/>
      <c r="L7" s="11"/>
      <c r="N7" s="11"/>
      <c r="O7" s="11"/>
      <c r="P7" s="11"/>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spans="1:56" x14ac:dyDescent="0.35">
      <c r="A8" s="26" t="s">
        <v>552</v>
      </c>
      <c r="B8" s="26" t="s">
        <v>490</v>
      </c>
      <c r="C8" s="26" t="s">
        <v>553</v>
      </c>
      <c r="D8" s="11"/>
      <c r="E8" s="11"/>
      <c r="F8" s="53" t="s">
        <v>567</v>
      </c>
      <c r="G8" s="53"/>
      <c r="H8" s="53"/>
      <c r="I8" s="11"/>
      <c r="J8" s="11"/>
      <c r="K8" s="11"/>
      <c r="L8" s="11"/>
      <c r="N8" s="11"/>
      <c r="O8" s="11"/>
      <c r="P8" s="11"/>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row>
    <row r="9" spans="1:56" x14ac:dyDescent="0.35">
      <c r="A9" s="12" t="s">
        <v>74</v>
      </c>
      <c r="B9" s="72">
        <v>7484</v>
      </c>
      <c r="C9" s="74">
        <v>20506.16</v>
      </c>
      <c r="D9" s="11"/>
      <c r="E9" s="11"/>
      <c r="F9" s="54" t="s">
        <v>558</v>
      </c>
      <c r="G9" s="54" t="s">
        <v>490</v>
      </c>
      <c r="H9" s="54" t="s">
        <v>559</v>
      </c>
      <c r="I9" s="11"/>
      <c r="J9" s="11"/>
      <c r="K9" s="11"/>
      <c r="L9" s="11"/>
      <c r="N9" s="11"/>
      <c r="O9" s="11"/>
      <c r="P9" s="11"/>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row>
    <row r="10" spans="1:56" x14ac:dyDescent="0.35">
      <c r="A10" s="12" t="s">
        <v>492</v>
      </c>
      <c r="B10" s="14">
        <v>277191</v>
      </c>
      <c r="C10" s="28">
        <v>266103.36</v>
      </c>
      <c r="D10" s="11"/>
      <c r="E10" s="11"/>
      <c r="F10" s="61" t="s">
        <v>560</v>
      </c>
      <c r="G10" s="46">
        <v>10937</v>
      </c>
      <c r="H10" s="47">
        <v>0.99355014534883723</v>
      </c>
      <c r="I10" s="11"/>
      <c r="J10" s="11"/>
      <c r="K10" s="11"/>
      <c r="L10" s="11"/>
      <c r="N10" s="11"/>
      <c r="O10" s="11"/>
      <c r="P10" s="11"/>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row>
    <row r="11" spans="1:56" x14ac:dyDescent="0.35">
      <c r="A11" s="12" t="s">
        <v>556</v>
      </c>
      <c r="B11" s="72">
        <v>16680</v>
      </c>
      <c r="C11" s="74">
        <v>3002.3999999993689</v>
      </c>
      <c r="D11" s="11"/>
      <c r="E11" s="11"/>
      <c r="F11" s="64" t="s">
        <v>561</v>
      </c>
      <c r="G11" s="65">
        <v>71</v>
      </c>
      <c r="H11" s="66">
        <v>6.4498546511627909E-3</v>
      </c>
      <c r="I11" s="11"/>
      <c r="J11" s="11"/>
      <c r="K11" s="11"/>
      <c r="L11" s="11"/>
      <c r="N11" s="11"/>
      <c r="O11" s="11"/>
      <c r="P11" s="11"/>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row>
    <row r="12" spans="1:56" x14ac:dyDescent="0.35">
      <c r="A12" s="12" t="s">
        <v>555</v>
      </c>
      <c r="B12" s="14">
        <v>56670</v>
      </c>
      <c r="C12" s="28">
        <v>0</v>
      </c>
      <c r="D12" s="34"/>
      <c r="E12" s="11"/>
      <c r="F12" s="61" t="s">
        <v>0</v>
      </c>
      <c r="G12" s="46">
        <v>11008</v>
      </c>
      <c r="H12" s="55">
        <v>1</v>
      </c>
      <c r="I12" s="11"/>
      <c r="J12" s="11"/>
      <c r="K12" s="11"/>
      <c r="L12" s="11"/>
      <c r="N12" s="11"/>
      <c r="O12" s="11"/>
      <c r="P12" s="11"/>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row>
    <row r="13" spans="1:56" x14ac:dyDescent="0.35">
      <c r="A13" s="13" t="s">
        <v>0</v>
      </c>
      <c r="B13" s="15">
        <v>358025</v>
      </c>
      <c r="C13" s="29">
        <v>289611.92</v>
      </c>
      <c r="D13" s="11"/>
      <c r="E13" s="11"/>
      <c r="F13" s="56" t="s">
        <v>563</v>
      </c>
      <c r="G13" s="56"/>
      <c r="H13" s="56"/>
      <c r="I13" s="11"/>
      <c r="J13" s="11"/>
      <c r="K13" s="11"/>
      <c r="L13" s="11"/>
      <c r="N13" s="11"/>
      <c r="O13" s="11"/>
      <c r="P13" s="11"/>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row>
    <row r="14" spans="1:56" x14ac:dyDescent="0.35">
      <c r="A14" s="346" t="s">
        <v>570</v>
      </c>
      <c r="B14" s="346"/>
      <c r="C14" s="346"/>
      <c r="D14" s="11"/>
      <c r="E14" s="11"/>
      <c r="F14" s="35"/>
      <c r="G14" s="35"/>
      <c r="H14" s="35"/>
      <c r="I14" s="11"/>
      <c r="J14" s="11"/>
      <c r="K14" s="11"/>
      <c r="L14" s="11"/>
      <c r="N14" s="11"/>
      <c r="O14" s="11"/>
      <c r="P14" s="11"/>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spans="1:56" x14ac:dyDescent="0.35">
      <c r="A15" s="27"/>
      <c r="B15" s="27"/>
      <c r="C15" s="27"/>
      <c r="D15" s="11"/>
      <c r="E15" s="11"/>
      <c r="F15" s="53" t="s">
        <v>568</v>
      </c>
      <c r="G15" s="58"/>
      <c r="H15" s="58"/>
      <c r="I15" s="11"/>
      <c r="J15" s="11"/>
      <c r="K15" s="11"/>
      <c r="L15" s="11"/>
      <c r="N15" s="11"/>
      <c r="O15" s="11"/>
      <c r="P15" s="11"/>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row>
    <row r="16" spans="1:56" ht="43.5" customHeight="1" x14ac:dyDescent="0.35">
      <c r="A16" s="345" t="s">
        <v>566</v>
      </c>
      <c r="B16" s="345"/>
      <c r="C16" s="345"/>
      <c r="D16" s="11"/>
      <c r="E16" s="11"/>
      <c r="F16" s="54" t="s">
        <v>558</v>
      </c>
      <c r="G16" s="59" t="s">
        <v>490</v>
      </c>
      <c r="H16" s="59" t="s">
        <v>559</v>
      </c>
      <c r="I16" s="11"/>
      <c r="J16" s="11"/>
      <c r="K16" s="11"/>
      <c r="L16" s="11"/>
      <c r="N16" s="11"/>
      <c r="O16" s="11"/>
      <c r="P16" s="11"/>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row>
    <row r="17" spans="1:56" x14ac:dyDescent="0.35">
      <c r="A17" s="26" t="s">
        <v>489</v>
      </c>
      <c r="B17" s="26" t="s">
        <v>490</v>
      </c>
      <c r="C17" s="26" t="s">
        <v>51</v>
      </c>
      <c r="D17" s="11"/>
      <c r="E17" s="11"/>
      <c r="F17" s="57" t="s">
        <v>560</v>
      </c>
      <c r="G17" s="51">
        <v>1431</v>
      </c>
      <c r="H17" s="47">
        <v>0.95272969374167771</v>
      </c>
      <c r="I17" s="11"/>
      <c r="J17" s="11"/>
      <c r="K17" s="11"/>
      <c r="L17" s="11"/>
      <c r="N17" s="11"/>
      <c r="O17" s="11"/>
      <c r="P17" s="11"/>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row>
    <row r="18" spans="1:56" x14ac:dyDescent="0.35">
      <c r="A18" s="12" t="s">
        <v>491</v>
      </c>
      <c r="B18" s="14">
        <v>79935</v>
      </c>
      <c r="C18" s="14">
        <v>668.36</v>
      </c>
      <c r="D18" s="11"/>
      <c r="E18" s="11"/>
      <c r="F18" s="57" t="s">
        <v>561</v>
      </c>
      <c r="G18" s="51">
        <v>71</v>
      </c>
      <c r="H18" s="47">
        <v>4.7270306258322237E-2</v>
      </c>
      <c r="I18" s="11"/>
      <c r="J18" s="11"/>
      <c r="K18" s="11"/>
      <c r="L18" s="11"/>
      <c r="N18" s="11"/>
      <c r="O18" s="11"/>
      <c r="P18" s="11"/>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1:56" x14ac:dyDescent="0.35">
      <c r="A19" s="12" t="s">
        <v>518</v>
      </c>
      <c r="B19" s="14">
        <v>339</v>
      </c>
      <c r="C19" s="14">
        <v>1093.3800000000001</v>
      </c>
      <c r="D19" s="11"/>
      <c r="E19" s="11"/>
      <c r="F19" s="62" t="s">
        <v>0</v>
      </c>
      <c r="G19" s="48">
        <v>1502</v>
      </c>
      <c r="H19" s="49">
        <v>1</v>
      </c>
      <c r="I19" s="11"/>
      <c r="J19" s="11"/>
      <c r="K19" s="11"/>
      <c r="L19" s="11"/>
      <c r="N19" s="11"/>
      <c r="O19" s="11"/>
      <c r="P19" s="11"/>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1:56" x14ac:dyDescent="0.35">
      <c r="A20" s="12" t="s">
        <v>517</v>
      </c>
      <c r="B20" s="73">
        <v>277490</v>
      </c>
      <c r="C20" s="73">
        <v>234.35986882410177</v>
      </c>
      <c r="D20" s="11"/>
      <c r="E20" s="11"/>
      <c r="F20" s="56" t="s">
        <v>562</v>
      </c>
      <c r="G20" s="60"/>
      <c r="H20" s="60"/>
      <c r="I20" s="11"/>
      <c r="J20" s="11"/>
      <c r="K20" s="11"/>
      <c r="L20" s="11"/>
      <c r="N20" s="11"/>
      <c r="O20" s="11"/>
      <c r="P20" s="11"/>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1:56" x14ac:dyDescent="0.35">
      <c r="A21" s="12" t="s">
        <v>519</v>
      </c>
      <c r="B21" s="73">
        <v>261</v>
      </c>
      <c r="C21" s="73">
        <v>1010.3831417624521</v>
      </c>
      <c r="D21" s="11"/>
      <c r="E21" s="11"/>
      <c r="F21" s="56" t="s">
        <v>563</v>
      </c>
      <c r="G21" s="50"/>
      <c r="H21" s="50"/>
      <c r="I21" s="11"/>
      <c r="J21" s="11"/>
      <c r="K21" s="11"/>
      <c r="L21" s="11"/>
      <c r="N21" s="11"/>
      <c r="O21" s="11"/>
      <c r="P21" s="11"/>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1:56" x14ac:dyDescent="0.35">
      <c r="A22" s="13" t="s">
        <v>0</v>
      </c>
      <c r="B22" s="15">
        <v>358025</v>
      </c>
      <c r="C22" s="15">
        <v>332.64</v>
      </c>
      <c r="D22" s="11"/>
      <c r="E22" s="11"/>
      <c r="F22" s="52"/>
      <c r="G22" s="52"/>
      <c r="H22" s="11"/>
      <c r="I22" s="11"/>
      <c r="J22" s="11"/>
      <c r="K22" s="11"/>
      <c r="L22" s="11"/>
      <c r="N22" s="11"/>
      <c r="O22" s="11"/>
      <c r="P22" s="11"/>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row>
    <row r="23" spans="1:56" x14ac:dyDescent="0.35">
      <c r="A23" s="346" t="s">
        <v>570</v>
      </c>
      <c r="B23" s="346"/>
      <c r="C23" s="346"/>
      <c r="D23" s="11"/>
      <c r="E23" s="11"/>
      <c r="F23"/>
      <c r="G23"/>
      <c r="H23"/>
      <c r="I23" s="11"/>
      <c r="J23" s="11"/>
      <c r="K23" s="11"/>
      <c r="L23" s="11"/>
      <c r="N23" s="11"/>
      <c r="O23" s="11"/>
      <c r="P23" s="11"/>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row>
    <row r="24" spans="1:56" x14ac:dyDescent="0.35">
      <c r="A24" s="346" t="s">
        <v>569</v>
      </c>
      <c r="B24" s="346"/>
      <c r="C24" s="346"/>
      <c r="D24" s="11"/>
      <c r="E24" s="11"/>
      <c r="F24" s="11"/>
      <c r="G24" s="11"/>
      <c r="H24" s="11"/>
      <c r="I24"/>
      <c r="J24" s="11"/>
      <c r="K24" s="11"/>
      <c r="L24" s="11"/>
      <c r="N24" s="11"/>
      <c r="O24" s="11"/>
      <c r="P24" s="11"/>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row>
    <row r="25" spans="1:56" x14ac:dyDescent="0.35">
      <c r="A25" s="342"/>
      <c r="B25" s="342"/>
      <c r="C25" s="342"/>
      <c r="D25" s="11"/>
      <c r="E25" s="11"/>
      <c r="F25" s="11"/>
      <c r="G25" s="11"/>
      <c r="H25" s="11"/>
      <c r="I25" s="11"/>
      <c r="J25" s="11"/>
      <c r="K25" s="11"/>
      <c r="L25" s="11"/>
      <c r="N25" s="11"/>
      <c r="O25" s="11"/>
      <c r="P25" s="11"/>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row>
    <row r="26" spans="1:56" x14ac:dyDescent="0.35">
      <c r="A26" s="342"/>
      <c r="B26" s="342"/>
      <c r="C26" s="342"/>
      <c r="D26" s="11"/>
      <c r="E26" s="11"/>
      <c r="F26" s="11"/>
      <c r="G26" s="11"/>
      <c r="H26" s="11"/>
      <c r="I26" s="11"/>
      <c r="J26" s="11"/>
      <c r="K26" s="11"/>
      <c r="L26" s="11"/>
      <c r="N26" s="11"/>
      <c r="O26" s="11"/>
      <c r="P26" s="11"/>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row>
    <row r="27" spans="1:56" ht="28.5" customHeight="1" thickBot="1" x14ac:dyDescent="0.4">
      <c r="A27" s="342" t="s">
        <v>571</v>
      </c>
      <c r="B27" s="342"/>
      <c r="C27" s="342"/>
      <c r="D27" s="11"/>
      <c r="E27" s="11"/>
      <c r="F27" s="11"/>
      <c r="G27" s="11"/>
      <c r="H27" s="11"/>
      <c r="I27" s="11"/>
      <c r="J27" s="11"/>
      <c r="K27" s="11"/>
      <c r="L27" s="11"/>
      <c r="N27" s="11"/>
      <c r="O27" s="11"/>
      <c r="P27" s="11"/>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1:56" ht="30.5" thickBot="1" x14ac:dyDescent="0.4">
      <c r="A28" s="36" t="s">
        <v>521</v>
      </c>
      <c r="B28" s="36" t="s">
        <v>490</v>
      </c>
      <c r="C28" s="36" t="s">
        <v>522</v>
      </c>
      <c r="D28" s="11"/>
      <c r="E28" s="11"/>
      <c r="F28" s="11"/>
      <c r="G28" s="11"/>
      <c r="H28" s="11"/>
      <c r="I28" s="11"/>
      <c r="J28" s="11"/>
      <c r="K28" s="11"/>
      <c r="L28" s="11"/>
      <c r="N28" s="11"/>
      <c r="O28" s="11"/>
      <c r="P28" s="11"/>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1:56" ht="16" thickBot="1" x14ac:dyDescent="0.4">
      <c r="A29" s="37" t="s">
        <v>0</v>
      </c>
      <c r="B29" s="38">
        <v>358025</v>
      </c>
      <c r="C29" s="39">
        <v>332.64</v>
      </c>
      <c r="D29" s="11"/>
      <c r="E29" s="11"/>
      <c r="F29" s="11"/>
      <c r="G29" s="11"/>
      <c r="H29" s="11"/>
      <c r="I29" s="11"/>
      <c r="J29" s="11"/>
      <c r="K29" s="11"/>
      <c r="L29" s="11"/>
      <c r="N29" s="11"/>
      <c r="O29" s="11"/>
      <c r="P29" s="11"/>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1:56" ht="15.5" thickBot="1" x14ac:dyDescent="0.4">
      <c r="A30" s="43" t="s">
        <v>493</v>
      </c>
      <c r="B30" s="44">
        <v>4959</v>
      </c>
      <c r="C30" s="45">
        <v>568.10123008671098</v>
      </c>
      <c r="D30" s="69"/>
      <c r="E30" s="70"/>
      <c r="F30" s="71"/>
      <c r="G30" s="11"/>
      <c r="H30" s="11"/>
      <c r="I30" s="11"/>
      <c r="J30" s="11"/>
      <c r="K30" s="11"/>
      <c r="L30" s="11"/>
      <c r="N30" s="11"/>
      <c r="O30" s="11"/>
      <c r="P30" s="11"/>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1:56" ht="16" thickBot="1" x14ac:dyDescent="0.4">
      <c r="A31" s="40" t="s">
        <v>74</v>
      </c>
      <c r="B31" s="41">
        <v>316</v>
      </c>
      <c r="C31" s="42">
        <v>521.17405063291142</v>
      </c>
      <c r="D31" s="69"/>
      <c r="E31" s="70"/>
      <c r="F31" s="71"/>
      <c r="G31" s="11"/>
      <c r="H31" s="11"/>
      <c r="I31" s="11"/>
      <c r="J31" s="11"/>
      <c r="K31" s="11"/>
      <c r="L31" s="11"/>
      <c r="N31" s="11"/>
      <c r="O31" s="11"/>
      <c r="P31" s="11"/>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row>
    <row r="32" spans="1:56" ht="16" thickBot="1" x14ac:dyDescent="0.4">
      <c r="A32" s="40" t="s">
        <v>492</v>
      </c>
      <c r="B32" s="41">
        <v>4200</v>
      </c>
      <c r="C32" s="42">
        <v>447.44976190476189</v>
      </c>
      <c r="D32" s="69"/>
      <c r="E32" s="70"/>
      <c r="F32" s="71"/>
      <c r="G32" s="11"/>
      <c r="H32" s="11"/>
      <c r="I32" s="11"/>
      <c r="J32" s="11"/>
      <c r="K32" s="11"/>
      <c r="L32" s="11"/>
      <c r="N32" s="11"/>
      <c r="O32" s="11"/>
      <c r="P32" s="11"/>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row>
    <row r="33" spans="1:56" ht="16" thickBot="1" x14ac:dyDescent="0.4">
      <c r="A33" s="40" t="s">
        <v>21</v>
      </c>
      <c r="B33" s="41">
        <v>443</v>
      </c>
      <c r="C33" s="42">
        <v>1745.4492099322799</v>
      </c>
      <c r="D33" s="69"/>
      <c r="E33" s="70"/>
      <c r="F33" s="71"/>
      <c r="G33" s="11"/>
      <c r="H33" s="11"/>
      <c r="I33" s="11"/>
      <c r="J33" s="11"/>
      <c r="K33" s="11"/>
      <c r="L33" s="11"/>
      <c r="N33" s="11"/>
      <c r="O33" s="11"/>
      <c r="P33" s="11"/>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row>
    <row r="34" spans="1:56" ht="15.5" thickBot="1" x14ac:dyDescent="0.4">
      <c r="A34" s="43" t="s">
        <v>494</v>
      </c>
      <c r="B34" s="44">
        <v>3568</v>
      </c>
      <c r="C34" s="45">
        <v>623.36266816143495</v>
      </c>
      <c r="D34" s="69"/>
      <c r="E34" s="70"/>
      <c r="F34" s="71"/>
      <c r="G34" s="11"/>
      <c r="H34" s="11"/>
      <c r="I34" s="11"/>
      <c r="J34" s="11"/>
      <c r="K34" s="11"/>
      <c r="L34" s="11"/>
      <c r="N34" s="11"/>
      <c r="O34" s="11"/>
      <c r="P34" s="11"/>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row>
    <row r="35" spans="1:56" ht="16" thickBot="1" x14ac:dyDescent="0.4">
      <c r="A35" s="40" t="s">
        <v>74</v>
      </c>
      <c r="B35" s="41">
        <v>99</v>
      </c>
      <c r="C35" s="42">
        <v>360.73737373737373</v>
      </c>
      <c r="D35" s="69"/>
      <c r="E35" s="70"/>
      <c r="F35" s="71"/>
      <c r="G35" s="11"/>
      <c r="H35" s="11"/>
      <c r="I35" s="11"/>
      <c r="J35" s="11"/>
      <c r="K35" s="11"/>
      <c r="L35" s="11"/>
      <c r="N35" s="11"/>
      <c r="O35" s="11"/>
      <c r="P35" s="11"/>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1:56" ht="16" thickBot="1" x14ac:dyDescent="0.4">
      <c r="A36" s="40" t="s">
        <v>492</v>
      </c>
      <c r="B36" s="41">
        <v>3240</v>
      </c>
      <c r="C36" s="42">
        <v>567.98364197530861</v>
      </c>
      <c r="D36" s="69"/>
      <c r="E36" s="70"/>
      <c r="F36" s="71"/>
      <c r="G36" s="11"/>
      <c r="H36" s="11"/>
      <c r="I36" s="11"/>
      <c r="J36" s="11"/>
      <c r="K36" s="11"/>
      <c r="L36" s="11"/>
      <c r="N36" s="11"/>
      <c r="O36" s="11"/>
      <c r="P36" s="11"/>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1:56" ht="16" thickBot="1" x14ac:dyDescent="0.4">
      <c r="A37" s="40" t="s">
        <v>21</v>
      </c>
      <c r="B37" s="41">
        <v>226</v>
      </c>
      <c r="C37" s="42">
        <v>1539.8141592920354</v>
      </c>
      <c r="D37" s="69"/>
      <c r="E37" s="70"/>
      <c r="F37" s="71"/>
      <c r="G37" s="11"/>
      <c r="H37" s="11"/>
      <c r="I37" s="11"/>
      <c r="J37" s="11"/>
      <c r="K37" s="11"/>
      <c r="L37" s="11"/>
      <c r="N37" s="11"/>
      <c r="O37" s="11"/>
      <c r="P37" s="11"/>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row>
    <row r="38" spans="1:56" ht="16" thickBot="1" x14ac:dyDescent="0.4">
      <c r="A38" s="40" t="s">
        <v>557</v>
      </c>
      <c r="B38" s="41">
        <v>3</v>
      </c>
      <c r="C38" s="42">
        <v>60</v>
      </c>
      <c r="D38" s="69"/>
      <c r="E38" s="70"/>
      <c r="F38" s="71"/>
      <c r="G38" s="11"/>
      <c r="H38" s="11"/>
      <c r="I38" s="11"/>
      <c r="J38" s="11"/>
      <c r="K38" s="11"/>
      <c r="L38" s="11"/>
      <c r="N38" s="11"/>
      <c r="O38" s="11"/>
      <c r="P38" s="11"/>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row>
    <row r="39" spans="1:56" ht="15.5" thickBot="1" x14ac:dyDescent="0.4">
      <c r="A39" s="43" t="s">
        <v>495</v>
      </c>
      <c r="B39" s="44">
        <v>9131</v>
      </c>
      <c r="C39" s="45">
        <v>287.4009418464571</v>
      </c>
      <c r="D39" s="69"/>
      <c r="E39" s="70"/>
      <c r="F39" s="71"/>
      <c r="G39" s="11"/>
      <c r="H39" s="11"/>
      <c r="I39" s="11"/>
      <c r="J39" s="11"/>
      <c r="K39" s="11"/>
      <c r="L39" s="11"/>
      <c r="N39" s="11"/>
      <c r="O39" s="11"/>
      <c r="P39" s="11"/>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row>
    <row r="40" spans="1:56" ht="16" thickBot="1" x14ac:dyDescent="0.4">
      <c r="A40" s="40" t="s">
        <v>74</v>
      </c>
      <c r="B40" s="41">
        <v>165</v>
      </c>
      <c r="C40" s="42">
        <v>250.36363636363637</v>
      </c>
      <c r="D40" s="69"/>
      <c r="E40" s="70"/>
      <c r="F40" s="71"/>
      <c r="G40" s="11"/>
      <c r="H40" s="11"/>
      <c r="I40" s="11"/>
      <c r="J40" s="11"/>
      <c r="K40" s="11"/>
      <c r="L40" s="11"/>
      <c r="N40" s="11"/>
      <c r="O40" s="11"/>
      <c r="P40" s="11"/>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1:56" ht="16" thickBot="1" x14ac:dyDescent="0.4">
      <c r="A41" s="40" t="s">
        <v>492</v>
      </c>
      <c r="B41" s="41">
        <v>8942</v>
      </c>
      <c r="C41" s="42">
        <v>287.32062178483562</v>
      </c>
      <c r="D41" s="69"/>
      <c r="E41" s="70"/>
      <c r="F41" s="71"/>
      <c r="G41" s="11"/>
      <c r="H41" s="11"/>
      <c r="I41" s="11"/>
      <c r="J41" s="11"/>
      <c r="K41" s="11"/>
      <c r="L41" s="11"/>
      <c r="N41" s="11"/>
      <c r="O41" s="11"/>
      <c r="P41" s="11"/>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row>
    <row r="42" spans="1:56" ht="16" thickBot="1" x14ac:dyDescent="0.4">
      <c r="A42" s="40" t="s">
        <v>21</v>
      </c>
      <c r="B42" s="41">
        <v>12</v>
      </c>
      <c r="C42" s="42">
        <v>1046.75</v>
      </c>
      <c r="D42" s="69"/>
      <c r="E42" s="70"/>
      <c r="F42" s="71"/>
      <c r="G42" s="11"/>
      <c r="H42" s="11"/>
      <c r="I42" s="11"/>
      <c r="J42" s="11"/>
      <c r="K42" s="11"/>
      <c r="L42" s="11"/>
      <c r="N42" s="11"/>
      <c r="O42" s="11"/>
      <c r="P42" s="11"/>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row>
    <row r="43" spans="1:56" ht="16" thickBot="1" x14ac:dyDescent="0.4">
      <c r="A43" s="40" t="s">
        <v>557</v>
      </c>
      <c r="B43" s="41">
        <v>12</v>
      </c>
      <c r="C43" s="42">
        <v>97.166666666666671</v>
      </c>
      <c r="D43" s="69"/>
      <c r="E43" s="70"/>
      <c r="F43" s="71"/>
      <c r="G43" s="11"/>
      <c r="H43" s="11"/>
      <c r="I43" s="11"/>
      <c r="J43" s="11"/>
      <c r="K43" s="11"/>
      <c r="L43" s="11"/>
      <c r="N43" s="11"/>
      <c r="O43" s="11"/>
      <c r="P43" s="11"/>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row>
    <row r="44" spans="1:56" ht="15.5" thickBot="1" x14ac:dyDescent="0.4">
      <c r="A44" s="43" t="s">
        <v>496</v>
      </c>
      <c r="B44" s="44">
        <v>662</v>
      </c>
      <c r="C44" s="45">
        <v>836.23262839879158</v>
      </c>
      <c r="D44" s="69"/>
      <c r="E44" s="70"/>
      <c r="F44" s="71"/>
      <c r="G44" s="11"/>
      <c r="H44" s="11"/>
      <c r="I44" s="11"/>
      <c r="J44" s="11"/>
      <c r="K44" s="11"/>
      <c r="L44" s="11"/>
      <c r="N44" s="11"/>
      <c r="O44" s="11"/>
      <c r="P44" s="11"/>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row>
    <row r="45" spans="1:56" ht="16" thickBot="1" x14ac:dyDescent="0.4">
      <c r="A45" s="40" t="s">
        <v>74</v>
      </c>
      <c r="B45" s="41">
        <v>5</v>
      </c>
      <c r="C45" s="42">
        <v>519.20000000000005</v>
      </c>
      <c r="D45" s="69"/>
      <c r="E45" s="70"/>
      <c r="F45" s="71"/>
      <c r="G45" s="11"/>
      <c r="H45" s="11"/>
      <c r="I45" s="11"/>
      <c r="J45" s="11"/>
      <c r="K45" s="11"/>
      <c r="L45" s="11"/>
      <c r="N45" s="11"/>
      <c r="O45" s="11"/>
      <c r="P45" s="11"/>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row>
    <row r="46" spans="1:56" ht="16" thickBot="1" x14ac:dyDescent="0.4">
      <c r="A46" s="40" t="s">
        <v>492</v>
      </c>
      <c r="B46" s="41">
        <v>264</v>
      </c>
      <c r="C46" s="42">
        <v>213.63636363636363</v>
      </c>
      <c r="D46" s="69"/>
      <c r="E46" s="70"/>
      <c r="F46" s="71"/>
      <c r="G46" s="11"/>
      <c r="H46" s="11"/>
      <c r="I46" s="11"/>
      <c r="J46" s="11"/>
      <c r="K46" s="11"/>
      <c r="L46" s="11"/>
      <c r="N46" s="11"/>
      <c r="O46" s="11"/>
      <c r="P46" s="11"/>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row>
    <row r="47" spans="1:56" ht="16" thickBot="1" x14ac:dyDescent="0.4">
      <c r="A47" s="40" t="s">
        <v>21</v>
      </c>
      <c r="B47" s="41">
        <v>393</v>
      </c>
      <c r="C47" s="42">
        <v>1258.4987277353689</v>
      </c>
      <c r="D47" s="69"/>
      <c r="E47" s="70"/>
      <c r="F47" s="71"/>
      <c r="G47" s="11"/>
      <c r="H47" s="11"/>
      <c r="I47" s="11"/>
      <c r="J47" s="11"/>
      <c r="K47" s="11"/>
      <c r="L47" s="11"/>
      <c r="N47" s="11"/>
      <c r="O47" s="11"/>
      <c r="P47" s="11"/>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row>
    <row r="48" spans="1:56" ht="15.5" thickBot="1" x14ac:dyDescent="0.4">
      <c r="A48" s="43" t="s">
        <v>497</v>
      </c>
      <c r="B48" s="44">
        <v>13582</v>
      </c>
      <c r="C48" s="45">
        <v>669.69165071418058</v>
      </c>
      <c r="D48" s="69"/>
      <c r="E48" s="70"/>
      <c r="F48" s="71"/>
      <c r="G48" s="11"/>
      <c r="H48" s="11"/>
      <c r="I48" s="11"/>
      <c r="J48" s="11"/>
      <c r="K48" s="11"/>
      <c r="L48" s="11"/>
      <c r="N48" s="11"/>
      <c r="O48" s="11"/>
      <c r="P48" s="11"/>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row>
    <row r="49" spans="1:56" ht="16" thickBot="1" x14ac:dyDescent="0.4">
      <c r="A49" s="40" t="s">
        <v>74</v>
      </c>
      <c r="B49" s="41">
        <v>243</v>
      </c>
      <c r="C49" s="42">
        <v>527.07407407407402</v>
      </c>
      <c r="D49" s="69"/>
      <c r="E49" s="70"/>
      <c r="F49" s="71"/>
      <c r="G49" s="11"/>
      <c r="H49" s="11"/>
      <c r="I49" s="11"/>
      <c r="J49" s="11"/>
      <c r="K49" s="11"/>
      <c r="L49" s="11"/>
      <c r="N49" s="11"/>
      <c r="O49" s="11"/>
      <c r="P49" s="11"/>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row>
    <row r="50" spans="1:56" ht="16" thickBot="1" x14ac:dyDescent="0.4">
      <c r="A50" s="40" t="s">
        <v>492</v>
      </c>
      <c r="B50" s="41">
        <v>11691</v>
      </c>
      <c r="C50" s="42">
        <v>490.71302711487471</v>
      </c>
      <c r="D50" s="69"/>
      <c r="E50" s="70"/>
      <c r="F50" s="71"/>
      <c r="G50" s="11"/>
      <c r="H50" s="11"/>
      <c r="I50" s="11"/>
      <c r="J50" s="11"/>
      <c r="K50" s="11"/>
      <c r="L50" s="11"/>
      <c r="N50" s="11"/>
      <c r="O50" s="11"/>
      <c r="P50" s="11"/>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ht="16" thickBot="1" x14ac:dyDescent="0.4">
      <c r="A51" s="40" t="s">
        <v>21</v>
      </c>
      <c r="B51" s="41">
        <v>1640</v>
      </c>
      <c r="C51" s="42">
        <v>1969.6798780487804</v>
      </c>
      <c r="D51" s="69"/>
      <c r="E51" s="70"/>
      <c r="F51" s="71"/>
      <c r="G51" s="11"/>
      <c r="H51" s="11"/>
      <c r="I51" s="11"/>
      <c r="J51" s="11"/>
      <c r="K51" s="11"/>
      <c r="L51" s="11"/>
      <c r="N51" s="11"/>
      <c r="O51" s="11"/>
      <c r="P51" s="11"/>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ht="16" thickBot="1" x14ac:dyDescent="0.4">
      <c r="A52" s="40" t="s">
        <v>557</v>
      </c>
      <c r="B52" s="41">
        <v>8</v>
      </c>
      <c r="C52" s="42">
        <v>59</v>
      </c>
      <c r="D52" s="69"/>
      <c r="E52" s="70"/>
      <c r="F52" s="71"/>
      <c r="G52" s="11"/>
      <c r="H52" s="11"/>
      <c r="I52" s="11"/>
      <c r="J52" s="11"/>
      <c r="K52" s="11"/>
      <c r="L52" s="11"/>
      <c r="N52" s="11"/>
      <c r="O52" s="11"/>
      <c r="P52" s="11"/>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ht="15.5" thickBot="1" x14ac:dyDescent="0.4">
      <c r="A53" s="43" t="s">
        <v>498</v>
      </c>
      <c r="B53" s="44">
        <v>2333</v>
      </c>
      <c r="C53" s="45">
        <v>541.63994856408056</v>
      </c>
      <c r="D53" s="69"/>
      <c r="E53" s="70"/>
      <c r="F53" s="71"/>
      <c r="G53" s="11"/>
      <c r="H53" s="11"/>
      <c r="I53" s="11"/>
      <c r="J53" s="11"/>
      <c r="K53" s="11"/>
      <c r="L53" s="11"/>
      <c r="N53" s="11"/>
      <c r="O53" s="11"/>
      <c r="P53" s="11"/>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ht="16" thickBot="1" x14ac:dyDescent="0.4">
      <c r="A54" s="40" t="s">
        <v>74</v>
      </c>
      <c r="B54" s="41">
        <v>74</v>
      </c>
      <c r="C54" s="42">
        <v>331.44594594594594</v>
      </c>
      <c r="D54" s="69"/>
      <c r="E54" s="70"/>
      <c r="F54" s="71"/>
      <c r="G54" s="11"/>
      <c r="H54" s="11"/>
      <c r="I54" s="11"/>
      <c r="J54" s="11"/>
      <c r="K54" s="11"/>
      <c r="L54" s="11"/>
      <c r="N54" s="11"/>
      <c r="O54" s="11"/>
      <c r="P54" s="11"/>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row>
    <row r="55" spans="1:56" ht="16" thickBot="1" x14ac:dyDescent="0.4">
      <c r="A55" s="40" t="s">
        <v>492</v>
      </c>
      <c r="B55" s="41">
        <v>2204</v>
      </c>
      <c r="C55" s="42">
        <v>549.83802177858445</v>
      </c>
      <c r="D55" s="69"/>
      <c r="E55" s="70"/>
      <c r="F55" s="71"/>
      <c r="G55" s="11"/>
      <c r="H55" s="11"/>
      <c r="I55" s="11"/>
      <c r="J55" s="11"/>
      <c r="K55" s="11"/>
      <c r="L55" s="11"/>
      <c r="N55" s="11"/>
      <c r="O55" s="11"/>
      <c r="P55" s="11"/>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row>
    <row r="56" spans="1:56" ht="16" thickBot="1" x14ac:dyDescent="0.4">
      <c r="A56" s="40" t="s">
        <v>21</v>
      </c>
      <c r="B56" s="41">
        <v>16</v>
      </c>
      <c r="C56" s="42">
        <v>1559.25</v>
      </c>
      <c r="D56" s="69"/>
      <c r="E56" s="70"/>
      <c r="F56" s="71"/>
      <c r="G56" s="11"/>
      <c r="H56" s="11"/>
      <c r="I56" s="11"/>
      <c r="J56" s="11"/>
      <c r="K56" s="11"/>
      <c r="L56" s="11"/>
      <c r="N56" s="11"/>
      <c r="O56" s="11"/>
      <c r="P56" s="11"/>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ht="16" thickBot="1" x14ac:dyDescent="0.4">
      <c r="A57" s="40" t="s">
        <v>557</v>
      </c>
      <c r="B57" s="41">
        <v>39</v>
      </c>
      <c r="C57" s="42">
        <v>59.692307692307693</v>
      </c>
      <c r="D57" s="69"/>
      <c r="E57" s="70"/>
      <c r="F57" s="71"/>
      <c r="G57" s="11"/>
      <c r="H57" s="11"/>
      <c r="I57" s="11"/>
      <c r="J57" s="11"/>
      <c r="K57" s="11"/>
      <c r="L57" s="11"/>
      <c r="N57" s="11"/>
      <c r="O57" s="11"/>
      <c r="P57" s="11"/>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row>
    <row r="58" spans="1:56" ht="15.5" thickBot="1" x14ac:dyDescent="0.4">
      <c r="A58" s="43" t="s">
        <v>499</v>
      </c>
      <c r="B58" s="44">
        <v>3270</v>
      </c>
      <c r="C58" s="45">
        <v>509.94036697247708</v>
      </c>
      <c r="D58" s="69"/>
      <c r="E58" s="70"/>
      <c r="F58" s="71"/>
      <c r="G58" s="11"/>
      <c r="H58" s="11"/>
      <c r="I58" s="11"/>
      <c r="J58" s="11"/>
      <c r="K58" s="11"/>
      <c r="L58" s="11"/>
      <c r="N58" s="11"/>
      <c r="O58" s="11"/>
      <c r="P58" s="11"/>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row>
    <row r="59" spans="1:56" ht="16" thickBot="1" x14ac:dyDescent="0.4">
      <c r="A59" s="40" t="s">
        <v>74</v>
      </c>
      <c r="B59" s="41">
        <v>42</v>
      </c>
      <c r="C59" s="42">
        <v>211.26190476190476</v>
      </c>
      <c r="D59" s="69"/>
      <c r="E59" s="70"/>
      <c r="F59" s="71"/>
      <c r="G59" s="11"/>
      <c r="H59" s="11"/>
      <c r="I59" s="11"/>
      <c r="J59" s="11"/>
      <c r="K59" s="11"/>
      <c r="L59" s="11"/>
      <c r="N59" s="11"/>
      <c r="O59" s="11"/>
      <c r="P59" s="11"/>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row>
    <row r="60" spans="1:56" ht="16" thickBot="1" x14ac:dyDescent="0.4">
      <c r="A60" s="40" t="s">
        <v>492</v>
      </c>
      <c r="B60" s="41">
        <v>3047</v>
      </c>
      <c r="C60" s="42">
        <v>426.91237282573024</v>
      </c>
      <c r="D60" s="69"/>
      <c r="E60" s="70"/>
      <c r="F60" s="71"/>
      <c r="G60" s="11"/>
      <c r="H60" s="11"/>
      <c r="I60" s="11"/>
      <c r="J60" s="11"/>
      <c r="K60" s="11"/>
      <c r="L60" s="11"/>
      <c r="N60" s="11"/>
      <c r="O60" s="11"/>
      <c r="P60" s="11"/>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row>
    <row r="61" spans="1:56" ht="16" thickBot="1" x14ac:dyDescent="0.4">
      <c r="A61" s="40" t="s">
        <v>21</v>
      </c>
      <c r="B61" s="41">
        <v>178</v>
      </c>
      <c r="C61" s="42">
        <v>2006.5505617977528</v>
      </c>
      <c r="D61" s="69"/>
      <c r="E61" s="70"/>
      <c r="F61" s="71"/>
      <c r="G61" s="11"/>
      <c r="H61" s="11"/>
      <c r="I61" s="11"/>
      <c r="J61" s="11"/>
      <c r="K61" s="11"/>
      <c r="L61" s="11"/>
      <c r="N61" s="11"/>
      <c r="O61" s="11"/>
      <c r="P61" s="11"/>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row>
    <row r="62" spans="1:56" ht="16" thickBot="1" x14ac:dyDescent="0.4">
      <c r="A62" s="40" t="s">
        <v>557</v>
      </c>
      <c r="B62" s="41">
        <v>3</v>
      </c>
      <c r="C62" s="42">
        <v>221.33333333333334</v>
      </c>
      <c r="D62" s="69"/>
      <c r="E62" s="70"/>
      <c r="F62" s="71"/>
      <c r="G62" s="11"/>
      <c r="H62" s="11"/>
      <c r="I62" s="11"/>
      <c r="J62" s="11"/>
      <c r="K62" s="11"/>
      <c r="L62" s="11"/>
      <c r="N62" s="11"/>
      <c r="O62" s="11"/>
      <c r="P62" s="11"/>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row>
    <row r="63" spans="1:56" ht="15.5" thickBot="1" x14ac:dyDescent="0.4">
      <c r="A63" s="43" t="s">
        <v>564</v>
      </c>
      <c r="B63" s="44">
        <v>9357</v>
      </c>
      <c r="C63" s="45">
        <v>901.98386234904353</v>
      </c>
      <c r="D63" s="69"/>
      <c r="E63" s="70"/>
      <c r="F63" s="71"/>
      <c r="G63" s="11"/>
      <c r="H63" s="11"/>
      <c r="I63" s="11"/>
      <c r="J63" s="11"/>
      <c r="K63" s="11"/>
      <c r="L63" s="11"/>
      <c r="N63" s="11"/>
      <c r="O63" s="11"/>
      <c r="P63" s="11"/>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row>
    <row r="64" spans="1:56" ht="16" thickBot="1" x14ac:dyDescent="0.4">
      <c r="A64" s="40" t="s">
        <v>74</v>
      </c>
      <c r="B64" s="41">
        <v>71</v>
      </c>
      <c r="C64" s="42">
        <v>742.0140845070423</v>
      </c>
      <c r="D64" s="69"/>
      <c r="E64" s="70"/>
      <c r="F64" s="71"/>
      <c r="G64" s="11"/>
      <c r="H64" s="11"/>
      <c r="I64" s="11"/>
      <c r="J64" s="11"/>
      <c r="K64" s="11"/>
      <c r="L64" s="11"/>
      <c r="N64" s="11"/>
      <c r="O64" s="11"/>
      <c r="P64" s="11"/>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row>
    <row r="65" spans="1:56" ht="16" thickBot="1" x14ac:dyDescent="0.4">
      <c r="A65" s="40" t="s">
        <v>492</v>
      </c>
      <c r="B65" s="41">
        <v>8353</v>
      </c>
      <c r="C65" s="42">
        <v>758.83850113731592</v>
      </c>
      <c r="D65" s="69"/>
      <c r="E65" s="70"/>
      <c r="F65" s="71"/>
      <c r="G65" s="11"/>
      <c r="H65" s="11"/>
      <c r="I65" s="11"/>
      <c r="J65" s="11"/>
      <c r="K65" s="11"/>
      <c r="L65" s="11"/>
      <c r="N65" s="11"/>
      <c r="O65" s="11"/>
      <c r="P65" s="11"/>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row>
    <row r="66" spans="1:56" ht="16" thickBot="1" x14ac:dyDescent="0.4">
      <c r="A66" s="40" t="s">
        <v>21</v>
      </c>
      <c r="B66" s="41">
        <v>931</v>
      </c>
      <c r="C66" s="42">
        <v>2200.1632653061224</v>
      </c>
      <c r="D66" s="69"/>
      <c r="E66" s="70"/>
      <c r="F66" s="71"/>
      <c r="G66" s="11"/>
      <c r="H66" s="11"/>
      <c r="I66" s="11"/>
      <c r="J66" s="11"/>
      <c r="K66" s="11"/>
      <c r="L66" s="11"/>
      <c r="N66" s="11"/>
      <c r="O66" s="11"/>
      <c r="P66" s="11"/>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row>
    <row r="67" spans="1:56" ht="16" thickBot="1" x14ac:dyDescent="0.4">
      <c r="A67" s="40" t="s">
        <v>557</v>
      </c>
      <c r="B67" s="41">
        <v>2</v>
      </c>
      <c r="C67" s="42">
        <v>125</v>
      </c>
      <c r="D67" s="69"/>
      <c r="E67" s="70"/>
      <c r="F67" s="71"/>
      <c r="G67" s="11"/>
      <c r="H67" s="11"/>
      <c r="I67" s="11"/>
      <c r="J67" s="11"/>
      <c r="K67" s="11"/>
      <c r="L67" s="11"/>
      <c r="N67" s="11"/>
      <c r="O67" s="11"/>
      <c r="P67" s="11"/>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row>
    <row r="68" spans="1:56" ht="15.5" thickBot="1" x14ac:dyDescent="0.4">
      <c r="A68" s="43" t="s">
        <v>500</v>
      </c>
      <c r="B68" s="44">
        <v>26465</v>
      </c>
      <c r="C68" s="45">
        <v>118.14657094275458</v>
      </c>
      <c r="D68" s="69"/>
      <c r="E68" s="70"/>
      <c r="F68" s="71"/>
      <c r="G68" s="11"/>
      <c r="H68" s="11"/>
      <c r="I68" s="11"/>
      <c r="J68" s="11"/>
      <c r="K68" s="11"/>
      <c r="L68" s="11"/>
      <c r="N68" s="11"/>
      <c r="O68" s="11"/>
      <c r="P68" s="11"/>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row>
    <row r="69" spans="1:56" ht="16" thickBot="1" x14ac:dyDescent="0.4">
      <c r="A69" s="40" t="s">
        <v>74</v>
      </c>
      <c r="B69" s="41">
        <v>217</v>
      </c>
      <c r="C69" s="42">
        <v>351.76497695852532</v>
      </c>
      <c r="D69" s="69"/>
      <c r="E69" s="70"/>
      <c r="F69" s="71"/>
      <c r="G69" s="11"/>
      <c r="H69" s="11"/>
      <c r="I69" s="11"/>
      <c r="J69" s="11"/>
      <c r="K69" s="11"/>
      <c r="L69" s="11"/>
      <c r="N69" s="11"/>
      <c r="O69" s="11"/>
      <c r="P69" s="11"/>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row>
    <row r="70" spans="1:56" ht="16" thickBot="1" x14ac:dyDescent="0.4">
      <c r="A70" s="40" t="s">
        <v>492</v>
      </c>
      <c r="B70" s="41">
        <v>13834</v>
      </c>
      <c r="C70" s="42">
        <v>146.70312274107272</v>
      </c>
      <c r="D70" s="69"/>
      <c r="E70" s="70"/>
      <c r="F70" s="71"/>
      <c r="G70" s="11"/>
      <c r="H70" s="11"/>
      <c r="I70" s="11"/>
      <c r="J70" s="11"/>
      <c r="K70" s="11"/>
      <c r="L70" s="11"/>
      <c r="N70" s="11"/>
      <c r="O70" s="11"/>
      <c r="P70" s="11"/>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row>
    <row r="71" spans="1:56" ht="16" thickBot="1" x14ac:dyDescent="0.4">
      <c r="A71" s="40" t="s">
        <v>21</v>
      </c>
      <c r="B71" s="41">
        <v>493</v>
      </c>
      <c r="C71" s="42">
        <v>1195.1784989858013</v>
      </c>
      <c r="D71" s="69"/>
      <c r="E71" s="70"/>
      <c r="F71" s="71"/>
      <c r="G71" s="11"/>
      <c r="H71" s="11"/>
      <c r="I71" s="11"/>
      <c r="J71" s="11"/>
      <c r="K71" s="11"/>
      <c r="L71" s="11"/>
      <c r="N71" s="11"/>
      <c r="O71" s="11"/>
      <c r="P71" s="11"/>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row>
    <row r="72" spans="1:56" ht="16" thickBot="1" x14ac:dyDescent="0.4">
      <c r="A72" s="40" t="s">
        <v>557</v>
      </c>
      <c r="B72" s="41">
        <v>11921</v>
      </c>
      <c r="C72" s="42">
        <v>36.21357268685513</v>
      </c>
      <c r="D72" s="69"/>
      <c r="E72" s="70"/>
      <c r="F72" s="71"/>
      <c r="G72" s="11"/>
      <c r="H72" s="11"/>
      <c r="I72" s="11"/>
      <c r="J72" s="11"/>
      <c r="K72" s="11"/>
      <c r="L72" s="11"/>
      <c r="N72" s="11"/>
      <c r="O72" s="11"/>
      <c r="P72" s="11"/>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row>
    <row r="73" spans="1:56" ht="15.5" thickBot="1" x14ac:dyDescent="0.4">
      <c r="A73" s="43" t="s">
        <v>551</v>
      </c>
      <c r="B73" s="44">
        <v>66088</v>
      </c>
      <c r="C73" s="45">
        <v>102.56337005205181</v>
      </c>
      <c r="D73" s="69"/>
      <c r="E73" s="70"/>
      <c r="F73" s="71"/>
      <c r="G73" s="11"/>
      <c r="H73" s="11"/>
      <c r="I73" s="11"/>
      <c r="J73" s="11"/>
      <c r="K73" s="11"/>
      <c r="L73" s="11"/>
      <c r="N73" s="11"/>
      <c r="O73" s="11"/>
      <c r="P73" s="11"/>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row>
    <row r="74" spans="1:56" ht="16" thickBot="1" x14ac:dyDescent="0.4">
      <c r="A74" s="40" t="s">
        <v>74</v>
      </c>
      <c r="B74" s="41">
        <v>721</v>
      </c>
      <c r="C74" s="42">
        <v>325.65742024965328</v>
      </c>
      <c r="D74" s="69"/>
      <c r="E74" s="70"/>
      <c r="F74" s="71"/>
      <c r="G74" s="11"/>
      <c r="H74" s="11"/>
      <c r="I74" s="11"/>
      <c r="J74" s="11"/>
      <c r="K74" s="11"/>
      <c r="L74" s="11"/>
      <c r="N74" s="11"/>
      <c r="O74" s="11"/>
      <c r="P74" s="11"/>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row>
    <row r="75" spans="1:56" ht="16" thickBot="1" x14ac:dyDescent="0.4">
      <c r="A75" s="40" t="s">
        <v>492</v>
      </c>
      <c r="B75" s="41">
        <v>50801</v>
      </c>
      <c r="C75" s="42">
        <v>114.60862975138285</v>
      </c>
      <c r="D75" s="69"/>
      <c r="E75" s="70"/>
      <c r="F75" s="71"/>
      <c r="G75" s="11"/>
      <c r="H75" s="11"/>
      <c r="I75" s="11"/>
      <c r="J75" s="11"/>
      <c r="K75" s="11"/>
      <c r="L75" s="11"/>
      <c r="N75" s="11"/>
      <c r="O75" s="11"/>
      <c r="P75" s="11"/>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row>
    <row r="76" spans="1:56" ht="16" thickBot="1" x14ac:dyDescent="0.4">
      <c r="A76" s="40" t="s">
        <v>21</v>
      </c>
      <c r="B76" s="41">
        <v>37</v>
      </c>
      <c r="C76" s="42">
        <v>304.56756756756755</v>
      </c>
      <c r="D76" s="69"/>
      <c r="E76" s="70"/>
      <c r="F76" s="71"/>
      <c r="G76" s="11"/>
      <c r="H76" s="11"/>
      <c r="I76" s="11"/>
      <c r="J76" s="11"/>
      <c r="K76" s="11"/>
      <c r="L76" s="11"/>
      <c r="N76" s="11"/>
      <c r="O76" s="11"/>
      <c r="P76" s="11"/>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row>
    <row r="77" spans="1:56" ht="16" thickBot="1" x14ac:dyDescent="0.4">
      <c r="A77" s="40" t="s">
        <v>557</v>
      </c>
      <c r="B77" s="41">
        <v>14529</v>
      </c>
      <c r="C77" s="42">
        <v>48.861380686902059</v>
      </c>
      <c r="D77" s="69"/>
      <c r="E77" s="70"/>
      <c r="F77" s="71"/>
      <c r="G77" s="11"/>
      <c r="H77" s="11"/>
      <c r="I77" s="11"/>
      <c r="J77" s="11"/>
      <c r="K77" s="11"/>
      <c r="L77" s="11"/>
      <c r="N77" s="11"/>
      <c r="O77" s="11"/>
      <c r="P77" s="11"/>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row>
    <row r="78" spans="1:56" ht="15.5" thickBot="1" x14ac:dyDescent="0.4">
      <c r="A78" s="43" t="s">
        <v>501</v>
      </c>
      <c r="B78" s="44">
        <v>3573</v>
      </c>
      <c r="C78" s="45">
        <v>268.28127623845506</v>
      </c>
      <c r="D78" s="69"/>
      <c r="E78" s="70"/>
      <c r="F78" s="71"/>
      <c r="G78" s="11"/>
      <c r="H78" s="11"/>
      <c r="I78" s="11"/>
      <c r="J78" s="11"/>
      <c r="K78" s="11"/>
      <c r="L78" s="11"/>
      <c r="N78" s="11"/>
      <c r="O78" s="11"/>
      <c r="P78" s="11"/>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row>
    <row r="79" spans="1:56" ht="16" thickBot="1" x14ac:dyDescent="0.4">
      <c r="A79" s="40" t="s">
        <v>74</v>
      </c>
      <c r="B79" s="41">
        <v>398</v>
      </c>
      <c r="C79" s="42">
        <v>441.3316582914573</v>
      </c>
      <c r="D79" s="69"/>
      <c r="E79" s="70"/>
      <c r="F79" s="71"/>
      <c r="G79" s="11"/>
      <c r="H79" s="11"/>
      <c r="I79" s="11"/>
      <c r="J79" s="11"/>
      <c r="K79" s="11"/>
      <c r="L79" s="11"/>
      <c r="N79" s="11"/>
      <c r="O79" s="11"/>
      <c r="P79" s="11"/>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row>
    <row r="80" spans="1:56" ht="16" thickBot="1" x14ac:dyDescent="0.4">
      <c r="A80" s="40" t="s">
        <v>492</v>
      </c>
      <c r="B80" s="41">
        <v>3161</v>
      </c>
      <c r="C80" s="42">
        <v>246.2894653590636</v>
      </c>
      <c r="D80" s="69"/>
      <c r="E80" s="70"/>
      <c r="F80" s="71"/>
      <c r="G80" s="11"/>
      <c r="H80" s="11"/>
      <c r="I80" s="11"/>
      <c r="J80" s="11"/>
      <c r="K80" s="11"/>
      <c r="L80" s="11"/>
      <c r="N80" s="11"/>
      <c r="O80" s="11"/>
      <c r="P80" s="11"/>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row>
    <row r="81" spans="1:56" ht="16" thickBot="1" x14ac:dyDescent="0.4">
      <c r="A81" s="40" t="s">
        <v>21</v>
      </c>
      <c r="B81" s="41">
        <v>5</v>
      </c>
      <c r="C81" s="42">
        <v>774.2</v>
      </c>
      <c r="D81" s="69"/>
      <c r="E81" s="70"/>
      <c r="F81" s="71"/>
      <c r="G81" s="11"/>
      <c r="H81" s="11"/>
      <c r="I81" s="11"/>
      <c r="J81" s="11"/>
      <c r="K81" s="11"/>
      <c r="L81" s="11"/>
      <c r="N81" s="11"/>
      <c r="O81" s="11"/>
      <c r="P81" s="11"/>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row>
    <row r="82" spans="1:56" ht="16" thickBot="1" x14ac:dyDescent="0.4">
      <c r="A82" s="40" t="s">
        <v>557</v>
      </c>
      <c r="B82" s="41">
        <v>9</v>
      </c>
      <c r="C82" s="42">
        <v>58.555555555555557</v>
      </c>
      <c r="D82" s="69"/>
      <c r="E82" s="70"/>
      <c r="F82" s="71"/>
      <c r="G82" s="11"/>
      <c r="H82" s="11"/>
      <c r="I82" s="11"/>
      <c r="J82" s="11"/>
      <c r="K82" s="11"/>
      <c r="L82" s="11"/>
      <c r="N82" s="11"/>
      <c r="O82" s="11"/>
      <c r="P82" s="11"/>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row>
    <row r="83" spans="1:56" ht="15.5" thickBot="1" x14ac:dyDescent="0.4">
      <c r="A83" s="43" t="s">
        <v>502</v>
      </c>
      <c r="B83" s="44">
        <v>15650</v>
      </c>
      <c r="C83" s="45">
        <v>537.20792332268365</v>
      </c>
      <c r="D83" s="69"/>
      <c r="E83" s="70"/>
      <c r="F83" s="71"/>
      <c r="G83" s="11"/>
      <c r="H83" s="11"/>
      <c r="I83" s="11"/>
      <c r="J83" s="11"/>
      <c r="K83" s="11"/>
      <c r="L83" s="11"/>
      <c r="N83" s="11"/>
      <c r="O83" s="11"/>
      <c r="P83" s="11"/>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row>
    <row r="84" spans="1:56" ht="16" thickBot="1" x14ac:dyDescent="0.4">
      <c r="A84" s="40" t="s">
        <v>74</v>
      </c>
      <c r="B84" s="41">
        <v>515</v>
      </c>
      <c r="C84" s="42">
        <v>504.44077669902913</v>
      </c>
      <c r="D84" s="69"/>
      <c r="E84" s="70"/>
      <c r="F84" s="71"/>
      <c r="G84" s="11"/>
      <c r="H84" s="11"/>
      <c r="I84" s="11"/>
      <c r="J84" s="11"/>
      <c r="K84" s="11"/>
      <c r="L84" s="11"/>
      <c r="N84" s="11"/>
      <c r="O84" s="11"/>
      <c r="P84" s="11"/>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row>
    <row r="85" spans="1:56" ht="16" thickBot="1" x14ac:dyDescent="0.4">
      <c r="A85" s="40" t="s">
        <v>492</v>
      </c>
      <c r="B85" s="41">
        <v>12290</v>
      </c>
      <c r="C85" s="42">
        <v>310.2032546786005</v>
      </c>
      <c r="D85" s="69"/>
      <c r="E85" s="70"/>
      <c r="F85" s="71"/>
      <c r="G85" s="11"/>
      <c r="H85" s="11"/>
      <c r="I85" s="11"/>
      <c r="J85" s="11"/>
      <c r="K85" s="11"/>
      <c r="L85" s="11"/>
      <c r="N85" s="11"/>
      <c r="O85" s="11"/>
      <c r="P85" s="11"/>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row>
    <row r="86" spans="1:56" ht="16" thickBot="1" x14ac:dyDescent="0.4">
      <c r="A86" s="40" t="s">
        <v>21</v>
      </c>
      <c r="B86" s="41">
        <v>2827</v>
      </c>
      <c r="C86" s="42">
        <v>1532.4488857446056</v>
      </c>
      <c r="D86" s="69"/>
      <c r="E86" s="70"/>
      <c r="F86" s="71"/>
      <c r="G86" s="11"/>
      <c r="H86" s="11"/>
      <c r="I86" s="11"/>
      <c r="J86" s="11"/>
      <c r="K86" s="11"/>
      <c r="L86" s="11"/>
      <c r="N86" s="11"/>
      <c r="O86" s="11"/>
      <c r="P86" s="11"/>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row>
    <row r="87" spans="1:56" ht="16" thickBot="1" x14ac:dyDescent="0.4">
      <c r="A87" s="40" t="s">
        <v>557</v>
      </c>
      <c r="B87" s="41">
        <v>18</v>
      </c>
      <c r="C87" s="42">
        <v>160.33333333333334</v>
      </c>
      <c r="D87" s="69"/>
      <c r="E87" s="70"/>
      <c r="F87" s="71"/>
      <c r="G87" s="11"/>
      <c r="H87" s="11"/>
      <c r="I87" s="11"/>
      <c r="J87" s="11"/>
      <c r="K87" s="11"/>
      <c r="L87" s="11"/>
      <c r="N87" s="11"/>
      <c r="O87" s="11"/>
      <c r="P87" s="11"/>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row>
    <row r="88" spans="1:56" ht="15.5" thickBot="1" x14ac:dyDescent="0.4">
      <c r="A88" s="43" t="s">
        <v>503</v>
      </c>
      <c r="B88" s="44">
        <v>14763</v>
      </c>
      <c r="C88" s="45">
        <v>361.78642552326761</v>
      </c>
      <c r="D88" s="69"/>
      <c r="E88" s="70"/>
      <c r="F88" s="71"/>
      <c r="G88" s="11"/>
      <c r="H88" s="11"/>
      <c r="I88" s="11"/>
      <c r="J88" s="11"/>
      <c r="K88" s="11"/>
      <c r="L88" s="11"/>
      <c r="N88" s="11"/>
      <c r="O88" s="11"/>
      <c r="P88" s="11"/>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row>
    <row r="89" spans="1:56" ht="16" thickBot="1" x14ac:dyDescent="0.4">
      <c r="A89" s="40" t="s">
        <v>74</v>
      </c>
      <c r="B89" s="41">
        <v>917</v>
      </c>
      <c r="C89" s="42">
        <v>369.44711014176664</v>
      </c>
      <c r="D89" s="69"/>
      <c r="E89" s="70"/>
      <c r="F89" s="71"/>
      <c r="G89" s="11"/>
      <c r="H89" s="11"/>
      <c r="I89" s="11"/>
      <c r="J89" s="11"/>
      <c r="K89" s="11"/>
      <c r="L89" s="11"/>
      <c r="N89" s="11"/>
      <c r="O89" s="11"/>
      <c r="P89" s="11"/>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row>
    <row r="90" spans="1:56" ht="16" thickBot="1" x14ac:dyDescent="0.4">
      <c r="A90" s="40" t="s">
        <v>492</v>
      </c>
      <c r="B90" s="41">
        <v>13731</v>
      </c>
      <c r="C90" s="42">
        <v>360.54999635860463</v>
      </c>
      <c r="D90" s="69"/>
      <c r="E90" s="70"/>
      <c r="F90" s="71"/>
      <c r="G90" s="11"/>
      <c r="H90" s="11"/>
      <c r="I90" s="11"/>
      <c r="J90" s="11"/>
      <c r="K90" s="11"/>
      <c r="L90" s="11"/>
      <c r="N90" s="11"/>
      <c r="O90" s="11"/>
      <c r="P90" s="11"/>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row>
    <row r="91" spans="1:56" ht="16" thickBot="1" x14ac:dyDescent="0.4">
      <c r="A91" s="40" t="s">
        <v>21</v>
      </c>
      <c r="B91" s="41">
        <v>46</v>
      </c>
      <c r="C91" s="42">
        <v>960.41304347826087</v>
      </c>
      <c r="D91" s="69"/>
      <c r="E91" s="70"/>
      <c r="F91" s="71"/>
      <c r="G91" s="11"/>
      <c r="H91" s="11"/>
      <c r="I91" s="11"/>
      <c r="J91" s="11"/>
      <c r="K91" s="11"/>
      <c r="L91" s="11"/>
      <c r="N91" s="11"/>
      <c r="O91" s="11"/>
      <c r="P91" s="11"/>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row>
    <row r="92" spans="1:56" ht="16" thickBot="1" x14ac:dyDescent="0.4">
      <c r="A92" s="40" t="s">
        <v>557</v>
      </c>
      <c r="B92" s="41">
        <v>69</v>
      </c>
      <c r="C92" s="42">
        <v>106.94202898550725</v>
      </c>
      <c r="D92" s="69"/>
      <c r="E92" s="70"/>
      <c r="F92" s="71"/>
      <c r="G92" s="11"/>
      <c r="H92" s="11"/>
      <c r="I92" s="11"/>
      <c r="J92" s="11"/>
      <c r="K92" s="11"/>
      <c r="L92" s="11"/>
      <c r="N92" s="11"/>
      <c r="O92" s="11"/>
      <c r="P92" s="11"/>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row>
    <row r="93" spans="1:56" ht="15.5" thickBot="1" x14ac:dyDescent="0.4">
      <c r="A93" s="43" t="s">
        <v>504</v>
      </c>
      <c r="B93" s="44">
        <v>4504</v>
      </c>
      <c r="C93" s="45">
        <v>565.77553285968031</v>
      </c>
      <c r="D93" s="69"/>
      <c r="E93" s="70"/>
      <c r="F93" s="71"/>
      <c r="G93" s="11"/>
      <c r="H93" s="11"/>
      <c r="I93" s="11"/>
      <c r="J93" s="11"/>
      <c r="K93" s="11"/>
      <c r="L93" s="11"/>
      <c r="N93" s="11"/>
      <c r="O93" s="11"/>
      <c r="P93" s="11"/>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row>
    <row r="94" spans="1:56" ht="16" thickBot="1" x14ac:dyDescent="0.4">
      <c r="A94" s="40" t="s">
        <v>74</v>
      </c>
      <c r="B94" s="41">
        <v>135</v>
      </c>
      <c r="C94" s="42">
        <v>388.86666666666667</v>
      </c>
      <c r="D94" s="69"/>
      <c r="E94" s="70"/>
      <c r="F94" s="71"/>
      <c r="G94" s="11"/>
      <c r="H94" s="11"/>
      <c r="I94" s="11"/>
      <c r="J94" s="11"/>
      <c r="K94" s="11"/>
      <c r="L94" s="11"/>
      <c r="N94" s="11"/>
      <c r="O94" s="11"/>
      <c r="P94" s="11"/>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row>
    <row r="95" spans="1:56" ht="16" thickBot="1" x14ac:dyDescent="0.4">
      <c r="A95" s="40" t="s">
        <v>492</v>
      </c>
      <c r="B95" s="41">
        <v>4228</v>
      </c>
      <c r="C95" s="42">
        <v>542.21925260170292</v>
      </c>
      <c r="D95" s="69"/>
      <c r="E95" s="70"/>
      <c r="F95" s="71"/>
      <c r="G95" s="11"/>
      <c r="H95" s="11"/>
      <c r="I95" s="11"/>
      <c r="J95" s="11"/>
      <c r="K95" s="11"/>
      <c r="L95" s="11"/>
      <c r="N95" s="11"/>
      <c r="O95" s="11"/>
      <c r="P95" s="11"/>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row>
    <row r="96" spans="1:56" ht="16" thickBot="1" x14ac:dyDescent="0.4">
      <c r="A96" s="40" t="s">
        <v>21</v>
      </c>
      <c r="B96" s="41">
        <v>134</v>
      </c>
      <c r="C96" s="42">
        <v>1509.7238805970148</v>
      </c>
      <c r="D96" s="69"/>
      <c r="E96" s="70"/>
      <c r="F96" s="71"/>
      <c r="G96" s="11"/>
      <c r="H96" s="11"/>
      <c r="I96" s="11"/>
      <c r="J96" s="11"/>
      <c r="K96" s="11"/>
      <c r="L96" s="11"/>
      <c r="N96" s="11"/>
      <c r="O96" s="11"/>
      <c r="P96" s="11"/>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row>
    <row r="97" spans="1:56" ht="16" thickBot="1" x14ac:dyDescent="0.4">
      <c r="A97" s="40" t="s">
        <v>557</v>
      </c>
      <c r="B97" s="41">
        <v>7</v>
      </c>
      <c r="C97" s="42">
        <v>135.71428571428572</v>
      </c>
      <c r="D97" s="69"/>
      <c r="E97" s="70"/>
      <c r="F97" s="71"/>
      <c r="G97" s="11"/>
      <c r="H97" s="11"/>
      <c r="I97" s="11"/>
      <c r="J97" s="11"/>
      <c r="K97" s="11"/>
      <c r="L97" s="11"/>
      <c r="N97" s="11"/>
      <c r="O97" s="11"/>
      <c r="P97" s="11"/>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row>
    <row r="98" spans="1:56" ht="15.5" thickBot="1" x14ac:dyDescent="0.4">
      <c r="A98" s="43" t="s">
        <v>505</v>
      </c>
      <c r="B98" s="44">
        <v>11250</v>
      </c>
      <c r="C98" s="45">
        <v>397.52871111111114</v>
      </c>
      <c r="D98" s="69"/>
      <c r="E98" s="70"/>
      <c r="F98" s="71"/>
      <c r="G98" s="11"/>
      <c r="H98" s="11"/>
      <c r="I98" s="11"/>
      <c r="J98" s="11"/>
      <c r="K98" s="11"/>
      <c r="L98" s="11"/>
      <c r="N98" s="11"/>
      <c r="O98" s="11"/>
      <c r="P98" s="11"/>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row>
    <row r="99" spans="1:56" ht="16" thickBot="1" x14ac:dyDescent="0.4">
      <c r="A99" s="40" t="s">
        <v>74</v>
      </c>
      <c r="B99" s="41">
        <v>349</v>
      </c>
      <c r="C99" s="42">
        <v>487.27793696275074</v>
      </c>
      <c r="D99" s="69"/>
      <c r="E99" s="70"/>
      <c r="F99" s="71"/>
      <c r="G99" s="11"/>
      <c r="H99" s="11"/>
      <c r="I99" s="11"/>
      <c r="J99" s="11"/>
      <c r="K99" s="11"/>
      <c r="L99" s="11"/>
      <c r="N99" s="11"/>
      <c r="O99" s="11"/>
      <c r="P99" s="11"/>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row>
    <row r="100" spans="1:56" ht="16" thickBot="1" x14ac:dyDescent="0.4">
      <c r="A100" s="40" t="s">
        <v>492</v>
      </c>
      <c r="B100" s="41">
        <v>10547</v>
      </c>
      <c r="C100" s="42">
        <v>353.7094908504788</v>
      </c>
      <c r="D100" s="69"/>
      <c r="E100" s="70"/>
      <c r="F100" s="71"/>
      <c r="G100" s="11"/>
      <c r="H100" s="11"/>
      <c r="I100" s="11"/>
      <c r="J100" s="11"/>
      <c r="K100" s="11"/>
      <c r="L100" s="11"/>
      <c r="N100" s="11"/>
      <c r="O100" s="11"/>
      <c r="P100" s="11"/>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row>
    <row r="101" spans="1:56" ht="16" thickBot="1" x14ac:dyDescent="0.4">
      <c r="A101" s="40" t="s">
        <v>21</v>
      </c>
      <c r="B101" s="41">
        <v>315</v>
      </c>
      <c r="C101" s="42">
        <v>1801.663492063492</v>
      </c>
      <c r="D101" s="69"/>
      <c r="E101" s="70"/>
      <c r="F101" s="71"/>
      <c r="G101" s="11"/>
      <c r="H101" s="11"/>
      <c r="I101" s="11"/>
      <c r="J101" s="11"/>
      <c r="K101" s="11"/>
      <c r="L101" s="11"/>
      <c r="N101" s="11"/>
      <c r="O101" s="11"/>
      <c r="P101" s="11"/>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row>
    <row r="102" spans="1:56" ht="16" thickBot="1" x14ac:dyDescent="0.4">
      <c r="A102" s="40" t="s">
        <v>557</v>
      </c>
      <c r="B102" s="41">
        <v>39</v>
      </c>
      <c r="C102" s="42">
        <v>103.58974358974359</v>
      </c>
      <c r="D102" s="69"/>
      <c r="E102" s="70"/>
      <c r="F102" s="71"/>
      <c r="G102" s="11"/>
      <c r="H102" s="11"/>
      <c r="I102" s="11"/>
      <c r="J102" s="11"/>
      <c r="K102" s="11"/>
      <c r="L102" s="11"/>
      <c r="N102" s="11"/>
      <c r="O102" s="11"/>
      <c r="P102" s="11"/>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row>
    <row r="103" spans="1:56" ht="15.5" thickBot="1" x14ac:dyDescent="0.4">
      <c r="A103" s="43" t="s">
        <v>506</v>
      </c>
      <c r="B103" s="44">
        <v>16018</v>
      </c>
      <c r="C103" s="45">
        <v>741.07847421650638</v>
      </c>
      <c r="D103" s="69"/>
      <c r="E103" s="70"/>
      <c r="F103" s="71"/>
      <c r="G103" s="11"/>
      <c r="H103" s="11"/>
      <c r="I103" s="11"/>
      <c r="J103" s="11"/>
      <c r="K103" s="11"/>
      <c r="L103" s="11"/>
      <c r="N103" s="11"/>
      <c r="O103" s="11"/>
      <c r="P103" s="11"/>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row>
    <row r="104" spans="1:56" ht="16" thickBot="1" x14ac:dyDescent="0.4">
      <c r="A104" s="40" t="s">
        <v>74</v>
      </c>
      <c r="B104" s="41">
        <v>207</v>
      </c>
      <c r="C104" s="42">
        <v>503.75845410628017</v>
      </c>
      <c r="D104" s="69"/>
      <c r="E104" s="70"/>
      <c r="F104" s="71"/>
      <c r="G104" s="11"/>
      <c r="H104" s="11"/>
      <c r="I104" s="11"/>
      <c r="J104" s="11"/>
      <c r="K104" s="11"/>
      <c r="L104" s="11"/>
      <c r="N104" s="11"/>
      <c r="O104" s="11"/>
      <c r="P104" s="11"/>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row>
    <row r="105" spans="1:56" ht="16" thickBot="1" x14ac:dyDescent="0.4">
      <c r="A105" s="40" t="s">
        <v>492</v>
      </c>
      <c r="B105" s="41">
        <v>14285</v>
      </c>
      <c r="C105" s="42">
        <v>593.92180609030447</v>
      </c>
      <c r="D105" s="69"/>
      <c r="E105" s="70"/>
      <c r="F105" s="71"/>
      <c r="G105" s="11"/>
      <c r="H105" s="11"/>
      <c r="I105" s="11"/>
      <c r="J105" s="11"/>
      <c r="K105" s="11"/>
      <c r="L105" s="11"/>
      <c r="N105" s="11"/>
      <c r="O105" s="11"/>
      <c r="P105" s="11"/>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row>
    <row r="106" spans="1:56" ht="16" thickBot="1" x14ac:dyDescent="0.4">
      <c r="A106" s="40" t="s">
        <v>21</v>
      </c>
      <c r="B106" s="41">
        <v>1511</v>
      </c>
      <c r="C106" s="42">
        <v>2163.8934480476505</v>
      </c>
      <c r="D106" s="69"/>
      <c r="E106" s="70"/>
      <c r="F106" s="71"/>
      <c r="G106" s="11"/>
      <c r="H106" s="11"/>
      <c r="I106" s="11"/>
      <c r="J106" s="11"/>
      <c r="K106" s="11"/>
      <c r="L106" s="11"/>
      <c r="N106" s="11"/>
      <c r="O106" s="11"/>
      <c r="P106" s="11"/>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row>
    <row r="107" spans="1:56" ht="16" thickBot="1" x14ac:dyDescent="0.4">
      <c r="A107" s="40" t="s">
        <v>557</v>
      </c>
      <c r="B107" s="41">
        <v>15</v>
      </c>
      <c r="C107" s="42">
        <v>833.4</v>
      </c>
      <c r="D107" s="69"/>
      <c r="E107" s="70"/>
      <c r="F107" s="71"/>
      <c r="G107" s="11"/>
      <c r="H107" s="11"/>
      <c r="I107" s="11"/>
      <c r="J107" s="11"/>
      <c r="K107" s="11"/>
      <c r="L107" s="11"/>
      <c r="N107" s="11"/>
      <c r="O107" s="11"/>
      <c r="P107" s="11"/>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row>
    <row r="108" spans="1:56" ht="15.5" thickBot="1" x14ac:dyDescent="0.4">
      <c r="A108" s="43" t="s">
        <v>507</v>
      </c>
      <c r="B108" s="44">
        <v>8515</v>
      </c>
      <c r="C108" s="45">
        <v>388.53165002935998</v>
      </c>
      <c r="D108" s="69"/>
      <c r="E108" s="70"/>
      <c r="F108" s="71"/>
      <c r="G108" s="11"/>
      <c r="H108" s="11"/>
      <c r="I108" s="11"/>
      <c r="J108" s="11"/>
      <c r="K108" s="11"/>
      <c r="L108" s="11"/>
      <c r="N108" s="11"/>
      <c r="O108" s="11"/>
      <c r="P108" s="11"/>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row>
    <row r="109" spans="1:56" ht="16" thickBot="1" x14ac:dyDescent="0.4">
      <c r="A109" s="40" t="s">
        <v>74</v>
      </c>
      <c r="B109" s="41">
        <v>51</v>
      </c>
      <c r="C109" s="42">
        <v>196.29411764705881</v>
      </c>
      <c r="D109" s="69"/>
      <c r="E109" s="70"/>
      <c r="F109" s="71"/>
      <c r="G109" s="11"/>
      <c r="H109" s="11"/>
      <c r="I109" s="11"/>
      <c r="J109" s="11"/>
      <c r="K109" s="11"/>
      <c r="L109" s="11"/>
      <c r="N109" s="11"/>
      <c r="O109" s="11"/>
      <c r="P109" s="11"/>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row>
    <row r="110" spans="1:56" ht="16" thickBot="1" x14ac:dyDescent="0.4">
      <c r="A110" s="40" t="s">
        <v>492</v>
      </c>
      <c r="B110" s="41">
        <v>8387</v>
      </c>
      <c r="C110" s="42">
        <v>380.63157267199239</v>
      </c>
      <c r="D110" s="69"/>
      <c r="E110" s="70"/>
      <c r="F110" s="71"/>
      <c r="G110" s="11"/>
      <c r="H110" s="11"/>
      <c r="I110" s="11"/>
      <c r="J110" s="11"/>
      <c r="K110" s="11"/>
      <c r="L110" s="11"/>
      <c r="N110" s="11"/>
      <c r="O110" s="11"/>
      <c r="P110" s="11"/>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row>
    <row r="111" spans="1:56" ht="16" thickBot="1" x14ac:dyDescent="0.4">
      <c r="A111" s="40" t="s">
        <v>21</v>
      </c>
      <c r="B111" s="41">
        <v>73</v>
      </c>
      <c r="C111" s="42">
        <v>1394.2054794520548</v>
      </c>
      <c r="D111" s="69"/>
      <c r="E111" s="70"/>
      <c r="F111" s="71"/>
      <c r="G111" s="11"/>
      <c r="H111" s="11"/>
      <c r="I111" s="11"/>
      <c r="J111" s="11"/>
      <c r="K111" s="11"/>
      <c r="L111" s="11"/>
      <c r="N111" s="11"/>
      <c r="O111" s="11"/>
      <c r="P111" s="11"/>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row>
    <row r="112" spans="1:56" ht="16" thickBot="1" x14ac:dyDescent="0.4">
      <c r="A112" s="40" t="s">
        <v>557</v>
      </c>
      <c r="B112" s="41">
        <v>4</v>
      </c>
      <c r="C112" s="42">
        <v>1050.5</v>
      </c>
      <c r="D112" s="69"/>
      <c r="E112" s="70"/>
      <c r="F112" s="71"/>
      <c r="G112" s="11"/>
      <c r="H112" s="11"/>
      <c r="I112" s="11"/>
      <c r="J112" s="11"/>
      <c r="K112" s="11"/>
      <c r="L112" s="11"/>
      <c r="N112" s="11"/>
      <c r="O112" s="11"/>
      <c r="P112" s="11"/>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row>
    <row r="113" spans="1:56" ht="15.5" thickBot="1" x14ac:dyDescent="0.4">
      <c r="A113" s="43" t="s">
        <v>508</v>
      </c>
      <c r="B113" s="44">
        <v>27328</v>
      </c>
      <c r="C113" s="45">
        <v>111.62807377049181</v>
      </c>
      <c r="D113" s="69"/>
      <c r="E113" s="70"/>
      <c r="F113" s="71"/>
      <c r="G113" s="11"/>
      <c r="H113" s="11"/>
      <c r="I113" s="11"/>
      <c r="J113" s="11"/>
      <c r="K113" s="11"/>
      <c r="L113" s="11"/>
      <c r="N113" s="11"/>
      <c r="O113" s="11"/>
      <c r="P113" s="11"/>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row>
    <row r="114" spans="1:56" ht="16" thickBot="1" x14ac:dyDescent="0.4">
      <c r="A114" s="40" t="s">
        <v>74</v>
      </c>
      <c r="B114" s="41">
        <v>1098</v>
      </c>
      <c r="C114" s="42">
        <v>278.028233151184</v>
      </c>
      <c r="D114" s="69"/>
      <c r="E114" s="70"/>
      <c r="F114" s="71"/>
      <c r="G114" s="11"/>
      <c r="H114" s="11"/>
      <c r="I114" s="11"/>
      <c r="J114" s="11"/>
      <c r="K114" s="11"/>
      <c r="L114" s="11"/>
      <c r="N114" s="11"/>
      <c r="O114" s="11"/>
      <c r="P114" s="11"/>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row>
    <row r="115" spans="1:56" ht="16" thickBot="1" x14ac:dyDescent="0.4">
      <c r="A115" s="40" t="s">
        <v>492</v>
      </c>
      <c r="B115" s="41">
        <v>19546</v>
      </c>
      <c r="C115" s="42">
        <v>124.30185204133838</v>
      </c>
      <c r="D115" s="69"/>
      <c r="E115" s="70"/>
      <c r="F115" s="71"/>
      <c r="G115" s="11"/>
      <c r="H115" s="11"/>
      <c r="I115" s="11"/>
      <c r="J115" s="11"/>
      <c r="K115" s="11"/>
      <c r="L115" s="11"/>
      <c r="N115" s="11"/>
      <c r="O115" s="11"/>
      <c r="P115" s="11"/>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row>
    <row r="116" spans="1:56" ht="16" thickBot="1" x14ac:dyDescent="0.4">
      <c r="A116" s="40" t="s">
        <v>557</v>
      </c>
      <c r="B116" s="41">
        <v>6684</v>
      </c>
      <c r="C116" s="42">
        <v>47.231149012567322</v>
      </c>
      <c r="D116" s="69"/>
      <c r="E116" s="70"/>
      <c r="F116" s="71"/>
      <c r="G116" s="11"/>
      <c r="H116" s="11"/>
      <c r="I116" s="11"/>
      <c r="J116" s="11"/>
      <c r="K116" s="11"/>
      <c r="L116" s="11"/>
      <c r="N116" s="11"/>
      <c r="O116" s="11"/>
      <c r="P116" s="11"/>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row>
    <row r="117" spans="1:56" ht="15.5" thickBot="1" x14ac:dyDescent="0.4">
      <c r="A117" s="43" t="s">
        <v>509</v>
      </c>
      <c r="B117" s="44">
        <v>10499</v>
      </c>
      <c r="C117" s="45">
        <v>446.70225735784362</v>
      </c>
      <c r="D117" s="69"/>
      <c r="E117" s="70"/>
      <c r="F117" s="71"/>
      <c r="G117" s="11"/>
      <c r="H117" s="11"/>
      <c r="I117" s="11"/>
      <c r="J117" s="11"/>
      <c r="K117" s="11"/>
      <c r="L117" s="11"/>
      <c r="N117" s="11"/>
      <c r="O117" s="11"/>
      <c r="P117" s="11"/>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row>
    <row r="118" spans="1:56" ht="16" thickBot="1" x14ac:dyDescent="0.4">
      <c r="A118" s="40" t="s">
        <v>74</v>
      </c>
      <c r="B118" s="41">
        <v>81</v>
      </c>
      <c r="C118" s="42">
        <v>310.38271604938274</v>
      </c>
      <c r="D118" s="69"/>
      <c r="E118" s="70"/>
      <c r="F118" s="71"/>
      <c r="G118" s="11"/>
      <c r="H118" s="11"/>
      <c r="I118" s="11"/>
      <c r="J118" s="11"/>
      <c r="K118" s="11"/>
      <c r="L118" s="11"/>
      <c r="N118" s="11"/>
      <c r="O118" s="11"/>
      <c r="P118" s="11"/>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row>
    <row r="119" spans="1:56" ht="16" thickBot="1" x14ac:dyDescent="0.4">
      <c r="A119" s="40" t="s">
        <v>492</v>
      </c>
      <c r="B119" s="41">
        <v>10071</v>
      </c>
      <c r="C119" s="42">
        <v>423.14864462317547</v>
      </c>
      <c r="D119" s="69"/>
      <c r="E119" s="70"/>
      <c r="F119" s="71"/>
      <c r="G119" s="11"/>
      <c r="H119" s="11"/>
      <c r="I119" s="11"/>
      <c r="J119" s="11"/>
      <c r="K119" s="11"/>
      <c r="L119" s="11"/>
      <c r="N119" s="11"/>
      <c r="O119" s="11"/>
      <c r="P119" s="11"/>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row>
    <row r="120" spans="1:56" ht="16" thickBot="1" x14ac:dyDescent="0.4">
      <c r="A120" s="40" t="s">
        <v>21</v>
      </c>
      <c r="B120" s="41">
        <v>320</v>
      </c>
      <c r="C120" s="42">
        <v>1250.9781250000001</v>
      </c>
      <c r="D120" s="69"/>
      <c r="E120" s="70"/>
      <c r="F120" s="71"/>
      <c r="G120" s="11"/>
      <c r="H120" s="11"/>
      <c r="I120" s="11"/>
      <c r="J120" s="11"/>
      <c r="K120" s="11"/>
      <c r="L120" s="11"/>
      <c r="N120" s="11"/>
      <c r="O120" s="11"/>
      <c r="P120" s="11"/>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row>
    <row r="121" spans="1:56" ht="16" thickBot="1" x14ac:dyDescent="0.4">
      <c r="A121" s="40" t="s">
        <v>557</v>
      </c>
      <c r="B121" s="41">
        <v>27</v>
      </c>
      <c r="C121" s="42">
        <v>109</v>
      </c>
      <c r="D121" s="69"/>
      <c r="E121" s="70"/>
      <c r="F121" s="71"/>
      <c r="G121" s="11"/>
      <c r="H121" s="11"/>
      <c r="I121" s="11"/>
      <c r="J121" s="11"/>
      <c r="K121" s="11"/>
      <c r="L121" s="11"/>
      <c r="N121" s="11"/>
      <c r="O121" s="11"/>
      <c r="P121" s="11"/>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row>
    <row r="122" spans="1:56" ht="15.5" thickBot="1" x14ac:dyDescent="0.4">
      <c r="A122" s="43" t="s">
        <v>510</v>
      </c>
      <c r="B122" s="44">
        <v>57337</v>
      </c>
      <c r="C122" s="45">
        <v>115.89366377731656</v>
      </c>
      <c r="D122" s="69"/>
      <c r="E122" s="70"/>
      <c r="F122" s="71"/>
      <c r="G122" s="11"/>
      <c r="H122" s="11"/>
      <c r="I122" s="11"/>
      <c r="J122" s="11"/>
      <c r="K122" s="11"/>
      <c r="L122" s="11"/>
      <c r="N122" s="11"/>
      <c r="O122" s="11"/>
      <c r="P122" s="11"/>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row>
    <row r="123" spans="1:56" ht="16" thickBot="1" x14ac:dyDescent="0.4">
      <c r="A123" s="40" t="s">
        <v>74</v>
      </c>
      <c r="B123" s="41">
        <v>314</v>
      </c>
      <c r="C123" s="42">
        <v>316.91719745222929</v>
      </c>
      <c r="D123" s="69"/>
      <c r="E123" s="70"/>
      <c r="F123" s="71"/>
      <c r="G123" s="11"/>
      <c r="H123" s="11"/>
      <c r="I123" s="11"/>
      <c r="J123" s="11"/>
      <c r="K123" s="11"/>
      <c r="L123" s="11"/>
      <c r="N123" s="11"/>
      <c r="O123" s="11"/>
      <c r="P123" s="11"/>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row>
    <row r="124" spans="1:56" ht="16" thickBot="1" x14ac:dyDescent="0.4">
      <c r="A124" s="40" t="s">
        <v>492</v>
      </c>
      <c r="B124" s="41">
        <v>36065</v>
      </c>
      <c r="C124" s="42">
        <v>139.49194509912658</v>
      </c>
      <c r="D124" s="69"/>
      <c r="E124" s="70"/>
      <c r="F124" s="71"/>
      <c r="G124" s="11"/>
      <c r="H124" s="11"/>
      <c r="I124" s="11"/>
      <c r="J124" s="11"/>
      <c r="K124" s="11"/>
      <c r="L124" s="11"/>
      <c r="N124" s="11"/>
      <c r="O124" s="11"/>
      <c r="P124" s="11"/>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row>
    <row r="125" spans="1:56" ht="16" thickBot="1" x14ac:dyDescent="0.4">
      <c r="A125" s="40" t="s">
        <v>21</v>
      </c>
      <c r="B125" s="41">
        <v>1485</v>
      </c>
      <c r="C125" s="42">
        <v>414.70235690235688</v>
      </c>
      <c r="D125" s="69"/>
      <c r="E125" s="70"/>
      <c r="F125" s="71"/>
      <c r="G125" s="11"/>
      <c r="H125" s="11"/>
      <c r="I125" s="11"/>
      <c r="J125" s="11"/>
      <c r="K125" s="11"/>
      <c r="L125" s="11"/>
      <c r="N125" s="11"/>
      <c r="O125" s="11"/>
      <c r="P125" s="11"/>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row>
    <row r="126" spans="1:56" ht="16" thickBot="1" x14ac:dyDescent="0.4">
      <c r="A126" s="40" t="s">
        <v>557</v>
      </c>
      <c r="B126" s="41">
        <v>19473</v>
      </c>
      <c r="C126" s="42">
        <v>46.15996507985416</v>
      </c>
      <c r="D126" s="69"/>
      <c r="E126" s="70"/>
      <c r="F126" s="71"/>
      <c r="G126" s="11"/>
      <c r="H126" s="11"/>
      <c r="I126" s="11"/>
      <c r="J126" s="11"/>
      <c r="K126" s="11"/>
      <c r="L126" s="11"/>
      <c r="N126" s="11"/>
      <c r="O126" s="11"/>
      <c r="P126" s="11"/>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row>
    <row r="127" spans="1:56" ht="15.5" thickBot="1" x14ac:dyDescent="0.4">
      <c r="A127" s="43" t="s">
        <v>511</v>
      </c>
      <c r="B127" s="44">
        <v>15696</v>
      </c>
      <c r="C127" s="45">
        <v>182.79841997961265</v>
      </c>
      <c r="D127" s="69"/>
      <c r="E127" s="70"/>
      <c r="F127" s="71"/>
      <c r="G127" s="11"/>
      <c r="H127" s="11"/>
      <c r="I127" s="11"/>
      <c r="J127" s="11"/>
      <c r="K127" s="11"/>
      <c r="L127" s="11"/>
      <c r="N127" s="11"/>
      <c r="O127" s="11"/>
      <c r="P127" s="11"/>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row>
    <row r="128" spans="1:56" ht="16" thickBot="1" x14ac:dyDescent="0.4">
      <c r="A128" s="40" t="s">
        <v>74</v>
      </c>
      <c r="B128" s="41">
        <v>210</v>
      </c>
      <c r="C128" s="42">
        <v>786.24761904761908</v>
      </c>
      <c r="D128" s="69"/>
      <c r="E128" s="70"/>
      <c r="F128" s="71"/>
      <c r="G128" s="11"/>
      <c r="H128" s="11"/>
      <c r="I128" s="11"/>
      <c r="J128" s="11"/>
      <c r="K128" s="11"/>
      <c r="L128" s="11"/>
      <c r="N128" s="11"/>
      <c r="O128" s="11"/>
      <c r="P128" s="11"/>
      <c r="Q128" s="11"/>
      <c r="R128" s="11"/>
      <c r="S128" s="11"/>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row>
    <row r="129" spans="1:56" ht="16" thickBot="1" x14ac:dyDescent="0.4">
      <c r="A129" s="40" t="s">
        <v>492</v>
      </c>
      <c r="B129" s="41">
        <v>11541</v>
      </c>
      <c r="C129" s="42">
        <v>176.44788146607746</v>
      </c>
      <c r="D129" s="69"/>
      <c r="E129" s="70"/>
      <c r="F129" s="71"/>
      <c r="G129" s="11"/>
      <c r="I129" s="11"/>
      <c r="J129" s="11"/>
      <c r="K129" s="11"/>
      <c r="L129" s="11"/>
      <c r="N129" s="11"/>
      <c r="O129" s="11"/>
      <c r="P129" s="11"/>
      <c r="Q129" s="11"/>
      <c r="R129" s="11"/>
      <c r="S129" s="11"/>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row>
    <row r="130" spans="1:56" ht="16" thickBot="1" x14ac:dyDescent="0.4">
      <c r="A130" s="40" t="s">
        <v>21</v>
      </c>
      <c r="B130" s="41">
        <v>236</v>
      </c>
      <c r="C130" s="42">
        <v>1874.9152542372881</v>
      </c>
      <c r="D130" s="69"/>
      <c r="E130" s="70"/>
      <c r="F130" s="71"/>
      <c r="G130" s="11"/>
      <c r="M130" s="1"/>
      <c r="Q130" s="1"/>
      <c r="R130" s="1"/>
      <c r="S130" s="1"/>
    </row>
    <row r="131" spans="1:56" ht="16" thickBot="1" x14ac:dyDescent="0.4">
      <c r="A131" s="40" t="s">
        <v>557</v>
      </c>
      <c r="B131" s="41">
        <v>3709</v>
      </c>
      <c r="C131" s="42">
        <v>60.724454030736048</v>
      </c>
      <c r="D131" s="69"/>
      <c r="E131" s="70"/>
      <c r="F131" s="71"/>
      <c r="G131" s="11"/>
      <c r="M131" s="1"/>
      <c r="Q131" s="1"/>
      <c r="R131" s="1"/>
      <c r="S131" s="1"/>
    </row>
    <row r="132" spans="1:56" ht="15.5" thickBot="1" x14ac:dyDescent="0.4">
      <c r="A132" s="43" t="s">
        <v>512</v>
      </c>
      <c r="B132" s="44">
        <v>18788</v>
      </c>
      <c r="C132" s="45">
        <v>853.28395784543329</v>
      </c>
      <c r="D132" s="69"/>
      <c r="E132" s="70"/>
      <c r="F132" s="71"/>
      <c r="G132" s="11"/>
      <c r="Q132" s="1"/>
      <c r="R132" s="1"/>
      <c r="S132" s="1"/>
    </row>
    <row r="133" spans="1:56" ht="16" thickBot="1" x14ac:dyDescent="0.4">
      <c r="A133" s="40" t="s">
        <v>74</v>
      </c>
      <c r="B133" s="41">
        <v>747</v>
      </c>
      <c r="C133" s="42">
        <v>556.76840696117802</v>
      </c>
      <c r="D133" s="69"/>
      <c r="E133" s="70"/>
      <c r="F133" s="71"/>
      <c r="Q133" s="1"/>
      <c r="R133" s="1"/>
      <c r="S133" s="1"/>
    </row>
    <row r="134" spans="1:56" ht="16" thickBot="1" x14ac:dyDescent="0.4">
      <c r="A134" s="40" t="s">
        <v>492</v>
      </c>
      <c r="B134" s="41">
        <v>13753</v>
      </c>
      <c r="C134" s="42">
        <v>542.71991565476628</v>
      </c>
      <c r="D134" s="69"/>
      <c r="E134" s="70"/>
      <c r="F134" s="71"/>
      <c r="Q134" s="1"/>
      <c r="R134" s="1"/>
      <c r="S134" s="1"/>
    </row>
    <row r="135" spans="1:56" ht="16" thickBot="1" x14ac:dyDescent="0.4">
      <c r="A135" s="40" t="s">
        <v>21</v>
      </c>
      <c r="B135" s="41">
        <v>4252</v>
      </c>
      <c r="C135" s="42">
        <v>1906.8478363123236</v>
      </c>
      <c r="D135" s="69"/>
      <c r="E135" s="70"/>
      <c r="F135" s="71"/>
      <c r="Q135" s="1"/>
      <c r="R135" s="1"/>
      <c r="S135" s="1"/>
    </row>
    <row r="136" spans="1:56" ht="16" thickBot="1" x14ac:dyDescent="0.4">
      <c r="A136" s="40" t="s">
        <v>557</v>
      </c>
      <c r="B136" s="41">
        <v>36</v>
      </c>
      <c r="C136" s="42">
        <v>1212.4722222222222</v>
      </c>
      <c r="D136" s="69"/>
      <c r="E136" s="70"/>
      <c r="F136" s="71"/>
      <c r="Q136" s="1"/>
      <c r="R136" s="1"/>
      <c r="S136" s="1"/>
    </row>
    <row r="137" spans="1:56" ht="15.5" thickBot="1" x14ac:dyDescent="0.4">
      <c r="A137" s="43" t="s">
        <v>513</v>
      </c>
      <c r="B137" s="44">
        <v>6483</v>
      </c>
      <c r="C137" s="45">
        <v>699.74872744099957</v>
      </c>
      <c r="D137" s="69"/>
      <c r="E137" s="70"/>
      <c r="F137" s="71"/>
      <c r="Q137" s="1"/>
      <c r="R137" s="1"/>
      <c r="S137" s="1"/>
    </row>
    <row r="138" spans="1:56" ht="16" thickBot="1" x14ac:dyDescent="0.4">
      <c r="A138" s="40" t="s">
        <v>74</v>
      </c>
      <c r="B138" s="41">
        <v>120</v>
      </c>
      <c r="C138" s="42">
        <v>272.93333333333334</v>
      </c>
      <c r="D138" s="69"/>
      <c r="E138" s="70"/>
      <c r="F138" s="71"/>
      <c r="Q138" s="1"/>
      <c r="R138" s="1"/>
      <c r="S138" s="1"/>
    </row>
    <row r="139" spans="1:56" ht="16" thickBot="1" x14ac:dyDescent="0.4">
      <c r="A139" s="40" t="s">
        <v>492</v>
      </c>
      <c r="B139" s="41">
        <v>5761</v>
      </c>
      <c r="C139" s="42">
        <v>579.04079152924839</v>
      </c>
      <c r="D139" s="69"/>
      <c r="E139" s="70"/>
      <c r="F139" s="71"/>
      <c r="Q139" s="1"/>
      <c r="R139" s="1"/>
      <c r="S139" s="1"/>
    </row>
    <row r="140" spans="1:56" ht="16" thickBot="1" x14ac:dyDescent="0.4">
      <c r="A140" s="40" t="s">
        <v>21</v>
      </c>
      <c r="B140" s="41">
        <v>577</v>
      </c>
      <c r="C140" s="42">
        <v>1990.890814558059</v>
      </c>
      <c r="D140" s="69"/>
      <c r="E140" s="70"/>
      <c r="F140" s="71"/>
      <c r="Q140" s="1"/>
      <c r="R140" s="1"/>
      <c r="S140" s="1"/>
    </row>
    <row r="141" spans="1:56" ht="16" thickBot="1" x14ac:dyDescent="0.4">
      <c r="A141" s="40" t="s">
        <v>557</v>
      </c>
      <c r="B141" s="41">
        <v>25</v>
      </c>
      <c r="C141" s="42">
        <v>764.84</v>
      </c>
      <c r="D141" s="69"/>
      <c r="E141" s="70"/>
      <c r="F141" s="71"/>
      <c r="Q141" s="1"/>
      <c r="R141" s="1"/>
      <c r="S141" s="1"/>
    </row>
    <row r="142" spans="1:56" ht="15.5" thickBot="1" x14ac:dyDescent="0.4">
      <c r="A142" s="43" t="s">
        <v>514</v>
      </c>
      <c r="B142" s="44">
        <v>2992</v>
      </c>
      <c r="C142" s="45">
        <v>1021.8572860962566</v>
      </c>
      <c r="D142" s="69"/>
      <c r="E142" s="70"/>
      <c r="F142" s="71"/>
      <c r="Q142" s="1"/>
      <c r="R142" s="1"/>
      <c r="S142" s="1"/>
    </row>
    <row r="143" spans="1:56" ht="16" thickBot="1" x14ac:dyDescent="0.4">
      <c r="A143" s="40" t="s">
        <v>74</v>
      </c>
      <c r="B143" s="41">
        <v>97</v>
      </c>
      <c r="C143" s="42">
        <v>714.02061855670104</v>
      </c>
      <c r="D143" s="69"/>
      <c r="E143" s="70"/>
      <c r="F143" s="71"/>
      <c r="Q143" s="1"/>
      <c r="R143" s="1"/>
      <c r="S143" s="1"/>
    </row>
    <row r="144" spans="1:56" ht="16" thickBot="1" x14ac:dyDescent="0.4">
      <c r="A144" s="40" t="s">
        <v>492</v>
      </c>
      <c r="B144" s="41">
        <v>2366</v>
      </c>
      <c r="C144" s="42">
        <v>781.80219780219784</v>
      </c>
      <c r="D144" s="69"/>
      <c r="E144" s="70"/>
      <c r="F144" s="71"/>
      <c r="Q144" s="1"/>
      <c r="R144" s="1"/>
      <c r="S144" s="1"/>
    </row>
    <row r="145" spans="1:19" ht="16" thickBot="1" x14ac:dyDescent="0.4">
      <c r="A145" s="40" t="s">
        <v>21</v>
      </c>
      <c r="B145" s="41">
        <v>496</v>
      </c>
      <c r="C145" s="42">
        <v>2216.2943548387098</v>
      </c>
      <c r="D145" s="69"/>
      <c r="E145" s="70"/>
      <c r="F145" s="71"/>
      <c r="Q145" s="1"/>
      <c r="R145" s="1"/>
      <c r="S145" s="1"/>
    </row>
    <row r="146" spans="1:19" ht="16" thickBot="1" x14ac:dyDescent="0.4">
      <c r="A146" s="40" t="s">
        <v>557</v>
      </c>
      <c r="B146" s="41">
        <v>33</v>
      </c>
      <c r="C146" s="42">
        <v>1185.1818181818182</v>
      </c>
      <c r="D146" s="69"/>
      <c r="E146" s="70"/>
      <c r="F146" s="71"/>
      <c r="Q146" s="1"/>
      <c r="R146" s="1"/>
      <c r="S146" s="1"/>
    </row>
    <row r="147" spans="1:19" ht="15.5" thickBot="1" x14ac:dyDescent="0.4">
      <c r="A147" s="43" t="s">
        <v>549</v>
      </c>
      <c r="B147" s="44">
        <v>5214</v>
      </c>
      <c r="C147" s="45">
        <v>520.65746068277713</v>
      </c>
      <c r="D147" s="69"/>
      <c r="E147" s="70"/>
      <c r="F147" s="71"/>
      <c r="Q147" s="1"/>
      <c r="R147" s="1"/>
      <c r="S147" s="1"/>
    </row>
    <row r="148" spans="1:19" ht="16" thickBot="1" x14ac:dyDescent="0.4">
      <c r="A148" s="40" t="s">
        <v>74</v>
      </c>
      <c r="B148" s="41">
        <v>292</v>
      </c>
      <c r="C148" s="42">
        <v>594.53767123287673</v>
      </c>
      <c r="D148" s="69"/>
      <c r="E148" s="70"/>
      <c r="F148" s="71"/>
      <c r="Q148" s="1"/>
      <c r="R148" s="1"/>
      <c r="S148" s="1"/>
    </row>
    <row r="149" spans="1:19" ht="16" thickBot="1" x14ac:dyDescent="0.4">
      <c r="A149" s="40" t="s">
        <v>492</v>
      </c>
      <c r="B149" s="41">
        <v>4883</v>
      </c>
      <c r="C149" s="42">
        <v>509.03215236534919</v>
      </c>
      <c r="D149" s="69"/>
      <c r="E149" s="70"/>
      <c r="F149" s="71"/>
      <c r="Q149" s="1"/>
      <c r="R149" s="1"/>
      <c r="S149" s="1"/>
    </row>
    <row r="150" spans="1:19" ht="16" thickBot="1" x14ac:dyDescent="0.4">
      <c r="A150" s="40" t="s">
        <v>21</v>
      </c>
      <c r="B150" s="41">
        <v>34</v>
      </c>
      <c r="C150" s="42">
        <v>1432.8529411764705</v>
      </c>
      <c r="D150" s="69"/>
      <c r="E150" s="70"/>
      <c r="F150" s="71"/>
      <c r="Q150" s="1"/>
      <c r="R150" s="1"/>
      <c r="S150" s="1"/>
    </row>
    <row r="151" spans="1:19" ht="16" thickBot="1" x14ac:dyDescent="0.4">
      <c r="A151" s="40" t="s">
        <v>557</v>
      </c>
      <c r="B151" s="41">
        <v>5</v>
      </c>
      <c r="C151" s="42">
        <v>1356.4</v>
      </c>
      <c r="D151" s="69"/>
      <c r="E151" s="70"/>
      <c r="F151" s="71"/>
      <c r="Q151" s="1"/>
      <c r="R151" s="1"/>
      <c r="S151" s="1"/>
    </row>
    <row r="152" spans="1:19" x14ac:dyDescent="0.35">
      <c r="Q152" s="1"/>
      <c r="R152" s="1"/>
      <c r="S152" s="1"/>
    </row>
    <row r="153" spans="1:19" x14ac:dyDescent="0.35">
      <c r="Q153" s="1"/>
      <c r="R153" s="1"/>
      <c r="S153" s="1"/>
    </row>
    <row r="154" spans="1:19" x14ac:dyDescent="0.35">
      <c r="Q154" s="1"/>
      <c r="R154" s="1"/>
      <c r="S154" s="1"/>
    </row>
    <row r="155" spans="1:19" x14ac:dyDescent="0.35">
      <c r="Q155" s="1"/>
      <c r="R155" s="1"/>
      <c r="S155" s="1"/>
    </row>
  </sheetData>
  <mergeCells count="11">
    <mergeCell ref="A27:C27"/>
    <mergeCell ref="A26:C26"/>
    <mergeCell ref="A4:D4"/>
    <mergeCell ref="A1:D1"/>
    <mergeCell ref="A16:C16"/>
    <mergeCell ref="A23:C23"/>
    <mergeCell ref="A24:C24"/>
    <mergeCell ref="A25:C25"/>
    <mergeCell ref="A7:C7"/>
    <mergeCell ref="A14:C14"/>
    <mergeCell ref="A2:D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9B43-5E39-4DB7-A5F0-42B6145A31C0}">
  <dimension ref="A1:AX140"/>
  <sheetViews>
    <sheetView showGridLines="0" zoomScale="80" zoomScaleNormal="80" zoomScaleSheetLayoutView="70" zoomScalePageLayoutView="90" workbookViewId="0">
      <selection sqref="A1:D1"/>
    </sheetView>
  </sheetViews>
  <sheetFormatPr defaultRowHeight="14.5" x14ac:dyDescent="0.35"/>
  <cols>
    <col min="1" max="1" width="36.453125" customWidth="1"/>
    <col min="2" max="2" width="23.81640625" bestFit="1"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8.81640625" bestFit="1" customWidth="1"/>
    <col min="13" max="13" width="9" bestFit="1" customWidth="1"/>
    <col min="14" max="14" width="13.54296875" customWidth="1"/>
    <col min="15" max="15" width="17.1796875" customWidth="1"/>
    <col min="16" max="16" width="10.453125" customWidth="1"/>
    <col min="25" max="25" width="8.81640625" customWidth="1"/>
    <col min="27" max="27" width="10.54296875" bestFit="1" customWidth="1"/>
  </cols>
  <sheetData>
    <row r="1" spans="1:50" s="145" customFormat="1" ht="27.75" customHeight="1" x14ac:dyDescent="0.3">
      <c r="A1" s="344" t="s">
        <v>47</v>
      </c>
      <c r="B1" s="344"/>
      <c r="C1" s="344"/>
      <c r="D1" s="344"/>
    </row>
    <row r="2" spans="1:50" s="147" customFormat="1" ht="45.75" customHeight="1" x14ac:dyDescent="0.3">
      <c r="A2" s="348" t="s">
        <v>48</v>
      </c>
      <c r="B2" s="348"/>
      <c r="C2" s="348"/>
      <c r="D2" s="348"/>
      <c r="E2" s="348"/>
      <c r="F2" s="348"/>
      <c r="G2" s="348"/>
      <c r="H2" s="348"/>
      <c r="I2" s="348"/>
      <c r="J2" s="348"/>
      <c r="K2" s="348"/>
      <c r="L2" s="348"/>
      <c r="M2" s="348"/>
      <c r="N2" s="348"/>
      <c r="O2" s="348"/>
      <c r="P2" s="348"/>
      <c r="Q2" s="146"/>
      <c r="R2" s="146"/>
      <c r="S2" s="146"/>
      <c r="T2" s="146"/>
      <c r="U2" s="146"/>
      <c r="V2" s="146"/>
    </row>
    <row r="3" spans="1:50" ht="31.5" customHeight="1" x14ac:dyDescent="0.35">
      <c r="A3" s="343" t="s">
        <v>775</v>
      </c>
      <c r="B3" s="343"/>
      <c r="C3" s="343"/>
      <c r="D3" s="343"/>
      <c r="E3" s="148"/>
      <c r="F3" s="148"/>
      <c r="G3" s="148"/>
      <c r="H3" s="148"/>
      <c r="I3" s="148"/>
      <c r="J3" s="148"/>
      <c r="K3" s="148"/>
      <c r="L3" s="148"/>
      <c r="M3" s="148"/>
      <c r="N3" s="148"/>
      <c r="O3" s="148"/>
      <c r="P3" s="148"/>
      <c r="Q3" s="148"/>
      <c r="R3" s="148"/>
      <c r="S3" s="148"/>
      <c r="T3" s="148"/>
      <c r="U3" s="148"/>
      <c r="V3" s="148"/>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s="145" customFormat="1" ht="30.75" customHeight="1" x14ac:dyDescent="0.3">
      <c r="A4" s="359"/>
      <c r="B4" s="359"/>
      <c r="C4" s="359"/>
      <c r="D4" s="359"/>
      <c r="E4" s="359"/>
      <c r="F4" s="359"/>
      <c r="G4" s="359"/>
      <c r="H4" s="359"/>
      <c r="I4" s="359"/>
      <c r="J4" s="359"/>
      <c r="K4" s="359"/>
      <c r="L4" s="359"/>
      <c r="M4" s="359"/>
      <c r="N4" s="359"/>
      <c r="O4" s="359"/>
      <c r="P4" s="359"/>
      <c r="Q4" s="359"/>
      <c r="R4" s="359"/>
      <c r="S4" s="359"/>
      <c r="T4" s="359"/>
      <c r="U4" s="359"/>
      <c r="V4" s="359"/>
      <c r="W4" s="149"/>
      <c r="X4" s="149"/>
      <c r="Y4" s="149"/>
      <c r="Z4" s="149"/>
    </row>
    <row r="5" spans="1:50" s="147" customFormat="1" ht="7.5" customHeight="1" thickBot="1" x14ac:dyDescent="0.35">
      <c r="A5" s="150"/>
      <c r="B5" s="150"/>
      <c r="C5" s="150"/>
      <c r="D5" s="150"/>
      <c r="E5" s="150"/>
      <c r="F5" s="150"/>
      <c r="G5" s="150"/>
      <c r="H5" s="150"/>
      <c r="I5" s="150"/>
      <c r="J5" s="150"/>
      <c r="K5" s="150"/>
      <c r="L5" s="150"/>
      <c r="M5" s="150"/>
      <c r="N5" s="150"/>
      <c r="O5" s="150"/>
      <c r="P5" s="150"/>
      <c r="Q5" s="150"/>
      <c r="R5" s="150"/>
      <c r="S5" s="150"/>
      <c r="T5" s="150"/>
      <c r="U5" s="150"/>
      <c r="V5" s="150"/>
      <c r="W5" s="151"/>
      <c r="X5" s="151"/>
      <c r="Y5" s="151"/>
      <c r="Z5" s="151"/>
    </row>
    <row r="6" spans="1:50" s="147" customFormat="1" ht="16.5" customHeight="1" x14ac:dyDescent="0.3">
      <c r="A6" s="360"/>
      <c r="B6" s="361"/>
      <c r="C6" s="361"/>
      <c r="D6" s="361"/>
      <c r="E6" s="361"/>
      <c r="F6" s="361"/>
      <c r="G6" s="361"/>
      <c r="H6" s="361"/>
      <c r="I6" s="361"/>
      <c r="J6" s="361"/>
      <c r="K6" s="361"/>
      <c r="L6" s="361"/>
      <c r="M6" s="361"/>
      <c r="N6" s="361"/>
      <c r="O6" s="361"/>
      <c r="P6" s="361"/>
      <c r="Q6" s="361"/>
      <c r="R6" s="361"/>
      <c r="S6" s="361"/>
      <c r="T6" s="361"/>
      <c r="U6" s="361"/>
      <c r="V6" s="362"/>
      <c r="W6" s="151"/>
      <c r="X6" s="151"/>
      <c r="Y6" s="151"/>
      <c r="Z6" s="151"/>
    </row>
    <row r="7" spans="1:50" s="145" customFormat="1" ht="16.5" customHeight="1" x14ac:dyDescent="0.3">
      <c r="A7" s="152"/>
      <c r="B7" s="153"/>
      <c r="C7" s="153"/>
      <c r="D7" s="153"/>
      <c r="E7" s="153"/>
      <c r="F7" s="153"/>
      <c r="G7" s="153"/>
      <c r="H7" s="153"/>
      <c r="J7" s="154"/>
      <c r="K7" s="154"/>
      <c r="L7" s="154"/>
      <c r="N7" s="153"/>
      <c r="O7" s="153"/>
      <c r="P7" s="153"/>
      <c r="Q7" s="153"/>
      <c r="R7" s="153"/>
      <c r="S7" s="153"/>
      <c r="T7" s="153"/>
      <c r="U7" s="153"/>
      <c r="V7" s="155"/>
      <c r="W7" s="156"/>
      <c r="X7" s="156"/>
      <c r="Y7" s="156"/>
      <c r="Z7" s="156"/>
    </row>
    <row r="8" spans="1:50" s="157" customFormat="1" ht="30.65" customHeight="1" x14ac:dyDescent="0.3">
      <c r="A8" s="349" t="s">
        <v>776</v>
      </c>
      <c r="B8" s="350"/>
      <c r="C8" s="350"/>
      <c r="D8" s="350"/>
      <c r="E8" s="143"/>
      <c r="F8" s="143"/>
      <c r="G8" s="350" t="s">
        <v>777</v>
      </c>
      <c r="H8" s="350"/>
      <c r="I8" s="350"/>
      <c r="J8" s="350"/>
      <c r="K8" s="350"/>
      <c r="M8" s="350" t="s">
        <v>778</v>
      </c>
      <c r="N8" s="350"/>
      <c r="O8" s="350"/>
      <c r="P8" s="350"/>
      <c r="Q8" s="350"/>
      <c r="T8" s="158"/>
      <c r="U8" s="158"/>
      <c r="V8" s="159"/>
      <c r="W8" s="160"/>
      <c r="X8" s="160"/>
      <c r="Y8" s="160"/>
      <c r="Z8" s="160"/>
      <c r="AB8" s="161"/>
      <c r="AC8" s="161"/>
    </row>
    <row r="9" spans="1:50" s="145" customFormat="1" ht="28.4" customHeight="1" x14ac:dyDescent="0.3">
      <c r="A9" s="162" t="s">
        <v>779</v>
      </c>
      <c r="B9" s="67" t="s">
        <v>780</v>
      </c>
      <c r="C9" s="67" t="s">
        <v>781</v>
      </c>
      <c r="D9" s="67" t="s">
        <v>0</v>
      </c>
      <c r="E9" s="153"/>
      <c r="F9" s="153"/>
      <c r="G9" s="363" t="s">
        <v>782</v>
      </c>
      <c r="H9" s="364"/>
      <c r="I9" s="163" t="s">
        <v>780</v>
      </c>
      <c r="J9" s="163" t="s">
        <v>781</v>
      </c>
      <c r="K9" s="163" t="s">
        <v>0</v>
      </c>
      <c r="M9" s="365" t="s">
        <v>783</v>
      </c>
      <c r="N9" s="365"/>
      <c r="O9" s="164" t="s">
        <v>784</v>
      </c>
      <c r="P9" s="153"/>
      <c r="Q9" s="153"/>
      <c r="R9" s="153"/>
      <c r="S9" s="153"/>
      <c r="T9" s="153"/>
      <c r="U9" s="156"/>
      <c r="V9" s="165"/>
      <c r="W9" s="156"/>
      <c r="X9" s="156"/>
      <c r="Y9" s="156"/>
      <c r="Z9" s="156"/>
      <c r="AA9" s="156"/>
      <c r="AB9" s="166"/>
      <c r="AC9" s="166"/>
    </row>
    <row r="10" spans="1:50" s="145" customFormat="1" ht="16.5" customHeight="1" thickBot="1" x14ac:dyDescent="0.35">
      <c r="A10" s="167" t="s">
        <v>0</v>
      </c>
      <c r="B10" s="168">
        <v>0</v>
      </c>
      <c r="C10" s="168">
        <f>SUM(C11:C14)</f>
        <v>29026</v>
      </c>
      <c r="D10" s="168">
        <f>SUM(D11:D14)</f>
        <v>29026</v>
      </c>
      <c r="E10" s="153"/>
      <c r="F10" s="153"/>
      <c r="G10" s="366" t="s">
        <v>785</v>
      </c>
      <c r="H10" s="366"/>
      <c r="I10" s="169">
        <v>0</v>
      </c>
      <c r="J10" s="169">
        <v>33.572335780908901</v>
      </c>
      <c r="K10" s="169">
        <v>33.572335780908901</v>
      </c>
      <c r="M10" s="367" t="s">
        <v>0</v>
      </c>
      <c r="N10" s="367"/>
      <c r="O10" s="170">
        <f>SUM(O11:O12)</f>
        <v>6743</v>
      </c>
      <c r="P10" s="153"/>
      <c r="Q10" s="153"/>
      <c r="R10" s="153"/>
      <c r="S10" s="153"/>
      <c r="T10" s="153"/>
      <c r="U10" s="171"/>
      <c r="V10" s="172"/>
      <c r="W10" s="171"/>
      <c r="X10" s="156"/>
      <c r="Y10" s="156"/>
      <c r="Z10" s="156"/>
      <c r="AA10" s="156"/>
      <c r="AB10" s="166"/>
      <c r="AC10" s="166"/>
    </row>
    <row r="11" spans="1:50" s="145" customFormat="1" ht="13.4" customHeight="1" thickTop="1" x14ac:dyDescent="0.3">
      <c r="A11" s="173" t="s">
        <v>786</v>
      </c>
      <c r="B11" s="174">
        <v>0</v>
      </c>
      <c r="C11" s="174">
        <v>14625</v>
      </c>
      <c r="D11" s="175">
        <f>SUM(B11:C11)</f>
        <v>14625</v>
      </c>
      <c r="E11" s="153"/>
      <c r="F11" s="153"/>
      <c r="G11" s="368"/>
      <c r="H11" s="368"/>
      <c r="I11" s="176"/>
      <c r="J11" s="176"/>
      <c r="K11" s="176"/>
      <c r="M11" s="369" t="s">
        <v>780</v>
      </c>
      <c r="N11" s="369"/>
      <c r="O11" s="177">
        <v>0</v>
      </c>
      <c r="P11" s="153"/>
      <c r="Q11" s="153"/>
      <c r="R11" s="153"/>
      <c r="S11" s="153"/>
      <c r="T11" s="153"/>
      <c r="U11" s="171"/>
      <c r="V11" s="172"/>
      <c r="W11" s="171"/>
      <c r="X11" s="156"/>
      <c r="Y11" s="156"/>
      <c r="Z11" s="156"/>
      <c r="AA11" s="156"/>
      <c r="AB11" s="166"/>
      <c r="AC11" s="166"/>
    </row>
    <row r="12" spans="1:50" s="145" customFormat="1" ht="13.4" customHeight="1" x14ac:dyDescent="0.3">
      <c r="A12" s="178" t="s">
        <v>787</v>
      </c>
      <c r="B12" s="174">
        <v>0</v>
      </c>
      <c r="C12" s="174">
        <v>10387</v>
      </c>
      <c r="D12" s="175">
        <f>SUM(B12:C12)</f>
        <v>10387</v>
      </c>
      <c r="E12" s="153"/>
      <c r="F12" s="153"/>
      <c r="M12" s="370" t="s">
        <v>781</v>
      </c>
      <c r="N12" s="370"/>
      <c r="O12" s="179">
        <v>6743</v>
      </c>
      <c r="P12" s="153"/>
      <c r="Q12" s="153"/>
      <c r="R12" s="153"/>
      <c r="S12" s="153"/>
      <c r="T12" s="153"/>
      <c r="U12" s="171"/>
      <c r="V12" s="172"/>
      <c r="W12" s="171"/>
      <c r="X12" s="156"/>
      <c r="Y12" s="156"/>
      <c r="Z12" s="156"/>
      <c r="AA12" s="156"/>
      <c r="AB12" s="166"/>
      <c r="AC12" s="166"/>
    </row>
    <row r="13" spans="1:50" s="145" customFormat="1" ht="13.4" customHeight="1" x14ac:dyDescent="0.3">
      <c r="A13" s="178" t="s">
        <v>788</v>
      </c>
      <c r="B13" s="174">
        <v>0</v>
      </c>
      <c r="C13" s="174">
        <v>2975</v>
      </c>
      <c r="D13" s="175">
        <f>SUM(B13:C13)</f>
        <v>2975</v>
      </c>
      <c r="E13" s="153"/>
      <c r="F13" s="153"/>
      <c r="G13" s="153"/>
      <c r="H13" s="153"/>
      <c r="I13" s="153"/>
      <c r="J13" s="153"/>
      <c r="K13" s="153"/>
      <c r="R13" s="153"/>
      <c r="S13" s="153"/>
      <c r="T13" s="153"/>
      <c r="U13" s="171"/>
      <c r="V13" s="172"/>
      <c r="W13" s="171"/>
      <c r="X13" s="156"/>
      <c r="Y13" s="156"/>
      <c r="Z13" s="156"/>
      <c r="AA13" s="156"/>
      <c r="AB13" s="166"/>
      <c r="AC13" s="166"/>
    </row>
    <row r="14" spans="1:50" s="145" customFormat="1" ht="13.4" customHeight="1" x14ac:dyDescent="0.3">
      <c r="A14" s="178" t="s">
        <v>789</v>
      </c>
      <c r="B14" s="174">
        <v>0</v>
      </c>
      <c r="C14" s="174">
        <v>1039</v>
      </c>
      <c r="D14" s="175">
        <f>SUM(B14:C14)</f>
        <v>1039</v>
      </c>
      <c r="E14" s="153"/>
      <c r="F14" s="153"/>
      <c r="G14" s="153"/>
      <c r="H14" s="153"/>
      <c r="I14" s="153"/>
      <c r="J14" s="153"/>
      <c r="K14" s="153"/>
      <c r="L14" s="153"/>
      <c r="M14" s="153"/>
      <c r="N14" s="153"/>
      <c r="O14" s="153"/>
      <c r="P14" s="153"/>
      <c r="Q14" s="153"/>
      <c r="R14" s="153"/>
      <c r="S14" s="153"/>
      <c r="T14" s="153"/>
      <c r="U14" s="171"/>
      <c r="V14" s="172"/>
      <c r="W14" s="171"/>
      <c r="X14" s="156"/>
      <c r="Y14" s="156"/>
      <c r="Z14" s="156"/>
      <c r="AA14" s="156"/>
      <c r="AB14" s="166"/>
      <c r="AC14" s="166"/>
    </row>
    <row r="15" spans="1:50" s="145" customFormat="1" ht="16.5" customHeight="1" x14ac:dyDescent="0.3">
      <c r="A15" s="180"/>
      <c r="B15" s="181"/>
      <c r="C15" s="181"/>
      <c r="D15" s="181"/>
      <c r="E15" s="181"/>
      <c r="F15" s="181"/>
      <c r="G15" s="153"/>
      <c r="H15" s="153"/>
      <c r="I15" s="153"/>
      <c r="J15" s="153"/>
      <c r="K15" s="153"/>
      <c r="L15" s="153"/>
      <c r="M15" s="153"/>
      <c r="N15" s="153"/>
      <c r="O15" s="153"/>
      <c r="P15" s="153"/>
      <c r="Q15" s="153"/>
      <c r="R15" s="153"/>
      <c r="S15" s="153"/>
      <c r="T15" s="153"/>
      <c r="U15" s="153"/>
      <c r="V15" s="155"/>
      <c r="W15" s="156"/>
      <c r="X15" s="156"/>
      <c r="Y15" s="156"/>
      <c r="Z15" s="156"/>
      <c r="AA15" s="156"/>
      <c r="AB15" s="166"/>
      <c r="AC15" s="166"/>
      <c r="AK15" s="166"/>
      <c r="AL15" s="166"/>
    </row>
    <row r="16" spans="1:50" s="145" customFormat="1" ht="16.5" customHeight="1" x14ac:dyDescent="0.3">
      <c r="A16" s="353"/>
      <c r="B16" s="354"/>
      <c r="C16" s="354"/>
      <c r="D16" s="354"/>
      <c r="E16" s="354"/>
      <c r="F16" s="354"/>
      <c r="G16" s="354"/>
      <c r="H16" s="354"/>
      <c r="I16" s="354"/>
      <c r="J16" s="354"/>
      <c r="K16" s="354"/>
      <c r="L16" s="354"/>
      <c r="M16" s="354"/>
      <c r="N16" s="354"/>
      <c r="O16" s="354"/>
      <c r="P16" s="354"/>
      <c r="Q16" s="354"/>
      <c r="R16" s="354"/>
      <c r="S16" s="354"/>
      <c r="T16" s="354"/>
      <c r="U16" s="354"/>
      <c r="V16" s="355"/>
      <c r="W16" s="156"/>
      <c r="X16" s="166"/>
      <c r="Y16" s="156"/>
      <c r="Z16" s="156"/>
      <c r="AK16" s="166"/>
    </row>
    <row r="17" spans="1:38" s="145" customFormat="1" ht="16.5" customHeight="1" x14ac:dyDescent="0.3">
      <c r="A17" s="152"/>
      <c r="B17" s="153"/>
      <c r="C17" s="153"/>
      <c r="D17" s="153"/>
      <c r="E17" s="153"/>
      <c r="F17" s="153"/>
      <c r="G17" s="153"/>
      <c r="H17" s="153"/>
      <c r="I17" s="153"/>
      <c r="J17" s="153"/>
      <c r="K17" s="153"/>
      <c r="L17" s="153"/>
      <c r="M17" s="153"/>
      <c r="N17" s="153"/>
      <c r="O17" s="153"/>
      <c r="P17" s="153"/>
      <c r="Q17" s="153"/>
      <c r="R17" s="153"/>
      <c r="S17" s="153"/>
      <c r="T17" s="153"/>
      <c r="U17" s="153"/>
      <c r="V17" s="155"/>
      <c r="W17" s="156"/>
      <c r="X17" s="156"/>
      <c r="Y17" s="156"/>
      <c r="Z17" s="156"/>
      <c r="AF17" s="166"/>
      <c r="AK17" s="166"/>
    </row>
    <row r="18" spans="1:38" s="182" customFormat="1" ht="27.65" customHeight="1" x14ac:dyDescent="0.3">
      <c r="A18" s="349" t="s">
        <v>790</v>
      </c>
      <c r="B18" s="350"/>
      <c r="C18" s="350"/>
      <c r="D18" s="350"/>
      <c r="E18" s="350"/>
      <c r="F18" s="350"/>
      <c r="I18" s="351" t="s">
        <v>791</v>
      </c>
      <c r="J18" s="351"/>
      <c r="K18" s="351"/>
      <c r="L18" s="351"/>
      <c r="M18" s="351"/>
      <c r="N18" s="351"/>
      <c r="O18" s="351"/>
      <c r="P18" s="351"/>
      <c r="Q18" s="351"/>
      <c r="R18" s="351"/>
      <c r="S18" s="351"/>
      <c r="T18" s="351"/>
      <c r="U18" s="351"/>
      <c r="V18" s="352"/>
      <c r="W18" s="183"/>
      <c r="X18" s="183"/>
      <c r="Y18" s="183"/>
      <c r="AE18" s="145"/>
      <c r="AF18" s="166"/>
      <c r="AG18" s="145"/>
      <c r="AH18" s="145"/>
      <c r="AI18" s="145"/>
      <c r="AJ18" s="145"/>
      <c r="AK18" s="145"/>
      <c r="AL18" s="166"/>
    </row>
    <row r="19" spans="1:38" s="147" customFormat="1" ht="28.75" customHeight="1" x14ac:dyDescent="0.3">
      <c r="A19" s="67" t="s">
        <v>792</v>
      </c>
      <c r="B19" s="67" t="s">
        <v>78</v>
      </c>
      <c r="C19" s="67" t="s">
        <v>793</v>
      </c>
      <c r="D19" s="67" t="s">
        <v>62</v>
      </c>
      <c r="E19" s="67" t="s">
        <v>794</v>
      </c>
      <c r="F19" s="67" t="s">
        <v>0</v>
      </c>
      <c r="I19" s="67" t="s">
        <v>795</v>
      </c>
      <c r="J19" s="67" t="s">
        <v>796</v>
      </c>
      <c r="K19" s="67" t="s">
        <v>797</v>
      </c>
      <c r="L19" s="67" t="s">
        <v>798</v>
      </c>
      <c r="M19" s="67" t="s">
        <v>799</v>
      </c>
      <c r="N19" s="67" t="s">
        <v>800</v>
      </c>
      <c r="O19" s="67" t="s">
        <v>801</v>
      </c>
      <c r="P19" s="67" t="s">
        <v>802</v>
      </c>
      <c r="Q19" s="67" t="s">
        <v>803</v>
      </c>
      <c r="R19" s="67" t="s">
        <v>804</v>
      </c>
      <c r="S19" s="67" t="s">
        <v>805</v>
      </c>
      <c r="T19" s="67" t="s">
        <v>806</v>
      </c>
      <c r="U19" s="67" t="s">
        <v>807</v>
      </c>
      <c r="V19" s="67" t="s">
        <v>0</v>
      </c>
      <c r="W19" s="184"/>
      <c r="X19" s="185"/>
      <c r="Y19" s="185"/>
      <c r="Z19" s="186"/>
      <c r="AA19" s="187"/>
      <c r="AB19" s="188"/>
      <c r="AC19" s="188"/>
      <c r="AD19" s="188"/>
      <c r="AE19" s="189"/>
      <c r="AF19" s="188"/>
      <c r="AG19" s="188"/>
      <c r="AH19" s="188"/>
      <c r="AI19" s="188"/>
      <c r="AJ19" s="188"/>
      <c r="AK19" s="188"/>
    </row>
    <row r="20" spans="1:38" s="147" customFormat="1" ht="18" customHeight="1" thickBot="1" x14ac:dyDescent="0.35">
      <c r="A20" s="167" t="s">
        <v>0</v>
      </c>
      <c r="B20" s="168">
        <f>SUM(B21:B23)</f>
        <v>8218</v>
      </c>
      <c r="C20" s="190">
        <f>IF(ISERROR(B20/F20),0,B20/F20)</f>
        <v>0.28312547371322261</v>
      </c>
      <c r="D20" s="168">
        <f>SUM(D21:D23)</f>
        <v>20808</v>
      </c>
      <c r="E20" s="190">
        <f>IF(ISERROR(D20/F20),0,D20/F20)</f>
        <v>0.71687452628677739</v>
      </c>
      <c r="F20" s="168">
        <f>B20+D20</f>
        <v>29026</v>
      </c>
      <c r="I20" s="191" t="s">
        <v>0</v>
      </c>
      <c r="J20" s="192">
        <f t="shared" ref="J20:U20" si="0">SUM(J21:J22)</f>
        <v>22419</v>
      </c>
      <c r="K20" s="193">
        <f t="shared" si="0"/>
        <v>19066</v>
      </c>
      <c r="L20" s="192">
        <f t="shared" si="0"/>
        <v>2078</v>
      </c>
      <c r="M20" s="192">
        <f t="shared" si="0"/>
        <v>0</v>
      </c>
      <c r="N20" s="192">
        <f t="shared" si="0"/>
        <v>0</v>
      </c>
      <c r="O20" s="192">
        <f t="shared" si="0"/>
        <v>0</v>
      </c>
      <c r="P20" s="192">
        <f t="shared" si="0"/>
        <v>0</v>
      </c>
      <c r="Q20" s="192">
        <f t="shared" si="0"/>
        <v>0</v>
      </c>
      <c r="R20" s="192">
        <f t="shared" si="0"/>
        <v>0</v>
      </c>
      <c r="S20" s="192">
        <f t="shared" si="0"/>
        <v>0</v>
      </c>
      <c r="T20" s="192">
        <f t="shared" si="0"/>
        <v>0</v>
      </c>
      <c r="U20" s="192">
        <f t="shared" si="0"/>
        <v>0</v>
      </c>
      <c r="V20" s="194">
        <f>SUM(J20:U20)</f>
        <v>43563</v>
      </c>
      <c r="W20" s="184"/>
      <c r="X20" s="184"/>
      <c r="Y20" s="185"/>
      <c r="Z20" s="185"/>
      <c r="AA20" s="188"/>
      <c r="AB20" s="188"/>
      <c r="AC20" s="188"/>
      <c r="AD20" s="188"/>
      <c r="AE20" s="189"/>
      <c r="AF20" s="188"/>
      <c r="AG20" s="188"/>
    </row>
    <row r="21" spans="1:38" s="147" customFormat="1" ht="15" customHeight="1" thickTop="1" x14ac:dyDescent="0.3">
      <c r="A21" s="173" t="s">
        <v>808</v>
      </c>
      <c r="B21" s="195">
        <v>5847</v>
      </c>
      <c r="C21" s="196">
        <f>IF(ISERROR(B21/F21),0,B21/F21)</f>
        <v>0.83936261843238591</v>
      </c>
      <c r="D21" s="195">
        <v>1119</v>
      </c>
      <c r="E21" s="196">
        <f>IF(ISERROR(D21/F21),0,D21/F21)</f>
        <v>0.16063738156761412</v>
      </c>
      <c r="F21" s="197">
        <f>B21+D21</f>
        <v>6966</v>
      </c>
      <c r="I21" s="197" t="s">
        <v>62</v>
      </c>
      <c r="J21" s="198">
        <v>15913</v>
      </c>
      <c r="K21" s="198">
        <v>12650</v>
      </c>
      <c r="L21" s="198">
        <v>1374</v>
      </c>
      <c r="M21" s="198">
        <v>0</v>
      </c>
      <c r="N21" s="198">
        <v>0</v>
      </c>
      <c r="O21" s="198">
        <v>0</v>
      </c>
      <c r="P21" s="198">
        <v>0</v>
      </c>
      <c r="Q21" s="198">
        <v>0</v>
      </c>
      <c r="R21" s="198">
        <v>0</v>
      </c>
      <c r="S21" s="198">
        <v>0</v>
      </c>
      <c r="T21" s="198">
        <v>0</v>
      </c>
      <c r="U21" s="198">
        <v>0</v>
      </c>
      <c r="V21" s="199">
        <f>SUM(J21:U21)</f>
        <v>29937</v>
      </c>
      <c r="W21" s="184"/>
      <c r="X21" s="200"/>
      <c r="Y21" s="200"/>
      <c r="Z21" s="185"/>
      <c r="AA21" s="188"/>
      <c r="AB21" s="189"/>
      <c r="AC21" s="189"/>
      <c r="AD21" s="189"/>
      <c r="AE21" s="189"/>
      <c r="AF21" s="189"/>
      <c r="AG21" s="189"/>
      <c r="AH21" s="189"/>
      <c r="AI21" s="189"/>
      <c r="AJ21" s="189"/>
      <c r="AK21" s="189"/>
      <c r="AL21" s="189"/>
    </row>
    <row r="22" spans="1:38" s="147" customFormat="1" ht="15" customHeight="1" x14ac:dyDescent="0.3">
      <c r="A22" s="178" t="s">
        <v>809</v>
      </c>
      <c r="B22" s="201">
        <v>1935</v>
      </c>
      <c r="C22" s="202">
        <f>IF(ISERROR(B22/F22),0,B22/F22)</f>
        <v>0.80190634065478661</v>
      </c>
      <c r="D22" s="201">
        <v>478</v>
      </c>
      <c r="E22" s="202">
        <f>IF(ISERROR(D22/F22),0,D22/F22)</f>
        <v>0.19809365934521342</v>
      </c>
      <c r="F22" s="68">
        <f>B22+D22</f>
        <v>2413</v>
      </c>
      <c r="I22" s="68" t="s">
        <v>810</v>
      </c>
      <c r="J22" s="203">
        <v>6506</v>
      </c>
      <c r="K22" s="198">
        <v>6416</v>
      </c>
      <c r="L22" s="198">
        <v>704</v>
      </c>
      <c r="M22" s="198">
        <v>0</v>
      </c>
      <c r="N22" s="198">
        <v>0</v>
      </c>
      <c r="O22" s="198">
        <v>0</v>
      </c>
      <c r="P22" s="198">
        <v>0</v>
      </c>
      <c r="Q22" s="198">
        <v>0</v>
      </c>
      <c r="R22" s="198">
        <v>0</v>
      </c>
      <c r="S22" s="198">
        <v>0</v>
      </c>
      <c r="T22" s="198">
        <v>0</v>
      </c>
      <c r="U22" s="198">
        <v>0</v>
      </c>
      <c r="V22" s="204">
        <f>SUM(J22:U22)</f>
        <v>13626</v>
      </c>
      <c r="W22" s="184"/>
      <c r="X22" s="200"/>
      <c r="Y22" s="200"/>
      <c r="Z22" s="200"/>
      <c r="AA22" s="189"/>
      <c r="AB22" s="189"/>
      <c r="AC22" s="189"/>
      <c r="AD22" s="189"/>
      <c r="AE22" s="189"/>
      <c r="AF22" s="189"/>
      <c r="AG22" s="189"/>
      <c r="AH22" s="189"/>
      <c r="AI22" s="189"/>
      <c r="AJ22" s="189"/>
      <c r="AK22" s="189"/>
      <c r="AL22" s="189"/>
    </row>
    <row r="23" spans="1:38" s="147" customFormat="1" ht="15" customHeight="1" x14ac:dyDescent="0.3">
      <c r="A23" s="178" t="s">
        <v>811</v>
      </c>
      <c r="B23" s="201">
        <v>436</v>
      </c>
      <c r="C23" s="202">
        <f>IF(ISERROR(B23/F23),0,B23/F23)</f>
        <v>2.2191683208632362E-2</v>
      </c>
      <c r="D23" s="201">
        <v>19211</v>
      </c>
      <c r="E23" s="202">
        <f>IF(ISERROR(D23/F23),0,D23/F23)</f>
        <v>0.97780831679136759</v>
      </c>
      <c r="F23" s="68">
        <f>B23+D23</f>
        <v>19647</v>
      </c>
      <c r="T23" s="156"/>
      <c r="U23" s="156"/>
      <c r="V23" s="165"/>
      <c r="W23" s="184"/>
      <c r="X23" s="200"/>
      <c r="Y23" s="200"/>
      <c r="Z23" s="200"/>
      <c r="AA23" s="189"/>
      <c r="AB23" s="189"/>
      <c r="AC23" s="189"/>
      <c r="AD23" s="189"/>
      <c r="AE23" s="189"/>
      <c r="AF23" s="189"/>
      <c r="AG23" s="189"/>
      <c r="AH23" s="189"/>
      <c r="AI23" s="189"/>
      <c r="AJ23" s="189"/>
      <c r="AK23" s="189"/>
      <c r="AL23" s="189"/>
    </row>
    <row r="24" spans="1:38" s="147" customFormat="1" ht="12" x14ac:dyDescent="0.3">
      <c r="A24" s="205"/>
      <c r="T24" s="156"/>
      <c r="U24" s="156"/>
      <c r="V24" s="165"/>
      <c r="W24" s="184"/>
      <c r="X24" s="184"/>
      <c r="Y24" s="200"/>
      <c r="Z24" s="200"/>
      <c r="AA24" s="189"/>
      <c r="AB24" s="189"/>
      <c r="AC24" s="189"/>
      <c r="AD24" s="189"/>
      <c r="AE24" s="189"/>
      <c r="AF24" s="189"/>
      <c r="AG24" s="189"/>
      <c r="AH24" s="189"/>
      <c r="AK24" s="189"/>
      <c r="AL24" s="189"/>
    </row>
    <row r="25" spans="1:38" s="145" customFormat="1" ht="16.5" customHeight="1" x14ac:dyDescent="0.3">
      <c r="A25" s="353"/>
      <c r="B25" s="354"/>
      <c r="C25" s="354"/>
      <c r="D25" s="354"/>
      <c r="E25" s="354"/>
      <c r="F25" s="354"/>
      <c r="G25" s="354"/>
      <c r="H25" s="354"/>
      <c r="I25" s="354"/>
      <c r="J25" s="354"/>
      <c r="K25" s="354"/>
      <c r="L25" s="354"/>
      <c r="M25" s="354"/>
      <c r="N25" s="354"/>
      <c r="O25" s="354"/>
      <c r="P25" s="354"/>
      <c r="Q25" s="354"/>
      <c r="R25" s="354"/>
      <c r="S25" s="354"/>
      <c r="T25" s="354"/>
      <c r="U25" s="354"/>
      <c r="V25" s="355"/>
      <c r="W25" s="156"/>
      <c r="X25" s="156"/>
      <c r="Y25" s="156"/>
      <c r="Z25" s="171"/>
      <c r="AA25" s="166"/>
      <c r="AB25" s="166"/>
      <c r="AC25" s="166"/>
      <c r="AD25" s="166"/>
      <c r="AE25" s="166"/>
      <c r="AF25" s="166"/>
      <c r="AG25" s="166"/>
    </row>
    <row r="26" spans="1:38" s="147" customFormat="1" ht="12" x14ac:dyDescent="0.3">
      <c r="A26" s="205"/>
      <c r="T26" s="156"/>
      <c r="U26" s="156"/>
      <c r="V26" s="165"/>
      <c r="W26" s="184"/>
      <c r="X26" s="184"/>
      <c r="Y26" s="184"/>
      <c r="Z26" s="200"/>
      <c r="AA26" s="189"/>
      <c r="AB26" s="189"/>
      <c r="AC26" s="189"/>
      <c r="AG26" s="189"/>
    </row>
    <row r="27" spans="1:38" s="145" customFormat="1" ht="21.65" customHeight="1" x14ac:dyDescent="0.3">
      <c r="A27" s="356" t="s">
        <v>812</v>
      </c>
      <c r="B27" s="357"/>
      <c r="C27" s="357"/>
      <c r="D27" s="357"/>
      <c r="E27" s="357"/>
      <c r="F27" s="206"/>
      <c r="H27" s="357" t="s">
        <v>813</v>
      </c>
      <c r="I27" s="357"/>
      <c r="J27" s="357"/>
      <c r="K27" s="357"/>
      <c r="L27" s="357"/>
      <c r="M27" s="206"/>
      <c r="N27" s="358" t="s">
        <v>814</v>
      </c>
      <c r="O27" s="358"/>
      <c r="P27" s="358"/>
      <c r="Q27" s="358"/>
      <c r="R27" s="358"/>
      <c r="S27" s="206"/>
      <c r="V27" s="207"/>
      <c r="W27" s="208"/>
      <c r="X27" s="209"/>
      <c r="Y27" s="209"/>
      <c r="Z27" s="209"/>
      <c r="AA27" s="210"/>
      <c r="AB27" s="210"/>
      <c r="AC27" s="210"/>
      <c r="AD27" s="210"/>
      <c r="AE27" s="166"/>
      <c r="AF27" s="166"/>
      <c r="AG27" s="166"/>
      <c r="AH27" s="210"/>
      <c r="AI27" s="210"/>
    </row>
    <row r="28" spans="1:38" s="147" customFormat="1" ht="37.5" customHeight="1" x14ac:dyDescent="0.3">
      <c r="A28" s="67" t="s">
        <v>815</v>
      </c>
      <c r="B28" s="67" t="s">
        <v>808</v>
      </c>
      <c r="C28" s="67" t="s">
        <v>809</v>
      </c>
      <c r="D28" s="67" t="s">
        <v>811</v>
      </c>
      <c r="E28" s="67" t="s">
        <v>0</v>
      </c>
      <c r="H28" s="365" t="s">
        <v>815</v>
      </c>
      <c r="I28" s="365"/>
      <c r="J28" s="164" t="s">
        <v>0</v>
      </c>
      <c r="K28" s="156"/>
      <c r="L28" s="156"/>
      <c r="M28" s="156"/>
      <c r="N28" s="374"/>
      <c r="O28" s="375"/>
      <c r="P28" s="211" t="s">
        <v>816</v>
      </c>
      <c r="U28" s="156"/>
      <c r="V28" s="212"/>
      <c r="W28" s="184"/>
      <c r="X28" s="184"/>
      <c r="Y28" s="184"/>
      <c r="Z28" s="189"/>
      <c r="AD28" s="189"/>
      <c r="AE28" s="189"/>
      <c r="AF28" s="189"/>
      <c r="AG28" s="189"/>
    </row>
    <row r="29" spans="1:38" s="147" customFormat="1" ht="15" customHeight="1" thickBot="1" x14ac:dyDescent="0.35">
      <c r="A29" s="167" t="s">
        <v>0</v>
      </c>
      <c r="B29" s="168">
        <f>SUM(B30:B31)</f>
        <v>9845</v>
      </c>
      <c r="C29" s="168">
        <f>SUM(C30:C31)</f>
        <v>3806</v>
      </c>
      <c r="D29" s="168">
        <f>SUM(D30:D31)</f>
        <v>29912</v>
      </c>
      <c r="E29" s="193">
        <f>SUM(B29:D29)</f>
        <v>43563</v>
      </c>
      <c r="H29" s="367" t="s">
        <v>0</v>
      </c>
      <c r="I29" s="367"/>
      <c r="J29" s="213">
        <f>SUM(J30:J31)</f>
        <v>23850</v>
      </c>
      <c r="K29" s="156"/>
      <c r="L29" s="156"/>
      <c r="M29" s="156"/>
      <c r="N29" s="376" t="s">
        <v>0</v>
      </c>
      <c r="O29" s="377"/>
      <c r="P29" s="214">
        <v>16813</v>
      </c>
      <c r="U29" s="171"/>
      <c r="V29" s="215"/>
      <c r="W29" s="184"/>
      <c r="X29" s="200"/>
      <c r="Y29" s="200"/>
      <c r="Z29" s="189"/>
      <c r="AA29" s="189"/>
      <c r="AB29" s="189"/>
      <c r="AC29" s="189"/>
      <c r="AD29" s="189"/>
      <c r="AE29" s="189"/>
      <c r="AF29" s="189"/>
      <c r="AG29" s="189"/>
      <c r="AH29" s="189"/>
      <c r="AI29" s="189"/>
      <c r="AJ29" s="189"/>
    </row>
    <row r="30" spans="1:38" s="147" customFormat="1" ht="15" customHeight="1" thickTop="1" x14ac:dyDescent="0.3">
      <c r="A30" s="173" t="s">
        <v>780</v>
      </c>
      <c r="B30" s="195">
        <v>0</v>
      </c>
      <c r="C30" s="195">
        <v>0</v>
      </c>
      <c r="D30" s="195">
        <v>0</v>
      </c>
      <c r="E30" s="197">
        <f>SUM(B30:D30)</f>
        <v>0</v>
      </c>
      <c r="F30" s="145"/>
      <c r="G30" s="145"/>
      <c r="H30" s="369" t="s">
        <v>780</v>
      </c>
      <c r="I30" s="369"/>
      <c r="J30" s="177">
        <v>0</v>
      </c>
      <c r="K30" s="156"/>
      <c r="L30" s="156"/>
      <c r="M30" s="156"/>
      <c r="N30" s="378" t="s">
        <v>817</v>
      </c>
      <c r="O30" s="379"/>
      <c r="P30" s="177">
        <v>40</v>
      </c>
      <c r="U30" s="171"/>
      <c r="V30" s="215"/>
      <c r="W30" s="184"/>
      <c r="X30" s="200"/>
      <c r="Y30" s="200"/>
      <c r="Z30" s="189"/>
      <c r="AA30" s="189"/>
      <c r="AB30" s="189"/>
      <c r="AC30" s="189"/>
      <c r="AD30" s="189"/>
      <c r="AE30" s="189"/>
      <c r="AF30" s="189"/>
      <c r="AG30" s="189"/>
      <c r="AH30" s="189"/>
      <c r="AI30" s="189"/>
      <c r="AJ30" s="189"/>
    </row>
    <row r="31" spans="1:38" s="147" customFormat="1" ht="14.5" customHeight="1" x14ac:dyDescent="0.3">
      <c r="A31" s="178" t="s">
        <v>781</v>
      </c>
      <c r="B31" s="201">
        <v>9845</v>
      </c>
      <c r="C31" s="201">
        <v>3806</v>
      </c>
      <c r="D31" s="201">
        <v>29912</v>
      </c>
      <c r="E31" s="197">
        <f>SUM(B31:D31)</f>
        <v>43563</v>
      </c>
      <c r="F31" s="145"/>
      <c r="G31" s="145"/>
      <c r="H31" s="370" t="s">
        <v>781</v>
      </c>
      <c r="I31" s="370"/>
      <c r="J31" s="179">
        <v>23850</v>
      </c>
      <c r="K31" s="156"/>
      <c r="L31" s="156"/>
      <c r="M31" s="156"/>
      <c r="N31" s="156"/>
      <c r="O31" s="156"/>
      <c r="P31" s="156"/>
      <c r="Q31" s="156"/>
      <c r="R31" s="156"/>
      <c r="U31" s="171"/>
      <c r="V31" s="215"/>
      <c r="W31" s="184"/>
      <c r="X31" s="200"/>
      <c r="Y31" s="200"/>
      <c r="Z31" s="189"/>
      <c r="AA31" s="189"/>
      <c r="AB31" s="189"/>
      <c r="AC31" s="189"/>
      <c r="AD31" s="189"/>
      <c r="AE31" s="189"/>
      <c r="AF31" s="189"/>
      <c r="AG31" s="189"/>
      <c r="AH31" s="189"/>
      <c r="AI31" s="189"/>
      <c r="AJ31" s="189"/>
    </row>
    <row r="32" spans="1:38" s="147" customFormat="1" ht="12" x14ac:dyDescent="0.3">
      <c r="A32" s="205"/>
      <c r="F32" s="145"/>
      <c r="G32" s="145"/>
      <c r="H32" s="145"/>
      <c r="K32" s="145"/>
      <c r="L32" s="156"/>
      <c r="M32" s="156"/>
      <c r="N32" s="156"/>
      <c r="O32" s="156"/>
      <c r="P32" s="156"/>
      <c r="Q32" s="156"/>
      <c r="R32" s="156"/>
      <c r="S32" s="156"/>
      <c r="T32" s="156"/>
      <c r="U32" s="171"/>
      <c r="V32" s="165"/>
      <c r="W32" s="184"/>
      <c r="X32" s="200"/>
      <c r="Y32" s="200"/>
      <c r="Z32" s="200"/>
      <c r="AA32" s="189"/>
      <c r="AB32" s="189"/>
      <c r="AC32" s="189"/>
      <c r="AD32" s="189"/>
      <c r="AE32" s="189"/>
      <c r="AF32" s="189"/>
      <c r="AG32" s="189"/>
    </row>
    <row r="33" spans="1:45" s="145" customFormat="1" ht="16.5" customHeight="1" x14ac:dyDescent="0.3">
      <c r="A33" s="353"/>
      <c r="B33" s="354"/>
      <c r="C33" s="354"/>
      <c r="D33" s="354"/>
      <c r="E33" s="354"/>
      <c r="F33" s="354"/>
      <c r="G33" s="354"/>
      <c r="H33" s="354"/>
      <c r="I33" s="354"/>
      <c r="J33" s="354"/>
      <c r="K33" s="354"/>
      <c r="L33" s="354"/>
      <c r="M33" s="354"/>
      <c r="N33" s="354"/>
      <c r="O33" s="354"/>
      <c r="P33" s="354"/>
      <c r="Q33" s="354"/>
      <c r="R33" s="354"/>
      <c r="S33" s="354"/>
      <c r="T33" s="354"/>
      <c r="U33" s="354"/>
      <c r="V33" s="355"/>
      <c r="W33" s="156"/>
      <c r="X33" s="156"/>
      <c r="Y33" s="156"/>
      <c r="Z33" s="171"/>
      <c r="AA33" s="166"/>
      <c r="AB33" s="166"/>
      <c r="AC33" s="166"/>
      <c r="AD33" s="166"/>
      <c r="AE33" s="166"/>
      <c r="AF33" s="166"/>
      <c r="AG33" s="166"/>
    </row>
    <row r="34" spans="1:45" s="147" customFormat="1" ht="12" x14ac:dyDescent="0.3">
      <c r="A34" s="205"/>
      <c r="F34" s="145"/>
      <c r="G34" s="145"/>
      <c r="H34" s="145"/>
      <c r="I34" s="189"/>
      <c r="K34" s="145"/>
      <c r="L34" s="156"/>
      <c r="M34" s="156"/>
      <c r="N34" s="156"/>
      <c r="O34" s="156"/>
      <c r="P34" s="156"/>
      <c r="Q34" s="156"/>
      <c r="R34" s="156"/>
      <c r="S34" s="156"/>
      <c r="T34" s="156"/>
      <c r="U34" s="156"/>
      <c r="V34" s="216"/>
      <c r="W34" s="184"/>
      <c r="X34" s="184"/>
      <c r="Y34" s="184"/>
      <c r="Z34" s="200"/>
      <c r="AA34" s="189"/>
      <c r="AB34" s="189"/>
      <c r="AC34" s="189"/>
      <c r="AD34" s="189"/>
      <c r="AE34" s="189"/>
    </row>
    <row r="35" spans="1:45" s="147" customFormat="1" ht="12" x14ac:dyDescent="0.3">
      <c r="A35" s="205"/>
      <c r="F35" s="145"/>
      <c r="G35" s="145"/>
      <c r="H35" s="145"/>
      <c r="I35" s="188"/>
      <c r="J35" s="188"/>
      <c r="K35" s="210"/>
      <c r="L35" s="217"/>
      <c r="M35" s="217"/>
      <c r="N35" s="217"/>
      <c r="O35" s="217"/>
      <c r="P35" s="217"/>
      <c r="Q35" s="217"/>
      <c r="R35" s="217"/>
      <c r="S35" s="217"/>
      <c r="T35" s="156"/>
      <c r="U35" s="156"/>
      <c r="V35" s="165"/>
      <c r="W35" s="184"/>
      <c r="X35" s="184"/>
      <c r="Y35" s="184"/>
      <c r="Z35" s="200"/>
      <c r="AB35" s="189"/>
      <c r="AC35" s="189"/>
      <c r="AE35" s="189"/>
    </row>
    <row r="36" spans="1:45" s="147" customFormat="1" ht="22.5" customHeight="1" x14ac:dyDescent="0.3">
      <c r="A36" s="349" t="s">
        <v>818</v>
      </c>
      <c r="B36" s="350"/>
      <c r="C36" s="350"/>
      <c r="D36" s="350"/>
      <c r="E36" s="350"/>
      <c r="F36" s="206"/>
      <c r="G36" s="145"/>
      <c r="H36" s="145"/>
      <c r="I36" s="145"/>
      <c r="J36" s="145"/>
      <c r="K36" s="145"/>
      <c r="L36" s="145"/>
      <c r="M36" s="145"/>
      <c r="N36" s="145"/>
      <c r="O36" s="145"/>
      <c r="P36" s="145"/>
      <c r="Q36" s="145"/>
      <c r="R36" s="166"/>
      <c r="S36" s="145"/>
      <c r="T36" s="145"/>
      <c r="U36" s="145"/>
      <c r="V36" s="218"/>
      <c r="W36" s="184"/>
      <c r="X36" s="184"/>
      <c r="Y36" s="184"/>
      <c r="Z36" s="200"/>
      <c r="AB36" s="189"/>
      <c r="AC36" s="189"/>
      <c r="AE36" s="189"/>
    </row>
    <row r="37" spans="1:45" s="147" customFormat="1" ht="38.5" customHeight="1" x14ac:dyDescent="0.3">
      <c r="A37" s="219" t="s">
        <v>819</v>
      </c>
      <c r="B37" s="67" t="s">
        <v>792</v>
      </c>
      <c r="C37" s="67" t="s">
        <v>796</v>
      </c>
      <c r="D37" s="67" t="s">
        <v>797</v>
      </c>
      <c r="E37" s="67" t="s">
        <v>798</v>
      </c>
      <c r="F37" s="67" t="s">
        <v>799</v>
      </c>
      <c r="G37" s="67" t="s">
        <v>800</v>
      </c>
      <c r="H37" s="67" t="s">
        <v>801</v>
      </c>
      <c r="I37" s="67" t="s">
        <v>802</v>
      </c>
      <c r="J37" s="67" t="s">
        <v>803</v>
      </c>
      <c r="K37" s="67" t="s">
        <v>804</v>
      </c>
      <c r="L37" s="67" t="s">
        <v>805</v>
      </c>
      <c r="M37" s="67" t="s">
        <v>806</v>
      </c>
      <c r="N37" s="67" t="s">
        <v>807</v>
      </c>
      <c r="O37" s="67" t="s">
        <v>0</v>
      </c>
      <c r="P37" s="145"/>
      <c r="Q37" s="145"/>
      <c r="R37" s="166"/>
      <c r="S37" s="145"/>
      <c r="T37" s="145"/>
      <c r="U37" s="145"/>
      <c r="V37" s="218"/>
      <c r="W37" s="145"/>
      <c r="X37" s="145"/>
      <c r="Y37" s="145"/>
      <c r="Z37" s="145"/>
      <c r="AA37" s="145"/>
      <c r="AB37" s="145"/>
      <c r="AC37" s="145"/>
      <c r="AD37" s="184"/>
      <c r="AE37" s="184"/>
      <c r="AI37" s="189"/>
      <c r="AJ37" s="189"/>
      <c r="AL37" s="189"/>
    </row>
    <row r="38" spans="1:45" s="147" customFormat="1" ht="15.75" customHeight="1" thickBot="1" x14ac:dyDescent="0.35">
      <c r="A38" s="220" t="s">
        <v>0</v>
      </c>
      <c r="B38" s="168"/>
      <c r="C38" s="221">
        <f t="shared" ref="C38:N38" si="1">SUM(C39,C51,C55,C59)</f>
        <v>9731</v>
      </c>
      <c r="D38" s="221">
        <f t="shared" si="1"/>
        <v>12487</v>
      </c>
      <c r="E38" s="221">
        <f t="shared" si="1"/>
        <v>1632</v>
      </c>
      <c r="F38" s="221">
        <f t="shared" si="1"/>
        <v>0</v>
      </c>
      <c r="G38" s="221">
        <f t="shared" si="1"/>
        <v>0</v>
      </c>
      <c r="H38" s="221">
        <f t="shared" si="1"/>
        <v>0</v>
      </c>
      <c r="I38" s="221">
        <f t="shared" si="1"/>
        <v>0</v>
      </c>
      <c r="J38" s="221">
        <f t="shared" si="1"/>
        <v>0</v>
      </c>
      <c r="K38" s="221">
        <f t="shared" si="1"/>
        <v>0</v>
      </c>
      <c r="L38" s="221">
        <f t="shared" si="1"/>
        <v>0</v>
      </c>
      <c r="M38" s="221">
        <f t="shared" si="1"/>
        <v>0</v>
      </c>
      <c r="N38" s="221">
        <f t="shared" si="1"/>
        <v>0</v>
      </c>
      <c r="O38" s="222">
        <f>SUM(C38:N38)</f>
        <v>23850</v>
      </c>
      <c r="P38" s="145"/>
      <c r="Q38" s="145"/>
      <c r="R38" s="166"/>
      <c r="S38" s="145"/>
      <c r="T38" s="145"/>
      <c r="U38" s="166"/>
      <c r="V38" s="223"/>
      <c r="W38" s="166"/>
      <c r="X38" s="166"/>
      <c r="Y38" s="166"/>
      <c r="Z38" s="166"/>
      <c r="AA38" s="166"/>
      <c r="AB38" s="166"/>
      <c r="AC38" s="166"/>
      <c r="AD38" s="200"/>
      <c r="AE38" s="200"/>
      <c r="AF38" s="189"/>
      <c r="AG38" s="189"/>
      <c r="AH38" s="189"/>
      <c r="AI38" s="189"/>
      <c r="AJ38" s="189"/>
      <c r="AL38" s="189"/>
      <c r="AP38" s="189"/>
      <c r="AQ38" s="189"/>
      <c r="AR38" s="189"/>
      <c r="AS38" s="189"/>
    </row>
    <row r="39" spans="1:45" s="147" customFormat="1" ht="15" customHeight="1" thickTop="1" x14ac:dyDescent="0.3">
      <c r="A39" s="224" t="s">
        <v>820</v>
      </c>
      <c r="B39" s="224" t="s">
        <v>0</v>
      </c>
      <c r="C39" s="225">
        <f t="shared" ref="C39:N39" si="2">SUM(C40:C42)</f>
        <v>2681</v>
      </c>
      <c r="D39" s="225">
        <f t="shared" si="2"/>
        <v>2831</v>
      </c>
      <c r="E39" s="225">
        <f t="shared" si="2"/>
        <v>358</v>
      </c>
      <c r="F39" s="225">
        <f t="shared" si="2"/>
        <v>0</v>
      </c>
      <c r="G39" s="225">
        <f t="shared" si="2"/>
        <v>0</v>
      </c>
      <c r="H39" s="225">
        <f t="shared" si="2"/>
        <v>0</v>
      </c>
      <c r="I39" s="225">
        <f t="shared" si="2"/>
        <v>0</v>
      </c>
      <c r="J39" s="225">
        <f t="shared" si="2"/>
        <v>0</v>
      </c>
      <c r="K39" s="225">
        <f t="shared" si="2"/>
        <v>0</v>
      </c>
      <c r="L39" s="225">
        <f t="shared" si="2"/>
        <v>0</v>
      </c>
      <c r="M39" s="225">
        <f t="shared" si="2"/>
        <v>0</v>
      </c>
      <c r="N39" s="225">
        <f t="shared" si="2"/>
        <v>0</v>
      </c>
      <c r="O39" s="225">
        <f>SUM(C39:N39)</f>
        <v>5870</v>
      </c>
      <c r="P39" s="226"/>
      <c r="Q39" s="226"/>
      <c r="R39" s="166"/>
      <c r="S39" s="166"/>
      <c r="T39" s="166"/>
      <c r="U39" s="166"/>
      <c r="V39" s="223"/>
      <c r="W39" s="166"/>
      <c r="X39" s="166"/>
      <c r="Y39" s="166"/>
      <c r="Z39" s="166"/>
      <c r="AA39" s="166"/>
      <c r="AB39" s="166"/>
      <c r="AC39" s="166"/>
      <c r="AD39" s="200"/>
      <c r="AE39" s="200"/>
      <c r="AF39" s="189"/>
      <c r="AG39" s="189"/>
      <c r="AH39" s="189"/>
      <c r="AI39" s="189"/>
      <c r="AS39" s="189"/>
    </row>
    <row r="40" spans="1:45" s="147" customFormat="1" ht="15" customHeight="1" x14ac:dyDescent="0.3">
      <c r="A40" s="68"/>
      <c r="B40" s="68" t="s">
        <v>808</v>
      </c>
      <c r="C40" s="227">
        <v>171</v>
      </c>
      <c r="D40" s="227">
        <v>178</v>
      </c>
      <c r="E40" s="227">
        <v>19</v>
      </c>
      <c r="F40" s="227">
        <v>0</v>
      </c>
      <c r="G40" s="227">
        <v>0</v>
      </c>
      <c r="H40" s="227">
        <v>0</v>
      </c>
      <c r="I40" s="227">
        <v>0</v>
      </c>
      <c r="J40" s="227">
        <v>0</v>
      </c>
      <c r="K40" s="227">
        <v>0</v>
      </c>
      <c r="L40" s="228">
        <v>0</v>
      </c>
      <c r="M40" s="228">
        <v>0</v>
      </c>
      <c r="N40" s="228">
        <v>0</v>
      </c>
      <c r="O40" s="229">
        <f>O44+O48</f>
        <v>368</v>
      </c>
      <c r="P40" s="145"/>
      <c r="Q40" s="145"/>
      <c r="R40" s="166"/>
      <c r="S40" s="145"/>
      <c r="T40" s="145"/>
      <c r="U40" s="166"/>
      <c r="V40" s="223"/>
      <c r="W40" s="145"/>
      <c r="X40" s="145"/>
      <c r="Y40" s="145"/>
      <c r="Z40" s="145"/>
      <c r="AA40" s="166"/>
      <c r="AB40" s="166"/>
      <c r="AC40" s="166"/>
      <c r="AD40" s="200"/>
      <c r="AE40" s="200"/>
      <c r="AF40" s="189"/>
      <c r="AG40" s="189"/>
      <c r="AH40" s="189"/>
      <c r="AI40" s="189"/>
      <c r="AS40" s="189"/>
    </row>
    <row r="41" spans="1:45" s="147" customFormat="1" ht="15" customHeight="1" x14ac:dyDescent="0.3">
      <c r="A41" s="68"/>
      <c r="B41" s="68" t="s">
        <v>809</v>
      </c>
      <c r="C41" s="227">
        <v>224</v>
      </c>
      <c r="D41" s="227">
        <v>260</v>
      </c>
      <c r="E41" s="227">
        <v>22</v>
      </c>
      <c r="F41" s="227">
        <v>0</v>
      </c>
      <c r="G41" s="227">
        <v>0</v>
      </c>
      <c r="H41" s="227">
        <v>0</v>
      </c>
      <c r="I41" s="227">
        <v>0</v>
      </c>
      <c r="J41" s="227">
        <v>0</v>
      </c>
      <c r="K41" s="227">
        <v>0</v>
      </c>
      <c r="L41" s="228">
        <v>0</v>
      </c>
      <c r="M41" s="228">
        <v>0</v>
      </c>
      <c r="N41" s="228">
        <v>0</v>
      </c>
      <c r="O41" s="229">
        <f>O45+O49</f>
        <v>506</v>
      </c>
      <c r="P41" s="145"/>
      <c r="Q41" s="145"/>
      <c r="R41" s="145"/>
      <c r="S41" s="166"/>
      <c r="T41" s="166"/>
      <c r="U41" s="166"/>
      <c r="V41" s="223"/>
      <c r="W41" s="145"/>
      <c r="X41" s="145"/>
      <c r="Y41" s="145"/>
      <c r="Z41" s="145"/>
      <c r="AA41" s="145"/>
      <c r="AB41" s="166"/>
      <c r="AC41" s="145"/>
      <c r="AD41" s="200"/>
      <c r="AE41" s="184"/>
      <c r="AF41" s="189"/>
      <c r="AH41" s="189"/>
      <c r="AS41" s="189"/>
    </row>
    <row r="42" spans="1:45" s="147" customFormat="1" ht="15" customHeight="1" x14ac:dyDescent="0.3">
      <c r="A42" s="68"/>
      <c r="B42" s="68" t="s">
        <v>811</v>
      </c>
      <c r="C42" s="227">
        <v>2286</v>
      </c>
      <c r="D42" s="227">
        <v>2393</v>
      </c>
      <c r="E42" s="227">
        <v>317</v>
      </c>
      <c r="F42" s="227">
        <v>0</v>
      </c>
      <c r="G42" s="227">
        <v>0</v>
      </c>
      <c r="H42" s="227">
        <v>0</v>
      </c>
      <c r="I42" s="227">
        <v>0</v>
      </c>
      <c r="J42" s="227">
        <v>0</v>
      </c>
      <c r="K42" s="227">
        <v>0</v>
      </c>
      <c r="L42" s="228">
        <v>0</v>
      </c>
      <c r="M42" s="228">
        <v>0</v>
      </c>
      <c r="N42" s="228">
        <v>0</v>
      </c>
      <c r="O42" s="229">
        <f>O46+O50</f>
        <v>4996</v>
      </c>
      <c r="P42" s="145"/>
      <c r="Q42" s="145"/>
      <c r="R42" s="145"/>
      <c r="S42" s="145"/>
      <c r="T42" s="145"/>
      <c r="U42" s="166"/>
      <c r="V42" s="218"/>
      <c r="W42" s="145"/>
      <c r="X42" s="145"/>
      <c r="Y42" s="145"/>
      <c r="Z42" s="145"/>
      <c r="AA42" s="145"/>
      <c r="AB42" s="166"/>
      <c r="AC42" s="145"/>
      <c r="AD42" s="184"/>
      <c r="AE42" s="184"/>
      <c r="AS42" s="189"/>
    </row>
    <row r="43" spans="1:45" s="147" customFormat="1" ht="14.5" customHeight="1" x14ac:dyDescent="0.3">
      <c r="A43" s="230" t="s">
        <v>821</v>
      </c>
      <c r="B43" s="231" t="s">
        <v>0</v>
      </c>
      <c r="C43" s="232">
        <f t="shared" ref="C43:N43" si="3">SUM(C44:C46)</f>
        <v>1584</v>
      </c>
      <c r="D43" s="232">
        <f t="shared" si="3"/>
        <v>1433</v>
      </c>
      <c r="E43" s="232">
        <f t="shared" si="3"/>
        <v>229</v>
      </c>
      <c r="F43" s="232">
        <f t="shared" si="3"/>
        <v>0</v>
      </c>
      <c r="G43" s="232">
        <f t="shared" si="3"/>
        <v>0</v>
      </c>
      <c r="H43" s="232">
        <f t="shared" si="3"/>
        <v>0</v>
      </c>
      <c r="I43" s="232">
        <f t="shared" si="3"/>
        <v>0</v>
      </c>
      <c r="J43" s="232">
        <f t="shared" si="3"/>
        <v>0</v>
      </c>
      <c r="K43" s="232">
        <f t="shared" si="3"/>
        <v>0</v>
      </c>
      <c r="L43" s="232">
        <f t="shared" si="3"/>
        <v>0</v>
      </c>
      <c r="M43" s="232">
        <f t="shared" si="3"/>
        <v>0</v>
      </c>
      <c r="N43" s="232">
        <f t="shared" si="3"/>
        <v>0</v>
      </c>
      <c r="O43" s="232">
        <f t="shared" ref="O43:O62" si="4">SUM(C43:N43)</f>
        <v>3246</v>
      </c>
      <c r="P43" s="226"/>
      <c r="Q43" s="145"/>
      <c r="R43" s="145"/>
      <c r="S43" s="145"/>
      <c r="T43" s="145"/>
      <c r="U43" s="145"/>
      <c r="V43" s="218"/>
      <c r="W43" s="145"/>
      <c r="X43" s="145"/>
      <c r="Y43" s="145"/>
      <c r="Z43" s="145"/>
      <c r="AA43" s="145"/>
      <c r="AB43" s="166"/>
      <c r="AC43" s="145"/>
      <c r="AD43" s="184"/>
      <c r="AE43" s="184"/>
      <c r="AF43" s="189"/>
      <c r="AG43" s="189"/>
      <c r="AH43" s="189"/>
      <c r="AQ43" s="189"/>
      <c r="AR43" s="189"/>
      <c r="AS43" s="189"/>
    </row>
    <row r="44" spans="1:45" s="147" customFormat="1" ht="14.5" customHeight="1" x14ac:dyDescent="0.3">
      <c r="A44" s="140"/>
      <c r="B44" s="68" t="s">
        <v>808</v>
      </c>
      <c r="C44" s="227">
        <v>29</v>
      </c>
      <c r="D44" s="227">
        <v>17</v>
      </c>
      <c r="E44" s="227">
        <v>4</v>
      </c>
      <c r="F44" s="227">
        <v>0</v>
      </c>
      <c r="G44" s="227">
        <v>0</v>
      </c>
      <c r="H44" s="227">
        <v>0</v>
      </c>
      <c r="I44" s="227">
        <v>0</v>
      </c>
      <c r="J44" s="227">
        <v>0</v>
      </c>
      <c r="K44" s="227">
        <v>0</v>
      </c>
      <c r="L44" s="228">
        <v>0</v>
      </c>
      <c r="M44" s="228">
        <v>0</v>
      </c>
      <c r="N44" s="228">
        <v>0</v>
      </c>
      <c r="O44" s="233">
        <f t="shared" si="4"/>
        <v>50</v>
      </c>
      <c r="P44" s="226"/>
      <c r="Q44" s="145"/>
      <c r="R44" s="145"/>
      <c r="S44" s="145"/>
      <c r="T44" s="145"/>
      <c r="U44" s="145"/>
      <c r="V44" s="218"/>
      <c r="W44" s="145"/>
      <c r="X44" s="145"/>
      <c r="Y44" s="145"/>
      <c r="Z44" s="145"/>
      <c r="AA44" s="145"/>
      <c r="AB44" s="166"/>
      <c r="AC44" s="166"/>
      <c r="AD44" s="184"/>
      <c r="AE44" s="200"/>
      <c r="AF44" s="189"/>
      <c r="AG44" s="189"/>
      <c r="AH44" s="189"/>
      <c r="AI44" s="189"/>
      <c r="AQ44" s="189"/>
      <c r="AR44" s="189"/>
      <c r="AS44" s="189"/>
    </row>
    <row r="45" spans="1:45" s="147" customFormat="1" ht="14.5" customHeight="1" x14ac:dyDescent="0.3">
      <c r="A45" s="140"/>
      <c r="B45" s="68" t="s">
        <v>809</v>
      </c>
      <c r="C45" s="227">
        <v>60</v>
      </c>
      <c r="D45" s="227">
        <v>69</v>
      </c>
      <c r="E45" s="227">
        <v>8</v>
      </c>
      <c r="F45" s="227">
        <v>0</v>
      </c>
      <c r="G45" s="227">
        <v>0</v>
      </c>
      <c r="H45" s="227">
        <v>0</v>
      </c>
      <c r="I45" s="227">
        <v>0</v>
      </c>
      <c r="J45" s="227">
        <v>0</v>
      </c>
      <c r="K45" s="227">
        <v>0</v>
      </c>
      <c r="L45" s="228">
        <v>0</v>
      </c>
      <c r="M45" s="228">
        <v>0</v>
      </c>
      <c r="N45" s="228">
        <v>0</v>
      </c>
      <c r="O45" s="233">
        <f t="shared" si="4"/>
        <v>137</v>
      </c>
      <c r="P45" s="145"/>
      <c r="Q45" s="145"/>
      <c r="R45" s="145"/>
      <c r="S45" s="145"/>
      <c r="T45" s="145"/>
      <c r="U45" s="145"/>
      <c r="V45" s="218"/>
      <c r="W45" s="145"/>
      <c r="X45" s="145"/>
      <c r="Y45" s="145"/>
      <c r="Z45" s="145"/>
      <c r="AA45" s="145"/>
      <c r="AB45" s="166"/>
      <c r="AC45" s="145"/>
      <c r="AD45" s="200"/>
      <c r="AE45" s="184"/>
      <c r="AF45" s="189"/>
      <c r="AG45" s="189"/>
      <c r="AH45" s="189"/>
      <c r="AI45" s="189"/>
      <c r="AQ45" s="189"/>
      <c r="AR45" s="189"/>
      <c r="AS45" s="189"/>
    </row>
    <row r="46" spans="1:45" s="147" customFormat="1" ht="14.5" customHeight="1" x14ac:dyDescent="0.3">
      <c r="A46" s="140"/>
      <c r="B46" s="68" t="s">
        <v>811</v>
      </c>
      <c r="C46" s="227">
        <v>1495</v>
      </c>
      <c r="D46" s="227">
        <v>1347</v>
      </c>
      <c r="E46" s="227">
        <v>217</v>
      </c>
      <c r="F46" s="227">
        <v>0</v>
      </c>
      <c r="G46" s="227">
        <v>0</v>
      </c>
      <c r="H46" s="227">
        <v>0</v>
      </c>
      <c r="I46" s="227">
        <v>0</v>
      </c>
      <c r="J46" s="227">
        <v>0</v>
      </c>
      <c r="K46" s="227">
        <v>0</v>
      </c>
      <c r="L46" s="228">
        <v>0</v>
      </c>
      <c r="M46" s="228">
        <v>0</v>
      </c>
      <c r="N46" s="228">
        <v>0</v>
      </c>
      <c r="O46" s="233">
        <f t="shared" si="4"/>
        <v>3059</v>
      </c>
      <c r="P46" s="145"/>
      <c r="Q46" s="145"/>
      <c r="R46" s="145"/>
      <c r="S46" s="145"/>
      <c r="T46" s="145"/>
      <c r="U46" s="145"/>
      <c r="V46" s="218"/>
      <c r="W46" s="145"/>
      <c r="X46" s="145"/>
      <c r="Y46" s="145"/>
      <c r="Z46" s="145"/>
      <c r="AA46" s="145"/>
      <c r="AB46" s="166"/>
      <c r="AC46" s="145"/>
      <c r="AD46" s="200"/>
      <c r="AE46" s="184"/>
      <c r="AF46" s="189"/>
      <c r="AG46" s="189"/>
      <c r="AH46" s="189"/>
      <c r="AI46" s="189"/>
      <c r="AQ46" s="189"/>
      <c r="AR46" s="189"/>
      <c r="AS46" s="189"/>
    </row>
    <row r="47" spans="1:45" s="147" customFormat="1" ht="14.5" customHeight="1" x14ac:dyDescent="0.3">
      <c r="A47" s="230" t="s">
        <v>822</v>
      </c>
      <c r="B47" s="231" t="s">
        <v>0</v>
      </c>
      <c r="C47" s="232">
        <f t="shared" ref="C47:N47" si="5">SUM(C48:C50)</f>
        <v>1097</v>
      </c>
      <c r="D47" s="232">
        <f t="shared" si="5"/>
        <v>1398</v>
      </c>
      <c r="E47" s="232">
        <f t="shared" si="5"/>
        <v>129</v>
      </c>
      <c r="F47" s="232">
        <f t="shared" si="5"/>
        <v>0</v>
      </c>
      <c r="G47" s="232">
        <f t="shared" si="5"/>
        <v>0</v>
      </c>
      <c r="H47" s="232">
        <f t="shared" si="5"/>
        <v>0</v>
      </c>
      <c r="I47" s="232">
        <f t="shared" si="5"/>
        <v>0</v>
      </c>
      <c r="J47" s="232">
        <f t="shared" si="5"/>
        <v>0</v>
      </c>
      <c r="K47" s="232">
        <f t="shared" si="5"/>
        <v>0</v>
      </c>
      <c r="L47" s="232">
        <f t="shared" si="5"/>
        <v>0</v>
      </c>
      <c r="M47" s="232">
        <f t="shared" si="5"/>
        <v>0</v>
      </c>
      <c r="N47" s="232">
        <f t="shared" si="5"/>
        <v>0</v>
      </c>
      <c r="O47" s="232">
        <f t="shared" si="4"/>
        <v>2624</v>
      </c>
      <c r="P47" s="145"/>
      <c r="Q47" s="145"/>
      <c r="R47" s="145"/>
      <c r="S47" s="145"/>
      <c r="T47" s="145"/>
      <c r="U47" s="145"/>
      <c r="V47" s="218"/>
      <c r="W47" s="145"/>
      <c r="X47" s="145"/>
      <c r="Y47" s="145"/>
      <c r="Z47" s="145"/>
      <c r="AA47" s="145"/>
      <c r="AB47" s="166"/>
      <c r="AC47" s="145"/>
      <c r="AD47" s="200"/>
      <c r="AE47" s="184"/>
      <c r="AF47" s="189"/>
      <c r="AG47" s="189"/>
      <c r="AH47" s="189"/>
      <c r="AI47" s="189"/>
      <c r="AP47" s="189"/>
      <c r="AQ47" s="189"/>
      <c r="AR47" s="189"/>
      <c r="AS47" s="189"/>
    </row>
    <row r="48" spans="1:45" s="147" customFormat="1" ht="14.5" customHeight="1" x14ac:dyDescent="0.3">
      <c r="A48" s="140"/>
      <c r="B48" s="68" t="s">
        <v>808</v>
      </c>
      <c r="C48" s="227">
        <v>142</v>
      </c>
      <c r="D48" s="227">
        <v>161</v>
      </c>
      <c r="E48" s="227">
        <v>15</v>
      </c>
      <c r="F48" s="227">
        <v>0</v>
      </c>
      <c r="G48" s="227">
        <v>0</v>
      </c>
      <c r="H48" s="227">
        <v>0</v>
      </c>
      <c r="I48" s="227">
        <v>0</v>
      </c>
      <c r="J48" s="227">
        <v>0</v>
      </c>
      <c r="K48" s="227">
        <v>0</v>
      </c>
      <c r="L48" s="228">
        <v>0</v>
      </c>
      <c r="M48" s="228">
        <v>0</v>
      </c>
      <c r="N48" s="228">
        <v>0</v>
      </c>
      <c r="O48" s="233">
        <f t="shared" si="4"/>
        <v>318</v>
      </c>
      <c r="P48" s="145"/>
      <c r="Q48" s="145"/>
      <c r="R48" s="145"/>
      <c r="S48" s="145"/>
      <c r="T48" s="145"/>
      <c r="U48" s="145"/>
      <c r="V48" s="223"/>
      <c r="W48" s="166"/>
      <c r="X48" s="166"/>
      <c r="Y48" s="166"/>
      <c r="Z48" s="166"/>
      <c r="AA48" s="166"/>
      <c r="AB48" s="166"/>
      <c r="AC48" s="166"/>
      <c r="AD48" s="200"/>
      <c r="AE48" s="200"/>
      <c r="AF48" s="189"/>
      <c r="AG48" s="189"/>
      <c r="AH48" s="189"/>
      <c r="AI48" s="189"/>
      <c r="AP48" s="189"/>
      <c r="AQ48" s="189"/>
      <c r="AR48" s="189"/>
      <c r="AS48" s="189"/>
    </row>
    <row r="49" spans="1:45" s="147" customFormat="1" ht="14.5" customHeight="1" x14ac:dyDescent="0.3">
      <c r="A49" s="140"/>
      <c r="B49" s="68" t="s">
        <v>809</v>
      </c>
      <c r="C49" s="227">
        <v>164</v>
      </c>
      <c r="D49" s="227">
        <v>191</v>
      </c>
      <c r="E49" s="227">
        <v>14</v>
      </c>
      <c r="F49" s="227">
        <v>0</v>
      </c>
      <c r="G49" s="227">
        <v>0</v>
      </c>
      <c r="H49" s="227">
        <v>0</v>
      </c>
      <c r="I49" s="227">
        <v>0</v>
      </c>
      <c r="J49" s="227">
        <v>0</v>
      </c>
      <c r="K49" s="227">
        <v>0</v>
      </c>
      <c r="L49" s="228">
        <v>0</v>
      </c>
      <c r="M49" s="228">
        <v>0</v>
      </c>
      <c r="N49" s="228">
        <v>0</v>
      </c>
      <c r="O49" s="233">
        <f t="shared" si="4"/>
        <v>369</v>
      </c>
      <c r="P49" s="145"/>
      <c r="Q49" s="145"/>
      <c r="R49" s="145"/>
      <c r="S49" s="145"/>
      <c r="T49" s="145"/>
      <c r="U49" s="166"/>
      <c r="V49" s="223"/>
      <c r="W49" s="166"/>
      <c r="X49" s="166"/>
      <c r="Y49" s="166"/>
      <c r="Z49" s="166"/>
      <c r="AA49" s="166"/>
      <c r="AB49" s="166"/>
      <c r="AC49" s="166"/>
      <c r="AD49" s="200"/>
      <c r="AE49" s="200"/>
      <c r="AF49" s="189"/>
      <c r="AG49" s="189"/>
      <c r="AH49" s="189"/>
      <c r="AI49" s="189"/>
      <c r="AL49" s="189"/>
      <c r="AM49" s="189"/>
      <c r="AN49" s="189"/>
      <c r="AO49" s="189"/>
      <c r="AP49" s="189"/>
      <c r="AQ49" s="189"/>
      <c r="AR49" s="189"/>
      <c r="AS49" s="189"/>
    </row>
    <row r="50" spans="1:45" s="147" customFormat="1" ht="14.5" customHeight="1" x14ac:dyDescent="0.3">
      <c r="A50" s="140"/>
      <c r="B50" s="68" t="s">
        <v>811</v>
      </c>
      <c r="C50" s="227">
        <v>791</v>
      </c>
      <c r="D50" s="227">
        <v>1046</v>
      </c>
      <c r="E50" s="227">
        <v>100</v>
      </c>
      <c r="F50" s="227">
        <v>0</v>
      </c>
      <c r="G50" s="227">
        <v>0</v>
      </c>
      <c r="H50" s="227">
        <v>0</v>
      </c>
      <c r="I50" s="227">
        <v>0</v>
      </c>
      <c r="J50" s="227">
        <v>0</v>
      </c>
      <c r="K50" s="227">
        <v>0</v>
      </c>
      <c r="L50" s="228">
        <v>0</v>
      </c>
      <c r="M50" s="228">
        <v>0</v>
      </c>
      <c r="N50" s="228">
        <v>0</v>
      </c>
      <c r="O50" s="233">
        <f t="shared" si="4"/>
        <v>1937</v>
      </c>
      <c r="P50" s="145"/>
      <c r="Q50" s="145"/>
      <c r="R50" s="145"/>
      <c r="S50" s="145"/>
      <c r="T50" s="145"/>
      <c r="U50" s="145"/>
      <c r="V50" s="218"/>
      <c r="W50" s="145"/>
      <c r="X50" s="145"/>
      <c r="Y50" s="145"/>
      <c r="Z50" s="145"/>
      <c r="AA50" s="145"/>
      <c r="AB50" s="145"/>
      <c r="AC50" s="145"/>
      <c r="AD50" s="200"/>
      <c r="AE50" s="184"/>
      <c r="AF50" s="189"/>
      <c r="AG50" s="189"/>
      <c r="AH50" s="189"/>
      <c r="AI50" s="189"/>
      <c r="AP50" s="189"/>
      <c r="AQ50" s="189"/>
      <c r="AR50" s="189"/>
      <c r="AS50" s="189"/>
    </row>
    <row r="51" spans="1:45" s="147" customFormat="1" ht="14.5" customHeight="1" x14ac:dyDescent="0.3">
      <c r="A51" s="231" t="s">
        <v>1</v>
      </c>
      <c r="B51" s="231" t="s">
        <v>0</v>
      </c>
      <c r="C51" s="232">
        <f t="shared" ref="C51:N51" si="6">SUM(C52:C54)</f>
        <v>1874</v>
      </c>
      <c r="D51" s="232">
        <f t="shared" si="6"/>
        <v>2172</v>
      </c>
      <c r="E51" s="232">
        <f t="shared" si="6"/>
        <v>476</v>
      </c>
      <c r="F51" s="232">
        <f t="shared" si="6"/>
        <v>0</v>
      </c>
      <c r="G51" s="232">
        <f t="shared" si="6"/>
        <v>0</v>
      </c>
      <c r="H51" s="232">
        <f t="shared" si="6"/>
        <v>0</v>
      </c>
      <c r="I51" s="232">
        <f t="shared" si="6"/>
        <v>0</v>
      </c>
      <c r="J51" s="232">
        <f t="shared" si="6"/>
        <v>0</v>
      </c>
      <c r="K51" s="232">
        <f t="shared" si="6"/>
        <v>0</v>
      </c>
      <c r="L51" s="232">
        <f t="shared" si="6"/>
        <v>0</v>
      </c>
      <c r="M51" s="232">
        <f t="shared" si="6"/>
        <v>0</v>
      </c>
      <c r="N51" s="232">
        <f t="shared" si="6"/>
        <v>0</v>
      </c>
      <c r="O51" s="232">
        <f t="shared" si="4"/>
        <v>4522</v>
      </c>
      <c r="P51" s="145"/>
      <c r="Q51" s="145"/>
      <c r="R51" s="145"/>
      <c r="S51" s="145"/>
      <c r="T51" s="145"/>
      <c r="U51" s="166"/>
      <c r="V51" s="223"/>
      <c r="W51" s="166"/>
      <c r="X51" s="166"/>
      <c r="Y51" s="166"/>
      <c r="Z51" s="166"/>
      <c r="AA51" s="166"/>
      <c r="AB51" s="166"/>
      <c r="AC51" s="166"/>
      <c r="AD51" s="200"/>
      <c r="AE51" s="200"/>
      <c r="AF51" s="189"/>
      <c r="AG51" s="189"/>
      <c r="AH51" s="189"/>
      <c r="AI51" s="189"/>
      <c r="AP51" s="189"/>
      <c r="AQ51" s="189"/>
      <c r="AR51" s="189"/>
      <c r="AS51" s="189"/>
    </row>
    <row r="52" spans="1:45" s="147" customFormat="1" ht="14.5" customHeight="1" x14ac:dyDescent="0.3">
      <c r="A52" s="68"/>
      <c r="B52" s="68" t="s">
        <v>808</v>
      </c>
      <c r="C52" s="227">
        <v>131</v>
      </c>
      <c r="D52" s="227">
        <v>160</v>
      </c>
      <c r="E52" s="227">
        <v>19</v>
      </c>
      <c r="F52" s="227">
        <v>0</v>
      </c>
      <c r="G52" s="227">
        <v>0</v>
      </c>
      <c r="H52" s="227">
        <v>0</v>
      </c>
      <c r="I52" s="227">
        <v>0</v>
      </c>
      <c r="J52" s="227">
        <v>0</v>
      </c>
      <c r="K52" s="227">
        <v>0</v>
      </c>
      <c r="L52" s="228">
        <v>0</v>
      </c>
      <c r="M52" s="228">
        <v>0</v>
      </c>
      <c r="N52" s="228">
        <v>0</v>
      </c>
      <c r="O52" s="233">
        <f t="shared" si="4"/>
        <v>310</v>
      </c>
      <c r="P52" s="145"/>
      <c r="Q52" s="145"/>
      <c r="R52" s="145"/>
      <c r="S52" s="145"/>
      <c r="T52" s="145"/>
      <c r="U52" s="145"/>
      <c r="V52" s="218"/>
      <c r="W52" s="145"/>
      <c r="X52" s="166"/>
      <c r="Y52" s="166"/>
      <c r="Z52" s="166"/>
      <c r="AA52" s="166"/>
      <c r="AB52" s="166"/>
      <c r="AC52" s="166"/>
      <c r="AD52" s="200"/>
      <c r="AE52" s="200"/>
      <c r="AF52" s="189"/>
      <c r="AG52" s="189"/>
      <c r="AH52" s="189"/>
      <c r="AI52" s="189"/>
      <c r="AO52" s="189"/>
      <c r="AP52" s="189"/>
      <c r="AQ52" s="189"/>
      <c r="AR52" s="189"/>
      <c r="AS52" s="189"/>
    </row>
    <row r="53" spans="1:45" s="147" customFormat="1" ht="14.5" customHeight="1" x14ac:dyDescent="0.3">
      <c r="A53" s="68"/>
      <c r="B53" s="68" t="s">
        <v>809</v>
      </c>
      <c r="C53" s="227">
        <v>266</v>
      </c>
      <c r="D53" s="227">
        <v>306</v>
      </c>
      <c r="E53" s="227">
        <v>25</v>
      </c>
      <c r="F53" s="227">
        <v>0</v>
      </c>
      <c r="G53" s="227">
        <v>0</v>
      </c>
      <c r="H53" s="227">
        <v>0</v>
      </c>
      <c r="I53" s="227">
        <v>0</v>
      </c>
      <c r="J53" s="227">
        <v>0</v>
      </c>
      <c r="K53" s="227">
        <v>0</v>
      </c>
      <c r="L53" s="228">
        <v>0</v>
      </c>
      <c r="M53" s="228">
        <v>0</v>
      </c>
      <c r="N53" s="228">
        <v>0</v>
      </c>
      <c r="O53" s="233">
        <f t="shared" si="4"/>
        <v>597</v>
      </c>
      <c r="P53" s="145"/>
      <c r="Q53" s="145"/>
      <c r="R53" s="145"/>
      <c r="S53" s="145"/>
      <c r="T53" s="145"/>
      <c r="U53" s="145"/>
      <c r="V53" s="218"/>
      <c r="W53" s="145"/>
      <c r="X53" s="145"/>
      <c r="Y53" s="166"/>
      <c r="Z53" s="166"/>
      <c r="AA53" s="166"/>
      <c r="AB53" s="166"/>
      <c r="AC53" s="145"/>
      <c r="AD53" s="200"/>
      <c r="AE53" s="184"/>
      <c r="AF53" s="189"/>
      <c r="AG53" s="189"/>
      <c r="AH53" s="189"/>
      <c r="AI53" s="189"/>
      <c r="AP53" s="189"/>
      <c r="AQ53" s="189"/>
      <c r="AR53" s="189"/>
      <c r="AS53" s="189"/>
    </row>
    <row r="54" spans="1:45" s="147" customFormat="1" ht="14.5" customHeight="1" x14ac:dyDescent="0.3">
      <c r="A54" s="68"/>
      <c r="B54" s="68" t="s">
        <v>811</v>
      </c>
      <c r="C54" s="227">
        <v>1477</v>
      </c>
      <c r="D54" s="227">
        <v>1706</v>
      </c>
      <c r="E54" s="227">
        <v>432</v>
      </c>
      <c r="F54" s="227">
        <v>0</v>
      </c>
      <c r="G54" s="227">
        <v>0</v>
      </c>
      <c r="H54" s="227">
        <v>0</v>
      </c>
      <c r="I54" s="227">
        <v>0</v>
      </c>
      <c r="J54" s="227">
        <v>0</v>
      </c>
      <c r="K54" s="227">
        <v>0</v>
      </c>
      <c r="L54" s="228">
        <v>0</v>
      </c>
      <c r="M54" s="228">
        <v>0</v>
      </c>
      <c r="N54" s="228">
        <v>0</v>
      </c>
      <c r="O54" s="233">
        <f t="shared" si="4"/>
        <v>3615</v>
      </c>
      <c r="P54" s="145"/>
      <c r="Q54" s="145"/>
      <c r="R54" s="145"/>
      <c r="S54" s="145"/>
      <c r="T54" s="145"/>
      <c r="U54" s="145"/>
      <c r="V54" s="218"/>
      <c r="W54" s="145"/>
      <c r="X54" s="166"/>
      <c r="Y54" s="166"/>
      <c r="Z54" s="166"/>
      <c r="AA54" s="166"/>
      <c r="AB54" s="166"/>
      <c r="AC54" s="166"/>
      <c r="AD54" s="200"/>
      <c r="AE54" s="200"/>
      <c r="AF54" s="189"/>
      <c r="AG54" s="189"/>
      <c r="AH54" s="189"/>
      <c r="AI54" s="189"/>
      <c r="AP54" s="189"/>
      <c r="AQ54" s="189"/>
      <c r="AR54" s="189"/>
      <c r="AS54" s="189"/>
    </row>
    <row r="55" spans="1:45" s="147" customFormat="1" ht="14.5" customHeight="1" x14ac:dyDescent="0.3">
      <c r="A55" s="231" t="s">
        <v>2</v>
      </c>
      <c r="B55" s="231" t="s">
        <v>0</v>
      </c>
      <c r="C55" s="232">
        <f t="shared" ref="C55:N55" si="7">SUM(C56:C58)</f>
        <v>431</v>
      </c>
      <c r="D55" s="232">
        <f t="shared" si="7"/>
        <v>318</v>
      </c>
      <c r="E55" s="232">
        <f t="shared" si="7"/>
        <v>56</v>
      </c>
      <c r="F55" s="232">
        <f t="shared" si="7"/>
        <v>0</v>
      </c>
      <c r="G55" s="232">
        <f t="shared" si="7"/>
        <v>0</v>
      </c>
      <c r="H55" s="232">
        <f t="shared" si="7"/>
        <v>0</v>
      </c>
      <c r="I55" s="232">
        <f t="shared" si="7"/>
        <v>0</v>
      </c>
      <c r="J55" s="232">
        <f t="shared" si="7"/>
        <v>0</v>
      </c>
      <c r="K55" s="232">
        <f t="shared" si="7"/>
        <v>0</v>
      </c>
      <c r="L55" s="232">
        <f t="shared" si="7"/>
        <v>0</v>
      </c>
      <c r="M55" s="232">
        <f t="shared" si="7"/>
        <v>0</v>
      </c>
      <c r="N55" s="232">
        <f t="shared" si="7"/>
        <v>0</v>
      </c>
      <c r="O55" s="232">
        <f t="shared" si="4"/>
        <v>805</v>
      </c>
      <c r="P55" s="145"/>
      <c r="Q55" s="145"/>
      <c r="R55" s="145"/>
      <c r="S55" s="145"/>
      <c r="T55" s="145"/>
      <c r="U55" s="145"/>
      <c r="V55" s="218"/>
      <c r="W55" s="145"/>
      <c r="X55" s="145"/>
      <c r="Y55" s="166"/>
      <c r="Z55" s="166"/>
      <c r="AA55" s="145"/>
      <c r="AB55" s="166"/>
      <c r="AC55" s="145"/>
      <c r="AD55" s="184"/>
      <c r="AE55" s="184"/>
      <c r="AF55" s="189"/>
      <c r="AG55" s="189"/>
      <c r="AH55" s="189"/>
      <c r="AI55" s="189"/>
      <c r="AP55" s="189"/>
      <c r="AQ55" s="189"/>
      <c r="AR55" s="189"/>
      <c r="AS55" s="189"/>
    </row>
    <row r="56" spans="1:45" s="147" customFormat="1" ht="14.5" customHeight="1" x14ac:dyDescent="0.3">
      <c r="A56" s="68"/>
      <c r="B56" s="68" t="s">
        <v>808</v>
      </c>
      <c r="C56" s="227">
        <v>117</v>
      </c>
      <c r="D56" s="227">
        <v>137</v>
      </c>
      <c r="E56" s="227">
        <v>12</v>
      </c>
      <c r="F56" s="227">
        <v>0</v>
      </c>
      <c r="G56" s="227">
        <v>0</v>
      </c>
      <c r="H56" s="227">
        <v>0</v>
      </c>
      <c r="I56" s="227">
        <v>0</v>
      </c>
      <c r="J56" s="227">
        <v>0</v>
      </c>
      <c r="K56" s="227">
        <v>0</v>
      </c>
      <c r="L56" s="228">
        <v>0</v>
      </c>
      <c r="M56" s="228">
        <v>0</v>
      </c>
      <c r="N56" s="228">
        <v>0</v>
      </c>
      <c r="O56" s="233">
        <f t="shared" si="4"/>
        <v>266</v>
      </c>
      <c r="P56" s="145"/>
      <c r="Q56" s="145"/>
      <c r="R56" s="145"/>
      <c r="S56" s="145"/>
      <c r="T56" s="145"/>
      <c r="U56" s="145"/>
      <c r="V56" s="218"/>
      <c r="W56" s="145"/>
      <c r="X56" s="145"/>
      <c r="Y56" s="145"/>
      <c r="Z56" s="166"/>
      <c r="AA56" s="166"/>
      <c r="AB56" s="166"/>
      <c r="AC56" s="166"/>
      <c r="AD56" s="200"/>
      <c r="AE56" s="200"/>
      <c r="AF56" s="189"/>
      <c r="AG56" s="189"/>
      <c r="AH56" s="189"/>
      <c r="AP56" s="189"/>
      <c r="AQ56" s="189"/>
      <c r="AR56" s="189"/>
      <c r="AS56" s="189"/>
    </row>
    <row r="57" spans="1:45" s="147" customFormat="1" ht="14.5" customHeight="1" x14ac:dyDescent="0.3">
      <c r="A57" s="68"/>
      <c r="B57" s="68" t="s">
        <v>809</v>
      </c>
      <c r="C57" s="227">
        <v>45</v>
      </c>
      <c r="D57" s="227">
        <v>51</v>
      </c>
      <c r="E57" s="227">
        <v>4</v>
      </c>
      <c r="F57" s="227">
        <v>0</v>
      </c>
      <c r="G57" s="227">
        <v>0</v>
      </c>
      <c r="H57" s="227">
        <v>0</v>
      </c>
      <c r="I57" s="227">
        <v>0</v>
      </c>
      <c r="J57" s="227">
        <v>0</v>
      </c>
      <c r="K57" s="227">
        <v>0</v>
      </c>
      <c r="L57" s="228">
        <v>0</v>
      </c>
      <c r="M57" s="228">
        <v>0</v>
      </c>
      <c r="N57" s="228">
        <v>0</v>
      </c>
      <c r="O57" s="233">
        <f t="shared" si="4"/>
        <v>100</v>
      </c>
      <c r="P57" s="145"/>
      <c r="Q57" s="145"/>
      <c r="R57" s="145"/>
      <c r="S57" s="145"/>
      <c r="T57" s="145"/>
      <c r="U57" s="145"/>
      <c r="V57" s="223"/>
      <c r="W57" s="166"/>
      <c r="X57" s="166"/>
      <c r="Y57" s="166"/>
      <c r="Z57" s="166"/>
      <c r="AA57" s="166"/>
      <c r="AB57" s="166"/>
      <c r="AC57" s="166"/>
      <c r="AD57" s="200"/>
      <c r="AE57" s="200"/>
      <c r="AF57" s="189"/>
      <c r="AG57" s="189"/>
      <c r="AH57" s="189"/>
      <c r="AI57" s="189"/>
      <c r="AP57" s="189"/>
      <c r="AQ57" s="189"/>
      <c r="AR57" s="189"/>
      <c r="AS57" s="189"/>
    </row>
    <row r="58" spans="1:45" s="147" customFormat="1" ht="14.5" customHeight="1" x14ac:dyDescent="0.3">
      <c r="A58" s="68"/>
      <c r="B58" s="68" t="s">
        <v>811</v>
      </c>
      <c r="C58" s="227">
        <v>269</v>
      </c>
      <c r="D58" s="227">
        <v>130</v>
      </c>
      <c r="E58" s="227">
        <v>40</v>
      </c>
      <c r="F58" s="227">
        <v>0</v>
      </c>
      <c r="G58" s="227">
        <v>0</v>
      </c>
      <c r="H58" s="227">
        <v>0</v>
      </c>
      <c r="I58" s="227">
        <v>0</v>
      </c>
      <c r="J58" s="227">
        <v>0</v>
      </c>
      <c r="K58" s="227">
        <v>0</v>
      </c>
      <c r="L58" s="228">
        <v>0</v>
      </c>
      <c r="M58" s="228">
        <v>0</v>
      </c>
      <c r="N58" s="228">
        <v>0</v>
      </c>
      <c r="O58" s="233">
        <f t="shared" si="4"/>
        <v>439</v>
      </c>
      <c r="P58" s="145"/>
      <c r="Q58" s="145"/>
      <c r="R58" s="145"/>
      <c r="S58" s="145"/>
      <c r="T58" s="145"/>
      <c r="U58" s="145"/>
      <c r="V58" s="223"/>
      <c r="W58" s="166"/>
      <c r="X58" s="166"/>
      <c r="Y58" s="166"/>
      <c r="Z58" s="166"/>
      <c r="AA58" s="166"/>
      <c r="AB58" s="166"/>
      <c r="AC58" s="145"/>
      <c r="AD58" s="184"/>
      <c r="AE58" s="184"/>
      <c r="AF58" s="189"/>
      <c r="AG58" s="189"/>
      <c r="AI58" s="189"/>
      <c r="AP58" s="189"/>
      <c r="AQ58" s="189"/>
      <c r="AR58" s="189"/>
      <c r="AS58" s="189"/>
    </row>
    <row r="59" spans="1:45" s="147" customFormat="1" ht="14.5" customHeight="1" x14ac:dyDescent="0.3">
      <c r="A59" s="231" t="s">
        <v>823</v>
      </c>
      <c r="B59" s="231" t="s">
        <v>0</v>
      </c>
      <c r="C59" s="232">
        <f t="shared" ref="C59:N59" si="8">SUM(C60:C62)</f>
        <v>4745</v>
      </c>
      <c r="D59" s="232">
        <f t="shared" si="8"/>
        <v>7166</v>
      </c>
      <c r="E59" s="232">
        <f t="shared" si="8"/>
        <v>742</v>
      </c>
      <c r="F59" s="232">
        <f t="shared" si="8"/>
        <v>0</v>
      </c>
      <c r="G59" s="232">
        <f t="shared" si="8"/>
        <v>0</v>
      </c>
      <c r="H59" s="232">
        <f t="shared" si="8"/>
        <v>0</v>
      </c>
      <c r="I59" s="232">
        <f t="shared" si="8"/>
        <v>0</v>
      </c>
      <c r="J59" s="232">
        <f t="shared" si="8"/>
        <v>0</v>
      </c>
      <c r="K59" s="232">
        <f t="shared" si="8"/>
        <v>0</v>
      </c>
      <c r="L59" s="232">
        <f t="shared" si="8"/>
        <v>0</v>
      </c>
      <c r="M59" s="232">
        <f t="shared" si="8"/>
        <v>0</v>
      </c>
      <c r="N59" s="232">
        <f t="shared" si="8"/>
        <v>0</v>
      </c>
      <c r="O59" s="232">
        <f t="shared" si="4"/>
        <v>12653</v>
      </c>
      <c r="P59" s="145"/>
      <c r="Q59" s="145"/>
      <c r="R59" s="145"/>
      <c r="S59" s="145"/>
      <c r="T59" s="145"/>
      <c r="U59" s="145"/>
      <c r="V59" s="218"/>
      <c r="W59" s="145"/>
      <c r="X59" s="145"/>
      <c r="Y59" s="166"/>
      <c r="Z59" s="166"/>
      <c r="AA59" s="166"/>
      <c r="AB59" s="166"/>
      <c r="AC59" s="166"/>
      <c r="AD59" s="200"/>
      <c r="AE59" s="200"/>
      <c r="AF59" s="189"/>
      <c r="AG59" s="189"/>
      <c r="AH59" s="189"/>
      <c r="AI59" s="189"/>
      <c r="AP59" s="189"/>
      <c r="AQ59" s="189"/>
      <c r="AR59" s="189"/>
      <c r="AS59" s="189"/>
    </row>
    <row r="60" spans="1:45" s="147" customFormat="1" ht="14.5" customHeight="1" x14ac:dyDescent="0.3">
      <c r="A60" s="68"/>
      <c r="B60" s="68" t="s">
        <v>808</v>
      </c>
      <c r="C60" s="227">
        <v>29</v>
      </c>
      <c r="D60" s="227">
        <v>38</v>
      </c>
      <c r="E60" s="227">
        <v>2</v>
      </c>
      <c r="F60" s="227">
        <v>0</v>
      </c>
      <c r="G60" s="227">
        <v>0</v>
      </c>
      <c r="H60" s="227">
        <v>0</v>
      </c>
      <c r="I60" s="227">
        <v>0</v>
      </c>
      <c r="J60" s="227">
        <v>0</v>
      </c>
      <c r="K60" s="227">
        <v>0</v>
      </c>
      <c r="L60" s="228">
        <v>0</v>
      </c>
      <c r="M60" s="228">
        <v>0</v>
      </c>
      <c r="N60" s="228">
        <v>0</v>
      </c>
      <c r="O60" s="233">
        <f t="shared" si="4"/>
        <v>69</v>
      </c>
      <c r="P60" s="145"/>
      <c r="Q60" s="145"/>
      <c r="R60" s="145"/>
      <c r="S60" s="145"/>
      <c r="T60" s="145"/>
      <c r="U60" s="145"/>
      <c r="V60" s="218"/>
      <c r="W60" s="145"/>
      <c r="X60" s="145"/>
      <c r="Y60" s="166"/>
      <c r="Z60" s="166"/>
      <c r="AA60" s="166"/>
      <c r="AB60" s="166"/>
      <c r="AC60" s="166"/>
      <c r="AD60" s="200"/>
      <c r="AE60" s="200"/>
      <c r="AF60" s="189"/>
      <c r="AG60" s="189"/>
      <c r="AH60" s="189"/>
      <c r="AP60" s="189"/>
      <c r="AQ60" s="189"/>
      <c r="AR60" s="189"/>
      <c r="AS60" s="189"/>
    </row>
    <row r="61" spans="1:45" s="147" customFormat="1" ht="14.5" customHeight="1" x14ac:dyDescent="0.3">
      <c r="A61" s="68"/>
      <c r="B61" s="68" t="s">
        <v>809</v>
      </c>
      <c r="C61" s="227">
        <v>47</v>
      </c>
      <c r="D61" s="227">
        <v>60</v>
      </c>
      <c r="E61" s="227">
        <v>7</v>
      </c>
      <c r="F61" s="227">
        <v>0</v>
      </c>
      <c r="G61" s="227">
        <v>0</v>
      </c>
      <c r="H61" s="227">
        <v>0</v>
      </c>
      <c r="I61" s="227">
        <v>0</v>
      </c>
      <c r="J61" s="227">
        <v>0</v>
      </c>
      <c r="K61" s="227">
        <v>0</v>
      </c>
      <c r="L61" s="228">
        <v>0</v>
      </c>
      <c r="M61" s="228">
        <v>0</v>
      </c>
      <c r="N61" s="228">
        <v>0</v>
      </c>
      <c r="O61" s="233">
        <f t="shared" si="4"/>
        <v>114</v>
      </c>
      <c r="P61" s="145"/>
      <c r="Q61" s="145"/>
      <c r="R61" s="145"/>
      <c r="S61" s="145"/>
      <c r="T61" s="145"/>
      <c r="U61" s="145"/>
      <c r="V61" s="218"/>
      <c r="W61" s="145"/>
      <c r="X61" s="145"/>
      <c r="Y61" s="166"/>
      <c r="Z61" s="166"/>
      <c r="AA61" s="166"/>
      <c r="AB61" s="166"/>
      <c r="AC61" s="166"/>
      <c r="AD61" s="200"/>
      <c r="AE61" s="200"/>
      <c r="AF61" s="189"/>
      <c r="AG61" s="189"/>
      <c r="AH61" s="189"/>
      <c r="AK61" s="189"/>
      <c r="AL61" s="189"/>
      <c r="AM61" s="189"/>
      <c r="AN61" s="189"/>
      <c r="AO61" s="189"/>
      <c r="AP61" s="189"/>
      <c r="AQ61" s="189"/>
      <c r="AR61" s="189"/>
      <c r="AS61" s="189"/>
    </row>
    <row r="62" spans="1:45" s="147" customFormat="1" ht="14.5" customHeight="1" x14ac:dyDescent="0.3">
      <c r="A62" s="68"/>
      <c r="B62" s="68" t="s">
        <v>811</v>
      </c>
      <c r="C62" s="227">
        <v>4669</v>
      </c>
      <c r="D62" s="227">
        <v>7068</v>
      </c>
      <c r="E62" s="227">
        <v>733</v>
      </c>
      <c r="F62" s="227">
        <v>0</v>
      </c>
      <c r="G62" s="227">
        <v>0</v>
      </c>
      <c r="H62" s="227">
        <v>0</v>
      </c>
      <c r="I62" s="227">
        <v>0</v>
      </c>
      <c r="J62" s="227">
        <v>0</v>
      </c>
      <c r="K62" s="227">
        <v>0</v>
      </c>
      <c r="L62" s="228">
        <v>0</v>
      </c>
      <c r="M62" s="228">
        <v>0</v>
      </c>
      <c r="N62" s="228">
        <v>0</v>
      </c>
      <c r="O62" s="233">
        <f t="shared" si="4"/>
        <v>12470</v>
      </c>
      <c r="P62" s="145"/>
      <c r="Q62" s="145"/>
      <c r="R62" s="145"/>
      <c r="S62" s="145"/>
      <c r="T62" s="145"/>
      <c r="U62" s="145"/>
      <c r="V62" s="218"/>
      <c r="W62" s="145"/>
      <c r="X62" s="145"/>
      <c r="Y62" s="166"/>
      <c r="Z62" s="166"/>
      <c r="AA62" s="166"/>
      <c r="AB62" s="166"/>
      <c r="AC62" s="166"/>
      <c r="AD62" s="200"/>
      <c r="AE62" s="200"/>
      <c r="AF62" s="189"/>
      <c r="AG62" s="189"/>
      <c r="AI62" s="189"/>
      <c r="AP62" s="189"/>
      <c r="AQ62" s="189"/>
      <c r="AR62" s="189"/>
      <c r="AS62" s="189"/>
    </row>
    <row r="63" spans="1:45" s="147" customFormat="1" ht="12" x14ac:dyDescent="0.3">
      <c r="A63" s="205"/>
      <c r="E63" s="145"/>
      <c r="F63" s="145"/>
      <c r="G63" s="145"/>
      <c r="Q63" s="145"/>
      <c r="R63" s="156"/>
      <c r="S63" s="156"/>
      <c r="T63" s="171"/>
      <c r="U63" s="171"/>
      <c r="V63" s="234"/>
      <c r="W63" s="156"/>
      <c r="X63" s="171"/>
      <c r="Y63" s="171"/>
      <c r="Z63" s="156"/>
      <c r="AA63" s="156"/>
      <c r="AB63" s="156"/>
      <c r="AC63" s="184"/>
      <c r="AD63" s="184"/>
      <c r="AE63" s="184"/>
      <c r="AF63" s="184"/>
      <c r="AQ63" s="189"/>
      <c r="AS63" s="189"/>
    </row>
    <row r="64" spans="1:45" s="145" customFormat="1" ht="18" customHeight="1" x14ac:dyDescent="0.3">
      <c r="A64" s="380"/>
      <c r="B64" s="372"/>
      <c r="C64" s="372"/>
      <c r="D64" s="372"/>
      <c r="E64" s="372"/>
      <c r="F64" s="372"/>
      <c r="G64" s="372"/>
      <c r="H64" s="372"/>
      <c r="I64" s="372"/>
      <c r="J64" s="372"/>
      <c r="K64" s="372"/>
      <c r="L64" s="372"/>
      <c r="M64" s="372"/>
      <c r="N64" s="372"/>
      <c r="O64" s="372"/>
      <c r="P64" s="372"/>
      <c r="Q64" s="372"/>
      <c r="R64" s="372"/>
      <c r="S64" s="372"/>
      <c r="T64" s="372"/>
      <c r="U64" s="372"/>
      <c r="V64" s="381"/>
      <c r="W64" s="156"/>
      <c r="X64" s="156"/>
      <c r="Y64" s="156"/>
      <c r="Z64" s="156"/>
    </row>
    <row r="65" spans="1:33" s="147" customFormat="1" ht="12" x14ac:dyDescent="0.3">
      <c r="A65" s="205"/>
      <c r="F65" s="145"/>
      <c r="G65" s="145"/>
      <c r="H65" s="145"/>
      <c r="K65" s="145"/>
      <c r="L65" s="156"/>
      <c r="M65" s="156"/>
      <c r="N65" s="156"/>
      <c r="O65" s="156"/>
      <c r="P65" s="156"/>
      <c r="Q65" s="156"/>
      <c r="R65" s="156"/>
      <c r="S65" s="156"/>
      <c r="T65" s="156"/>
      <c r="U65" s="156"/>
      <c r="V65" s="165"/>
      <c r="W65" s="184"/>
      <c r="X65" s="184"/>
      <c r="Y65" s="184"/>
      <c r="Z65" s="184"/>
    </row>
    <row r="66" spans="1:33" s="147" customFormat="1" ht="23.25" customHeight="1" x14ac:dyDescent="0.3">
      <c r="A66" s="382" t="s">
        <v>824</v>
      </c>
      <c r="B66" s="383"/>
      <c r="C66" s="383"/>
      <c r="D66" s="383"/>
      <c r="E66" s="383"/>
      <c r="F66" s="383"/>
      <c r="G66" s="383"/>
      <c r="H66" s="383"/>
      <c r="I66" s="383"/>
      <c r="J66" s="383"/>
      <c r="K66" s="383"/>
      <c r="L66" s="383"/>
      <c r="M66" s="383"/>
      <c r="N66" s="383"/>
      <c r="O66" s="156"/>
      <c r="P66" s="156"/>
      <c r="Q66" s="217"/>
      <c r="R66" s="217"/>
      <c r="S66" s="217"/>
      <c r="T66" s="217"/>
      <c r="U66" s="217"/>
      <c r="V66" s="235"/>
      <c r="W66" s="185"/>
      <c r="X66" s="185"/>
      <c r="Y66" s="185"/>
      <c r="Z66" s="185"/>
      <c r="AA66" s="188"/>
      <c r="AB66" s="188"/>
    </row>
    <row r="67" spans="1:33" s="147" customFormat="1" ht="22.5" customHeight="1" x14ac:dyDescent="0.3">
      <c r="A67" s="67" t="s">
        <v>795</v>
      </c>
      <c r="B67" s="67" t="s">
        <v>796</v>
      </c>
      <c r="C67" s="67" t="s">
        <v>797</v>
      </c>
      <c r="D67" s="67" t="s">
        <v>798</v>
      </c>
      <c r="E67" s="67" t="s">
        <v>799</v>
      </c>
      <c r="F67" s="67" t="s">
        <v>800</v>
      </c>
      <c r="G67" s="67" t="s">
        <v>801</v>
      </c>
      <c r="H67" s="67" t="s">
        <v>802</v>
      </c>
      <c r="I67" s="67" t="s">
        <v>803</v>
      </c>
      <c r="J67" s="67" t="s">
        <v>804</v>
      </c>
      <c r="K67" s="67" t="s">
        <v>805</v>
      </c>
      <c r="L67" s="67" t="s">
        <v>806</v>
      </c>
      <c r="M67" s="67" t="s">
        <v>807</v>
      </c>
      <c r="N67" s="67" t="s">
        <v>825</v>
      </c>
      <c r="O67" s="156"/>
      <c r="P67" s="217"/>
      <c r="Q67" s="217"/>
      <c r="R67" s="217"/>
      <c r="S67" s="217"/>
      <c r="T67" s="217"/>
      <c r="U67" s="217"/>
      <c r="V67" s="235"/>
      <c r="W67" s="185"/>
      <c r="X67" s="185"/>
      <c r="Y67" s="185"/>
      <c r="Z67" s="185"/>
      <c r="AA67" s="188"/>
      <c r="AB67" s="188"/>
      <c r="AC67" s="188"/>
      <c r="AD67" s="188"/>
      <c r="AE67" s="188"/>
      <c r="AF67" s="188"/>
    </row>
    <row r="68" spans="1:33" s="147" customFormat="1" ht="12" x14ac:dyDescent="0.3">
      <c r="A68" s="236" t="s">
        <v>826</v>
      </c>
      <c r="B68" s="237">
        <v>20637.032258064501</v>
      </c>
      <c r="C68" s="238">
        <v>21788.166666666701</v>
      </c>
      <c r="D68" s="239">
        <v>20771.666666666701</v>
      </c>
      <c r="E68" s="238">
        <v>0</v>
      </c>
      <c r="F68" s="239">
        <v>0</v>
      </c>
      <c r="G68" s="238">
        <v>0</v>
      </c>
      <c r="H68" s="238">
        <v>0</v>
      </c>
      <c r="I68" s="239">
        <v>0</v>
      </c>
      <c r="J68" s="238">
        <v>0</v>
      </c>
      <c r="K68" s="239">
        <v>0</v>
      </c>
      <c r="L68" s="239">
        <v>0</v>
      </c>
      <c r="M68" s="238">
        <v>0</v>
      </c>
      <c r="N68" s="239">
        <v>21182.9375</v>
      </c>
      <c r="O68" s="240"/>
      <c r="P68" s="241"/>
      <c r="Q68" s="241"/>
      <c r="R68" s="241"/>
      <c r="S68" s="241"/>
      <c r="T68" s="241"/>
      <c r="U68" s="241"/>
      <c r="V68" s="242"/>
      <c r="W68" s="243"/>
      <c r="X68" s="243"/>
      <c r="Y68" s="243"/>
      <c r="Z68" s="243"/>
      <c r="AA68" s="244"/>
      <c r="AB68" s="244"/>
    </row>
    <row r="69" spans="1:33" s="147" customFormat="1" ht="12" x14ac:dyDescent="0.3">
      <c r="A69" s="245" t="s">
        <v>808</v>
      </c>
      <c r="B69" s="203">
        <v>993.41935483870998</v>
      </c>
      <c r="C69" s="246">
        <v>1005.6</v>
      </c>
      <c r="D69" s="246">
        <v>1028</v>
      </c>
      <c r="E69" s="246">
        <v>0</v>
      </c>
      <c r="F69" s="246">
        <v>0</v>
      </c>
      <c r="G69" s="246">
        <v>0</v>
      </c>
      <c r="H69" s="246">
        <v>0</v>
      </c>
      <c r="I69" s="246">
        <v>0</v>
      </c>
      <c r="J69" s="246">
        <v>0</v>
      </c>
      <c r="K69" s="246">
        <v>0</v>
      </c>
      <c r="L69" s="246">
        <v>0</v>
      </c>
      <c r="M69" s="246">
        <v>0</v>
      </c>
      <c r="N69" s="246">
        <v>1000.75</v>
      </c>
      <c r="O69" s="156"/>
      <c r="P69" s="241"/>
      <c r="Q69" s="241"/>
      <c r="R69" s="241"/>
      <c r="S69" s="241"/>
      <c r="T69" s="241"/>
      <c r="U69" s="171"/>
      <c r="V69" s="242"/>
      <c r="W69" s="243"/>
      <c r="X69" s="243"/>
      <c r="Y69" s="243"/>
      <c r="Z69" s="243"/>
      <c r="AA69" s="244"/>
      <c r="AB69" s="244"/>
      <c r="AC69" s="244"/>
      <c r="AD69" s="244"/>
      <c r="AE69" s="244"/>
      <c r="AF69" s="244"/>
      <c r="AG69" s="244"/>
    </row>
    <row r="70" spans="1:33" s="147" customFormat="1" ht="12" x14ac:dyDescent="0.3">
      <c r="A70" s="247" t="s">
        <v>809</v>
      </c>
      <c r="B70" s="203">
        <v>395.35483870967698</v>
      </c>
      <c r="C70" s="246">
        <v>419.83333333333297</v>
      </c>
      <c r="D70" s="246">
        <v>439.66666666666703</v>
      </c>
      <c r="E70" s="246">
        <v>0</v>
      </c>
      <c r="F70" s="246">
        <v>0</v>
      </c>
      <c r="G70" s="246">
        <v>0</v>
      </c>
      <c r="H70" s="246">
        <v>0</v>
      </c>
      <c r="I70" s="246">
        <v>0</v>
      </c>
      <c r="J70" s="246">
        <v>0</v>
      </c>
      <c r="K70" s="246">
        <v>0</v>
      </c>
      <c r="L70" s="246">
        <v>0</v>
      </c>
      <c r="M70" s="246">
        <v>0</v>
      </c>
      <c r="N70" s="246">
        <v>408.90625</v>
      </c>
      <c r="O70" s="156"/>
      <c r="P70" s="217"/>
      <c r="Q70" s="217"/>
      <c r="R70" s="217"/>
      <c r="S70" s="217"/>
      <c r="T70" s="217"/>
      <c r="U70" s="217"/>
      <c r="V70" s="235"/>
      <c r="W70" s="185"/>
      <c r="X70" s="185"/>
      <c r="Y70" s="185"/>
      <c r="Z70" s="185"/>
      <c r="AA70" s="244"/>
      <c r="AB70" s="244"/>
      <c r="AC70" s="244"/>
      <c r="AG70" s="244"/>
    </row>
    <row r="71" spans="1:33" s="249" customFormat="1" ht="12" x14ac:dyDescent="0.3">
      <c r="A71" s="247" t="s">
        <v>811</v>
      </c>
      <c r="B71" s="203">
        <v>19248.2580645161</v>
      </c>
      <c r="C71" s="246">
        <v>20362.733333333301</v>
      </c>
      <c r="D71" s="246">
        <v>19304</v>
      </c>
      <c r="E71" s="246">
        <v>0</v>
      </c>
      <c r="F71" s="246">
        <v>0</v>
      </c>
      <c r="G71" s="246">
        <v>0</v>
      </c>
      <c r="H71" s="246">
        <v>0</v>
      </c>
      <c r="I71" s="246">
        <v>0</v>
      </c>
      <c r="J71" s="246">
        <v>0</v>
      </c>
      <c r="K71" s="246">
        <v>0</v>
      </c>
      <c r="L71" s="246">
        <v>0</v>
      </c>
      <c r="M71" s="246">
        <v>0</v>
      </c>
      <c r="N71" s="246">
        <v>19773.28125</v>
      </c>
      <c r="O71" s="241"/>
      <c r="P71" s="241"/>
      <c r="Q71" s="241"/>
      <c r="R71" s="241"/>
      <c r="S71" s="241"/>
      <c r="T71" s="241"/>
      <c r="U71" s="241"/>
      <c r="V71" s="242"/>
      <c r="W71" s="248"/>
      <c r="X71" s="248"/>
      <c r="Y71" s="248"/>
      <c r="Z71" s="248"/>
      <c r="AA71" s="248"/>
      <c r="AB71" s="248"/>
      <c r="AC71" s="248"/>
      <c r="AD71" s="248"/>
      <c r="AE71" s="248"/>
      <c r="AF71" s="248"/>
      <c r="AG71" s="248"/>
    </row>
    <row r="72" spans="1:33" s="147" customFormat="1" ht="12" x14ac:dyDescent="0.3">
      <c r="A72" s="236" t="s">
        <v>827</v>
      </c>
      <c r="B72" s="237">
        <v>8192.1612903225796</v>
      </c>
      <c r="C72" s="238">
        <v>8494.4666666666708</v>
      </c>
      <c r="D72" s="239">
        <v>8491</v>
      </c>
      <c r="E72" s="238">
        <v>0</v>
      </c>
      <c r="F72" s="239">
        <v>0</v>
      </c>
      <c r="G72" s="238">
        <v>0</v>
      </c>
      <c r="H72" s="238">
        <v>0</v>
      </c>
      <c r="I72" s="239">
        <v>0</v>
      </c>
      <c r="J72" s="238">
        <v>0</v>
      </c>
      <c r="K72" s="239">
        <v>0</v>
      </c>
      <c r="L72" s="239">
        <v>0</v>
      </c>
      <c r="M72" s="238">
        <v>0</v>
      </c>
      <c r="N72" s="239">
        <v>8347.875</v>
      </c>
      <c r="O72" s="156"/>
      <c r="P72" s="241"/>
      <c r="Q72" s="241"/>
      <c r="R72" s="241"/>
      <c r="S72" s="241"/>
      <c r="T72" s="241"/>
      <c r="U72" s="241"/>
      <c r="V72" s="242"/>
      <c r="W72" s="244"/>
      <c r="X72" s="244"/>
      <c r="Y72" s="244"/>
      <c r="Z72" s="244"/>
      <c r="AA72" s="244"/>
      <c r="AB72" s="244"/>
      <c r="AC72" s="244"/>
      <c r="AD72" s="244"/>
      <c r="AE72" s="244"/>
      <c r="AF72" s="244"/>
      <c r="AG72" s="244"/>
    </row>
    <row r="73" spans="1:33" s="147" customFormat="1" ht="12" x14ac:dyDescent="0.3">
      <c r="A73" s="245" t="s">
        <v>808</v>
      </c>
      <c r="B73" s="203">
        <v>5810.6451612903202</v>
      </c>
      <c r="C73" s="246">
        <v>5979.7666666666701</v>
      </c>
      <c r="D73" s="246">
        <v>6028</v>
      </c>
      <c r="E73" s="246">
        <v>0</v>
      </c>
      <c r="F73" s="246">
        <v>0</v>
      </c>
      <c r="G73" s="246">
        <v>0</v>
      </c>
      <c r="H73" s="246">
        <v>0</v>
      </c>
      <c r="I73" s="246">
        <v>0</v>
      </c>
      <c r="J73" s="246">
        <v>0</v>
      </c>
      <c r="K73" s="246">
        <v>0</v>
      </c>
      <c r="L73" s="246">
        <v>0</v>
      </c>
      <c r="M73" s="246">
        <v>0</v>
      </c>
      <c r="N73" s="246">
        <v>5900.109375</v>
      </c>
      <c r="O73" s="156"/>
      <c r="P73" s="241"/>
      <c r="Q73" s="241"/>
      <c r="R73" s="241"/>
      <c r="S73" s="241"/>
      <c r="T73" s="241"/>
      <c r="U73" s="241"/>
      <c r="V73" s="242"/>
      <c r="W73" s="244"/>
      <c r="X73" s="244"/>
      <c r="Y73" s="244"/>
      <c r="Z73" s="244"/>
      <c r="AA73" s="244"/>
      <c r="AB73" s="244"/>
      <c r="AC73" s="189"/>
      <c r="AD73" s="244"/>
      <c r="AE73" s="244"/>
      <c r="AF73" s="244"/>
      <c r="AG73" s="244"/>
    </row>
    <row r="74" spans="1:33" s="147" customFormat="1" ht="12" x14ac:dyDescent="0.3">
      <c r="A74" s="247" t="s">
        <v>809</v>
      </c>
      <c r="B74" s="203">
        <v>1841.96774193548</v>
      </c>
      <c r="C74" s="246">
        <v>2019.4</v>
      </c>
      <c r="D74" s="246">
        <v>2000.3333333333301</v>
      </c>
      <c r="E74" s="246">
        <v>0</v>
      </c>
      <c r="F74" s="246">
        <v>0</v>
      </c>
      <c r="G74" s="246">
        <v>0</v>
      </c>
      <c r="H74" s="246">
        <v>0</v>
      </c>
      <c r="I74" s="246">
        <v>0</v>
      </c>
      <c r="J74" s="246">
        <v>0</v>
      </c>
      <c r="K74" s="246">
        <v>0</v>
      </c>
      <c r="L74" s="246">
        <v>0</v>
      </c>
      <c r="M74" s="246">
        <v>0</v>
      </c>
      <c r="N74" s="246">
        <v>1932.5625</v>
      </c>
      <c r="O74" s="156"/>
      <c r="P74" s="241"/>
      <c r="Q74" s="241"/>
      <c r="R74" s="241"/>
      <c r="S74" s="241"/>
      <c r="T74" s="171"/>
      <c r="U74" s="241"/>
      <c r="V74" s="242"/>
      <c r="W74" s="244"/>
      <c r="X74" s="244"/>
      <c r="Y74" s="244"/>
      <c r="Z74" s="244"/>
      <c r="AA74" s="244"/>
      <c r="AB74" s="244"/>
      <c r="AC74" s="244"/>
      <c r="AD74" s="244"/>
      <c r="AE74" s="244"/>
      <c r="AF74" s="244"/>
      <c r="AG74" s="244"/>
    </row>
    <row r="75" spans="1:33" s="147" customFormat="1" ht="12" x14ac:dyDescent="0.3">
      <c r="A75" s="247" t="s">
        <v>811</v>
      </c>
      <c r="B75" s="246">
        <v>539.54838709677404</v>
      </c>
      <c r="C75" s="246">
        <v>495.3</v>
      </c>
      <c r="D75" s="246">
        <v>462.66666666666703</v>
      </c>
      <c r="E75" s="246">
        <v>0</v>
      </c>
      <c r="F75" s="246">
        <v>0</v>
      </c>
      <c r="G75" s="246">
        <v>0</v>
      </c>
      <c r="H75" s="246">
        <v>0</v>
      </c>
      <c r="I75" s="246">
        <v>0</v>
      </c>
      <c r="J75" s="246">
        <v>0</v>
      </c>
      <c r="K75" s="246">
        <v>0</v>
      </c>
      <c r="L75" s="246">
        <v>0</v>
      </c>
      <c r="M75" s="246">
        <v>0</v>
      </c>
      <c r="N75" s="246">
        <v>515.203125</v>
      </c>
      <c r="O75" s="156"/>
      <c r="P75" s="241"/>
      <c r="Q75" s="241"/>
      <c r="R75" s="241"/>
      <c r="S75" s="241"/>
      <c r="T75" s="241"/>
      <c r="U75" s="241"/>
      <c r="V75" s="242"/>
      <c r="W75" s="244"/>
      <c r="X75" s="244"/>
      <c r="Y75" s="244"/>
      <c r="Z75" s="189"/>
      <c r="AA75" s="244"/>
      <c r="AB75" s="244"/>
      <c r="AC75" s="244"/>
      <c r="AD75" s="244"/>
      <c r="AG75" s="244"/>
    </row>
    <row r="76" spans="1:33" s="147" customFormat="1" ht="12" x14ac:dyDescent="0.3">
      <c r="A76" s="236" t="s">
        <v>828</v>
      </c>
      <c r="B76" s="237">
        <v>28829.193548387098</v>
      </c>
      <c r="C76" s="238">
        <v>30282.633333333299</v>
      </c>
      <c r="D76" s="239">
        <v>29262.666666666701</v>
      </c>
      <c r="E76" s="238">
        <v>0</v>
      </c>
      <c r="F76" s="239">
        <v>0</v>
      </c>
      <c r="G76" s="238">
        <v>0</v>
      </c>
      <c r="H76" s="238">
        <v>0</v>
      </c>
      <c r="I76" s="239">
        <v>0</v>
      </c>
      <c r="J76" s="238">
        <v>0</v>
      </c>
      <c r="K76" s="239">
        <v>0</v>
      </c>
      <c r="L76" s="239">
        <v>0</v>
      </c>
      <c r="M76" s="238">
        <v>0</v>
      </c>
      <c r="N76" s="239">
        <v>29530.8125</v>
      </c>
      <c r="O76" s="156"/>
      <c r="P76" s="241"/>
      <c r="Q76" s="241"/>
      <c r="R76" s="241"/>
      <c r="S76" s="241"/>
      <c r="T76" s="241"/>
      <c r="U76" s="241"/>
      <c r="V76" s="242"/>
      <c r="W76" s="244"/>
      <c r="X76" s="244"/>
      <c r="Y76" s="244"/>
      <c r="Z76" s="244"/>
      <c r="AA76" s="244"/>
      <c r="AB76" s="244"/>
      <c r="AC76" s="244"/>
      <c r="AD76" s="244"/>
      <c r="AG76" s="244"/>
    </row>
    <row r="77" spans="1:33" s="147" customFormat="1" ht="12" x14ac:dyDescent="0.3">
      <c r="A77" s="245" t="s">
        <v>808</v>
      </c>
      <c r="B77" s="203">
        <v>6804.0645161290304</v>
      </c>
      <c r="C77" s="246">
        <v>6985.3666666666704</v>
      </c>
      <c r="D77" s="246">
        <v>7056</v>
      </c>
      <c r="E77" s="246">
        <v>0</v>
      </c>
      <c r="F77" s="246">
        <v>0</v>
      </c>
      <c r="G77" s="246">
        <v>0</v>
      </c>
      <c r="H77" s="246">
        <v>0</v>
      </c>
      <c r="I77" s="246">
        <v>0</v>
      </c>
      <c r="J77" s="246">
        <v>0</v>
      </c>
      <c r="K77" s="246">
        <v>0</v>
      </c>
      <c r="L77" s="246">
        <v>0</v>
      </c>
      <c r="M77" s="246">
        <v>0</v>
      </c>
      <c r="N77" s="246">
        <v>6900.859375</v>
      </c>
      <c r="O77" s="156"/>
      <c r="P77" s="241"/>
      <c r="Q77" s="241"/>
      <c r="R77" s="244"/>
      <c r="S77" s="241"/>
      <c r="T77" s="241"/>
      <c r="U77" s="241"/>
      <c r="V77" s="242"/>
      <c r="W77" s="244"/>
      <c r="X77" s="244"/>
      <c r="Y77" s="244"/>
      <c r="Z77" s="244"/>
      <c r="AA77" s="244"/>
      <c r="AB77" s="244"/>
    </row>
    <row r="78" spans="1:33" s="147" customFormat="1" ht="12" x14ac:dyDescent="0.3">
      <c r="A78" s="247" t="s">
        <v>809</v>
      </c>
      <c r="B78" s="203">
        <v>2237.3225806451601</v>
      </c>
      <c r="C78" s="246">
        <v>2439.2333333333299</v>
      </c>
      <c r="D78" s="246">
        <v>2440</v>
      </c>
      <c r="E78" s="246">
        <v>0</v>
      </c>
      <c r="F78" s="246">
        <v>0</v>
      </c>
      <c r="G78" s="246">
        <v>0</v>
      </c>
      <c r="H78" s="246">
        <v>0</v>
      </c>
      <c r="I78" s="246">
        <v>0</v>
      </c>
      <c r="J78" s="246">
        <v>0</v>
      </c>
      <c r="K78" s="246">
        <v>0</v>
      </c>
      <c r="L78" s="246">
        <v>0</v>
      </c>
      <c r="M78" s="246">
        <v>0</v>
      </c>
      <c r="N78" s="246">
        <v>2341.46875</v>
      </c>
      <c r="O78" s="156"/>
      <c r="P78" s="241"/>
      <c r="Q78" s="241"/>
      <c r="R78" s="171"/>
      <c r="S78" s="241"/>
      <c r="T78" s="241"/>
      <c r="U78" s="241"/>
      <c r="V78" s="242"/>
      <c r="W78" s="244"/>
      <c r="X78" s="244"/>
      <c r="Y78" s="244"/>
      <c r="Z78" s="244"/>
      <c r="AA78" s="244"/>
      <c r="AB78" s="244"/>
    </row>
    <row r="79" spans="1:33" s="147" customFormat="1" ht="12" x14ac:dyDescent="0.3">
      <c r="A79" s="247" t="s">
        <v>811</v>
      </c>
      <c r="B79" s="203">
        <v>19787.806451612902</v>
      </c>
      <c r="C79" s="246">
        <v>20858.0333333333</v>
      </c>
      <c r="D79" s="246">
        <v>19766.666666666701</v>
      </c>
      <c r="E79" s="246">
        <v>0</v>
      </c>
      <c r="F79" s="246">
        <v>0</v>
      </c>
      <c r="G79" s="246">
        <v>0</v>
      </c>
      <c r="H79" s="246">
        <v>0</v>
      </c>
      <c r="I79" s="246">
        <v>0</v>
      </c>
      <c r="J79" s="246">
        <v>0</v>
      </c>
      <c r="K79" s="246">
        <v>0</v>
      </c>
      <c r="L79" s="246">
        <v>0</v>
      </c>
      <c r="M79" s="246">
        <v>0</v>
      </c>
      <c r="N79" s="246">
        <v>20288.484375</v>
      </c>
      <c r="O79" s="156"/>
      <c r="P79" s="241"/>
      <c r="Q79" s="241"/>
      <c r="R79" s="171"/>
      <c r="S79" s="171"/>
      <c r="T79" s="241"/>
      <c r="U79" s="241"/>
      <c r="V79" s="242"/>
      <c r="W79" s="244"/>
      <c r="X79" s="244"/>
      <c r="Y79" s="244"/>
      <c r="Z79" s="244"/>
      <c r="AA79" s="244"/>
      <c r="AB79" s="244"/>
    </row>
    <row r="80" spans="1:33" s="147" customFormat="1" ht="12" x14ac:dyDescent="0.3">
      <c r="A80" s="205"/>
      <c r="F80" s="145"/>
      <c r="G80" s="145"/>
      <c r="H80" s="145"/>
      <c r="I80" s="145"/>
      <c r="J80" s="145"/>
      <c r="K80" s="145"/>
      <c r="L80" s="156"/>
      <c r="M80" s="156"/>
      <c r="N80" s="156"/>
      <c r="O80" s="156"/>
      <c r="P80" s="241"/>
      <c r="Q80" s="241"/>
      <c r="R80" s="241"/>
      <c r="S80" s="171"/>
      <c r="T80" s="241"/>
      <c r="U80" s="241"/>
      <c r="V80" s="242"/>
      <c r="W80" s="244"/>
      <c r="X80" s="244"/>
      <c r="Y80" s="244"/>
      <c r="Z80" s="244"/>
      <c r="AA80" s="244"/>
      <c r="AB80" s="244"/>
    </row>
    <row r="81" spans="1:34" s="147" customFormat="1" ht="12" customHeight="1" x14ac:dyDescent="0.3">
      <c r="A81" s="371"/>
      <c r="B81" s="372"/>
      <c r="C81" s="372"/>
      <c r="D81" s="372"/>
      <c r="E81" s="372"/>
      <c r="F81" s="372"/>
      <c r="G81" s="372"/>
      <c r="H81" s="372"/>
      <c r="I81" s="372"/>
      <c r="J81" s="372"/>
      <c r="K81" s="372"/>
      <c r="L81" s="372"/>
      <c r="M81" s="372"/>
      <c r="N81" s="372"/>
      <c r="O81" s="372"/>
      <c r="P81" s="372"/>
      <c r="Q81" s="372"/>
      <c r="R81" s="372"/>
      <c r="S81" s="372"/>
      <c r="T81" s="372"/>
      <c r="U81" s="372"/>
      <c r="V81" s="373"/>
    </row>
    <row r="82" spans="1:34" s="147" customFormat="1" ht="12" x14ac:dyDescent="0.3">
      <c r="A82" s="205"/>
      <c r="F82" s="145"/>
      <c r="G82" s="145"/>
      <c r="H82" s="145"/>
      <c r="I82" s="145"/>
      <c r="J82" s="145"/>
      <c r="K82" s="145"/>
      <c r="L82" s="156"/>
      <c r="M82" s="156"/>
      <c r="N82" s="156"/>
      <c r="O82" s="156"/>
      <c r="P82" s="156"/>
      <c r="Q82" s="156"/>
      <c r="R82" s="156"/>
      <c r="S82" s="156"/>
      <c r="T82" s="156"/>
      <c r="U82" s="156"/>
      <c r="V82" s="165"/>
      <c r="AA82" s="188"/>
      <c r="AB82" s="188"/>
      <c r="AC82" s="188"/>
      <c r="AD82" s="188"/>
      <c r="AE82" s="188"/>
      <c r="AF82" s="188"/>
      <c r="AG82" s="188"/>
    </row>
    <row r="83" spans="1:34" s="147" customFormat="1" ht="24.75" customHeight="1" x14ac:dyDescent="0.3">
      <c r="A83" s="382" t="s">
        <v>829</v>
      </c>
      <c r="B83" s="383"/>
      <c r="C83" s="383"/>
      <c r="D83" s="383"/>
      <c r="E83" s="383"/>
      <c r="F83" s="383"/>
      <c r="G83" s="383"/>
      <c r="H83" s="383"/>
      <c r="I83" s="383"/>
      <c r="J83" s="383"/>
      <c r="K83" s="383"/>
      <c r="L83" s="383"/>
      <c r="M83" s="383"/>
      <c r="N83" s="383"/>
      <c r="O83" s="156"/>
      <c r="P83" s="156"/>
      <c r="Q83" s="217"/>
      <c r="R83" s="217"/>
      <c r="S83" s="217"/>
      <c r="T83" s="217"/>
      <c r="U83" s="217"/>
      <c r="V83" s="235"/>
      <c r="W83" s="188"/>
      <c r="X83" s="188"/>
      <c r="Y83" s="188"/>
      <c r="Z83" s="188"/>
      <c r="AA83" s="188"/>
      <c r="AB83" s="188"/>
    </row>
    <row r="84" spans="1:34" s="147" customFormat="1" ht="12" x14ac:dyDescent="0.3">
      <c r="A84" s="67" t="s">
        <v>795</v>
      </c>
      <c r="B84" s="67" t="s">
        <v>796</v>
      </c>
      <c r="C84" s="67" t="s">
        <v>797</v>
      </c>
      <c r="D84" s="67" t="s">
        <v>798</v>
      </c>
      <c r="E84" s="67" t="s">
        <v>799</v>
      </c>
      <c r="F84" s="67" t="s">
        <v>800</v>
      </c>
      <c r="G84" s="67" t="s">
        <v>801</v>
      </c>
      <c r="H84" s="67" t="s">
        <v>802</v>
      </c>
      <c r="I84" s="67" t="s">
        <v>803</v>
      </c>
      <c r="J84" s="67" t="s">
        <v>804</v>
      </c>
      <c r="K84" s="67" t="s">
        <v>805</v>
      </c>
      <c r="L84" s="67" t="s">
        <v>806</v>
      </c>
      <c r="M84" s="67" t="s">
        <v>807</v>
      </c>
      <c r="N84" s="67" t="s">
        <v>825</v>
      </c>
      <c r="O84" s="156"/>
      <c r="P84" s="217"/>
      <c r="Q84" s="217"/>
      <c r="R84" s="217"/>
      <c r="S84" s="217"/>
      <c r="T84" s="217"/>
      <c r="U84" s="217"/>
      <c r="V84" s="235"/>
      <c r="W84" s="188"/>
      <c r="X84" s="188"/>
      <c r="Y84" s="188"/>
      <c r="Z84" s="188"/>
      <c r="AA84" s="188"/>
      <c r="AB84" s="188"/>
      <c r="AC84" s="244"/>
      <c r="AD84" s="244"/>
      <c r="AE84" s="244"/>
      <c r="AF84" s="244"/>
      <c r="AG84" s="244"/>
      <c r="AH84" s="244"/>
    </row>
    <row r="85" spans="1:34" s="147" customFormat="1" ht="12.75" customHeight="1" x14ac:dyDescent="0.3">
      <c r="A85" s="236" t="s">
        <v>826</v>
      </c>
      <c r="B85" s="250">
        <v>43.255181001512</v>
      </c>
      <c r="C85" s="251">
        <v>40.674976717529901</v>
      </c>
      <c r="D85" s="252">
        <v>39.338052095130202</v>
      </c>
      <c r="E85" s="251">
        <v>0</v>
      </c>
      <c r="F85" s="252">
        <v>0</v>
      </c>
      <c r="G85" s="251">
        <v>0</v>
      </c>
      <c r="H85" s="251">
        <v>0</v>
      </c>
      <c r="I85" s="252">
        <v>0</v>
      </c>
      <c r="J85" s="251">
        <v>0</v>
      </c>
      <c r="K85" s="252">
        <v>0</v>
      </c>
      <c r="L85" s="252">
        <v>0</v>
      </c>
      <c r="M85" s="251">
        <v>0</v>
      </c>
      <c r="N85" s="252">
        <v>41.663119252447302</v>
      </c>
      <c r="O85" s="156"/>
      <c r="P85" s="156"/>
      <c r="Q85" s="217"/>
      <c r="R85" s="217"/>
      <c r="S85" s="217"/>
      <c r="T85" s="217"/>
      <c r="U85" s="217"/>
      <c r="V85" s="235"/>
      <c r="W85" s="188"/>
      <c r="X85" s="188"/>
      <c r="Y85" s="188"/>
      <c r="Z85" s="188"/>
      <c r="AA85" s="188"/>
      <c r="AB85" s="188"/>
      <c r="AC85" s="244"/>
      <c r="AD85" s="244"/>
      <c r="AE85" s="244"/>
      <c r="AF85" s="244"/>
      <c r="AG85" s="244"/>
      <c r="AH85" s="244"/>
    </row>
    <row r="86" spans="1:34" s="147" customFormat="1" ht="12" x14ac:dyDescent="0.3">
      <c r="A86" s="245" t="s">
        <v>808</v>
      </c>
      <c r="B86" s="253">
        <v>26.970443349753701</v>
      </c>
      <c r="C86" s="254">
        <v>37.1</v>
      </c>
      <c r="D86" s="254">
        <v>25.980582524271799</v>
      </c>
      <c r="E86" s="254">
        <v>0</v>
      </c>
      <c r="F86" s="254">
        <v>0</v>
      </c>
      <c r="G86" s="254">
        <v>0</v>
      </c>
      <c r="H86" s="254">
        <v>0</v>
      </c>
      <c r="I86" s="254">
        <v>0</v>
      </c>
      <c r="J86" s="254">
        <v>0</v>
      </c>
      <c r="K86" s="254">
        <v>0</v>
      </c>
      <c r="L86" s="254">
        <v>0</v>
      </c>
      <c r="M86" s="254">
        <v>0</v>
      </c>
      <c r="N86" s="254">
        <v>31.505671641791</v>
      </c>
      <c r="O86" s="156"/>
      <c r="P86" s="156"/>
      <c r="Q86" s="156"/>
      <c r="R86" s="217"/>
      <c r="S86" s="217"/>
      <c r="T86" s="217"/>
      <c r="U86" s="217"/>
      <c r="V86" s="235"/>
      <c r="W86" s="188"/>
      <c r="X86" s="188"/>
      <c r="Y86" s="188"/>
      <c r="Z86" s="188"/>
      <c r="AA86" s="244"/>
      <c r="AB86" s="244"/>
      <c r="AC86" s="189"/>
      <c r="AD86" s="244"/>
      <c r="AE86" s="244"/>
      <c r="AF86" s="244"/>
      <c r="AH86" s="244"/>
    </row>
    <row r="87" spans="1:34" s="147" customFormat="1" ht="12" x14ac:dyDescent="0.3">
      <c r="A87" s="247" t="s">
        <v>809</v>
      </c>
      <c r="B87" s="253">
        <v>44.185185185185198</v>
      </c>
      <c r="C87" s="254">
        <v>50.1822916666667</v>
      </c>
      <c r="D87" s="254">
        <v>52.535714285714299</v>
      </c>
      <c r="E87" s="254">
        <v>0</v>
      </c>
      <c r="F87" s="254">
        <v>0</v>
      </c>
      <c r="G87" s="254">
        <v>0</v>
      </c>
      <c r="H87" s="254">
        <v>0</v>
      </c>
      <c r="I87" s="254">
        <v>0</v>
      </c>
      <c r="J87" s="254">
        <v>0</v>
      </c>
      <c r="K87" s="254">
        <v>0</v>
      </c>
      <c r="L87" s="254">
        <v>0</v>
      </c>
      <c r="M87" s="254">
        <v>0</v>
      </c>
      <c r="N87" s="254">
        <v>47.572127139364298</v>
      </c>
      <c r="O87" s="156"/>
      <c r="P87" s="156"/>
      <c r="Q87" s="217"/>
      <c r="R87" s="217"/>
      <c r="S87" s="217"/>
      <c r="T87" s="217"/>
      <c r="U87" s="217"/>
      <c r="V87" s="235"/>
      <c r="W87" s="188"/>
      <c r="X87" s="188"/>
      <c r="AA87" s="244"/>
      <c r="AB87" s="244"/>
      <c r="AC87" s="244"/>
      <c r="AD87" s="244"/>
      <c r="AE87" s="244"/>
      <c r="AF87" s="244"/>
      <c r="AG87" s="244"/>
      <c r="AH87" s="244"/>
    </row>
    <row r="88" spans="1:34" s="147" customFormat="1" ht="12" x14ac:dyDescent="0.3">
      <c r="A88" s="247" t="s">
        <v>811</v>
      </c>
      <c r="B88" s="253">
        <v>44.529095879711001</v>
      </c>
      <c r="C88" s="254">
        <v>40.743522718536198</v>
      </c>
      <c r="D88" s="254">
        <v>39.953516819571902</v>
      </c>
      <c r="E88" s="254">
        <v>0</v>
      </c>
      <c r="F88" s="254">
        <v>0</v>
      </c>
      <c r="G88" s="254">
        <v>0</v>
      </c>
      <c r="H88" s="254">
        <v>0</v>
      </c>
      <c r="I88" s="254">
        <v>0</v>
      </c>
      <c r="J88" s="254">
        <v>0</v>
      </c>
      <c r="K88" s="254">
        <v>0</v>
      </c>
      <c r="L88" s="254">
        <v>0</v>
      </c>
      <c r="M88" s="254">
        <v>0</v>
      </c>
      <c r="N88" s="254">
        <v>42.249718694743599</v>
      </c>
      <c r="O88" s="156"/>
      <c r="P88" s="217"/>
      <c r="Q88" s="217"/>
      <c r="R88" s="217"/>
      <c r="S88" s="217"/>
      <c r="T88" s="217"/>
      <c r="U88" s="217"/>
      <c r="V88" s="235"/>
      <c r="W88" s="188"/>
      <c r="X88" s="188"/>
      <c r="Y88" s="188"/>
      <c r="Z88" s="188"/>
    </row>
    <row r="89" spans="1:34" s="147" customFormat="1" ht="12" x14ac:dyDescent="0.3">
      <c r="A89" s="236" t="s">
        <v>827</v>
      </c>
      <c r="B89" s="250">
        <v>33.856598143236099</v>
      </c>
      <c r="C89" s="251">
        <v>34.502538876547099</v>
      </c>
      <c r="D89" s="252">
        <v>38.671368124118501</v>
      </c>
      <c r="E89" s="251">
        <v>0</v>
      </c>
      <c r="F89" s="252">
        <v>0</v>
      </c>
      <c r="G89" s="251">
        <v>0</v>
      </c>
      <c r="H89" s="251">
        <v>0</v>
      </c>
      <c r="I89" s="252">
        <v>0</v>
      </c>
      <c r="J89" s="251">
        <v>0</v>
      </c>
      <c r="K89" s="252">
        <v>0</v>
      </c>
      <c r="L89" s="252">
        <v>0</v>
      </c>
      <c r="M89" s="251">
        <v>0</v>
      </c>
      <c r="N89" s="252">
        <v>34.430422448823101</v>
      </c>
      <c r="O89" s="156"/>
      <c r="P89" s="217"/>
      <c r="Q89" s="217"/>
      <c r="R89" s="241"/>
      <c r="S89" s="241"/>
      <c r="T89" s="241"/>
      <c r="U89" s="241"/>
      <c r="V89" s="165"/>
      <c r="Z89" s="188"/>
      <c r="AA89" s="188"/>
      <c r="AB89" s="188"/>
      <c r="AC89" s="188"/>
      <c r="AD89" s="188"/>
      <c r="AE89" s="188"/>
      <c r="AF89" s="188"/>
    </row>
    <row r="90" spans="1:34" s="147" customFormat="1" ht="12" x14ac:dyDescent="0.3">
      <c r="A90" s="245" t="s">
        <v>808</v>
      </c>
      <c r="B90" s="253">
        <v>41.087314662273499</v>
      </c>
      <c r="C90" s="254">
        <v>42.046963562753</v>
      </c>
      <c r="D90" s="254">
        <v>46.671232876712303</v>
      </c>
      <c r="E90" s="254">
        <v>0</v>
      </c>
      <c r="F90" s="254">
        <v>0</v>
      </c>
      <c r="G90" s="254">
        <v>0</v>
      </c>
      <c r="H90" s="254">
        <v>0</v>
      </c>
      <c r="I90" s="254">
        <v>0</v>
      </c>
      <c r="J90" s="254">
        <v>0</v>
      </c>
      <c r="K90" s="254">
        <v>0</v>
      </c>
      <c r="L90" s="254">
        <v>0</v>
      </c>
      <c r="M90" s="254">
        <v>0</v>
      </c>
      <c r="N90" s="254">
        <v>41.858188824662797</v>
      </c>
      <c r="O90" s="156"/>
      <c r="P90" s="217"/>
      <c r="Q90" s="217"/>
      <c r="R90" s="217"/>
      <c r="S90" s="217"/>
      <c r="T90" s="217"/>
      <c r="U90" s="241"/>
      <c r="V90" s="235"/>
      <c r="W90" s="188"/>
      <c r="X90" s="188"/>
      <c r="Y90" s="188"/>
      <c r="Z90" s="188"/>
      <c r="AA90" s="188"/>
      <c r="AB90" s="188"/>
      <c r="AC90" s="188"/>
    </row>
    <row r="91" spans="1:34" s="147" customFormat="1" ht="12" customHeight="1" x14ac:dyDescent="0.3">
      <c r="A91" s="247" t="s">
        <v>809</v>
      </c>
      <c r="B91" s="253">
        <v>29.196696696696701</v>
      </c>
      <c r="C91" s="254">
        <v>30.2200520833333</v>
      </c>
      <c r="D91" s="254">
        <v>33.863636363636402</v>
      </c>
      <c r="E91" s="254">
        <v>0</v>
      </c>
      <c r="F91" s="254">
        <v>0</v>
      </c>
      <c r="G91" s="254">
        <v>0</v>
      </c>
      <c r="H91" s="254">
        <v>0</v>
      </c>
      <c r="I91" s="254">
        <v>0</v>
      </c>
      <c r="J91" s="254">
        <v>0</v>
      </c>
      <c r="K91" s="254">
        <v>0</v>
      </c>
      <c r="L91" s="254">
        <v>0</v>
      </c>
      <c r="M91" s="254">
        <v>0</v>
      </c>
      <c r="N91" s="254">
        <v>29.9546657842488</v>
      </c>
      <c r="O91" s="156"/>
      <c r="P91" s="217"/>
      <c r="Q91" s="217"/>
      <c r="R91" s="241"/>
      <c r="S91" s="241"/>
      <c r="T91" s="241"/>
      <c r="U91" s="241"/>
      <c r="V91" s="235"/>
      <c r="W91" s="188"/>
      <c r="X91" s="188"/>
      <c r="Y91" s="188"/>
      <c r="Z91" s="188"/>
      <c r="AA91" s="188"/>
      <c r="AB91" s="188"/>
    </row>
    <row r="92" spans="1:34" s="147" customFormat="1" ht="12" x14ac:dyDescent="0.3">
      <c r="A92" s="247" t="s">
        <v>811</v>
      </c>
      <c r="B92" s="253">
        <v>14.8327032136106</v>
      </c>
      <c r="C92" s="254">
        <v>14.357210179076301</v>
      </c>
      <c r="D92" s="254">
        <v>15.051282051282</v>
      </c>
      <c r="E92" s="254">
        <v>0</v>
      </c>
      <c r="F92" s="254">
        <v>0</v>
      </c>
      <c r="G92" s="254">
        <v>0</v>
      </c>
      <c r="H92" s="254">
        <v>0</v>
      </c>
      <c r="I92" s="254">
        <v>0</v>
      </c>
      <c r="J92" s="254">
        <v>0</v>
      </c>
      <c r="K92" s="254">
        <v>0</v>
      </c>
      <c r="L92" s="254">
        <v>0</v>
      </c>
      <c r="M92" s="254">
        <v>0</v>
      </c>
      <c r="N92" s="254">
        <v>14.618515205724499</v>
      </c>
      <c r="O92" s="156"/>
      <c r="P92" s="217"/>
      <c r="Q92" s="217"/>
      <c r="R92" s="217"/>
      <c r="S92" s="217"/>
      <c r="T92" s="217"/>
      <c r="U92" s="217"/>
      <c r="V92" s="235"/>
      <c r="W92" s="188"/>
      <c r="X92" s="188"/>
      <c r="Y92" s="188"/>
      <c r="Z92" s="188"/>
      <c r="AA92" s="188"/>
      <c r="AB92" s="188"/>
    </row>
    <row r="93" spans="1:34" s="147" customFormat="1" ht="12" x14ac:dyDescent="0.3">
      <c r="A93" s="236" t="s">
        <v>828</v>
      </c>
      <c r="B93" s="250">
        <v>39.973429811866801</v>
      </c>
      <c r="C93" s="251">
        <v>38.755095997236097</v>
      </c>
      <c r="D93" s="252">
        <v>39.147070707070696</v>
      </c>
      <c r="E93" s="251">
        <v>0</v>
      </c>
      <c r="F93" s="252">
        <v>0</v>
      </c>
      <c r="G93" s="251">
        <v>0</v>
      </c>
      <c r="H93" s="251">
        <v>0</v>
      </c>
      <c r="I93" s="252">
        <v>0</v>
      </c>
      <c r="J93" s="251">
        <v>0</v>
      </c>
      <c r="K93" s="252">
        <v>0</v>
      </c>
      <c r="L93" s="252">
        <v>0</v>
      </c>
      <c r="M93" s="251">
        <v>0</v>
      </c>
      <c r="N93" s="252">
        <v>39.3053660243433</v>
      </c>
      <c r="O93" s="156"/>
      <c r="P93" s="156"/>
      <c r="Q93" s="156"/>
      <c r="R93" s="156"/>
      <c r="S93" s="156"/>
      <c r="T93" s="156"/>
      <c r="U93" s="156"/>
      <c r="V93" s="165"/>
    </row>
    <row r="94" spans="1:34" s="147" customFormat="1" ht="12" x14ac:dyDescent="0.3">
      <c r="A94" s="245" t="s">
        <v>808</v>
      </c>
      <c r="B94" s="253">
        <v>38.5136955545577</v>
      </c>
      <c r="C94" s="254">
        <v>41.204927211646101</v>
      </c>
      <c r="D94" s="254">
        <v>42.731977818853998</v>
      </c>
      <c r="E94" s="254">
        <v>0</v>
      </c>
      <c r="F94" s="254">
        <v>0</v>
      </c>
      <c r="G94" s="254">
        <v>0</v>
      </c>
      <c r="H94" s="254">
        <v>0</v>
      </c>
      <c r="I94" s="254">
        <v>0</v>
      </c>
      <c r="J94" s="254">
        <v>0</v>
      </c>
      <c r="K94" s="254">
        <v>0</v>
      </c>
      <c r="L94" s="254">
        <v>0</v>
      </c>
      <c r="M94" s="254">
        <v>0</v>
      </c>
      <c r="N94" s="254">
        <v>40.025158562367899</v>
      </c>
      <c r="O94" s="156"/>
      <c r="P94" s="156"/>
      <c r="Q94" s="156"/>
      <c r="R94" s="156"/>
      <c r="S94" s="156"/>
      <c r="T94" s="156"/>
      <c r="U94" s="156"/>
      <c r="V94" s="165"/>
    </row>
    <row r="95" spans="1:34" s="147" customFormat="1" ht="12" x14ac:dyDescent="0.3">
      <c r="A95" s="247" t="s">
        <v>809</v>
      </c>
      <c r="B95" s="253">
        <v>31.0591715976331</v>
      </c>
      <c r="C95" s="254">
        <v>32.438078703703702</v>
      </c>
      <c r="D95" s="254">
        <v>36.736263736263702</v>
      </c>
      <c r="E95" s="254">
        <v>0</v>
      </c>
      <c r="F95" s="254">
        <v>0</v>
      </c>
      <c r="G95" s="254">
        <v>0</v>
      </c>
      <c r="H95" s="254">
        <v>0</v>
      </c>
      <c r="I95" s="254">
        <v>0</v>
      </c>
      <c r="J95" s="254">
        <v>0</v>
      </c>
      <c r="K95" s="254">
        <v>0</v>
      </c>
      <c r="L95" s="254">
        <v>0</v>
      </c>
      <c r="M95" s="254">
        <v>0</v>
      </c>
      <c r="N95" s="254">
        <v>32.054794520547901</v>
      </c>
      <c r="O95" s="156"/>
      <c r="P95" s="156"/>
      <c r="Q95" s="156"/>
      <c r="R95" s="156"/>
      <c r="S95" s="156"/>
      <c r="T95" s="156"/>
      <c r="U95" s="156"/>
      <c r="V95" s="165"/>
    </row>
    <row r="96" spans="1:34" s="147" customFormat="1" ht="12" x14ac:dyDescent="0.3">
      <c r="A96" s="247" t="s">
        <v>811</v>
      </c>
      <c r="B96" s="253">
        <v>41.748672566371702</v>
      </c>
      <c r="C96" s="254">
        <v>38.753483082172302</v>
      </c>
      <c r="D96" s="254">
        <v>38.290525114155201</v>
      </c>
      <c r="E96" s="254">
        <v>0</v>
      </c>
      <c r="F96" s="254">
        <v>0</v>
      </c>
      <c r="G96" s="254">
        <v>0</v>
      </c>
      <c r="H96" s="254">
        <v>0</v>
      </c>
      <c r="I96" s="254">
        <v>0</v>
      </c>
      <c r="J96" s="254">
        <v>0</v>
      </c>
      <c r="K96" s="254">
        <v>0</v>
      </c>
      <c r="L96" s="254">
        <v>0</v>
      </c>
      <c r="M96" s="254">
        <v>0</v>
      </c>
      <c r="N96" s="254">
        <v>39.971570796460199</v>
      </c>
      <c r="O96" s="156"/>
      <c r="P96" s="156"/>
      <c r="Q96" s="156"/>
      <c r="R96" s="156"/>
      <c r="S96" s="156"/>
      <c r="T96" s="156"/>
      <c r="U96" s="156"/>
      <c r="V96" s="165"/>
    </row>
    <row r="97" spans="1:33" s="147" customFormat="1" ht="12" x14ac:dyDescent="0.3">
      <c r="A97" s="205"/>
      <c r="F97" s="145"/>
      <c r="G97" s="145"/>
      <c r="H97" s="145"/>
      <c r="I97" s="145"/>
      <c r="J97" s="145"/>
      <c r="K97" s="145"/>
      <c r="L97" s="156"/>
      <c r="M97" s="156"/>
      <c r="N97" s="156"/>
      <c r="O97" s="156"/>
      <c r="P97" s="156"/>
      <c r="Q97" s="156"/>
      <c r="R97" s="156"/>
      <c r="S97" s="156"/>
      <c r="T97" s="156"/>
      <c r="U97" s="156"/>
      <c r="V97" s="165"/>
    </row>
    <row r="98" spans="1:33" s="147" customFormat="1" ht="12" x14ac:dyDescent="0.3">
      <c r="A98" s="371"/>
      <c r="B98" s="372"/>
      <c r="C98" s="372"/>
      <c r="D98" s="372"/>
      <c r="E98" s="372"/>
      <c r="F98" s="372"/>
      <c r="G98" s="372"/>
      <c r="H98" s="372"/>
      <c r="I98" s="372"/>
      <c r="J98" s="372"/>
      <c r="K98" s="372"/>
      <c r="L98" s="372"/>
      <c r="M98" s="372"/>
      <c r="N98" s="372"/>
      <c r="O98" s="372"/>
      <c r="P98" s="372"/>
      <c r="Q98" s="372"/>
      <c r="R98" s="372"/>
      <c r="S98" s="372"/>
      <c r="T98" s="372"/>
      <c r="U98" s="372"/>
      <c r="V98" s="373"/>
    </row>
    <row r="99" spans="1:33" s="147" customFormat="1" ht="12" x14ac:dyDescent="0.3">
      <c r="A99" s="205"/>
      <c r="F99" s="145"/>
      <c r="G99" s="145"/>
      <c r="H99" s="145"/>
      <c r="I99" s="145"/>
      <c r="J99" s="145"/>
      <c r="K99" s="145"/>
      <c r="L99" s="156"/>
      <c r="M99" s="156"/>
      <c r="N99" s="156"/>
      <c r="O99" s="156"/>
      <c r="P99" s="156"/>
      <c r="Q99" s="156"/>
      <c r="R99" s="156"/>
      <c r="S99" s="217"/>
      <c r="T99" s="217"/>
      <c r="U99" s="217"/>
      <c r="V99" s="235"/>
    </row>
    <row r="100" spans="1:33" s="145" customFormat="1" ht="24.75" customHeight="1" x14ac:dyDescent="0.3">
      <c r="A100" s="386" t="s">
        <v>830</v>
      </c>
      <c r="B100" s="351"/>
      <c r="C100" s="351"/>
      <c r="D100" s="351"/>
      <c r="E100" s="351"/>
      <c r="F100" s="351"/>
      <c r="G100" s="351"/>
      <c r="H100" s="351"/>
      <c r="I100" s="351"/>
      <c r="J100" s="351"/>
      <c r="K100" s="351"/>
      <c r="L100" s="351"/>
      <c r="M100" s="351"/>
      <c r="N100" s="351"/>
      <c r="O100" s="156"/>
      <c r="P100" s="217"/>
      <c r="Q100" s="217"/>
      <c r="R100" s="217"/>
      <c r="S100" s="217"/>
      <c r="T100" s="217"/>
      <c r="U100" s="217"/>
      <c r="V100" s="235"/>
      <c r="W100" s="210"/>
      <c r="X100" s="210"/>
      <c r="Y100" s="210"/>
      <c r="Z100" s="210"/>
      <c r="AA100" s="210"/>
      <c r="AB100" s="210"/>
    </row>
    <row r="101" spans="1:33" s="147" customFormat="1" ht="12" x14ac:dyDescent="0.3">
      <c r="A101" s="162" t="s">
        <v>815</v>
      </c>
      <c r="B101" s="67" t="s">
        <v>796</v>
      </c>
      <c r="C101" s="67" t="s">
        <v>797</v>
      </c>
      <c r="D101" s="67" t="s">
        <v>798</v>
      </c>
      <c r="E101" s="67" t="s">
        <v>799</v>
      </c>
      <c r="F101" s="67" t="s">
        <v>800</v>
      </c>
      <c r="G101" s="67" t="s">
        <v>801</v>
      </c>
      <c r="H101" s="67" t="s">
        <v>802</v>
      </c>
      <c r="I101" s="67" t="s">
        <v>803</v>
      </c>
      <c r="J101" s="67" t="s">
        <v>804</v>
      </c>
      <c r="K101" s="67" t="s">
        <v>805</v>
      </c>
      <c r="L101" s="67" t="s">
        <v>806</v>
      </c>
      <c r="M101" s="67" t="s">
        <v>807</v>
      </c>
      <c r="N101" s="67" t="s">
        <v>825</v>
      </c>
      <c r="O101" s="156"/>
      <c r="P101" s="241"/>
      <c r="Q101" s="217"/>
      <c r="R101" s="217"/>
      <c r="S101" s="217"/>
      <c r="T101" s="217"/>
      <c r="U101" s="217"/>
      <c r="V101" s="235"/>
      <c r="W101" s="188"/>
      <c r="X101" s="188"/>
      <c r="Y101" s="188"/>
      <c r="Z101" s="188"/>
      <c r="AA101" s="188"/>
      <c r="AB101" s="188"/>
      <c r="AC101" s="188"/>
      <c r="AD101" s="188"/>
      <c r="AE101" s="188"/>
      <c r="AF101" s="188"/>
    </row>
    <row r="102" spans="1:33" s="147" customFormat="1" ht="12.75" customHeight="1" thickBot="1" x14ac:dyDescent="0.35">
      <c r="A102" s="167" t="s">
        <v>0</v>
      </c>
      <c r="B102" s="237">
        <v>28829.193548387098</v>
      </c>
      <c r="C102" s="238">
        <v>30282.633333333299</v>
      </c>
      <c r="D102" s="239">
        <v>29262.666666666701</v>
      </c>
      <c r="E102" s="238">
        <v>0</v>
      </c>
      <c r="F102" s="239">
        <v>0</v>
      </c>
      <c r="G102" s="238">
        <v>0</v>
      </c>
      <c r="H102" s="238">
        <v>0</v>
      </c>
      <c r="I102" s="239">
        <v>0</v>
      </c>
      <c r="J102" s="238">
        <v>0</v>
      </c>
      <c r="K102" s="239">
        <v>0</v>
      </c>
      <c r="L102" s="239">
        <v>0</v>
      </c>
      <c r="M102" s="238">
        <v>0</v>
      </c>
      <c r="N102" s="237">
        <v>29530.8125</v>
      </c>
      <c r="O102" s="156"/>
      <c r="P102" s="241"/>
      <c r="Q102" s="241"/>
      <c r="R102" s="241"/>
      <c r="S102" s="241"/>
      <c r="T102" s="171"/>
      <c r="U102" s="241"/>
      <c r="V102" s="242"/>
      <c r="W102" s="244"/>
      <c r="X102" s="244"/>
      <c r="Y102" s="244"/>
      <c r="Z102" s="244"/>
      <c r="AA102" s="244"/>
      <c r="AB102" s="244"/>
    </row>
    <row r="103" spans="1:33" s="147" customFormat="1" ht="12.5" thickTop="1" x14ac:dyDescent="0.3">
      <c r="A103" s="173" t="s">
        <v>780</v>
      </c>
      <c r="B103" s="203">
        <v>0</v>
      </c>
      <c r="C103" s="246">
        <v>0</v>
      </c>
      <c r="D103" s="246">
        <v>0</v>
      </c>
      <c r="E103" s="246">
        <v>0</v>
      </c>
      <c r="F103" s="246">
        <v>0</v>
      </c>
      <c r="G103" s="246">
        <v>0</v>
      </c>
      <c r="H103" s="246">
        <v>0</v>
      </c>
      <c r="I103" s="246">
        <v>0</v>
      </c>
      <c r="J103" s="246">
        <v>0</v>
      </c>
      <c r="K103" s="246">
        <v>0</v>
      </c>
      <c r="L103" s="246">
        <v>0</v>
      </c>
      <c r="M103" s="246">
        <v>0</v>
      </c>
      <c r="N103" s="246">
        <v>0</v>
      </c>
      <c r="O103" s="156"/>
      <c r="P103" s="241"/>
      <c r="Q103" s="241"/>
      <c r="R103" s="241"/>
      <c r="S103" s="241"/>
      <c r="T103" s="241"/>
      <c r="U103" s="241"/>
      <c r="V103" s="242"/>
      <c r="W103" s="244"/>
      <c r="X103" s="244"/>
      <c r="Y103" s="244"/>
      <c r="Z103" s="244"/>
      <c r="AA103" s="244"/>
      <c r="AB103" s="244"/>
      <c r="AC103" s="244"/>
      <c r="AD103" s="244"/>
      <c r="AE103" s="244"/>
      <c r="AF103" s="244"/>
      <c r="AG103" s="244"/>
    </row>
    <row r="104" spans="1:33" s="147" customFormat="1" ht="12" x14ac:dyDescent="0.3">
      <c r="A104" s="178" t="s">
        <v>781</v>
      </c>
      <c r="B104" s="203">
        <v>28829.193548387098</v>
      </c>
      <c r="C104" s="246">
        <v>30282.633333333299</v>
      </c>
      <c r="D104" s="246">
        <v>29262.666666666701</v>
      </c>
      <c r="E104" s="246">
        <v>0</v>
      </c>
      <c r="F104" s="246">
        <v>0</v>
      </c>
      <c r="G104" s="246">
        <v>0</v>
      </c>
      <c r="H104" s="246">
        <v>0</v>
      </c>
      <c r="I104" s="246">
        <v>0</v>
      </c>
      <c r="J104" s="246">
        <v>0</v>
      </c>
      <c r="K104" s="246">
        <v>0</v>
      </c>
      <c r="L104" s="246">
        <v>0</v>
      </c>
      <c r="M104" s="246">
        <v>0</v>
      </c>
      <c r="N104" s="203">
        <v>29530.8125</v>
      </c>
      <c r="O104" s="156"/>
      <c r="P104" s="241"/>
      <c r="Q104" s="241"/>
      <c r="R104" s="241"/>
      <c r="S104" s="241"/>
      <c r="T104" s="241"/>
      <c r="U104" s="241"/>
      <c r="V104" s="242"/>
      <c r="W104" s="244"/>
      <c r="X104" s="244"/>
      <c r="Y104" s="244"/>
      <c r="Z104" s="244"/>
      <c r="AA104" s="188"/>
      <c r="AB104" s="244"/>
      <c r="AF104" s="244"/>
      <c r="AG104" s="244"/>
    </row>
    <row r="105" spans="1:33" s="256" customFormat="1" ht="23.25" customHeight="1" x14ac:dyDescent="0.3">
      <c r="A105" s="205"/>
      <c r="B105" s="147"/>
      <c r="C105" s="147"/>
      <c r="D105" s="147"/>
      <c r="E105" s="147"/>
      <c r="F105" s="145"/>
      <c r="G105" s="145"/>
      <c r="H105" s="145"/>
      <c r="I105" s="145"/>
      <c r="J105" s="145"/>
      <c r="K105" s="145"/>
      <c r="L105" s="156"/>
      <c r="M105" s="156"/>
      <c r="N105" s="156"/>
      <c r="O105" s="156"/>
      <c r="P105" s="241"/>
      <c r="Q105" s="241"/>
      <c r="R105" s="241"/>
      <c r="S105" s="241"/>
      <c r="T105" s="241"/>
      <c r="U105" s="241"/>
      <c r="V105" s="242"/>
      <c r="W105" s="255"/>
      <c r="X105" s="255"/>
      <c r="Y105" s="255"/>
      <c r="Z105" s="255"/>
      <c r="AA105" s="255"/>
      <c r="AB105" s="255"/>
      <c r="AC105" s="255"/>
      <c r="AD105" s="255"/>
      <c r="AE105" s="255"/>
      <c r="AF105" s="255"/>
      <c r="AG105" s="255"/>
    </row>
    <row r="106" spans="1:33" s="147" customFormat="1" ht="12.75" customHeight="1" x14ac:dyDescent="0.3">
      <c r="A106" s="386" t="s">
        <v>831</v>
      </c>
      <c r="B106" s="351"/>
      <c r="C106" s="351"/>
      <c r="D106" s="351"/>
      <c r="E106" s="351"/>
      <c r="F106" s="351"/>
      <c r="G106" s="351"/>
      <c r="H106" s="351"/>
      <c r="I106" s="351"/>
      <c r="J106" s="351"/>
      <c r="K106" s="351"/>
      <c r="L106" s="351"/>
      <c r="M106" s="351"/>
      <c r="N106" s="351"/>
      <c r="O106" s="156"/>
      <c r="P106" s="156"/>
      <c r="Q106" s="241"/>
      <c r="R106" s="241"/>
      <c r="S106" s="217"/>
      <c r="T106" s="217"/>
      <c r="U106" s="217"/>
      <c r="V106" s="242"/>
      <c r="W106" s="244"/>
      <c r="X106" s="244"/>
      <c r="Y106" s="244"/>
      <c r="Z106" s="244"/>
      <c r="AA106" s="244"/>
    </row>
    <row r="107" spans="1:33" s="147" customFormat="1" ht="12.75" customHeight="1" x14ac:dyDescent="0.3">
      <c r="A107" s="162" t="s">
        <v>815</v>
      </c>
      <c r="B107" s="67" t="s">
        <v>796</v>
      </c>
      <c r="C107" s="67" t="s">
        <v>797</v>
      </c>
      <c r="D107" s="67" t="s">
        <v>798</v>
      </c>
      <c r="E107" s="67" t="s">
        <v>799</v>
      </c>
      <c r="F107" s="67" t="s">
        <v>800</v>
      </c>
      <c r="G107" s="67" t="s">
        <v>801</v>
      </c>
      <c r="H107" s="67" t="s">
        <v>802</v>
      </c>
      <c r="I107" s="67" t="s">
        <v>803</v>
      </c>
      <c r="J107" s="67" t="s">
        <v>804</v>
      </c>
      <c r="K107" s="67" t="s">
        <v>805</v>
      </c>
      <c r="L107" s="67" t="s">
        <v>806</v>
      </c>
      <c r="M107" s="67" t="s">
        <v>807</v>
      </c>
      <c r="N107" s="67" t="s">
        <v>825</v>
      </c>
      <c r="O107" s="156"/>
      <c r="P107" s="217"/>
      <c r="Q107" s="217"/>
      <c r="R107" s="217"/>
      <c r="S107" s="217"/>
      <c r="T107" s="217"/>
      <c r="U107" s="217"/>
      <c r="V107" s="235"/>
      <c r="W107" s="188"/>
      <c r="X107" s="188"/>
      <c r="Y107" s="188"/>
      <c r="Z107" s="188"/>
      <c r="AA107" s="188"/>
      <c r="AB107" s="188"/>
      <c r="AC107" s="188"/>
      <c r="AD107" s="188"/>
      <c r="AE107" s="188"/>
      <c r="AF107" s="188"/>
    </row>
    <row r="108" spans="1:33" s="145" customFormat="1" ht="14.25" customHeight="1" thickBot="1" x14ac:dyDescent="0.35">
      <c r="A108" s="167" t="s">
        <v>0</v>
      </c>
      <c r="B108" s="250">
        <v>39.973429811866801</v>
      </c>
      <c r="C108" s="251">
        <v>38.755095997236097</v>
      </c>
      <c r="D108" s="252">
        <v>39.147070707070696</v>
      </c>
      <c r="E108" s="251">
        <v>0</v>
      </c>
      <c r="F108" s="252">
        <v>0</v>
      </c>
      <c r="G108" s="251">
        <v>0</v>
      </c>
      <c r="H108" s="251">
        <v>0</v>
      </c>
      <c r="I108" s="252">
        <v>0</v>
      </c>
      <c r="J108" s="251">
        <v>0</v>
      </c>
      <c r="K108" s="252">
        <v>0</v>
      </c>
      <c r="L108" s="252">
        <v>0</v>
      </c>
      <c r="M108" s="251">
        <v>0</v>
      </c>
      <c r="N108" s="252">
        <v>39.3053660243433</v>
      </c>
      <c r="P108" s="210"/>
      <c r="Q108" s="210"/>
      <c r="R108" s="210"/>
      <c r="S108" s="210"/>
      <c r="T108" s="210"/>
      <c r="U108" s="210"/>
      <c r="V108" s="257"/>
      <c r="W108" s="210"/>
      <c r="X108" s="210"/>
      <c r="Y108" s="210"/>
      <c r="Z108" s="210"/>
      <c r="AA108" s="258"/>
      <c r="AB108" s="210"/>
    </row>
    <row r="109" spans="1:33" s="147" customFormat="1" ht="12.5" thickTop="1" x14ac:dyDescent="0.3">
      <c r="A109" s="173" t="s">
        <v>780</v>
      </c>
      <c r="B109" s="253">
        <v>0</v>
      </c>
      <c r="C109" s="254">
        <v>0</v>
      </c>
      <c r="D109" s="254">
        <v>0</v>
      </c>
      <c r="E109" s="254">
        <v>0</v>
      </c>
      <c r="F109" s="254">
        <v>0</v>
      </c>
      <c r="G109" s="254">
        <v>0</v>
      </c>
      <c r="H109" s="254">
        <v>0</v>
      </c>
      <c r="I109" s="254">
        <v>0</v>
      </c>
      <c r="J109" s="254">
        <v>0</v>
      </c>
      <c r="K109" s="254">
        <v>0</v>
      </c>
      <c r="L109" s="254">
        <v>0</v>
      </c>
      <c r="M109" s="254">
        <v>0</v>
      </c>
      <c r="N109" s="254">
        <v>0</v>
      </c>
      <c r="O109" s="156"/>
      <c r="P109" s="156"/>
      <c r="Q109" s="156"/>
      <c r="R109" s="156"/>
      <c r="S109" s="156"/>
      <c r="T109" s="156"/>
      <c r="U109" s="156"/>
      <c r="V109" s="259"/>
    </row>
    <row r="110" spans="1:33" s="147" customFormat="1" ht="12.75" customHeight="1" x14ac:dyDescent="0.3">
      <c r="A110" s="178" t="s">
        <v>781</v>
      </c>
      <c r="B110" s="253">
        <v>39.973429811866801</v>
      </c>
      <c r="C110" s="254">
        <v>38.755095997236097</v>
      </c>
      <c r="D110" s="254">
        <v>39.147070707070696</v>
      </c>
      <c r="E110" s="254">
        <v>0</v>
      </c>
      <c r="F110" s="254">
        <v>0</v>
      </c>
      <c r="G110" s="254">
        <v>0</v>
      </c>
      <c r="H110" s="254">
        <v>0</v>
      </c>
      <c r="I110" s="254">
        <v>0</v>
      </c>
      <c r="J110" s="254">
        <v>0</v>
      </c>
      <c r="K110" s="254">
        <v>0</v>
      </c>
      <c r="L110" s="254">
        <v>0</v>
      </c>
      <c r="M110" s="254">
        <v>0</v>
      </c>
      <c r="N110" s="254">
        <v>39.3053660243433</v>
      </c>
      <c r="O110" s="156"/>
      <c r="P110" s="156"/>
      <c r="Q110" s="156"/>
      <c r="R110" s="217"/>
      <c r="S110" s="217"/>
      <c r="T110" s="217"/>
      <c r="U110" s="217"/>
      <c r="V110" s="260"/>
      <c r="W110" s="188"/>
      <c r="X110" s="188"/>
      <c r="Y110" s="188"/>
      <c r="Z110" s="188"/>
      <c r="AA110" s="188"/>
      <c r="AB110" s="188"/>
      <c r="AC110" s="188"/>
    </row>
    <row r="111" spans="1:33" s="147" customFormat="1" ht="12.75" customHeight="1" x14ac:dyDescent="0.3">
      <c r="A111" s="180"/>
      <c r="B111" s="261"/>
      <c r="C111" s="261"/>
      <c r="D111" s="261"/>
      <c r="E111" s="261"/>
      <c r="F111" s="261"/>
      <c r="G111" s="261"/>
      <c r="H111" s="261"/>
      <c r="I111" s="261"/>
      <c r="J111" s="261"/>
      <c r="K111" s="261"/>
      <c r="L111" s="261"/>
      <c r="M111" s="261"/>
      <c r="N111" s="261"/>
      <c r="O111" s="156"/>
      <c r="P111" s="156"/>
      <c r="Q111" s="156"/>
      <c r="R111" s="156"/>
      <c r="S111" s="156"/>
      <c r="T111" s="156"/>
      <c r="U111" s="156"/>
      <c r="V111" s="259"/>
    </row>
    <row r="112" spans="1:33" s="147" customFormat="1" ht="12" x14ac:dyDescent="0.3">
      <c r="A112" s="386" t="s">
        <v>832</v>
      </c>
      <c r="B112" s="351"/>
      <c r="C112" s="351"/>
      <c r="D112" s="351"/>
      <c r="E112" s="351"/>
      <c r="F112" s="351"/>
      <c r="G112" s="351"/>
      <c r="H112" s="351"/>
      <c r="I112" s="351"/>
      <c r="J112" s="351"/>
      <c r="K112" s="351"/>
      <c r="L112" s="351"/>
      <c r="M112" s="351"/>
      <c r="N112" s="351"/>
      <c r="O112" s="156"/>
      <c r="P112" s="156"/>
      <c r="Q112" s="156"/>
      <c r="R112" s="217"/>
      <c r="S112" s="217"/>
      <c r="T112" s="217"/>
      <c r="U112" s="217"/>
      <c r="V112" s="260"/>
      <c r="W112" s="188"/>
      <c r="X112" s="188"/>
      <c r="Y112" s="188"/>
      <c r="Z112" s="188"/>
      <c r="AA112" s="188"/>
      <c r="AB112" s="188"/>
      <c r="AC112" s="188"/>
    </row>
    <row r="113" spans="1:29" s="147" customFormat="1" ht="12" x14ac:dyDescent="0.3">
      <c r="A113" s="162" t="s">
        <v>833</v>
      </c>
      <c r="B113" s="67" t="s">
        <v>796</v>
      </c>
      <c r="C113" s="67" t="s">
        <v>797</v>
      </c>
      <c r="D113" s="67" t="s">
        <v>798</v>
      </c>
      <c r="E113" s="67" t="s">
        <v>799</v>
      </c>
      <c r="F113" s="67" t="s">
        <v>800</v>
      </c>
      <c r="G113" s="67" t="s">
        <v>801</v>
      </c>
      <c r="H113" s="67" t="s">
        <v>802</v>
      </c>
      <c r="I113" s="67" t="s">
        <v>803</v>
      </c>
      <c r="J113" s="67" t="s">
        <v>804</v>
      </c>
      <c r="K113" s="67" t="s">
        <v>805</v>
      </c>
      <c r="L113" s="67" t="s">
        <v>806</v>
      </c>
      <c r="M113" s="67" t="s">
        <v>807</v>
      </c>
      <c r="N113" s="67" t="s">
        <v>825</v>
      </c>
      <c r="O113" s="156"/>
      <c r="P113" s="156"/>
      <c r="Q113" s="156"/>
      <c r="R113" s="217"/>
      <c r="S113" s="217"/>
      <c r="T113" s="217"/>
      <c r="U113" s="217"/>
      <c r="V113" s="260"/>
      <c r="W113" s="188"/>
      <c r="X113" s="188"/>
      <c r="Y113" s="188"/>
      <c r="Z113" s="188"/>
      <c r="AA113" s="188"/>
      <c r="AB113" s="188"/>
      <c r="AC113" s="188"/>
    </row>
    <row r="114" spans="1:29" ht="15" thickBot="1" x14ac:dyDescent="0.4">
      <c r="A114" s="167" t="s">
        <v>0</v>
      </c>
      <c r="B114" s="250">
        <v>39.973429811866801</v>
      </c>
      <c r="C114" s="251">
        <v>38.755095997236097</v>
      </c>
      <c r="D114" s="252">
        <v>39.147070707070696</v>
      </c>
      <c r="E114" s="251">
        <v>0</v>
      </c>
      <c r="F114" s="252">
        <v>0</v>
      </c>
      <c r="G114" s="251">
        <v>0</v>
      </c>
      <c r="H114" s="251">
        <v>0</v>
      </c>
      <c r="I114" s="252">
        <v>0</v>
      </c>
      <c r="J114" s="251">
        <v>0</v>
      </c>
      <c r="K114" s="252">
        <v>0</v>
      </c>
      <c r="L114" s="252">
        <v>0</v>
      </c>
      <c r="M114" s="251">
        <v>0</v>
      </c>
      <c r="N114" s="252">
        <v>39.3053660243433</v>
      </c>
      <c r="V114" s="259"/>
    </row>
    <row r="115" spans="1:29" ht="15" thickTop="1" x14ac:dyDescent="0.35">
      <c r="A115" s="173" t="s">
        <v>62</v>
      </c>
      <c r="B115" s="253">
        <v>43.255181001512</v>
      </c>
      <c r="C115" s="254">
        <v>40.674976717529901</v>
      </c>
      <c r="D115" s="254">
        <v>39.338052095130202</v>
      </c>
      <c r="E115" s="254">
        <v>0</v>
      </c>
      <c r="F115" s="254">
        <v>0</v>
      </c>
      <c r="G115" s="254">
        <v>0</v>
      </c>
      <c r="H115" s="254">
        <v>0</v>
      </c>
      <c r="I115" s="254">
        <v>0</v>
      </c>
      <c r="J115" s="254">
        <v>0</v>
      </c>
      <c r="K115" s="254">
        <v>0</v>
      </c>
      <c r="L115" s="254">
        <v>0</v>
      </c>
      <c r="M115" s="254">
        <v>0</v>
      </c>
      <c r="N115" s="254">
        <v>41.663119252447302</v>
      </c>
      <c r="V115" s="259"/>
    </row>
    <row r="116" spans="1:29" x14ac:dyDescent="0.35">
      <c r="A116" s="178" t="s">
        <v>78</v>
      </c>
      <c r="B116" s="253">
        <v>33.856598143236099</v>
      </c>
      <c r="C116" s="254">
        <v>34.502538876547099</v>
      </c>
      <c r="D116" s="254">
        <v>38.671368124118501</v>
      </c>
      <c r="E116" s="254">
        <v>0</v>
      </c>
      <c r="F116" s="254">
        <v>0</v>
      </c>
      <c r="G116" s="254">
        <v>0</v>
      </c>
      <c r="H116" s="254">
        <v>0</v>
      </c>
      <c r="I116" s="254">
        <v>0</v>
      </c>
      <c r="J116" s="254">
        <v>0</v>
      </c>
      <c r="K116" s="254">
        <v>0</v>
      </c>
      <c r="L116" s="254">
        <v>0</v>
      </c>
      <c r="M116" s="254">
        <v>0</v>
      </c>
      <c r="N116" s="254">
        <v>34.430422448823101</v>
      </c>
      <c r="O116" s="262"/>
      <c r="V116" s="259"/>
    </row>
    <row r="117" spans="1:29" x14ac:dyDescent="0.35">
      <c r="A117" s="181"/>
      <c r="B117" s="261"/>
      <c r="C117" s="261"/>
      <c r="D117" s="261"/>
      <c r="E117" s="261"/>
      <c r="F117" s="261"/>
      <c r="G117" s="261"/>
      <c r="H117" s="261"/>
      <c r="I117" s="261"/>
      <c r="J117" s="261"/>
      <c r="K117" s="263"/>
      <c r="L117" s="261"/>
      <c r="M117" s="261"/>
      <c r="N117" s="264"/>
      <c r="O117" s="262"/>
      <c r="V117" s="259"/>
    </row>
    <row r="118" spans="1:29" x14ac:dyDescent="0.35">
      <c r="A118" s="265" t="s">
        <v>834</v>
      </c>
      <c r="B118" s="261"/>
      <c r="C118" s="261"/>
      <c r="D118" s="261"/>
      <c r="E118" s="261"/>
      <c r="F118" s="261"/>
      <c r="G118" s="261"/>
      <c r="H118" s="261"/>
      <c r="I118" s="261"/>
      <c r="J118" s="261"/>
      <c r="K118" s="263"/>
      <c r="L118" s="261"/>
      <c r="M118" s="261"/>
      <c r="N118" s="264"/>
      <c r="O118" s="262"/>
      <c r="V118" s="259"/>
    </row>
    <row r="119" spans="1:29" x14ac:dyDescent="0.35">
      <c r="A119" s="162" t="s">
        <v>835</v>
      </c>
      <c r="B119" s="266" t="s">
        <v>796</v>
      </c>
      <c r="C119" s="266" t="s">
        <v>797</v>
      </c>
      <c r="D119" s="266" t="s">
        <v>798</v>
      </c>
      <c r="E119" s="266" t="s">
        <v>799</v>
      </c>
      <c r="F119" s="266" t="s">
        <v>800</v>
      </c>
      <c r="G119" s="266" t="s">
        <v>801</v>
      </c>
      <c r="H119" s="266" t="s">
        <v>802</v>
      </c>
      <c r="I119" s="266" t="s">
        <v>803</v>
      </c>
      <c r="J119" s="266" t="s">
        <v>804</v>
      </c>
      <c r="K119" s="266" t="s">
        <v>805</v>
      </c>
      <c r="L119" s="266" t="s">
        <v>806</v>
      </c>
      <c r="M119" s="266" t="s">
        <v>807</v>
      </c>
      <c r="N119" s="266" t="s">
        <v>825</v>
      </c>
      <c r="O119" s="262"/>
      <c r="V119" s="259"/>
      <c r="W119" s="147"/>
    </row>
    <row r="120" spans="1:29" x14ac:dyDescent="0.35">
      <c r="A120" s="267" t="s">
        <v>785</v>
      </c>
      <c r="B120" s="203">
        <v>347</v>
      </c>
      <c r="C120" s="246">
        <v>302</v>
      </c>
      <c r="D120" s="246">
        <v>16</v>
      </c>
      <c r="E120" s="246">
        <v>0</v>
      </c>
      <c r="F120" s="246">
        <v>0</v>
      </c>
      <c r="G120" s="246">
        <v>0</v>
      </c>
      <c r="H120" s="246">
        <v>0</v>
      </c>
      <c r="I120" s="246">
        <v>0</v>
      </c>
      <c r="J120" s="246">
        <v>0</v>
      </c>
      <c r="K120" s="246">
        <v>0</v>
      </c>
      <c r="L120" s="246">
        <v>0</v>
      </c>
      <c r="M120" s="246">
        <v>0</v>
      </c>
      <c r="N120" s="246">
        <f>SUM(B120:M120)</f>
        <v>665</v>
      </c>
      <c r="O120" s="262"/>
      <c r="V120" s="259"/>
      <c r="W120" s="147"/>
    </row>
    <row r="121" spans="1:29" x14ac:dyDescent="0.35">
      <c r="A121" s="267" t="s">
        <v>836</v>
      </c>
      <c r="B121" s="203">
        <v>475</v>
      </c>
      <c r="C121" s="246">
        <v>215</v>
      </c>
      <c r="D121" s="246">
        <v>233</v>
      </c>
      <c r="E121" s="246">
        <v>178</v>
      </c>
      <c r="F121" s="246">
        <v>317</v>
      </c>
      <c r="G121" s="246">
        <v>277</v>
      </c>
      <c r="H121" s="246">
        <v>84</v>
      </c>
      <c r="I121" s="246">
        <v>66</v>
      </c>
      <c r="J121" s="246">
        <v>123</v>
      </c>
      <c r="K121" s="246">
        <v>193</v>
      </c>
      <c r="L121" s="246">
        <v>155</v>
      </c>
      <c r="M121" s="246">
        <v>202</v>
      </c>
      <c r="N121" s="246">
        <f>SUM(B121:M121)</f>
        <v>2518</v>
      </c>
      <c r="O121" s="262"/>
      <c r="V121" s="259"/>
      <c r="W121" s="147"/>
    </row>
    <row r="122" spans="1:29" x14ac:dyDescent="0.35">
      <c r="A122" s="268" t="s">
        <v>837</v>
      </c>
      <c r="B122" s="203">
        <v>26</v>
      </c>
      <c r="C122" s="246">
        <v>26</v>
      </c>
      <c r="D122" s="246">
        <v>85</v>
      </c>
      <c r="E122" s="246">
        <v>91</v>
      </c>
      <c r="F122" s="246">
        <v>64</v>
      </c>
      <c r="G122" s="246">
        <v>44</v>
      </c>
      <c r="H122" s="246">
        <v>110</v>
      </c>
      <c r="I122" s="246">
        <v>116</v>
      </c>
      <c r="J122" s="246">
        <v>165</v>
      </c>
      <c r="K122" s="246">
        <v>1040</v>
      </c>
      <c r="L122" s="246">
        <v>897</v>
      </c>
      <c r="M122" s="246">
        <v>519</v>
      </c>
      <c r="N122" s="246">
        <f>SUM(B122:M122)</f>
        <v>3183</v>
      </c>
      <c r="O122" s="262"/>
      <c r="V122" s="259"/>
      <c r="W122" s="147"/>
    </row>
    <row r="123" spans="1:29" x14ac:dyDescent="0.35">
      <c r="A123" s="269"/>
      <c r="B123" s="181"/>
      <c r="C123" s="270"/>
      <c r="D123" s="270"/>
      <c r="E123" s="270"/>
      <c r="F123" s="270"/>
      <c r="G123" s="270"/>
      <c r="H123" s="270"/>
      <c r="I123" s="270"/>
      <c r="J123" s="270"/>
      <c r="K123" s="270"/>
      <c r="L123" s="263"/>
      <c r="M123" s="270"/>
      <c r="N123" s="270"/>
      <c r="O123" s="262"/>
      <c r="P123" s="262"/>
      <c r="V123" s="259"/>
      <c r="W123" s="147"/>
    </row>
    <row r="124" spans="1:29" x14ac:dyDescent="0.35">
      <c r="A124" s="265" t="s">
        <v>838</v>
      </c>
      <c r="B124" s="261"/>
      <c r="C124" s="261"/>
      <c r="D124" s="261"/>
      <c r="E124" s="261"/>
      <c r="F124" s="261"/>
      <c r="G124" s="261"/>
      <c r="H124" s="261"/>
      <c r="I124" s="261"/>
      <c r="J124" s="261"/>
      <c r="K124" s="263"/>
      <c r="L124" s="261"/>
      <c r="M124" s="261"/>
      <c r="N124" s="264"/>
      <c r="O124" s="262"/>
      <c r="V124" s="259"/>
    </row>
    <row r="125" spans="1:29" x14ac:dyDescent="0.35">
      <c r="A125" s="162" t="s">
        <v>835</v>
      </c>
      <c r="B125" s="162" t="s">
        <v>839</v>
      </c>
      <c r="C125" s="266" t="s">
        <v>796</v>
      </c>
      <c r="D125" s="266" t="s">
        <v>797</v>
      </c>
      <c r="E125" s="266" t="s">
        <v>798</v>
      </c>
      <c r="F125" s="266" t="s">
        <v>799</v>
      </c>
      <c r="G125" s="266" t="s">
        <v>800</v>
      </c>
      <c r="H125" s="266" t="s">
        <v>801</v>
      </c>
      <c r="I125" s="266" t="s">
        <v>802</v>
      </c>
      <c r="J125" s="266" t="s">
        <v>803</v>
      </c>
      <c r="K125" s="266" t="s">
        <v>804</v>
      </c>
      <c r="L125" s="266" t="s">
        <v>805</v>
      </c>
      <c r="M125" s="266" t="s">
        <v>806</v>
      </c>
      <c r="N125" s="266" t="s">
        <v>807</v>
      </c>
      <c r="O125" s="266" t="s">
        <v>825</v>
      </c>
      <c r="P125" s="262"/>
      <c r="V125" s="259"/>
    </row>
    <row r="126" spans="1:29" x14ac:dyDescent="0.35">
      <c r="A126" s="384" t="s">
        <v>785</v>
      </c>
      <c r="B126" s="68" t="s">
        <v>840</v>
      </c>
      <c r="C126" s="203">
        <v>273</v>
      </c>
      <c r="D126" s="246">
        <v>251</v>
      </c>
      <c r="E126" s="246">
        <v>18</v>
      </c>
      <c r="F126" s="246">
        <v>0</v>
      </c>
      <c r="G126" s="246">
        <v>0</v>
      </c>
      <c r="H126" s="246">
        <v>0</v>
      </c>
      <c r="I126" s="246">
        <v>0</v>
      </c>
      <c r="J126" s="246">
        <v>0</v>
      </c>
      <c r="K126" s="246">
        <v>0</v>
      </c>
      <c r="L126" s="246">
        <v>0</v>
      </c>
      <c r="M126" s="246">
        <v>0</v>
      </c>
      <c r="N126" s="246">
        <v>0</v>
      </c>
      <c r="O126" s="271">
        <f>SUM(C126:N126)</f>
        <v>542</v>
      </c>
      <c r="P126" s="262"/>
      <c r="V126" s="259"/>
    </row>
    <row r="127" spans="1:29" x14ac:dyDescent="0.35">
      <c r="A127" s="385"/>
      <c r="B127" s="68" t="s">
        <v>841</v>
      </c>
      <c r="C127" s="203">
        <v>46</v>
      </c>
      <c r="D127" s="246">
        <v>14</v>
      </c>
      <c r="E127" s="246">
        <v>2</v>
      </c>
      <c r="F127" s="246">
        <v>0</v>
      </c>
      <c r="G127" s="246">
        <v>0</v>
      </c>
      <c r="H127" s="246">
        <v>0</v>
      </c>
      <c r="I127" s="246">
        <v>0</v>
      </c>
      <c r="J127" s="246">
        <v>0</v>
      </c>
      <c r="K127" s="246">
        <v>0</v>
      </c>
      <c r="L127" s="246">
        <v>0</v>
      </c>
      <c r="M127" s="246">
        <v>0</v>
      </c>
      <c r="N127" s="246">
        <v>0</v>
      </c>
      <c r="O127" s="271">
        <f t="shared" ref="O127" si="9">SUM(C127:N127)</f>
        <v>62</v>
      </c>
      <c r="P127" s="262"/>
      <c r="V127" s="259"/>
    </row>
    <row r="128" spans="1:29" x14ac:dyDescent="0.35">
      <c r="A128" s="384" t="s">
        <v>836</v>
      </c>
      <c r="B128" s="68" t="s">
        <v>840</v>
      </c>
      <c r="C128" s="203">
        <v>390</v>
      </c>
      <c r="D128" s="246">
        <v>207</v>
      </c>
      <c r="E128" s="246">
        <v>211</v>
      </c>
      <c r="F128" s="246">
        <v>129</v>
      </c>
      <c r="G128" s="246">
        <v>266</v>
      </c>
      <c r="H128" s="246">
        <v>237</v>
      </c>
      <c r="I128" s="246">
        <v>56</v>
      </c>
      <c r="J128" s="246">
        <v>46</v>
      </c>
      <c r="K128" s="246">
        <v>101</v>
      </c>
      <c r="L128" s="246">
        <v>185</v>
      </c>
      <c r="M128" s="246">
        <v>131</v>
      </c>
      <c r="N128" s="246">
        <v>140</v>
      </c>
      <c r="O128" s="271">
        <f>SUM(C128:N128)</f>
        <v>2099</v>
      </c>
      <c r="P128" s="262"/>
      <c r="V128" s="259"/>
    </row>
    <row r="129" spans="1:22" x14ac:dyDescent="0.35">
      <c r="A129" s="385"/>
      <c r="B129" s="68" t="s">
        <v>841</v>
      </c>
      <c r="C129" s="203">
        <v>4</v>
      </c>
      <c r="D129" s="246">
        <v>10</v>
      </c>
      <c r="E129" s="246">
        <v>2</v>
      </c>
      <c r="F129" s="246">
        <v>11</v>
      </c>
      <c r="G129" s="246">
        <v>22</v>
      </c>
      <c r="H129" s="246">
        <v>11</v>
      </c>
      <c r="I129" s="246">
        <v>20</v>
      </c>
      <c r="J129" s="246">
        <v>14</v>
      </c>
      <c r="K129" s="246">
        <v>8</v>
      </c>
      <c r="L129" s="246">
        <v>8</v>
      </c>
      <c r="M129" s="246">
        <v>20</v>
      </c>
      <c r="N129" s="246">
        <v>49</v>
      </c>
      <c r="O129" s="271">
        <f t="shared" ref="O129:O131" si="10">SUM(C129:N129)</f>
        <v>179</v>
      </c>
      <c r="P129" s="262"/>
      <c r="V129" s="259"/>
    </row>
    <row r="130" spans="1:22" x14ac:dyDescent="0.35">
      <c r="A130" s="384" t="s">
        <v>837</v>
      </c>
      <c r="B130" s="68" t="s">
        <v>840</v>
      </c>
      <c r="C130" s="203">
        <v>21</v>
      </c>
      <c r="D130" s="246">
        <v>13</v>
      </c>
      <c r="E130" s="246">
        <v>71</v>
      </c>
      <c r="F130" s="246">
        <v>69</v>
      </c>
      <c r="G130" s="246">
        <v>53</v>
      </c>
      <c r="H130" s="246">
        <v>15</v>
      </c>
      <c r="I130" s="246">
        <v>23</v>
      </c>
      <c r="J130" s="246">
        <v>49</v>
      </c>
      <c r="K130" s="246">
        <v>48</v>
      </c>
      <c r="L130" s="246">
        <v>973</v>
      </c>
      <c r="M130" s="246">
        <v>903</v>
      </c>
      <c r="N130" s="246">
        <v>476</v>
      </c>
      <c r="O130" s="271">
        <f t="shared" si="10"/>
        <v>2714</v>
      </c>
      <c r="P130" s="262"/>
      <c r="V130" s="259"/>
    </row>
    <row r="131" spans="1:22" x14ac:dyDescent="0.35">
      <c r="A131" s="385"/>
      <c r="B131" s="68" t="s">
        <v>841</v>
      </c>
      <c r="C131" s="203">
        <v>1</v>
      </c>
      <c r="D131" s="246">
        <v>3</v>
      </c>
      <c r="E131" s="246">
        <v>15</v>
      </c>
      <c r="F131" s="246">
        <v>9</v>
      </c>
      <c r="G131" s="246">
        <v>5</v>
      </c>
      <c r="H131" s="246">
        <v>17</v>
      </c>
      <c r="I131" s="246">
        <v>39</v>
      </c>
      <c r="J131" s="246">
        <v>42</v>
      </c>
      <c r="K131" s="246">
        <v>38</v>
      </c>
      <c r="L131" s="246">
        <v>44</v>
      </c>
      <c r="M131" s="246">
        <v>19</v>
      </c>
      <c r="N131" s="246">
        <v>13</v>
      </c>
      <c r="O131" s="271">
        <f t="shared" si="10"/>
        <v>245</v>
      </c>
      <c r="P131" s="262"/>
      <c r="V131" s="259"/>
    </row>
    <row r="132" spans="1:22" x14ac:dyDescent="0.35">
      <c r="B132" s="262"/>
      <c r="C132" s="262"/>
      <c r="D132" s="262"/>
      <c r="E132" s="262"/>
      <c r="F132" s="262"/>
      <c r="G132" s="262"/>
      <c r="H132" s="262"/>
      <c r="I132" s="262"/>
      <c r="J132" s="262"/>
      <c r="K132" s="262"/>
      <c r="L132" s="262"/>
      <c r="M132" s="262"/>
      <c r="V132" s="259"/>
    </row>
    <row r="133" spans="1:22" ht="15" thickBot="1" x14ac:dyDescent="0.4">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3"/>
    </row>
    <row r="134" spans="1:22" x14ac:dyDescent="0.35">
      <c r="B134" s="274"/>
      <c r="C134" s="274"/>
      <c r="D134" s="274"/>
      <c r="E134" s="274"/>
      <c r="F134" s="274"/>
      <c r="G134" s="274"/>
      <c r="H134" s="274"/>
      <c r="I134" s="274"/>
      <c r="J134" s="274"/>
      <c r="K134" s="274"/>
      <c r="L134" s="274"/>
      <c r="M134" s="274"/>
      <c r="P134" s="274"/>
    </row>
    <row r="135" spans="1:22" x14ac:dyDescent="0.35">
      <c r="A135" s="383"/>
      <c r="B135" s="383"/>
      <c r="C135" s="383"/>
      <c r="D135" s="383"/>
      <c r="E135" s="383"/>
      <c r="F135" s="383"/>
      <c r="G135" s="383"/>
      <c r="H135" s="383"/>
      <c r="I135" s="383"/>
      <c r="J135" s="383"/>
      <c r="K135" s="383"/>
      <c r="L135" s="383"/>
      <c r="M135" s="383"/>
      <c r="N135" s="383"/>
    </row>
    <row r="136" spans="1:22" x14ac:dyDescent="0.35">
      <c r="A136" s="275"/>
      <c r="B136" s="275"/>
      <c r="C136" s="276"/>
      <c r="D136" s="274"/>
      <c r="E136" s="274"/>
      <c r="F136" s="274"/>
      <c r="G136" s="274"/>
      <c r="H136" s="274"/>
      <c r="I136" s="274"/>
      <c r="J136" s="274"/>
      <c r="K136" s="274"/>
      <c r="L136" s="274"/>
      <c r="M136" s="262"/>
      <c r="P136" s="274"/>
    </row>
    <row r="137" spans="1:22" x14ac:dyDescent="0.35">
      <c r="A137" s="277"/>
      <c r="B137" s="277"/>
      <c r="C137" s="277"/>
      <c r="D137" s="274"/>
      <c r="E137" s="274"/>
      <c r="F137" s="274"/>
      <c r="G137" s="274"/>
      <c r="H137" s="262"/>
      <c r="I137" s="262"/>
    </row>
    <row r="138" spans="1:22" x14ac:dyDescent="0.35">
      <c r="A138" s="277"/>
      <c r="B138" s="277"/>
      <c r="C138" s="277"/>
      <c r="D138" s="262"/>
      <c r="E138" s="274"/>
      <c r="F138" s="262"/>
    </row>
    <row r="139" spans="1:22" x14ac:dyDescent="0.35">
      <c r="A139" s="277"/>
      <c r="B139" s="277"/>
      <c r="C139" s="277"/>
    </row>
    <row r="140" spans="1:22" x14ac:dyDescent="0.35">
      <c r="A140" s="277"/>
      <c r="B140" s="277"/>
      <c r="C140" s="277"/>
    </row>
  </sheetData>
  <mergeCells count="46">
    <mergeCell ref="A128:A129"/>
    <mergeCell ref="A130:A131"/>
    <mergeCell ref="A135:N135"/>
    <mergeCell ref="A83:N83"/>
    <mergeCell ref="A98:V98"/>
    <mergeCell ref="A100:N100"/>
    <mergeCell ref="A106:N106"/>
    <mergeCell ref="A112:N112"/>
    <mergeCell ref="A126:A127"/>
    <mergeCell ref="M10:N10"/>
    <mergeCell ref="G11:H11"/>
    <mergeCell ref="M11:N11"/>
    <mergeCell ref="M12:N12"/>
    <mergeCell ref="A81:V81"/>
    <mergeCell ref="H28:I28"/>
    <mergeCell ref="N28:O28"/>
    <mergeCell ref="H29:I29"/>
    <mergeCell ref="N29:O29"/>
    <mergeCell ref="H30:I30"/>
    <mergeCell ref="N30:O30"/>
    <mergeCell ref="H31:I31"/>
    <mergeCell ref="A33:V33"/>
    <mergeCell ref="A36:E36"/>
    <mergeCell ref="A64:V64"/>
    <mergeCell ref="A66:N66"/>
    <mergeCell ref="M2:P2"/>
    <mergeCell ref="A18:F18"/>
    <mergeCell ref="I18:V18"/>
    <mergeCell ref="A25:V25"/>
    <mergeCell ref="A27:E27"/>
    <mergeCell ref="H27:L27"/>
    <mergeCell ref="N27:R27"/>
    <mergeCell ref="A16:V16"/>
    <mergeCell ref="A4:V4"/>
    <mergeCell ref="A6:V6"/>
    <mergeCell ref="A8:D8"/>
    <mergeCell ref="G8:K8"/>
    <mergeCell ref="M8:Q8"/>
    <mergeCell ref="G9:H9"/>
    <mergeCell ref="M9:N9"/>
    <mergeCell ref="G10:H10"/>
    <mergeCell ref="A3:D3"/>
    <mergeCell ref="A1:D1"/>
    <mergeCell ref="A2:D2"/>
    <mergeCell ref="E2:H2"/>
    <mergeCell ref="I2:L2"/>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C7D28-4B71-45F2-9B5F-03B5D7C36AA3}">
  <dimension ref="A1:BJ55"/>
  <sheetViews>
    <sheetView showGridLines="0" zoomScale="80" zoomScaleNormal="80" workbookViewId="0"/>
  </sheetViews>
  <sheetFormatPr defaultColWidth="9.1796875" defaultRowHeight="15.5" x14ac:dyDescent="0.35"/>
  <cols>
    <col min="1" max="1" width="71.1796875" style="134" customWidth="1"/>
    <col min="2" max="2" width="7.453125" style="134" bestFit="1" customWidth="1"/>
    <col min="3" max="4" width="7.81640625" style="134" bestFit="1" customWidth="1"/>
    <col min="5" max="5" width="7.453125" style="134" bestFit="1" customWidth="1"/>
    <col min="6" max="6" width="8.1796875" style="134" bestFit="1" customWidth="1"/>
    <col min="7" max="9" width="7.81640625" style="134" bestFit="1" customWidth="1"/>
    <col min="10" max="12" width="7.453125" style="134" bestFit="1" customWidth="1"/>
    <col min="13" max="15" width="7.81640625" style="134" bestFit="1" customWidth="1"/>
    <col min="16" max="16" width="8.453125" style="134" customWidth="1"/>
    <col min="17" max="17" width="8.54296875" style="134" customWidth="1"/>
    <col min="18" max="18" width="7.453125" style="134" customWidth="1"/>
    <col min="19" max="19" width="8.1796875" style="134" customWidth="1"/>
    <col min="20" max="22" width="7.81640625" style="134" bestFit="1" customWidth="1"/>
    <col min="23" max="25" width="8.1796875" style="134" bestFit="1" customWidth="1"/>
    <col min="26" max="26" width="7.81640625" style="134" bestFit="1" customWidth="1"/>
    <col min="27" max="28" width="8.1796875" style="134" bestFit="1" customWidth="1"/>
    <col min="29" max="55" width="9.1796875" style="134"/>
    <col min="56" max="56" width="9.81640625" style="134" customWidth="1"/>
    <col min="57" max="16384" width="9.1796875" style="134"/>
  </cols>
  <sheetData>
    <row r="1" spans="1:61" x14ac:dyDescent="0.35">
      <c r="A1" s="278" t="s">
        <v>842</v>
      </c>
      <c r="B1" s="278"/>
      <c r="C1" s="278"/>
      <c r="D1" s="278"/>
      <c r="E1" s="278"/>
      <c r="F1" s="278"/>
      <c r="G1" s="278"/>
      <c r="H1" s="278"/>
      <c r="I1" s="278"/>
      <c r="J1" s="278"/>
      <c r="K1" s="278"/>
      <c r="L1" s="278"/>
      <c r="M1" s="278"/>
      <c r="N1" s="278"/>
      <c r="O1" s="278"/>
      <c r="P1" s="278"/>
      <c r="Q1" s="278"/>
      <c r="R1" s="278"/>
      <c r="S1" s="278"/>
      <c r="T1" s="278"/>
      <c r="U1" s="278"/>
      <c r="V1" s="278"/>
      <c r="W1" s="278"/>
      <c r="X1" s="278"/>
      <c r="Y1" s="278"/>
      <c r="Z1" s="278"/>
      <c r="AA1" s="278"/>
    </row>
    <row r="2" spans="1:61" x14ac:dyDescent="0.35">
      <c r="A2" s="278"/>
    </row>
    <row r="3" spans="1:61" x14ac:dyDescent="0.35">
      <c r="A3" s="278"/>
    </row>
    <row r="4" spans="1:61" x14ac:dyDescent="0.35">
      <c r="A4" s="389" t="s">
        <v>843</v>
      </c>
      <c r="B4" s="279">
        <v>2020</v>
      </c>
      <c r="C4" s="280"/>
      <c r="D4" s="280"/>
      <c r="E4" s="280"/>
      <c r="F4" s="280"/>
      <c r="G4" s="280"/>
      <c r="H4" s="280"/>
      <c r="I4" s="280"/>
      <c r="J4" s="280"/>
      <c r="K4" s="280"/>
      <c r="L4" s="280"/>
      <c r="M4" s="281"/>
      <c r="N4" s="282">
        <v>2021</v>
      </c>
      <c r="O4" s="283"/>
      <c r="P4" s="283"/>
      <c r="Q4" s="283"/>
      <c r="R4" s="283"/>
      <c r="S4" s="283"/>
      <c r="T4" s="283"/>
      <c r="U4" s="283"/>
      <c r="V4" s="283"/>
      <c r="W4" s="283"/>
      <c r="X4" s="283"/>
      <c r="Y4" s="283"/>
      <c r="Z4" s="283"/>
      <c r="AA4" s="283"/>
      <c r="AB4" s="283"/>
      <c r="AC4" s="283"/>
      <c r="AD4" s="283"/>
      <c r="AE4" s="283"/>
      <c r="AF4" s="283"/>
      <c r="AG4" s="283"/>
      <c r="AH4" s="283"/>
      <c r="AI4" s="283"/>
      <c r="AJ4" s="283"/>
      <c r="AK4" s="284"/>
      <c r="AL4" s="285">
        <v>2022</v>
      </c>
      <c r="AM4" s="286"/>
      <c r="AN4" s="286"/>
      <c r="AO4" s="286"/>
      <c r="AP4" s="286"/>
      <c r="AQ4" s="286"/>
      <c r="AR4" s="286"/>
      <c r="AS4" s="286"/>
      <c r="AT4" s="286"/>
      <c r="AU4" s="286"/>
      <c r="AV4" s="286"/>
      <c r="AW4" s="286"/>
      <c r="AX4" s="286"/>
      <c r="AY4" s="286"/>
      <c r="AZ4" s="286"/>
      <c r="BA4" s="286"/>
      <c r="BB4" s="286"/>
      <c r="BC4" s="286"/>
      <c r="BD4" s="287">
        <v>2023</v>
      </c>
      <c r="BE4" s="288"/>
      <c r="BF4" s="288"/>
      <c r="BG4" s="289"/>
    </row>
    <row r="5" spans="1:61" x14ac:dyDescent="0.35">
      <c r="A5" s="389"/>
      <c r="B5" s="390" t="s">
        <v>844</v>
      </c>
      <c r="C5" s="391"/>
      <c r="D5" s="390" t="s">
        <v>845</v>
      </c>
      <c r="E5" s="391"/>
      <c r="F5" s="390" t="s">
        <v>846</v>
      </c>
      <c r="G5" s="391"/>
      <c r="H5" s="390" t="s">
        <v>847</v>
      </c>
      <c r="I5" s="391"/>
      <c r="J5" s="390" t="s">
        <v>848</v>
      </c>
      <c r="K5" s="391"/>
      <c r="L5" s="390" t="s">
        <v>849</v>
      </c>
      <c r="M5" s="391"/>
      <c r="N5" s="387" t="s">
        <v>850</v>
      </c>
      <c r="O5" s="388"/>
      <c r="P5" s="387" t="s">
        <v>851</v>
      </c>
      <c r="Q5" s="388"/>
      <c r="R5" s="387" t="s">
        <v>852</v>
      </c>
      <c r="S5" s="388"/>
      <c r="T5" s="387" t="s">
        <v>853</v>
      </c>
      <c r="U5" s="388"/>
      <c r="V5" s="387" t="s">
        <v>803</v>
      </c>
      <c r="W5" s="388"/>
      <c r="X5" s="387" t="s">
        <v>854</v>
      </c>
      <c r="Y5" s="388"/>
      <c r="Z5" s="387" t="s">
        <v>844</v>
      </c>
      <c r="AA5" s="388"/>
      <c r="AB5" s="387" t="s">
        <v>845</v>
      </c>
      <c r="AC5" s="388"/>
      <c r="AD5" s="387" t="s">
        <v>846</v>
      </c>
      <c r="AE5" s="388"/>
      <c r="AF5" s="387" t="s">
        <v>847</v>
      </c>
      <c r="AG5" s="388"/>
      <c r="AH5" s="387" t="s">
        <v>848</v>
      </c>
      <c r="AI5" s="388"/>
      <c r="AJ5" s="387" t="s">
        <v>849</v>
      </c>
      <c r="AK5" s="388"/>
      <c r="AL5" s="394" t="s">
        <v>850</v>
      </c>
      <c r="AM5" s="395"/>
      <c r="AN5" s="394" t="s">
        <v>851</v>
      </c>
      <c r="AO5" s="395"/>
      <c r="AP5" s="394" t="s">
        <v>852</v>
      </c>
      <c r="AQ5" s="395"/>
      <c r="AR5" s="394" t="s">
        <v>853</v>
      </c>
      <c r="AS5" s="395"/>
      <c r="AT5" s="394" t="s">
        <v>803</v>
      </c>
      <c r="AU5" s="395"/>
      <c r="AV5" s="394" t="s">
        <v>854</v>
      </c>
      <c r="AW5" s="395"/>
      <c r="AX5" s="394" t="s">
        <v>844</v>
      </c>
      <c r="AY5" s="395"/>
      <c r="AZ5" s="394" t="s">
        <v>845</v>
      </c>
      <c r="BA5" s="395"/>
      <c r="BB5" s="394" t="s">
        <v>846</v>
      </c>
      <c r="BC5" s="395"/>
      <c r="BD5" s="392" t="s">
        <v>847</v>
      </c>
      <c r="BE5" s="393"/>
      <c r="BF5" s="392" t="s">
        <v>848</v>
      </c>
      <c r="BG5" s="393"/>
      <c r="BH5" s="290"/>
      <c r="BI5" s="290"/>
    </row>
    <row r="6" spans="1:61" x14ac:dyDescent="0.35">
      <c r="A6" s="389"/>
      <c r="B6" s="291" t="s">
        <v>855</v>
      </c>
      <c r="C6" s="291" t="s">
        <v>856</v>
      </c>
      <c r="D6" s="291" t="s">
        <v>855</v>
      </c>
      <c r="E6" s="291" t="s">
        <v>856</v>
      </c>
      <c r="F6" s="291" t="s">
        <v>855</v>
      </c>
      <c r="G6" s="291" t="s">
        <v>856</v>
      </c>
      <c r="H6" s="291" t="s">
        <v>855</v>
      </c>
      <c r="I6" s="291" t="s">
        <v>856</v>
      </c>
      <c r="J6" s="291" t="s">
        <v>855</v>
      </c>
      <c r="K6" s="291" t="s">
        <v>856</v>
      </c>
      <c r="L6" s="291" t="s">
        <v>855</v>
      </c>
      <c r="M6" s="291" t="s">
        <v>856</v>
      </c>
      <c r="N6" s="292" t="s">
        <v>855</v>
      </c>
      <c r="O6" s="292" t="s">
        <v>856</v>
      </c>
      <c r="P6" s="292" t="s">
        <v>855</v>
      </c>
      <c r="Q6" s="292" t="s">
        <v>856</v>
      </c>
      <c r="R6" s="292" t="s">
        <v>855</v>
      </c>
      <c r="S6" s="292" t="s">
        <v>856</v>
      </c>
      <c r="T6" s="292" t="s">
        <v>855</v>
      </c>
      <c r="U6" s="292" t="s">
        <v>856</v>
      </c>
      <c r="V6" s="292" t="s">
        <v>855</v>
      </c>
      <c r="W6" s="292" t="s">
        <v>856</v>
      </c>
      <c r="X6" s="292" t="s">
        <v>855</v>
      </c>
      <c r="Y6" s="292" t="s">
        <v>856</v>
      </c>
      <c r="Z6" s="292" t="s">
        <v>855</v>
      </c>
      <c r="AA6" s="292" t="s">
        <v>856</v>
      </c>
      <c r="AB6" s="292" t="s">
        <v>855</v>
      </c>
      <c r="AC6" s="292" t="s">
        <v>856</v>
      </c>
      <c r="AD6" s="292" t="s">
        <v>855</v>
      </c>
      <c r="AE6" s="292" t="s">
        <v>856</v>
      </c>
      <c r="AF6" s="292" t="s">
        <v>855</v>
      </c>
      <c r="AG6" s="292" t="s">
        <v>856</v>
      </c>
      <c r="AH6" s="292" t="s">
        <v>855</v>
      </c>
      <c r="AI6" s="292" t="s">
        <v>856</v>
      </c>
      <c r="AJ6" s="292" t="s">
        <v>855</v>
      </c>
      <c r="AK6" s="292" t="s">
        <v>856</v>
      </c>
      <c r="AL6" s="293" t="s">
        <v>855</v>
      </c>
      <c r="AM6" s="293" t="s">
        <v>856</v>
      </c>
      <c r="AN6" s="293" t="s">
        <v>855</v>
      </c>
      <c r="AO6" s="293" t="s">
        <v>856</v>
      </c>
      <c r="AP6" s="293" t="s">
        <v>855</v>
      </c>
      <c r="AQ6" s="293" t="s">
        <v>856</v>
      </c>
      <c r="AR6" s="293" t="s">
        <v>855</v>
      </c>
      <c r="AS6" s="293" t="s">
        <v>856</v>
      </c>
      <c r="AT6" s="293" t="s">
        <v>857</v>
      </c>
      <c r="AU6" s="293" t="s">
        <v>856</v>
      </c>
      <c r="AV6" s="293" t="s">
        <v>857</v>
      </c>
      <c r="AW6" s="293" t="s">
        <v>856</v>
      </c>
      <c r="AX6" s="293" t="s">
        <v>855</v>
      </c>
      <c r="AY6" s="293" t="s">
        <v>856</v>
      </c>
      <c r="AZ6" s="293" t="s">
        <v>855</v>
      </c>
      <c r="BA6" s="293" t="s">
        <v>856</v>
      </c>
      <c r="BB6" s="293" t="s">
        <v>855</v>
      </c>
      <c r="BC6" s="293" t="s">
        <v>856</v>
      </c>
      <c r="BD6" s="294" t="s">
        <v>855</v>
      </c>
      <c r="BE6" s="294" t="s">
        <v>856</v>
      </c>
      <c r="BF6" s="294" t="s">
        <v>855</v>
      </c>
      <c r="BG6" s="294" t="s">
        <v>856</v>
      </c>
    </row>
    <row r="7" spans="1:61" x14ac:dyDescent="0.35">
      <c r="A7" s="295" t="s">
        <v>858</v>
      </c>
      <c r="B7" s="296">
        <v>166.45621</v>
      </c>
      <c r="C7" s="296">
        <v>166.60888</v>
      </c>
      <c r="D7" s="296">
        <v>166.07884000000001</v>
      </c>
      <c r="E7" s="296">
        <v>163.90737999999999</v>
      </c>
      <c r="F7" s="296">
        <v>162.40288000000001</v>
      </c>
      <c r="G7" s="296">
        <v>156.58816999999999</v>
      </c>
      <c r="H7" s="296">
        <v>155.78474</v>
      </c>
      <c r="I7" s="296">
        <v>156.10682</v>
      </c>
      <c r="J7" s="296">
        <v>154.09211999999999</v>
      </c>
      <c r="K7" s="296">
        <v>148.91552999999999</v>
      </c>
      <c r="L7" s="296">
        <v>140.98845</v>
      </c>
      <c r="M7" s="296">
        <v>143.2731</v>
      </c>
      <c r="N7" s="297">
        <v>144.33805000000001</v>
      </c>
      <c r="O7" s="297">
        <v>142.70872</v>
      </c>
      <c r="P7" s="297">
        <v>143.90504999999999</v>
      </c>
      <c r="Q7" s="297">
        <v>142.70633000000001</v>
      </c>
      <c r="R7" s="297">
        <v>128.1009</v>
      </c>
      <c r="S7" s="297">
        <v>111.64449999999999</v>
      </c>
      <c r="T7" s="297">
        <v>92.941900000000004</v>
      </c>
      <c r="U7" s="297">
        <v>76.255539999999996</v>
      </c>
      <c r="V7" s="297">
        <v>65.216229999999996</v>
      </c>
      <c r="W7" s="297">
        <v>63.734160000000003</v>
      </c>
      <c r="X7" s="297">
        <v>59.766379999999998</v>
      </c>
      <c r="Y7" s="297">
        <v>60.389389999999999</v>
      </c>
      <c r="Z7" s="297">
        <v>58.88015</v>
      </c>
      <c r="AA7" s="297">
        <v>61.948590000000003</v>
      </c>
      <c r="AB7" s="297">
        <v>57.586829999999999</v>
      </c>
      <c r="AC7" s="297">
        <v>61.311149999999998</v>
      </c>
      <c r="AD7" s="297">
        <v>64.787239999999997</v>
      </c>
      <c r="AE7" s="297">
        <v>64.646240000000006</v>
      </c>
      <c r="AF7" s="297">
        <v>44.154554401010898</v>
      </c>
      <c r="AG7" s="297">
        <v>44.824032582755201</v>
      </c>
      <c r="AH7" s="297">
        <v>45.275060081533901</v>
      </c>
      <c r="AI7" s="297">
        <v>47.455098767350698</v>
      </c>
      <c r="AJ7" s="297">
        <v>42.9106217903486</v>
      </c>
      <c r="AK7" s="297">
        <v>42.100637807385702</v>
      </c>
      <c r="AL7" s="297">
        <v>45.180865929946201</v>
      </c>
      <c r="AM7" s="297">
        <v>43.264011174744297</v>
      </c>
      <c r="AN7" s="297">
        <v>44.783241272557802</v>
      </c>
      <c r="AO7" s="297">
        <v>44.825933267184297</v>
      </c>
      <c r="AP7" s="297">
        <v>38.050886408754501</v>
      </c>
      <c r="AQ7" s="297">
        <v>37.614841619556103</v>
      </c>
      <c r="AR7" s="297">
        <v>39.802419240077597</v>
      </c>
      <c r="AS7" s="297">
        <v>36.116219323386296</v>
      </c>
      <c r="AT7" s="297">
        <v>36.954498202469601</v>
      </c>
      <c r="AU7" s="297">
        <v>36.475766763157701</v>
      </c>
      <c r="AV7" s="297">
        <v>40.699771629606701</v>
      </c>
      <c r="AW7" s="297">
        <v>42.644444494601103</v>
      </c>
      <c r="AX7" s="297">
        <v>45.388587662147302</v>
      </c>
      <c r="AY7" s="297">
        <v>45.977150018795903</v>
      </c>
      <c r="AZ7" s="297">
        <v>44.364639771571298</v>
      </c>
      <c r="BA7" s="297">
        <v>43.038809706464498</v>
      </c>
      <c r="BB7" s="297">
        <v>47.193868789853397</v>
      </c>
      <c r="BC7" s="297">
        <v>47.0747471094476</v>
      </c>
      <c r="BD7" s="298">
        <v>44.869182058838597</v>
      </c>
      <c r="BE7" s="298">
        <v>44.931261834234199</v>
      </c>
      <c r="BF7" s="298">
        <v>46.383822787062499</v>
      </c>
      <c r="BG7" s="298">
        <v>50.621147391659697</v>
      </c>
    </row>
    <row r="8" spans="1:61" x14ac:dyDescent="0.35">
      <c r="A8" s="295" t="s">
        <v>859</v>
      </c>
      <c r="B8" s="296">
        <v>83.423079999999999</v>
      </c>
      <c r="C8" s="296">
        <v>92.953590000000005</v>
      </c>
      <c r="D8" s="296">
        <v>128.72662</v>
      </c>
      <c r="E8" s="296">
        <v>116.94904</v>
      </c>
      <c r="F8" s="296">
        <v>137.77778000000001</v>
      </c>
      <c r="G8" s="296">
        <v>63.13308</v>
      </c>
      <c r="H8" s="296">
        <v>60.2</v>
      </c>
      <c r="I8" s="296">
        <v>73.017650000000003</v>
      </c>
      <c r="J8" s="296">
        <v>66.228070000000002</v>
      </c>
      <c r="K8" s="296">
        <v>54.49785</v>
      </c>
      <c r="L8" s="296">
        <v>65.342860000000002</v>
      </c>
      <c r="M8" s="296">
        <v>33.012549999999997</v>
      </c>
      <c r="N8" s="297">
        <v>41.149430000000002</v>
      </c>
      <c r="O8" s="297">
        <v>16.395389999999999</v>
      </c>
      <c r="P8" s="297">
        <v>12.27163</v>
      </c>
      <c r="Q8" s="297">
        <v>13.5214</v>
      </c>
      <c r="R8" s="297">
        <v>3.4177</v>
      </c>
      <c r="S8" s="297">
        <v>4.7975500000000002</v>
      </c>
      <c r="T8" s="297">
        <v>7.6909400000000003</v>
      </c>
      <c r="U8" s="297">
        <v>4.40313</v>
      </c>
      <c r="V8" s="297">
        <v>5.7128100000000002</v>
      </c>
      <c r="W8" s="297">
        <v>4.3956</v>
      </c>
      <c r="X8" s="297">
        <v>5.35121</v>
      </c>
      <c r="Y8" s="297">
        <v>4.3433200000000003</v>
      </c>
      <c r="Z8" s="297">
        <v>4.0528599999999999</v>
      </c>
      <c r="AA8" s="297">
        <v>5.9111700000000003</v>
      </c>
      <c r="AB8" s="297">
        <v>4.9472800000000001</v>
      </c>
      <c r="AC8" s="297">
        <v>2.9433500000000001</v>
      </c>
      <c r="AD8" s="297">
        <v>2.59226</v>
      </c>
      <c r="AE8" s="297">
        <v>2.8071100000000002</v>
      </c>
      <c r="AF8" s="297">
        <v>3.6378281373111698</v>
      </c>
      <c r="AG8" s="297">
        <v>1.8878057980334599</v>
      </c>
      <c r="AH8" s="297">
        <v>1.9686303291812399</v>
      </c>
      <c r="AI8" s="297">
        <v>1.46399768039324</v>
      </c>
      <c r="AJ8" s="297">
        <v>1.5154991448716</v>
      </c>
      <c r="AK8" s="297">
        <v>2.8028270609341899</v>
      </c>
      <c r="AL8" s="297">
        <v>3.6791555733016001</v>
      </c>
      <c r="AM8" s="297">
        <v>5.4827323717945502</v>
      </c>
      <c r="AN8" s="297">
        <v>3.5738236961479601</v>
      </c>
      <c r="AO8" s="297">
        <v>3.7543745275898002</v>
      </c>
      <c r="AP8" s="297">
        <v>2.4237222222230002</v>
      </c>
      <c r="AQ8" s="297">
        <v>0</v>
      </c>
      <c r="AR8" s="297">
        <v>0</v>
      </c>
      <c r="AS8" s="297">
        <v>0</v>
      </c>
      <c r="AT8" s="297">
        <v>0</v>
      </c>
      <c r="AU8" s="297">
        <v>0</v>
      </c>
      <c r="AV8" s="297">
        <v>0</v>
      </c>
      <c r="AW8" s="297">
        <v>0</v>
      </c>
      <c r="AX8" s="297">
        <v>0</v>
      </c>
      <c r="AY8" s="297">
        <v>0</v>
      </c>
      <c r="AZ8" s="297">
        <v>0</v>
      </c>
      <c r="BA8" s="297">
        <v>0</v>
      </c>
      <c r="BB8" s="297">
        <v>0</v>
      </c>
      <c r="BC8" s="297">
        <v>0</v>
      </c>
      <c r="BD8" s="297">
        <v>0</v>
      </c>
      <c r="BE8" s="297">
        <v>0</v>
      </c>
      <c r="BF8" s="297">
        <v>0</v>
      </c>
      <c r="BG8" s="297">
        <v>0</v>
      </c>
    </row>
    <row r="9" spans="1:61" x14ac:dyDescent="0.35">
      <c r="A9" s="295" t="s">
        <v>860</v>
      </c>
      <c r="B9" s="296">
        <v>287.27668999999997</v>
      </c>
      <c r="C9" s="296">
        <v>299.18414000000001</v>
      </c>
      <c r="D9" s="296">
        <v>303.41052000000002</v>
      </c>
      <c r="E9" s="296">
        <v>321.93230999999997</v>
      </c>
      <c r="F9" s="296">
        <v>334.91737000000001</v>
      </c>
      <c r="G9" s="296">
        <v>346.06366000000003</v>
      </c>
      <c r="H9" s="296">
        <v>350.20936999999998</v>
      </c>
      <c r="I9" s="296">
        <v>359.56124999999997</v>
      </c>
      <c r="J9" s="296">
        <v>368.41888999999998</v>
      </c>
      <c r="K9" s="296">
        <v>366.08258000000001</v>
      </c>
      <c r="L9" s="296">
        <v>361.91541000000001</v>
      </c>
      <c r="M9" s="296">
        <v>359.04696999999999</v>
      </c>
      <c r="N9" s="297">
        <v>344.00698999999997</v>
      </c>
      <c r="O9" s="297">
        <v>341.17102</v>
      </c>
      <c r="P9" s="297">
        <v>321.68135000000001</v>
      </c>
      <c r="Q9" s="297">
        <v>290.20193</v>
      </c>
      <c r="R9" s="297">
        <v>231.52411000000001</v>
      </c>
      <c r="S9" s="297">
        <v>117.73972999999999</v>
      </c>
      <c r="T9" s="297">
        <v>87.502520000000004</v>
      </c>
      <c r="U9" s="297">
        <v>70.530349999999999</v>
      </c>
      <c r="V9" s="297">
        <v>66.206050000000005</v>
      </c>
      <c r="W9" s="297">
        <v>69.484939999999995</v>
      </c>
      <c r="X9" s="297">
        <v>72.395160000000004</v>
      </c>
      <c r="Y9" s="297">
        <v>72.542649999999995</v>
      </c>
      <c r="Z9" s="297">
        <v>74.830719999999999</v>
      </c>
      <c r="AA9" s="297">
        <v>75.550510000000003</v>
      </c>
      <c r="AB9" s="297">
        <v>79.833640000000003</v>
      </c>
      <c r="AC9" s="297">
        <v>77.329480000000004</v>
      </c>
      <c r="AD9" s="297">
        <v>82.778530000000003</v>
      </c>
      <c r="AE9" s="297">
        <v>78.386970000000005</v>
      </c>
      <c r="AF9" s="297">
        <v>59.823434446351598</v>
      </c>
      <c r="AG9" s="297">
        <v>60.863062630001998</v>
      </c>
      <c r="AH9" s="297">
        <v>57.651975203662197</v>
      </c>
      <c r="AI9" s="297">
        <v>59.838787453183102</v>
      </c>
      <c r="AJ9" s="297">
        <v>64.734013500849997</v>
      </c>
      <c r="AK9" s="297">
        <v>68.851337414515996</v>
      </c>
      <c r="AL9" s="297">
        <v>71.120745308523993</v>
      </c>
      <c r="AM9" s="297">
        <v>70.199213305390899</v>
      </c>
      <c r="AN9" s="297">
        <v>68.780505812107407</v>
      </c>
      <c r="AO9" s="297">
        <v>73.710562305166206</v>
      </c>
      <c r="AP9" s="297">
        <v>73.103892102133798</v>
      </c>
      <c r="AQ9" s="297">
        <v>79.141287123227599</v>
      </c>
      <c r="AR9" s="297">
        <v>76.454734484372395</v>
      </c>
      <c r="AS9" s="297">
        <v>77.253974251188197</v>
      </c>
      <c r="AT9" s="297">
        <v>81.896812731283205</v>
      </c>
      <c r="AU9" s="297">
        <v>82.168077149831305</v>
      </c>
      <c r="AV9" s="297">
        <v>67.085352950057</v>
      </c>
      <c r="AW9" s="297">
        <v>66.751348146526695</v>
      </c>
      <c r="AX9" s="297">
        <v>67.829326005942605</v>
      </c>
      <c r="AY9" s="297">
        <v>66.454162800747994</v>
      </c>
      <c r="AZ9" s="297">
        <v>64.966637289524897</v>
      </c>
      <c r="BA9" s="297">
        <v>66.038758137015606</v>
      </c>
      <c r="BB9" s="297">
        <v>65.737939343726495</v>
      </c>
      <c r="BC9" s="297">
        <v>65.534771700775593</v>
      </c>
      <c r="BD9" s="297">
        <v>72.006178872137795</v>
      </c>
      <c r="BE9" s="297">
        <v>69.337460871786107</v>
      </c>
      <c r="BF9" s="297">
        <v>64.820487156441999</v>
      </c>
      <c r="BG9" s="297">
        <v>67.352535537249295</v>
      </c>
    </row>
    <row r="10" spans="1:61" ht="16" thickBot="1" x14ac:dyDescent="0.4">
      <c r="A10" s="299" t="s">
        <v>861</v>
      </c>
      <c r="B10" s="300">
        <v>201.67815999999999</v>
      </c>
      <c r="C10" s="300">
        <v>174.51886999999999</v>
      </c>
      <c r="D10" s="300">
        <v>198.4898</v>
      </c>
      <c r="E10" s="300">
        <v>239.60975999999999</v>
      </c>
      <c r="F10" s="300">
        <v>296.81159000000002</v>
      </c>
      <c r="G10" s="300">
        <v>272.23077000000001</v>
      </c>
      <c r="H10" s="300">
        <v>186.91011</v>
      </c>
      <c r="I10" s="300">
        <v>177.17142999999999</v>
      </c>
      <c r="J10" s="300">
        <v>247.56863000000001</v>
      </c>
      <c r="K10" s="300">
        <v>147.31578999999999</v>
      </c>
      <c r="L10" s="300">
        <v>206.96666999999999</v>
      </c>
      <c r="M10" s="300">
        <v>46.453130000000002</v>
      </c>
      <c r="N10" s="301">
        <v>27.838709999999999</v>
      </c>
      <c r="O10" s="301">
        <v>13.11842</v>
      </c>
      <c r="P10" s="301">
        <v>22.243590000000001</v>
      </c>
      <c r="Q10" s="301">
        <v>23.435479999999998</v>
      </c>
      <c r="R10" s="301">
        <v>0</v>
      </c>
      <c r="S10" s="301">
        <v>0</v>
      </c>
      <c r="T10" s="301">
        <v>0</v>
      </c>
      <c r="U10" s="301">
        <v>0</v>
      </c>
      <c r="V10" s="301">
        <v>0</v>
      </c>
      <c r="W10" s="301">
        <v>0</v>
      </c>
      <c r="X10" s="301">
        <v>0</v>
      </c>
      <c r="Y10" s="301">
        <v>0</v>
      </c>
      <c r="Z10" s="301">
        <v>0</v>
      </c>
      <c r="AA10" s="301">
        <v>10</v>
      </c>
      <c r="AB10" s="301">
        <v>0</v>
      </c>
      <c r="AC10" s="301">
        <v>0</v>
      </c>
      <c r="AD10" s="301">
        <v>0</v>
      </c>
      <c r="AE10" s="301">
        <v>0</v>
      </c>
      <c r="AF10" s="301">
        <v>8.2493055555500003</v>
      </c>
      <c r="AG10" s="301">
        <v>0</v>
      </c>
      <c r="AH10" s="301">
        <v>0.85833333334999995</v>
      </c>
      <c r="AI10" s="301">
        <v>3.9953703703666701</v>
      </c>
      <c r="AJ10" s="301">
        <v>0</v>
      </c>
      <c r="AK10" s="301">
        <v>0</v>
      </c>
      <c r="AL10" s="301">
        <v>0</v>
      </c>
      <c r="AM10" s="301">
        <v>0</v>
      </c>
      <c r="AN10" s="301">
        <v>0</v>
      </c>
      <c r="AO10" s="301">
        <v>0</v>
      </c>
      <c r="AP10" s="301">
        <v>0</v>
      </c>
      <c r="AQ10" s="301">
        <v>0</v>
      </c>
      <c r="AR10" s="301">
        <v>0</v>
      </c>
      <c r="AS10" s="301">
        <v>0</v>
      </c>
      <c r="AT10" s="301">
        <v>0</v>
      </c>
      <c r="AU10" s="301">
        <v>0</v>
      </c>
      <c r="AV10" s="301">
        <v>0</v>
      </c>
      <c r="AW10" s="301">
        <v>0</v>
      </c>
      <c r="AX10" s="301">
        <v>0</v>
      </c>
      <c r="AY10" s="301">
        <v>0</v>
      </c>
      <c r="AZ10" s="301">
        <v>0</v>
      </c>
      <c r="BA10" s="301">
        <v>0</v>
      </c>
      <c r="BB10" s="301">
        <v>0</v>
      </c>
      <c r="BC10" s="301">
        <v>0</v>
      </c>
      <c r="BD10" s="301">
        <v>0</v>
      </c>
      <c r="BE10" s="301">
        <v>0</v>
      </c>
      <c r="BF10" s="301">
        <v>0</v>
      </c>
      <c r="BG10" s="301">
        <v>0</v>
      </c>
    </row>
    <row r="11" spans="1:61" x14ac:dyDescent="0.35">
      <c r="A11" s="302" t="s">
        <v>0</v>
      </c>
      <c r="B11" s="303">
        <v>183.48498000000001</v>
      </c>
      <c r="C11" s="303">
        <v>184.75197</v>
      </c>
      <c r="D11" s="303">
        <v>185.28295</v>
      </c>
      <c r="E11" s="303">
        <v>184.77921000000001</v>
      </c>
      <c r="F11" s="303">
        <v>184.77745999999999</v>
      </c>
      <c r="G11" s="303">
        <v>178.81926999999999</v>
      </c>
      <c r="H11" s="303">
        <v>177.94882999999999</v>
      </c>
      <c r="I11" s="303">
        <v>180.06950000000001</v>
      </c>
      <c r="J11" s="303">
        <v>178.56487000000001</v>
      </c>
      <c r="K11" s="303">
        <v>171.97140999999999</v>
      </c>
      <c r="L11" s="303">
        <v>164.59678</v>
      </c>
      <c r="M11" s="303">
        <v>164.15828999999999</v>
      </c>
      <c r="N11" s="304">
        <v>165.49565000000001</v>
      </c>
      <c r="O11" s="304">
        <v>158.70374000000001</v>
      </c>
      <c r="P11" s="304">
        <v>159.12960000000001</v>
      </c>
      <c r="Q11" s="304">
        <v>157.29579000000001</v>
      </c>
      <c r="R11" s="304">
        <v>131.27873</v>
      </c>
      <c r="S11" s="304">
        <v>103.40934</v>
      </c>
      <c r="T11" s="304">
        <v>86.666300000000007</v>
      </c>
      <c r="U11" s="304">
        <v>74.191019999999995</v>
      </c>
      <c r="V11" s="304">
        <v>63.978670000000001</v>
      </c>
      <c r="W11" s="304">
        <v>61.497920000000001</v>
      </c>
      <c r="X11" s="304">
        <v>59.282859999999999</v>
      </c>
      <c r="Y11" s="304">
        <v>60.462649999999996</v>
      </c>
      <c r="Z11" s="304">
        <v>58.61598</v>
      </c>
      <c r="AA11" s="304">
        <v>61.378810000000001</v>
      </c>
      <c r="AB11" s="304">
        <v>57.492809999999999</v>
      </c>
      <c r="AC11" s="304">
        <v>60.223689999999998</v>
      </c>
      <c r="AD11" s="304">
        <v>64.523359999999997</v>
      </c>
      <c r="AE11" s="304">
        <v>64.557969999999997</v>
      </c>
      <c r="AF11" s="304">
        <v>43.7638250097773</v>
      </c>
      <c r="AG11" s="304">
        <v>44.518678614644301</v>
      </c>
      <c r="AH11" s="304">
        <v>44.553691967691101</v>
      </c>
      <c r="AI11" s="304">
        <v>45.858365113914502</v>
      </c>
      <c r="AJ11" s="304">
        <v>42.898138079517103</v>
      </c>
      <c r="AK11" s="304">
        <v>43.630866319495603</v>
      </c>
      <c r="AL11" s="304">
        <v>46.1711106060622</v>
      </c>
      <c r="AM11" s="304">
        <v>44.563703115515402</v>
      </c>
      <c r="AN11" s="304">
        <v>46.094717440189598</v>
      </c>
      <c r="AO11" s="304">
        <v>46.722388919686601</v>
      </c>
      <c r="AP11" s="304">
        <v>40.2444274650111</v>
      </c>
      <c r="AQ11" s="304">
        <v>39.8424348537268</v>
      </c>
      <c r="AR11" s="304">
        <v>41.913481706491503</v>
      </c>
      <c r="AS11" s="304">
        <v>38.4188928429502</v>
      </c>
      <c r="AT11" s="304">
        <v>39.105015132562698</v>
      </c>
      <c r="AU11" s="304">
        <v>38.218015056969499</v>
      </c>
      <c r="AV11" s="304">
        <v>42.342764390891197</v>
      </c>
      <c r="AW11" s="304">
        <v>44.310309432910401</v>
      </c>
      <c r="AX11" s="304">
        <v>47.1650678691121</v>
      </c>
      <c r="AY11" s="304">
        <v>47.645173351659103</v>
      </c>
      <c r="AZ11" s="304">
        <v>46.110957370861698</v>
      </c>
      <c r="BA11" s="304">
        <v>44.996448176880001</v>
      </c>
      <c r="BB11" s="304">
        <v>49.083773304952999</v>
      </c>
      <c r="BC11" s="304">
        <v>49.033594717403901</v>
      </c>
      <c r="BD11" s="304">
        <v>47.250097846476599</v>
      </c>
      <c r="BE11" s="304">
        <v>47.070573495060501</v>
      </c>
      <c r="BF11" s="304">
        <v>48.2456334997228</v>
      </c>
      <c r="BG11" s="304">
        <v>52.439217526965699</v>
      </c>
    </row>
    <row r="13" spans="1:61" x14ac:dyDescent="0.35">
      <c r="A13" s="278" t="s">
        <v>862</v>
      </c>
      <c r="B13"/>
      <c r="C13"/>
      <c r="D13"/>
      <c r="E13"/>
      <c r="F13"/>
      <c r="G13"/>
      <c r="H13"/>
      <c r="I13"/>
      <c r="J13"/>
      <c r="K13"/>
      <c r="L13"/>
      <c r="M13"/>
      <c r="N13"/>
      <c r="O13"/>
      <c r="P13"/>
      <c r="Q13"/>
      <c r="R13"/>
      <c r="S13"/>
      <c r="T13"/>
      <c r="U13"/>
      <c r="V13"/>
      <c r="W13"/>
      <c r="X13"/>
      <c r="Y13"/>
      <c r="Z13"/>
      <c r="AA13"/>
    </row>
    <row r="14" spans="1:61" x14ac:dyDescent="0.35">
      <c r="A14" s="305"/>
      <c r="B14"/>
      <c r="C14"/>
      <c r="D14"/>
      <c r="E14"/>
      <c r="F14"/>
      <c r="G14"/>
      <c r="H14"/>
      <c r="I14"/>
      <c r="J14"/>
      <c r="K14"/>
      <c r="L14"/>
      <c r="M14"/>
      <c r="N14"/>
      <c r="O14"/>
      <c r="P14"/>
      <c r="Q14"/>
      <c r="R14"/>
      <c r="S14"/>
      <c r="T14"/>
      <c r="U14"/>
      <c r="V14"/>
      <c r="W14"/>
      <c r="X14"/>
      <c r="Y14"/>
      <c r="Z14"/>
      <c r="AA14"/>
    </row>
    <row r="15" spans="1:61" x14ac:dyDescent="0.35">
      <c r="A15" s="305"/>
      <c r="B15"/>
      <c r="C15"/>
      <c r="D15"/>
      <c r="E15"/>
      <c r="F15"/>
      <c r="G15"/>
      <c r="H15"/>
      <c r="I15"/>
      <c r="J15"/>
      <c r="K15"/>
      <c r="L15"/>
      <c r="M15"/>
      <c r="N15"/>
      <c r="O15"/>
      <c r="P15"/>
      <c r="Q15"/>
      <c r="R15"/>
      <c r="S15"/>
      <c r="T15"/>
      <c r="U15"/>
      <c r="V15"/>
      <c r="W15"/>
      <c r="X15"/>
      <c r="Y15"/>
      <c r="Z15"/>
      <c r="AA15"/>
    </row>
    <row r="16" spans="1:61" x14ac:dyDescent="0.35">
      <c r="A16" s="396" t="s">
        <v>843</v>
      </c>
      <c r="B16" s="279">
        <v>2020</v>
      </c>
      <c r="C16" s="280"/>
      <c r="D16" s="280"/>
      <c r="E16" s="280"/>
      <c r="F16" s="280"/>
      <c r="G16" s="280"/>
      <c r="H16" s="280"/>
      <c r="I16" s="280"/>
      <c r="J16" s="280"/>
      <c r="K16" s="280"/>
      <c r="L16" s="280"/>
      <c r="M16" s="281"/>
      <c r="N16" s="282">
        <v>2021</v>
      </c>
      <c r="O16" s="283"/>
      <c r="P16" s="283"/>
      <c r="Q16" s="283"/>
      <c r="R16" s="283"/>
      <c r="S16" s="283"/>
      <c r="T16" s="283"/>
      <c r="U16" s="283"/>
      <c r="V16" s="283"/>
      <c r="W16" s="283"/>
      <c r="X16" s="283"/>
      <c r="Y16" s="283"/>
      <c r="Z16" s="283"/>
      <c r="AA16" s="283"/>
      <c r="AB16" s="283"/>
      <c r="AC16" s="283"/>
      <c r="AD16" s="283"/>
      <c r="AE16" s="284"/>
      <c r="AF16" s="283"/>
      <c r="AG16" s="284"/>
      <c r="AH16" s="283"/>
      <c r="AI16" s="284"/>
      <c r="AJ16" s="283"/>
      <c r="AK16" s="284"/>
      <c r="AL16" s="285">
        <v>2022</v>
      </c>
      <c r="AM16" s="286"/>
      <c r="AN16" s="286"/>
      <c r="AO16" s="286"/>
      <c r="AP16" s="286"/>
      <c r="AQ16" s="286"/>
      <c r="AR16" s="286"/>
      <c r="AS16" s="286"/>
      <c r="AT16" s="286"/>
      <c r="AU16" s="286"/>
      <c r="AV16" s="286"/>
      <c r="AW16" s="286"/>
      <c r="AX16" s="286"/>
      <c r="AY16" s="286"/>
      <c r="AZ16" s="286"/>
      <c r="BA16" s="286"/>
      <c r="BB16" s="286"/>
      <c r="BC16" s="306"/>
      <c r="BD16" s="287">
        <v>2023</v>
      </c>
      <c r="BE16" s="288"/>
      <c r="BF16" s="288"/>
      <c r="BG16" s="289"/>
    </row>
    <row r="17" spans="1:62" x14ac:dyDescent="0.35">
      <c r="A17" s="396"/>
      <c r="B17" s="390" t="s">
        <v>844</v>
      </c>
      <c r="C17" s="391"/>
      <c r="D17" s="390" t="s">
        <v>845</v>
      </c>
      <c r="E17" s="391"/>
      <c r="F17" s="390" t="s">
        <v>846</v>
      </c>
      <c r="G17" s="391"/>
      <c r="H17" s="390" t="s">
        <v>847</v>
      </c>
      <c r="I17" s="391"/>
      <c r="J17" s="390" t="s">
        <v>848</v>
      </c>
      <c r="K17" s="391"/>
      <c r="L17" s="390" t="s">
        <v>849</v>
      </c>
      <c r="M17" s="391"/>
      <c r="N17" s="387" t="s">
        <v>850</v>
      </c>
      <c r="O17" s="388"/>
      <c r="P17" s="387" t="s">
        <v>851</v>
      </c>
      <c r="Q17" s="388"/>
      <c r="R17" s="387" t="s">
        <v>852</v>
      </c>
      <c r="S17" s="388"/>
      <c r="T17" s="387" t="s">
        <v>853</v>
      </c>
      <c r="U17" s="388"/>
      <c r="V17" s="387" t="s">
        <v>803</v>
      </c>
      <c r="W17" s="388"/>
      <c r="X17" s="387" t="s">
        <v>854</v>
      </c>
      <c r="Y17" s="388"/>
      <c r="Z17" s="387" t="s">
        <v>844</v>
      </c>
      <c r="AA17" s="388"/>
      <c r="AB17" s="387" t="s">
        <v>845</v>
      </c>
      <c r="AC17" s="388"/>
      <c r="AD17" s="387" t="s">
        <v>846</v>
      </c>
      <c r="AE17" s="388"/>
      <c r="AF17" s="387" t="s">
        <v>847</v>
      </c>
      <c r="AG17" s="388"/>
      <c r="AH17" s="387" t="s">
        <v>848</v>
      </c>
      <c r="AI17" s="388"/>
      <c r="AJ17" s="387" t="s">
        <v>849</v>
      </c>
      <c r="AK17" s="388"/>
      <c r="AL17" s="394" t="s">
        <v>850</v>
      </c>
      <c r="AM17" s="395"/>
      <c r="AN17" s="394" t="s">
        <v>851</v>
      </c>
      <c r="AO17" s="395"/>
      <c r="AP17" s="394" t="s">
        <v>852</v>
      </c>
      <c r="AQ17" s="395"/>
      <c r="AR17" s="394" t="s">
        <v>853</v>
      </c>
      <c r="AS17" s="395"/>
      <c r="AT17" s="394" t="s">
        <v>803</v>
      </c>
      <c r="AU17" s="395"/>
      <c r="AV17" s="394" t="s">
        <v>854</v>
      </c>
      <c r="AW17" s="395"/>
      <c r="AX17" s="394" t="s">
        <v>844</v>
      </c>
      <c r="AY17" s="395"/>
      <c r="AZ17" s="394" t="s">
        <v>845</v>
      </c>
      <c r="BA17" s="395"/>
      <c r="BB17" s="394" t="s">
        <v>846</v>
      </c>
      <c r="BC17" s="395"/>
      <c r="BD17" s="392" t="s">
        <v>847</v>
      </c>
      <c r="BE17" s="393"/>
      <c r="BF17" s="392" t="s">
        <v>848</v>
      </c>
      <c r="BG17" s="393"/>
    </row>
    <row r="18" spans="1:62" x14ac:dyDescent="0.35">
      <c r="A18" s="396"/>
      <c r="B18" s="291" t="s">
        <v>855</v>
      </c>
      <c r="C18" s="291" t="s">
        <v>856</v>
      </c>
      <c r="D18" s="291" t="s">
        <v>855</v>
      </c>
      <c r="E18" s="291" t="s">
        <v>856</v>
      </c>
      <c r="F18" s="291" t="s">
        <v>855</v>
      </c>
      <c r="G18" s="291" t="s">
        <v>856</v>
      </c>
      <c r="H18" s="291" t="s">
        <v>855</v>
      </c>
      <c r="I18" s="291" t="s">
        <v>856</v>
      </c>
      <c r="J18" s="291" t="s">
        <v>855</v>
      </c>
      <c r="K18" s="291" t="s">
        <v>856</v>
      </c>
      <c r="L18" s="291" t="s">
        <v>855</v>
      </c>
      <c r="M18" s="291" t="s">
        <v>856</v>
      </c>
      <c r="N18" s="292" t="s">
        <v>855</v>
      </c>
      <c r="O18" s="292" t="s">
        <v>856</v>
      </c>
      <c r="P18" s="292" t="s">
        <v>855</v>
      </c>
      <c r="Q18" s="292" t="s">
        <v>856</v>
      </c>
      <c r="R18" s="292" t="s">
        <v>855</v>
      </c>
      <c r="S18" s="292" t="s">
        <v>856</v>
      </c>
      <c r="T18" s="292" t="s">
        <v>855</v>
      </c>
      <c r="U18" s="292" t="s">
        <v>856</v>
      </c>
      <c r="V18" s="292" t="s">
        <v>855</v>
      </c>
      <c r="W18" s="292" t="s">
        <v>856</v>
      </c>
      <c r="X18" s="292" t="s">
        <v>855</v>
      </c>
      <c r="Y18" s="292" t="s">
        <v>856</v>
      </c>
      <c r="Z18" s="292" t="s">
        <v>855</v>
      </c>
      <c r="AA18" s="292" t="s">
        <v>856</v>
      </c>
      <c r="AB18" s="292" t="s">
        <v>855</v>
      </c>
      <c r="AC18" s="292" t="s">
        <v>856</v>
      </c>
      <c r="AD18" s="292" t="s">
        <v>855</v>
      </c>
      <c r="AE18" s="292" t="s">
        <v>856</v>
      </c>
      <c r="AF18" s="292" t="s">
        <v>855</v>
      </c>
      <c r="AG18" s="292" t="s">
        <v>856</v>
      </c>
      <c r="AH18" s="292" t="s">
        <v>855</v>
      </c>
      <c r="AI18" s="292" t="s">
        <v>856</v>
      </c>
      <c r="AJ18" s="292" t="s">
        <v>855</v>
      </c>
      <c r="AK18" s="292" t="s">
        <v>856</v>
      </c>
      <c r="AL18" s="293" t="s">
        <v>855</v>
      </c>
      <c r="AM18" s="293" t="s">
        <v>856</v>
      </c>
      <c r="AN18" s="293" t="s">
        <v>855</v>
      </c>
      <c r="AO18" s="293" t="s">
        <v>856</v>
      </c>
      <c r="AP18" s="293" t="s">
        <v>855</v>
      </c>
      <c r="AQ18" s="293" t="s">
        <v>856</v>
      </c>
      <c r="AR18" s="293" t="s">
        <v>855</v>
      </c>
      <c r="AS18" s="293" t="s">
        <v>856</v>
      </c>
      <c r="AT18" s="293" t="s">
        <v>857</v>
      </c>
      <c r="AU18" s="293" t="s">
        <v>856</v>
      </c>
      <c r="AV18" s="293" t="s">
        <v>857</v>
      </c>
      <c r="AW18" s="293" t="s">
        <v>856</v>
      </c>
      <c r="AX18" s="293" t="s">
        <v>855</v>
      </c>
      <c r="AY18" s="293" t="s">
        <v>856</v>
      </c>
      <c r="AZ18" s="293" t="s">
        <v>855</v>
      </c>
      <c r="BA18" s="293" t="s">
        <v>856</v>
      </c>
      <c r="BB18" s="293" t="s">
        <v>855</v>
      </c>
      <c r="BC18" s="293" t="s">
        <v>856</v>
      </c>
      <c r="BD18" s="294" t="s">
        <v>855</v>
      </c>
      <c r="BE18" s="294" t="s">
        <v>856</v>
      </c>
      <c r="BF18" s="294" t="s">
        <v>855</v>
      </c>
      <c r="BG18" s="294" t="s">
        <v>856</v>
      </c>
      <c r="BH18" s="290"/>
      <c r="BI18" s="290"/>
      <c r="BJ18" s="290"/>
    </row>
    <row r="19" spans="1:62" x14ac:dyDescent="0.35">
      <c r="A19" s="307" t="s">
        <v>858</v>
      </c>
      <c r="B19" s="308"/>
      <c r="C19" s="308"/>
      <c r="D19" s="308"/>
      <c r="E19" s="308"/>
      <c r="F19" s="308"/>
      <c r="G19" s="308"/>
      <c r="H19" s="308"/>
      <c r="I19" s="308"/>
      <c r="J19" s="308"/>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8"/>
      <c r="AV19" s="308"/>
      <c r="AW19" s="308"/>
      <c r="AX19" s="308"/>
      <c r="AY19" s="308"/>
      <c r="AZ19" s="308"/>
      <c r="BA19" s="308"/>
      <c r="BB19" s="308"/>
      <c r="BC19" s="308"/>
      <c r="BD19" s="308"/>
      <c r="BE19" s="308"/>
      <c r="BF19" s="308"/>
      <c r="BG19" s="308"/>
    </row>
    <row r="20" spans="1:62" x14ac:dyDescent="0.35">
      <c r="A20" s="309" t="s">
        <v>863</v>
      </c>
      <c r="B20" s="309">
        <v>13186</v>
      </c>
      <c r="C20" s="309">
        <v>12606</v>
      </c>
      <c r="D20" s="309">
        <v>12273</v>
      </c>
      <c r="E20" s="309">
        <v>11957</v>
      </c>
      <c r="F20" s="309">
        <v>11316</v>
      </c>
      <c r="G20" s="309">
        <v>11543</v>
      </c>
      <c r="H20" s="309">
        <v>11306</v>
      </c>
      <c r="I20" s="309">
        <v>10536</v>
      </c>
      <c r="J20" s="309">
        <v>10371</v>
      </c>
      <c r="K20" s="309">
        <v>10663</v>
      </c>
      <c r="L20" s="309">
        <v>10827</v>
      </c>
      <c r="M20" s="309">
        <v>10573</v>
      </c>
      <c r="N20" s="309">
        <v>9822</v>
      </c>
      <c r="O20" s="309">
        <v>9711</v>
      </c>
      <c r="P20" s="309">
        <v>9211</v>
      </c>
      <c r="Q20" s="309">
        <v>9245</v>
      </c>
      <c r="R20" s="309">
        <v>9567</v>
      </c>
      <c r="S20" s="309">
        <v>9524</v>
      </c>
      <c r="T20" s="309">
        <v>10749</v>
      </c>
      <c r="U20" s="309">
        <v>13033</v>
      </c>
      <c r="V20" s="309">
        <v>16183</v>
      </c>
      <c r="W20" s="309">
        <v>17902</v>
      </c>
      <c r="X20" s="309">
        <v>20206</v>
      </c>
      <c r="Y20" s="309">
        <v>20688</v>
      </c>
      <c r="Z20" s="309">
        <v>21653</v>
      </c>
      <c r="AA20" s="309">
        <v>20009</v>
      </c>
      <c r="AB20" s="309">
        <v>21005</v>
      </c>
      <c r="AC20" s="309">
        <v>19286</v>
      </c>
      <c r="AD20" s="309">
        <v>18236</v>
      </c>
      <c r="AE20" s="309">
        <v>17904</v>
      </c>
      <c r="AF20" s="309">
        <v>19511</v>
      </c>
      <c r="AG20" s="309">
        <v>20275</v>
      </c>
      <c r="AH20" s="309">
        <v>20907</v>
      </c>
      <c r="AI20" s="309">
        <v>19359</v>
      </c>
      <c r="AJ20" s="309">
        <v>19262</v>
      </c>
      <c r="AK20" s="309">
        <v>19985</v>
      </c>
      <c r="AL20" s="309">
        <v>18749</v>
      </c>
      <c r="AM20" s="309">
        <v>19730</v>
      </c>
      <c r="AN20" s="309">
        <v>18318</v>
      </c>
      <c r="AO20" s="309">
        <v>17090</v>
      </c>
      <c r="AP20" s="309">
        <v>19116</v>
      </c>
      <c r="AQ20" s="309">
        <v>19065</v>
      </c>
      <c r="AR20" s="309">
        <v>17631</v>
      </c>
      <c r="AS20" s="309">
        <v>20127</v>
      </c>
      <c r="AT20" s="309">
        <v>22507</v>
      </c>
      <c r="AU20" s="309">
        <v>24749</v>
      </c>
      <c r="AV20" s="309">
        <v>22751</v>
      </c>
      <c r="AW20" s="309">
        <v>22268</v>
      </c>
      <c r="AX20" s="309">
        <v>21174</v>
      </c>
      <c r="AY20" s="309">
        <v>21205</v>
      </c>
      <c r="AZ20" s="309">
        <v>23196</v>
      </c>
      <c r="BA20" s="309">
        <v>24291</v>
      </c>
      <c r="BB20" s="309">
        <v>22682</v>
      </c>
      <c r="BC20" s="309">
        <v>22822</v>
      </c>
      <c r="BD20" s="309">
        <v>25364</v>
      </c>
      <c r="BE20" s="309">
        <v>27740</v>
      </c>
      <c r="BF20" s="309">
        <v>27516</v>
      </c>
      <c r="BG20" s="309">
        <v>26019</v>
      </c>
      <c r="BH20" s="310"/>
      <c r="BI20" s="310"/>
      <c r="BJ20" s="310"/>
    </row>
    <row r="21" spans="1:62" x14ac:dyDescent="0.35">
      <c r="A21" s="309" t="s">
        <v>864</v>
      </c>
      <c r="B21" s="309">
        <v>3921</v>
      </c>
      <c r="C21" s="309">
        <v>3963</v>
      </c>
      <c r="D21" s="309">
        <v>4050</v>
      </c>
      <c r="E21" s="309">
        <v>4095</v>
      </c>
      <c r="F21" s="309">
        <v>4222</v>
      </c>
      <c r="G21" s="309">
        <v>3678</v>
      </c>
      <c r="H21" s="309">
        <v>3132</v>
      </c>
      <c r="I21" s="309">
        <v>2500</v>
      </c>
      <c r="J21" s="309">
        <v>2182</v>
      </c>
      <c r="K21" s="309">
        <v>1958</v>
      </c>
      <c r="L21" s="309">
        <v>1720</v>
      </c>
      <c r="M21" s="309">
        <v>1580</v>
      </c>
      <c r="N21" s="309">
        <v>1425</v>
      </c>
      <c r="O21" s="309">
        <v>1335</v>
      </c>
      <c r="P21" s="309">
        <v>1254</v>
      </c>
      <c r="Q21" s="309">
        <v>1176</v>
      </c>
      <c r="R21" s="309">
        <v>1060</v>
      </c>
      <c r="S21" s="309">
        <v>939</v>
      </c>
      <c r="T21" s="309">
        <v>889</v>
      </c>
      <c r="U21" s="309">
        <v>848</v>
      </c>
      <c r="V21" s="309">
        <v>824</v>
      </c>
      <c r="W21" s="309">
        <v>818</v>
      </c>
      <c r="X21" s="309">
        <v>836</v>
      </c>
      <c r="Y21" s="309">
        <v>808</v>
      </c>
      <c r="Z21" s="309">
        <v>761</v>
      </c>
      <c r="AA21" s="309">
        <v>703</v>
      </c>
      <c r="AB21" s="309">
        <v>649</v>
      </c>
      <c r="AC21" s="309">
        <v>623</v>
      </c>
      <c r="AD21" s="309">
        <v>631</v>
      </c>
      <c r="AE21" s="309">
        <v>626</v>
      </c>
      <c r="AF21" s="309">
        <v>372</v>
      </c>
      <c r="AG21" s="309">
        <v>390</v>
      </c>
      <c r="AH21" s="309">
        <v>395</v>
      </c>
      <c r="AI21" s="309">
        <v>425</v>
      </c>
      <c r="AJ21" s="309">
        <v>437</v>
      </c>
      <c r="AK21" s="309">
        <v>474</v>
      </c>
      <c r="AL21" s="309">
        <v>528</v>
      </c>
      <c r="AM21" s="309">
        <v>590</v>
      </c>
      <c r="AN21" s="309">
        <v>619</v>
      </c>
      <c r="AO21" s="309">
        <v>612</v>
      </c>
      <c r="AP21" s="309">
        <v>597</v>
      </c>
      <c r="AQ21" s="309">
        <v>593</v>
      </c>
      <c r="AR21" s="309">
        <v>578</v>
      </c>
      <c r="AS21" s="309">
        <v>551</v>
      </c>
      <c r="AT21" s="309">
        <v>579</v>
      </c>
      <c r="AU21" s="309">
        <v>601</v>
      </c>
      <c r="AV21" s="309">
        <v>590</v>
      </c>
      <c r="AW21" s="309">
        <v>586</v>
      </c>
      <c r="AX21" s="309">
        <v>591</v>
      </c>
      <c r="AY21" s="309">
        <v>591</v>
      </c>
      <c r="AZ21" s="309">
        <v>589</v>
      </c>
      <c r="BA21" s="309">
        <v>581</v>
      </c>
      <c r="BB21" s="309">
        <v>661</v>
      </c>
      <c r="BC21" s="309">
        <v>720</v>
      </c>
      <c r="BD21" s="309">
        <v>751</v>
      </c>
      <c r="BE21" s="309">
        <v>868</v>
      </c>
      <c r="BF21" s="309">
        <v>900</v>
      </c>
      <c r="BG21" s="309">
        <v>967</v>
      </c>
    </row>
    <row r="22" spans="1:62" x14ac:dyDescent="0.35">
      <c r="A22" s="309" t="s">
        <v>865</v>
      </c>
      <c r="B22" s="309">
        <v>1426</v>
      </c>
      <c r="C22" s="309">
        <v>1456</v>
      </c>
      <c r="D22" s="309">
        <v>1487</v>
      </c>
      <c r="E22" s="309">
        <v>1531</v>
      </c>
      <c r="F22" s="309">
        <v>1556</v>
      </c>
      <c r="G22" s="309">
        <v>1569</v>
      </c>
      <c r="H22" s="309">
        <v>1600</v>
      </c>
      <c r="I22" s="309">
        <v>1556</v>
      </c>
      <c r="J22" s="309">
        <v>1526</v>
      </c>
      <c r="K22" s="309">
        <v>1529</v>
      </c>
      <c r="L22" s="309">
        <v>1406</v>
      </c>
      <c r="M22" s="309">
        <v>1349</v>
      </c>
      <c r="N22" s="309">
        <v>1295</v>
      </c>
      <c r="O22" s="309">
        <v>1284</v>
      </c>
      <c r="P22" s="309">
        <v>1253</v>
      </c>
      <c r="Q22" s="309">
        <v>1269</v>
      </c>
      <c r="R22" s="309">
        <v>1113</v>
      </c>
      <c r="S22" s="309">
        <v>838</v>
      </c>
      <c r="T22" s="309">
        <v>704</v>
      </c>
      <c r="U22" s="309">
        <v>620</v>
      </c>
      <c r="V22" s="309">
        <v>589</v>
      </c>
      <c r="W22" s="309">
        <v>527</v>
      </c>
      <c r="X22" s="309">
        <v>494</v>
      </c>
      <c r="Y22" s="309">
        <v>457</v>
      </c>
      <c r="Z22" s="309">
        <v>433</v>
      </c>
      <c r="AA22" s="309">
        <v>419</v>
      </c>
      <c r="AB22" s="309">
        <v>413</v>
      </c>
      <c r="AC22" s="309">
        <v>408</v>
      </c>
      <c r="AD22" s="309">
        <v>408</v>
      </c>
      <c r="AE22" s="309">
        <v>392</v>
      </c>
      <c r="AF22" s="309">
        <v>238</v>
      </c>
      <c r="AG22" s="309">
        <v>231</v>
      </c>
      <c r="AH22" s="309">
        <v>221</v>
      </c>
      <c r="AI22" s="309">
        <v>225</v>
      </c>
      <c r="AJ22" s="309">
        <v>212</v>
      </c>
      <c r="AK22" s="309">
        <v>217</v>
      </c>
      <c r="AL22" s="309">
        <v>208</v>
      </c>
      <c r="AM22" s="309">
        <v>211</v>
      </c>
      <c r="AN22" s="309">
        <v>198</v>
      </c>
      <c r="AO22" s="309">
        <v>189</v>
      </c>
      <c r="AP22" s="309">
        <v>178</v>
      </c>
      <c r="AQ22" s="309">
        <v>167</v>
      </c>
      <c r="AR22" s="309">
        <v>154</v>
      </c>
      <c r="AS22" s="309">
        <v>146</v>
      </c>
      <c r="AT22" s="309">
        <v>144</v>
      </c>
      <c r="AU22" s="309">
        <v>136</v>
      </c>
      <c r="AV22" s="309">
        <v>147</v>
      </c>
      <c r="AW22" s="309">
        <v>153</v>
      </c>
      <c r="AX22" s="309">
        <v>176</v>
      </c>
      <c r="AY22" s="309">
        <v>183</v>
      </c>
      <c r="AZ22" s="309">
        <v>181</v>
      </c>
      <c r="BA22" s="309">
        <v>181</v>
      </c>
      <c r="BB22" s="309">
        <v>191</v>
      </c>
      <c r="BC22" s="309">
        <v>197</v>
      </c>
      <c r="BD22" s="309">
        <v>193</v>
      </c>
      <c r="BE22" s="309">
        <v>196</v>
      </c>
      <c r="BF22" s="309">
        <v>201</v>
      </c>
      <c r="BG22" s="309">
        <v>204</v>
      </c>
      <c r="BH22" s="290"/>
    </row>
    <row r="23" spans="1:62" ht="16" thickBot="1" x14ac:dyDescent="0.4">
      <c r="A23" s="311" t="s">
        <v>866</v>
      </c>
      <c r="B23" s="311">
        <v>432</v>
      </c>
      <c r="C23" s="311">
        <v>445</v>
      </c>
      <c r="D23" s="311">
        <v>443</v>
      </c>
      <c r="E23" s="311">
        <v>469</v>
      </c>
      <c r="F23" s="311">
        <v>447</v>
      </c>
      <c r="G23" s="311">
        <v>433</v>
      </c>
      <c r="H23" s="311">
        <v>440</v>
      </c>
      <c r="I23" s="311">
        <v>415</v>
      </c>
      <c r="J23" s="311">
        <v>392</v>
      </c>
      <c r="K23" s="311">
        <v>364</v>
      </c>
      <c r="L23" s="311">
        <v>338</v>
      </c>
      <c r="M23" s="311">
        <v>332</v>
      </c>
      <c r="N23" s="311">
        <v>317</v>
      </c>
      <c r="O23" s="311">
        <v>304</v>
      </c>
      <c r="P23" s="311">
        <v>288</v>
      </c>
      <c r="Q23" s="311">
        <v>276</v>
      </c>
      <c r="R23" s="311">
        <v>262</v>
      </c>
      <c r="S23" s="311">
        <v>232</v>
      </c>
      <c r="T23" s="311">
        <v>206</v>
      </c>
      <c r="U23" s="311">
        <v>201</v>
      </c>
      <c r="V23" s="311">
        <v>195</v>
      </c>
      <c r="W23" s="311">
        <v>201</v>
      </c>
      <c r="X23" s="311">
        <v>200</v>
      </c>
      <c r="Y23" s="311">
        <v>197</v>
      </c>
      <c r="Z23" s="311">
        <v>190</v>
      </c>
      <c r="AA23" s="311">
        <v>189</v>
      </c>
      <c r="AB23" s="311">
        <v>183</v>
      </c>
      <c r="AC23" s="311">
        <v>181</v>
      </c>
      <c r="AD23" s="311">
        <v>179</v>
      </c>
      <c r="AE23" s="311">
        <v>190</v>
      </c>
      <c r="AF23" s="311">
        <v>93</v>
      </c>
      <c r="AG23" s="311">
        <v>94</v>
      </c>
      <c r="AH23" s="311">
        <v>95</v>
      </c>
      <c r="AI23" s="311">
        <v>96</v>
      </c>
      <c r="AJ23" s="311">
        <v>88</v>
      </c>
      <c r="AK23" s="311">
        <v>92</v>
      </c>
      <c r="AL23" s="311">
        <v>90</v>
      </c>
      <c r="AM23" s="311">
        <v>88</v>
      </c>
      <c r="AN23" s="311">
        <v>82</v>
      </c>
      <c r="AO23" s="311">
        <v>82</v>
      </c>
      <c r="AP23" s="311">
        <v>76</v>
      </c>
      <c r="AQ23" s="311">
        <v>75</v>
      </c>
      <c r="AR23" s="311">
        <v>77</v>
      </c>
      <c r="AS23" s="311">
        <v>72</v>
      </c>
      <c r="AT23" s="311">
        <v>71</v>
      </c>
      <c r="AU23" s="311">
        <v>68</v>
      </c>
      <c r="AV23" s="311">
        <v>65</v>
      </c>
      <c r="AW23" s="311">
        <v>69</v>
      </c>
      <c r="AX23" s="311">
        <v>67</v>
      </c>
      <c r="AY23" s="311">
        <v>66</v>
      </c>
      <c r="AZ23" s="311">
        <v>69</v>
      </c>
      <c r="BA23" s="311">
        <v>67</v>
      </c>
      <c r="BB23" s="311">
        <v>65</v>
      </c>
      <c r="BC23" s="311">
        <v>67</v>
      </c>
      <c r="BD23" s="311">
        <v>71</v>
      </c>
      <c r="BE23" s="311">
        <v>69</v>
      </c>
      <c r="BF23" s="311">
        <v>67</v>
      </c>
      <c r="BG23" s="311">
        <v>68</v>
      </c>
    </row>
    <row r="24" spans="1:62" x14ac:dyDescent="0.35">
      <c r="A24" s="312" t="s">
        <v>0</v>
      </c>
      <c r="B24" s="312">
        <f>SUM(B20:B23)</f>
        <v>18965</v>
      </c>
      <c r="C24" s="312">
        <f t="shared" ref="C24:M24" si="0">SUM(C20:C23)</f>
        <v>18470</v>
      </c>
      <c r="D24" s="312">
        <f t="shared" si="0"/>
        <v>18253</v>
      </c>
      <c r="E24" s="312">
        <f t="shared" si="0"/>
        <v>18052</v>
      </c>
      <c r="F24" s="312">
        <f t="shared" si="0"/>
        <v>17541</v>
      </c>
      <c r="G24" s="312">
        <f t="shared" si="0"/>
        <v>17223</v>
      </c>
      <c r="H24" s="312">
        <f t="shared" si="0"/>
        <v>16478</v>
      </c>
      <c r="I24" s="312">
        <f t="shared" si="0"/>
        <v>15007</v>
      </c>
      <c r="J24" s="312">
        <f t="shared" si="0"/>
        <v>14471</v>
      </c>
      <c r="K24" s="312">
        <f t="shared" si="0"/>
        <v>14514</v>
      </c>
      <c r="L24" s="312">
        <f t="shared" si="0"/>
        <v>14291</v>
      </c>
      <c r="M24" s="312">
        <f t="shared" si="0"/>
        <v>13834</v>
      </c>
      <c r="N24" s="312">
        <v>12859</v>
      </c>
      <c r="O24" s="312">
        <v>12634</v>
      </c>
      <c r="P24" s="312">
        <v>12006</v>
      </c>
      <c r="Q24" s="312">
        <v>11966</v>
      </c>
      <c r="R24" s="312">
        <v>12002</v>
      </c>
      <c r="S24" s="312">
        <v>11533</v>
      </c>
      <c r="T24" s="312">
        <v>12548</v>
      </c>
      <c r="U24" s="312">
        <v>14702</v>
      </c>
      <c r="V24" s="312">
        <v>17791</v>
      </c>
      <c r="W24" s="312">
        <v>19448</v>
      </c>
      <c r="X24" s="312">
        <v>21736</v>
      </c>
      <c r="Y24" s="312">
        <v>22150</v>
      </c>
      <c r="Z24" s="312">
        <v>23037</v>
      </c>
      <c r="AA24" s="312">
        <v>21320</v>
      </c>
      <c r="AB24" s="312">
        <v>22250</v>
      </c>
      <c r="AC24" s="312">
        <v>20498</v>
      </c>
      <c r="AD24" s="312">
        <v>19454</v>
      </c>
      <c r="AE24" s="312">
        <v>19112</v>
      </c>
      <c r="AF24" s="312">
        <v>20214</v>
      </c>
      <c r="AG24" s="312">
        <v>20990</v>
      </c>
      <c r="AH24" s="312">
        <v>21618</v>
      </c>
      <c r="AI24" s="312">
        <v>20105</v>
      </c>
      <c r="AJ24" s="312">
        <v>19999</v>
      </c>
      <c r="AK24" s="312">
        <v>20768</v>
      </c>
      <c r="AL24" s="312">
        <v>19575</v>
      </c>
      <c r="AM24" s="312">
        <v>20619</v>
      </c>
      <c r="AN24" s="312">
        <v>19217</v>
      </c>
      <c r="AO24" s="312">
        <v>17973</v>
      </c>
      <c r="AP24" s="312">
        <v>19967</v>
      </c>
      <c r="AQ24" s="312">
        <v>19900</v>
      </c>
      <c r="AR24" s="312">
        <v>18440</v>
      </c>
      <c r="AS24" s="312">
        <v>20896</v>
      </c>
      <c r="AT24" s="312">
        <v>23301</v>
      </c>
      <c r="AU24" s="312">
        <v>25554</v>
      </c>
      <c r="AV24" s="312">
        <v>23553</v>
      </c>
      <c r="AW24" s="312">
        <v>23076</v>
      </c>
      <c r="AX24" s="312">
        <v>22008</v>
      </c>
      <c r="AY24" s="312">
        <v>22045</v>
      </c>
      <c r="AZ24" s="312">
        <v>24035</v>
      </c>
      <c r="BA24" s="312">
        <v>25120</v>
      </c>
      <c r="BB24" s="312">
        <v>23599</v>
      </c>
      <c r="BC24" s="312">
        <v>23806</v>
      </c>
      <c r="BD24" s="312">
        <v>26379</v>
      </c>
      <c r="BE24" s="312">
        <v>28873</v>
      </c>
      <c r="BF24" s="312">
        <v>28684</v>
      </c>
      <c r="BG24" s="312">
        <v>27258</v>
      </c>
      <c r="BH24" s="310"/>
      <c r="BI24" s="310"/>
      <c r="BJ24" s="310"/>
    </row>
    <row r="25" spans="1:62" x14ac:dyDescent="0.35">
      <c r="A25" s="307" t="s">
        <v>859</v>
      </c>
      <c r="B25" s="308"/>
      <c r="C25" s="308"/>
      <c r="D25" s="308"/>
      <c r="E25" s="308"/>
      <c r="F25" s="308"/>
      <c r="G25" s="308"/>
      <c r="H25" s="308"/>
      <c r="I25" s="308"/>
      <c r="J25" s="308"/>
      <c r="K25" s="308"/>
      <c r="L25" s="308"/>
      <c r="M25" s="308"/>
      <c r="N25" s="308"/>
      <c r="O25" s="308"/>
      <c r="P25" s="308"/>
      <c r="Q25" s="308"/>
      <c r="R25" s="308"/>
      <c r="S25" s="308"/>
      <c r="T25" s="308"/>
      <c r="U25" s="308"/>
      <c r="V25" s="308"/>
      <c r="W25" s="308"/>
      <c r="X25" s="308"/>
      <c r="Y25" s="308"/>
      <c r="Z25" s="308"/>
      <c r="AA25" s="308"/>
      <c r="AB25" s="308"/>
      <c r="AC25" s="308"/>
      <c r="AD25" s="308"/>
      <c r="AE25" s="308"/>
      <c r="AF25" s="308"/>
      <c r="AG25" s="308"/>
      <c r="AH25" s="308"/>
      <c r="AI25" s="308"/>
      <c r="AJ25" s="308"/>
      <c r="AK25" s="308"/>
      <c r="AL25" s="308"/>
      <c r="AM25" s="308"/>
      <c r="AN25" s="308"/>
      <c r="AO25" s="308"/>
      <c r="AP25" s="308"/>
      <c r="AQ25" s="308"/>
      <c r="AR25" s="308"/>
      <c r="AS25" s="308"/>
      <c r="AT25" s="308"/>
      <c r="AU25" s="308"/>
      <c r="AV25" s="308"/>
      <c r="AW25" s="308"/>
      <c r="AX25" s="308"/>
      <c r="AY25" s="308"/>
      <c r="AZ25" s="308"/>
      <c r="BA25" s="308"/>
      <c r="BB25" s="308"/>
      <c r="BC25" s="308"/>
      <c r="BD25" s="308"/>
      <c r="BE25" s="308"/>
      <c r="BF25" s="308"/>
      <c r="BG25" s="308"/>
      <c r="BH25" s="310"/>
    </row>
    <row r="26" spans="1:62" x14ac:dyDescent="0.35">
      <c r="A26" s="309" t="s">
        <v>863</v>
      </c>
      <c r="B26" s="309">
        <v>244</v>
      </c>
      <c r="C26" s="309">
        <v>197</v>
      </c>
      <c r="D26" s="309">
        <v>99</v>
      </c>
      <c r="E26" s="309">
        <v>116</v>
      </c>
      <c r="F26" s="309">
        <v>89</v>
      </c>
      <c r="G26" s="309">
        <v>228</v>
      </c>
      <c r="H26" s="309">
        <v>209</v>
      </c>
      <c r="I26" s="309">
        <v>146</v>
      </c>
      <c r="J26" s="309">
        <v>149</v>
      </c>
      <c r="K26" s="309">
        <v>211</v>
      </c>
      <c r="L26" s="309">
        <v>153</v>
      </c>
      <c r="M26" s="309">
        <v>227</v>
      </c>
      <c r="N26" s="309">
        <v>164</v>
      </c>
      <c r="O26" s="309">
        <v>554</v>
      </c>
      <c r="P26" s="309">
        <v>416</v>
      </c>
      <c r="Q26" s="309">
        <v>257</v>
      </c>
      <c r="R26" s="309">
        <v>1051</v>
      </c>
      <c r="S26" s="309">
        <v>1225</v>
      </c>
      <c r="T26" s="309">
        <v>1016</v>
      </c>
      <c r="U26" s="309">
        <v>320</v>
      </c>
      <c r="V26" s="309">
        <v>484</v>
      </c>
      <c r="W26" s="309">
        <v>1226</v>
      </c>
      <c r="X26" s="309">
        <v>1119</v>
      </c>
      <c r="Y26" s="309">
        <v>935</v>
      </c>
      <c r="Z26" s="309">
        <v>1135</v>
      </c>
      <c r="AA26" s="309">
        <v>1092</v>
      </c>
      <c r="AB26" s="309">
        <v>1195</v>
      </c>
      <c r="AC26" s="309">
        <v>1165</v>
      </c>
      <c r="AD26" s="309">
        <v>775</v>
      </c>
      <c r="AE26" s="309">
        <v>591</v>
      </c>
      <c r="AF26" s="309">
        <v>1128</v>
      </c>
      <c r="AG26" s="309">
        <v>1031</v>
      </c>
      <c r="AH26" s="309">
        <v>1178</v>
      </c>
      <c r="AI26" s="309">
        <v>1449</v>
      </c>
      <c r="AJ26" s="309">
        <v>1007</v>
      </c>
      <c r="AK26" s="309">
        <v>155</v>
      </c>
      <c r="AL26" s="309">
        <v>313</v>
      </c>
      <c r="AM26" s="309">
        <v>312</v>
      </c>
      <c r="AN26" s="309">
        <v>294</v>
      </c>
      <c r="AO26" s="309">
        <v>147</v>
      </c>
      <c r="AP26" s="309">
        <v>100</v>
      </c>
      <c r="AQ26" s="309">
        <v>0</v>
      </c>
      <c r="AR26" s="309">
        <v>0</v>
      </c>
      <c r="AS26" s="309">
        <v>0</v>
      </c>
      <c r="AT26" s="309">
        <v>0</v>
      </c>
      <c r="AU26" s="309">
        <v>0</v>
      </c>
      <c r="AV26" s="309">
        <v>0</v>
      </c>
      <c r="AW26" s="309">
        <v>0</v>
      </c>
      <c r="AX26" s="309">
        <v>0</v>
      </c>
      <c r="AY26" s="309">
        <v>0</v>
      </c>
      <c r="AZ26" s="309">
        <v>0</v>
      </c>
      <c r="BA26" s="309">
        <v>0</v>
      </c>
      <c r="BB26" s="309">
        <v>0</v>
      </c>
      <c r="BC26" s="309">
        <v>0</v>
      </c>
      <c r="BD26" s="309">
        <v>0</v>
      </c>
      <c r="BE26" s="309">
        <v>0</v>
      </c>
      <c r="BF26" s="309">
        <v>0</v>
      </c>
      <c r="BG26" s="309">
        <v>0</v>
      </c>
    </row>
    <row r="27" spans="1:62" x14ac:dyDescent="0.35">
      <c r="A27" s="309" t="s">
        <v>864</v>
      </c>
      <c r="B27" s="309">
        <v>42</v>
      </c>
      <c r="C27" s="309">
        <v>40</v>
      </c>
      <c r="D27" s="309">
        <v>40</v>
      </c>
      <c r="E27" s="309">
        <v>26</v>
      </c>
      <c r="F27" s="309">
        <v>12</v>
      </c>
      <c r="G27" s="309">
        <v>10</v>
      </c>
      <c r="H27" s="309">
        <v>12</v>
      </c>
      <c r="I27" s="309">
        <v>2</v>
      </c>
      <c r="J27" s="309">
        <v>2</v>
      </c>
      <c r="K27" s="309">
        <v>2</v>
      </c>
      <c r="L27" s="309">
        <v>2</v>
      </c>
      <c r="M27" s="309">
        <v>0</v>
      </c>
      <c r="N27" s="309">
        <v>0</v>
      </c>
      <c r="O27" s="309">
        <v>0</v>
      </c>
      <c r="P27" s="309">
        <v>0</v>
      </c>
      <c r="Q27" s="309">
        <v>0</v>
      </c>
      <c r="R27" s="309">
        <v>0</v>
      </c>
      <c r="S27" s="309">
        <v>0</v>
      </c>
      <c r="T27" s="309">
        <v>0</v>
      </c>
      <c r="U27" s="309">
        <v>0</v>
      </c>
      <c r="V27" s="309">
        <v>0</v>
      </c>
      <c r="W27" s="309">
        <v>0</v>
      </c>
      <c r="X27" s="309">
        <v>0</v>
      </c>
      <c r="Y27" s="309">
        <v>0</v>
      </c>
      <c r="Z27" s="309">
        <v>0</v>
      </c>
      <c r="AA27" s="309">
        <v>0</v>
      </c>
      <c r="AB27" s="309">
        <v>0</v>
      </c>
      <c r="AC27" s="309">
        <v>0</v>
      </c>
      <c r="AD27" s="309">
        <v>0</v>
      </c>
      <c r="AE27" s="309">
        <v>0</v>
      </c>
      <c r="AF27" s="309">
        <v>0</v>
      </c>
      <c r="AG27" s="309">
        <v>0</v>
      </c>
      <c r="AH27" s="309">
        <v>0</v>
      </c>
      <c r="AI27" s="309">
        <v>0</v>
      </c>
      <c r="AJ27" s="309">
        <v>0</v>
      </c>
      <c r="AK27" s="309">
        <v>0</v>
      </c>
      <c r="AL27" s="309">
        <v>0</v>
      </c>
      <c r="AM27" s="309">
        <v>0</v>
      </c>
      <c r="AN27" s="309">
        <v>0</v>
      </c>
      <c r="AO27" s="309">
        <v>0</v>
      </c>
      <c r="AP27" s="309">
        <v>0</v>
      </c>
      <c r="AQ27" s="309">
        <v>0</v>
      </c>
      <c r="AR27" s="309">
        <v>0</v>
      </c>
      <c r="AS27" s="309">
        <v>0</v>
      </c>
      <c r="AT27" s="309">
        <v>0</v>
      </c>
      <c r="AU27" s="309">
        <v>0</v>
      </c>
      <c r="AV27" s="309">
        <v>0</v>
      </c>
      <c r="AW27" s="309">
        <v>0</v>
      </c>
      <c r="AX27" s="309">
        <v>0</v>
      </c>
      <c r="AY27" s="309">
        <v>0</v>
      </c>
      <c r="AZ27" s="309">
        <v>0</v>
      </c>
      <c r="BA27" s="309">
        <v>0</v>
      </c>
      <c r="BB27" s="309">
        <v>0</v>
      </c>
      <c r="BC27" s="309">
        <v>0</v>
      </c>
      <c r="BD27" s="309">
        <v>0</v>
      </c>
      <c r="BE27" s="309">
        <v>0</v>
      </c>
      <c r="BF27" s="309">
        <v>0</v>
      </c>
      <c r="BG27" s="309">
        <v>0</v>
      </c>
      <c r="BH27" s="310"/>
    </row>
    <row r="28" spans="1:62" x14ac:dyDescent="0.35">
      <c r="A28" s="309" t="s">
        <v>865</v>
      </c>
      <c r="B28" s="309">
        <v>0</v>
      </c>
      <c r="C28" s="309">
        <v>0</v>
      </c>
      <c r="D28" s="309">
        <v>0</v>
      </c>
      <c r="E28" s="309">
        <v>15</v>
      </c>
      <c r="F28" s="309">
        <v>25</v>
      </c>
      <c r="G28" s="309">
        <v>25</v>
      </c>
      <c r="H28" s="309">
        <v>24</v>
      </c>
      <c r="I28" s="309">
        <v>22</v>
      </c>
      <c r="J28" s="309">
        <v>20</v>
      </c>
      <c r="K28" s="309">
        <v>20</v>
      </c>
      <c r="L28" s="309">
        <v>20</v>
      </c>
      <c r="M28" s="309">
        <v>12</v>
      </c>
      <c r="N28" s="309">
        <v>10</v>
      </c>
      <c r="O28" s="309">
        <v>10</v>
      </c>
      <c r="P28" s="309">
        <v>0</v>
      </c>
      <c r="Q28" s="309">
        <v>0</v>
      </c>
      <c r="R28" s="309">
        <v>0</v>
      </c>
      <c r="S28" s="309">
        <v>0</v>
      </c>
      <c r="T28" s="309">
        <v>0</v>
      </c>
      <c r="U28" s="309">
        <v>0</v>
      </c>
      <c r="V28" s="309">
        <v>0</v>
      </c>
      <c r="W28" s="309">
        <v>0</v>
      </c>
      <c r="X28" s="309">
        <v>0</v>
      </c>
      <c r="Y28" s="309">
        <v>0</v>
      </c>
      <c r="Z28" s="309">
        <v>0</v>
      </c>
      <c r="AA28" s="309">
        <v>0</v>
      </c>
      <c r="AB28" s="309">
        <v>0</v>
      </c>
      <c r="AC28" s="309">
        <v>0</v>
      </c>
      <c r="AD28" s="309">
        <v>0</v>
      </c>
      <c r="AE28" s="309">
        <v>0</v>
      </c>
      <c r="AF28" s="309">
        <v>0</v>
      </c>
      <c r="AG28" s="309">
        <v>0</v>
      </c>
      <c r="AH28" s="309">
        <v>0</v>
      </c>
      <c r="AI28" s="309">
        <v>0</v>
      </c>
      <c r="AJ28" s="309">
        <v>0</v>
      </c>
      <c r="AK28" s="309">
        <v>0</v>
      </c>
      <c r="AL28" s="309">
        <v>0</v>
      </c>
      <c r="AM28" s="309">
        <v>0</v>
      </c>
      <c r="AN28" s="309">
        <v>0</v>
      </c>
      <c r="AO28" s="309">
        <v>0</v>
      </c>
      <c r="AP28" s="309">
        <v>0</v>
      </c>
      <c r="AQ28" s="309">
        <v>0</v>
      </c>
      <c r="AR28" s="309">
        <v>0</v>
      </c>
      <c r="AS28" s="309">
        <v>0</v>
      </c>
      <c r="AT28" s="309">
        <v>0</v>
      </c>
      <c r="AU28" s="309">
        <v>0</v>
      </c>
      <c r="AV28" s="309">
        <v>0</v>
      </c>
      <c r="AW28" s="309">
        <v>0</v>
      </c>
      <c r="AX28" s="309">
        <v>0</v>
      </c>
      <c r="AY28" s="309">
        <v>0</v>
      </c>
      <c r="AZ28" s="309">
        <v>0</v>
      </c>
      <c r="BA28" s="309">
        <v>0</v>
      </c>
      <c r="BB28" s="309">
        <v>0</v>
      </c>
      <c r="BC28" s="309">
        <v>0</v>
      </c>
      <c r="BD28" s="309">
        <v>0</v>
      </c>
      <c r="BE28" s="309">
        <v>0</v>
      </c>
      <c r="BF28" s="309">
        <v>0</v>
      </c>
      <c r="BG28" s="309">
        <v>0</v>
      </c>
      <c r="BH28" s="310"/>
      <c r="BI28" s="310"/>
      <c r="BJ28" s="310"/>
    </row>
    <row r="29" spans="1:62" ht="16" thickBot="1" x14ac:dyDescent="0.4">
      <c r="A29" s="311" t="s">
        <v>866</v>
      </c>
      <c r="B29" s="311">
        <v>0</v>
      </c>
      <c r="C29" s="311">
        <v>0</v>
      </c>
      <c r="D29" s="311">
        <v>0</v>
      </c>
      <c r="E29" s="311">
        <v>0</v>
      </c>
      <c r="F29" s="311">
        <v>0</v>
      </c>
      <c r="G29" s="311">
        <v>0</v>
      </c>
      <c r="H29" s="311">
        <v>0</v>
      </c>
      <c r="I29" s="311">
        <v>0</v>
      </c>
      <c r="J29" s="311">
        <v>0</v>
      </c>
      <c r="K29" s="311">
        <v>0</v>
      </c>
      <c r="L29" s="311">
        <v>0</v>
      </c>
      <c r="M29" s="311">
        <v>0</v>
      </c>
      <c r="N29" s="311">
        <v>0</v>
      </c>
      <c r="O29" s="311">
        <v>0</v>
      </c>
      <c r="P29" s="311">
        <v>0</v>
      </c>
      <c r="Q29" s="311">
        <v>0</v>
      </c>
      <c r="R29" s="311">
        <v>0</v>
      </c>
      <c r="S29" s="311">
        <v>0</v>
      </c>
      <c r="T29" s="311">
        <v>0</v>
      </c>
      <c r="U29" s="311">
        <v>0</v>
      </c>
      <c r="V29" s="311">
        <v>0</v>
      </c>
      <c r="W29" s="311">
        <v>0</v>
      </c>
      <c r="X29" s="311">
        <v>0</v>
      </c>
      <c r="Y29" s="311">
        <v>0</v>
      </c>
      <c r="Z29" s="311">
        <v>0</v>
      </c>
      <c r="AA29" s="311">
        <v>0</v>
      </c>
      <c r="AB29" s="311">
        <v>0</v>
      </c>
      <c r="AC29" s="311">
        <v>0</v>
      </c>
      <c r="AD29" s="311">
        <v>0</v>
      </c>
      <c r="AE29" s="311">
        <v>0</v>
      </c>
      <c r="AF29" s="311">
        <v>0</v>
      </c>
      <c r="AG29" s="311">
        <v>0</v>
      </c>
      <c r="AH29" s="311">
        <v>0</v>
      </c>
      <c r="AI29" s="311">
        <v>0</v>
      </c>
      <c r="AJ29" s="311">
        <v>0</v>
      </c>
      <c r="AK29" s="311">
        <v>0</v>
      </c>
      <c r="AL29" s="311">
        <v>0</v>
      </c>
      <c r="AM29" s="311">
        <v>0</v>
      </c>
      <c r="AN29" s="311">
        <v>0</v>
      </c>
      <c r="AO29" s="311">
        <v>0</v>
      </c>
      <c r="AP29" s="311">
        <v>0</v>
      </c>
      <c r="AQ29" s="311">
        <v>0</v>
      </c>
      <c r="AR29" s="311">
        <v>0</v>
      </c>
      <c r="AS29" s="311">
        <v>0</v>
      </c>
      <c r="AT29" s="311">
        <v>0</v>
      </c>
      <c r="AU29" s="311">
        <v>0</v>
      </c>
      <c r="AV29" s="311">
        <v>0</v>
      </c>
      <c r="AW29" s="311">
        <v>0</v>
      </c>
      <c r="AX29" s="311">
        <v>0</v>
      </c>
      <c r="AY29" s="311">
        <v>0</v>
      </c>
      <c r="AZ29" s="311">
        <v>0</v>
      </c>
      <c r="BA29" s="311">
        <v>0</v>
      </c>
      <c r="BB29" s="311">
        <v>0</v>
      </c>
      <c r="BC29" s="311">
        <v>0</v>
      </c>
      <c r="BD29" s="311">
        <v>0</v>
      </c>
      <c r="BE29" s="311">
        <v>0</v>
      </c>
      <c r="BF29" s="311">
        <v>0</v>
      </c>
      <c r="BG29" s="311">
        <v>0</v>
      </c>
    </row>
    <row r="30" spans="1:62" x14ac:dyDescent="0.35">
      <c r="A30" s="312" t="s">
        <v>0</v>
      </c>
      <c r="B30" s="312">
        <f>SUM(B26:B29)</f>
        <v>286</v>
      </c>
      <c r="C30" s="312">
        <f t="shared" ref="C30:M30" si="1">SUM(C26:C29)</f>
        <v>237</v>
      </c>
      <c r="D30" s="312">
        <f t="shared" si="1"/>
        <v>139</v>
      </c>
      <c r="E30" s="312">
        <f t="shared" si="1"/>
        <v>157</v>
      </c>
      <c r="F30" s="312">
        <f t="shared" si="1"/>
        <v>126</v>
      </c>
      <c r="G30" s="312">
        <f t="shared" si="1"/>
        <v>263</v>
      </c>
      <c r="H30" s="312">
        <f t="shared" si="1"/>
        <v>245</v>
      </c>
      <c r="I30" s="312">
        <f t="shared" si="1"/>
        <v>170</v>
      </c>
      <c r="J30" s="312">
        <f t="shared" si="1"/>
        <v>171</v>
      </c>
      <c r="K30" s="312">
        <f t="shared" si="1"/>
        <v>233</v>
      </c>
      <c r="L30" s="312">
        <f t="shared" si="1"/>
        <v>175</v>
      </c>
      <c r="M30" s="312">
        <f t="shared" si="1"/>
        <v>239</v>
      </c>
      <c r="N30" s="312">
        <v>174</v>
      </c>
      <c r="O30" s="312">
        <v>564</v>
      </c>
      <c r="P30" s="312">
        <v>416</v>
      </c>
      <c r="Q30" s="312">
        <v>257</v>
      </c>
      <c r="R30" s="312">
        <v>1051</v>
      </c>
      <c r="S30" s="312">
        <v>1225</v>
      </c>
      <c r="T30" s="312">
        <v>1016</v>
      </c>
      <c r="U30" s="312">
        <v>320</v>
      </c>
      <c r="V30" s="312">
        <v>484</v>
      </c>
      <c r="W30" s="312">
        <v>1226</v>
      </c>
      <c r="X30" s="312">
        <v>1119</v>
      </c>
      <c r="Y30" s="312">
        <v>935</v>
      </c>
      <c r="Z30" s="312">
        <v>1135</v>
      </c>
      <c r="AA30" s="312">
        <v>1092</v>
      </c>
      <c r="AB30" s="312">
        <v>1195</v>
      </c>
      <c r="AC30" s="312">
        <v>1165</v>
      </c>
      <c r="AD30" s="312">
        <v>775</v>
      </c>
      <c r="AE30" s="312">
        <v>591</v>
      </c>
      <c r="AF30" s="312">
        <v>1128</v>
      </c>
      <c r="AG30" s="312">
        <v>1031</v>
      </c>
      <c r="AH30" s="312">
        <v>1178</v>
      </c>
      <c r="AI30" s="312">
        <v>1449</v>
      </c>
      <c r="AJ30" s="312">
        <v>1007</v>
      </c>
      <c r="AK30" s="312">
        <v>155</v>
      </c>
      <c r="AL30" s="312">
        <v>313</v>
      </c>
      <c r="AM30" s="312">
        <v>312</v>
      </c>
      <c r="AN30" s="312">
        <v>294</v>
      </c>
      <c r="AO30" s="312">
        <v>147</v>
      </c>
      <c r="AP30" s="312">
        <v>100</v>
      </c>
      <c r="AQ30" s="312">
        <f t="shared" ref="AQ30:BG30" si="2">SUM(AQ26:AQ29)</f>
        <v>0</v>
      </c>
      <c r="AR30" s="312">
        <f t="shared" si="2"/>
        <v>0</v>
      </c>
      <c r="AS30" s="312">
        <f t="shared" si="2"/>
        <v>0</v>
      </c>
      <c r="AT30" s="312">
        <f t="shared" si="2"/>
        <v>0</v>
      </c>
      <c r="AU30" s="312">
        <f t="shared" si="2"/>
        <v>0</v>
      </c>
      <c r="AV30" s="312">
        <f t="shared" si="2"/>
        <v>0</v>
      </c>
      <c r="AW30" s="312">
        <f t="shared" si="2"/>
        <v>0</v>
      </c>
      <c r="AX30" s="312">
        <f t="shared" si="2"/>
        <v>0</v>
      </c>
      <c r="AY30" s="312">
        <f t="shared" si="2"/>
        <v>0</v>
      </c>
      <c r="AZ30" s="312">
        <f t="shared" si="2"/>
        <v>0</v>
      </c>
      <c r="BA30" s="312">
        <f t="shared" si="2"/>
        <v>0</v>
      </c>
      <c r="BB30" s="312">
        <f t="shared" si="2"/>
        <v>0</v>
      </c>
      <c r="BC30" s="312">
        <f t="shared" si="2"/>
        <v>0</v>
      </c>
      <c r="BD30" s="312">
        <f t="shared" si="2"/>
        <v>0</v>
      </c>
      <c r="BE30" s="312">
        <f t="shared" si="2"/>
        <v>0</v>
      </c>
      <c r="BF30" s="312">
        <f t="shared" si="2"/>
        <v>0</v>
      </c>
      <c r="BG30" s="312">
        <f t="shared" si="2"/>
        <v>0</v>
      </c>
    </row>
    <row r="31" spans="1:62" x14ac:dyDescent="0.35">
      <c r="A31" s="307" t="s">
        <v>860</v>
      </c>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c r="AG31" s="308"/>
      <c r="AH31" s="308"/>
      <c r="AI31" s="308"/>
      <c r="AJ31" s="308"/>
      <c r="AK31" s="308"/>
      <c r="AL31" s="308"/>
      <c r="AM31" s="308"/>
      <c r="AN31" s="308"/>
      <c r="AO31" s="308"/>
      <c r="AP31" s="308"/>
      <c r="AQ31" s="308"/>
      <c r="AR31" s="308"/>
      <c r="AS31" s="308"/>
      <c r="AT31" s="308"/>
      <c r="AU31" s="308"/>
      <c r="AV31" s="308"/>
      <c r="AW31" s="308"/>
      <c r="AX31" s="308"/>
      <c r="AY31" s="308"/>
      <c r="AZ31" s="308"/>
      <c r="BA31" s="308"/>
      <c r="BB31" s="308"/>
      <c r="BC31" s="308"/>
      <c r="BD31" s="308"/>
      <c r="BE31" s="308"/>
      <c r="BF31" s="308"/>
      <c r="BG31" s="308"/>
    </row>
    <row r="32" spans="1:62" x14ac:dyDescent="0.35">
      <c r="A32" s="309" t="s">
        <v>863</v>
      </c>
      <c r="B32" s="309">
        <v>1037</v>
      </c>
      <c r="C32" s="309">
        <v>855</v>
      </c>
      <c r="D32" s="309">
        <v>795</v>
      </c>
      <c r="E32" s="309">
        <v>644</v>
      </c>
      <c r="F32" s="309">
        <v>542</v>
      </c>
      <c r="G32" s="309">
        <v>502</v>
      </c>
      <c r="H32" s="309">
        <v>531</v>
      </c>
      <c r="I32" s="309">
        <v>511</v>
      </c>
      <c r="J32" s="309">
        <v>487</v>
      </c>
      <c r="K32" s="309">
        <v>519</v>
      </c>
      <c r="L32" s="309">
        <v>548</v>
      </c>
      <c r="M32" s="309">
        <v>560</v>
      </c>
      <c r="N32" s="309">
        <v>648</v>
      </c>
      <c r="O32" s="309">
        <v>637</v>
      </c>
      <c r="P32" s="309">
        <v>699</v>
      </c>
      <c r="Q32" s="309">
        <v>855</v>
      </c>
      <c r="R32" s="309">
        <v>1097</v>
      </c>
      <c r="S32" s="309">
        <v>1529</v>
      </c>
      <c r="T32" s="309">
        <v>1625</v>
      </c>
      <c r="U32" s="309">
        <v>2075</v>
      </c>
      <c r="V32" s="309">
        <v>2672</v>
      </c>
      <c r="W32" s="309">
        <v>3212</v>
      </c>
      <c r="X32" s="309">
        <v>3691</v>
      </c>
      <c r="Y32" s="309">
        <v>4359</v>
      </c>
      <c r="Z32" s="309">
        <v>3336</v>
      </c>
      <c r="AA32" s="309">
        <v>3326</v>
      </c>
      <c r="AB32" s="309">
        <v>2608</v>
      </c>
      <c r="AC32" s="309">
        <v>2484</v>
      </c>
      <c r="AD32" s="309">
        <v>2225</v>
      </c>
      <c r="AE32" s="309">
        <v>2397</v>
      </c>
      <c r="AF32" s="309">
        <v>2261</v>
      </c>
      <c r="AG32" s="309">
        <v>2216</v>
      </c>
      <c r="AH32" s="309">
        <v>2555</v>
      </c>
      <c r="AI32" s="309">
        <v>2223</v>
      </c>
      <c r="AJ32" s="309">
        <v>1816</v>
      </c>
      <c r="AK32" s="309">
        <v>1429</v>
      </c>
      <c r="AL32" s="309">
        <v>1225</v>
      </c>
      <c r="AM32" s="309">
        <v>1430</v>
      </c>
      <c r="AN32" s="309">
        <v>1580</v>
      </c>
      <c r="AO32" s="309">
        <v>1410</v>
      </c>
      <c r="AP32" s="309">
        <v>1365</v>
      </c>
      <c r="AQ32" s="309">
        <v>1038</v>
      </c>
      <c r="AR32" s="309">
        <v>1038</v>
      </c>
      <c r="AS32" s="309">
        <v>1151</v>
      </c>
      <c r="AT32" s="309">
        <v>1084</v>
      </c>
      <c r="AU32" s="309">
        <v>918</v>
      </c>
      <c r="AV32" s="309">
        <v>1461</v>
      </c>
      <c r="AW32" s="309">
        <v>1609</v>
      </c>
      <c r="AX32" s="309">
        <v>1782</v>
      </c>
      <c r="AY32" s="309">
        <v>1834</v>
      </c>
      <c r="AZ32" s="309">
        <v>2103</v>
      </c>
      <c r="BA32" s="309">
        <v>2215</v>
      </c>
      <c r="BB32" s="309">
        <v>2554</v>
      </c>
      <c r="BC32" s="309">
        <v>2700</v>
      </c>
      <c r="BD32" s="309">
        <v>2396</v>
      </c>
      <c r="BE32" s="309">
        <v>2624</v>
      </c>
      <c r="BF32" s="309">
        <v>3073</v>
      </c>
      <c r="BG32" s="309">
        <v>3156</v>
      </c>
      <c r="BH32" s="310"/>
      <c r="BI32" s="310"/>
      <c r="BJ32" s="310"/>
    </row>
    <row r="33" spans="1:62" x14ac:dyDescent="0.35">
      <c r="A33" s="309" t="s">
        <v>864</v>
      </c>
      <c r="B33" s="309">
        <v>1207</v>
      </c>
      <c r="C33" s="309">
        <v>1052</v>
      </c>
      <c r="D33" s="309">
        <v>1013</v>
      </c>
      <c r="E33" s="309">
        <v>879</v>
      </c>
      <c r="F33" s="309">
        <v>781</v>
      </c>
      <c r="G33" s="309">
        <v>678</v>
      </c>
      <c r="H33" s="309">
        <v>552</v>
      </c>
      <c r="I33" s="309">
        <v>428</v>
      </c>
      <c r="J33" s="309">
        <v>343</v>
      </c>
      <c r="K33" s="309">
        <v>306</v>
      </c>
      <c r="L33" s="309">
        <v>257</v>
      </c>
      <c r="M33" s="309">
        <v>210</v>
      </c>
      <c r="N33" s="309">
        <v>189</v>
      </c>
      <c r="O33" s="309">
        <v>159</v>
      </c>
      <c r="P33" s="309">
        <v>130</v>
      </c>
      <c r="Q33" s="309">
        <v>112</v>
      </c>
      <c r="R33" s="309">
        <v>87</v>
      </c>
      <c r="S33" s="309">
        <v>57</v>
      </c>
      <c r="T33" s="309">
        <v>53</v>
      </c>
      <c r="U33" s="309">
        <v>46</v>
      </c>
      <c r="V33" s="309">
        <v>45</v>
      </c>
      <c r="W33" s="309">
        <v>56</v>
      </c>
      <c r="X33" s="309">
        <v>60</v>
      </c>
      <c r="Y33" s="309">
        <v>68</v>
      </c>
      <c r="Z33" s="309">
        <v>61</v>
      </c>
      <c r="AA33" s="309">
        <v>58</v>
      </c>
      <c r="AB33" s="309">
        <v>60</v>
      </c>
      <c r="AC33" s="309">
        <v>70</v>
      </c>
      <c r="AD33" s="309">
        <v>80</v>
      </c>
      <c r="AE33" s="309">
        <v>77</v>
      </c>
      <c r="AF33" s="309">
        <v>56</v>
      </c>
      <c r="AG33" s="309">
        <v>65</v>
      </c>
      <c r="AH33" s="309">
        <v>73</v>
      </c>
      <c r="AI33" s="309">
        <v>71</v>
      </c>
      <c r="AJ33" s="309">
        <v>62</v>
      </c>
      <c r="AK33" s="309">
        <v>64</v>
      </c>
      <c r="AL33" s="309">
        <v>67</v>
      </c>
      <c r="AM33" s="309">
        <v>72</v>
      </c>
      <c r="AN33" s="309">
        <v>63</v>
      </c>
      <c r="AO33" s="309">
        <v>65</v>
      </c>
      <c r="AP33" s="309">
        <v>63</v>
      </c>
      <c r="AQ33" s="309">
        <v>72</v>
      </c>
      <c r="AR33" s="309">
        <v>71</v>
      </c>
      <c r="AS33" s="309">
        <v>69</v>
      </c>
      <c r="AT33" s="309">
        <v>67</v>
      </c>
      <c r="AU33" s="309">
        <v>74</v>
      </c>
      <c r="AV33" s="309">
        <v>81</v>
      </c>
      <c r="AW33" s="309">
        <v>81</v>
      </c>
      <c r="AX33" s="309">
        <v>87</v>
      </c>
      <c r="AY33" s="309">
        <v>96</v>
      </c>
      <c r="AZ33" s="309">
        <v>96</v>
      </c>
      <c r="BA33" s="309">
        <v>96</v>
      </c>
      <c r="BB33" s="309">
        <v>95</v>
      </c>
      <c r="BC33" s="309">
        <v>95</v>
      </c>
      <c r="BD33" s="309">
        <v>106</v>
      </c>
      <c r="BE33" s="309">
        <v>116</v>
      </c>
      <c r="BF33" s="309">
        <v>119</v>
      </c>
      <c r="BG33" s="309">
        <v>140</v>
      </c>
    </row>
    <row r="34" spans="1:62" x14ac:dyDescent="0.35">
      <c r="A34" s="309" t="s">
        <v>865</v>
      </c>
      <c r="B34" s="309">
        <v>1127</v>
      </c>
      <c r="C34" s="309">
        <v>1220</v>
      </c>
      <c r="D34" s="309">
        <v>1214</v>
      </c>
      <c r="E34" s="309">
        <v>1268</v>
      </c>
      <c r="F34" s="309">
        <v>1278</v>
      </c>
      <c r="G34" s="309">
        <v>1245</v>
      </c>
      <c r="H34" s="309">
        <v>1188</v>
      </c>
      <c r="I34" s="309">
        <v>1150</v>
      </c>
      <c r="J34" s="309">
        <v>1098</v>
      </c>
      <c r="K34" s="309">
        <v>1029</v>
      </c>
      <c r="L34" s="309">
        <v>948</v>
      </c>
      <c r="M34" s="309">
        <v>874</v>
      </c>
      <c r="N34" s="309">
        <v>826</v>
      </c>
      <c r="O34" s="309">
        <v>755</v>
      </c>
      <c r="P34" s="309">
        <v>672</v>
      </c>
      <c r="Q34" s="309">
        <v>623</v>
      </c>
      <c r="R34" s="309">
        <v>477</v>
      </c>
      <c r="S34" s="309">
        <v>181</v>
      </c>
      <c r="T34" s="309">
        <v>84</v>
      </c>
      <c r="U34" s="309">
        <v>56</v>
      </c>
      <c r="V34" s="309">
        <v>48</v>
      </c>
      <c r="W34" s="309">
        <v>41</v>
      </c>
      <c r="X34" s="309">
        <v>40</v>
      </c>
      <c r="Y34" s="309">
        <v>41</v>
      </c>
      <c r="Z34" s="309">
        <v>36</v>
      </c>
      <c r="AA34" s="309">
        <v>40</v>
      </c>
      <c r="AB34" s="309">
        <v>36</v>
      </c>
      <c r="AC34" s="309">
        <v>32</v>
      </c>
      <c r="AD34" s="309">
        <v>30</v>
      </c>
      <c r="AE34" s="309">
        <v>30</v>
      </c>
      <c r="AF34" s="309">
        <v>12</v>
      </c>
      <c r="AG34" s="309">
        <v>15</v>
      </c>
      <c r="AH34" s="309">
        <v>17</v>
      </c>
      <c r="AI34" s="309">
        <v>18</v>
      </c>
      <c r="AJ34" s="309">
        <v>17</v>
      </c>
      <c r="AK34" s="309">
        <v>15</v>
      </c>
      <c r="AL34" s="309">
        <v>15</v>
      </c>
      <c r="AM34" s="309">
        <v>14</v>
      </c>
      <c r="AN34" s="309">
        <v>14</v>
      </c>
      <c r="AO34" s="309">
        <v>17</v>
      </c>
      <c r="AP34" s="309">
        <v>15</v>
      </c>
      <c r="AQ34" s="309">
        <v>12</v>
      </c>
      <c r="AR34" s="309">
        <v>13</v>
      </c>
      <c r="AS34" s="309">
        <v>13</v>
      </c>
      <c r="AT34" s="309">
        <v>15</v>
      </c>
      <c r="AU34" s="309">
        <v>16</v>
      </c>
      <c r="AV34" s="309">
        <v>17</v>
      </c>
      <c r="AW34" s="309">
        <v>16</v>
      </c>
      <c r="AX34" s="309">
        <v>16</v>
      </c>
      <c r="AY34" s="309">
        <v>18</v>
      </c>
      <c r="AZ34" s="309">
        <v>20</v>
      </c>
      <c r="BA34" s="309">
        <v>20</v>
      </c>
      <c r="BB34" s="309">
        <v>23</v>
      </c>
      <c r="BC34" s="309">
        <v>27</v>
      </c>
      <c r="BD34" s="309">
        <v>31</v>
      </c>
      <c r="BE34" s="309">
        <v>29</v>
      </c>
      <c r="BF34" s="309">
        <v>25</v>
      </c>
      <c r="BG34" s="309">
        <v>21</v>
      </c>
    </row>
    <row r="35" spans="1:62" ht="16" thickBot="1" x14ac:dyDescent="0.4">
      <c r="A35" s="311" t="s">
        <v>866</v>
      </c>
      <c r="B35" s="311">
        <v>1</v>
      </c>
      <c r="C35" s="311">
        <v>1</v>
      </c>
      <c r="D35" s="311">
        <v>1</v>
      </c>
      <c r="E35" s="311">
        <v>1</v>
      </c>
      <c r="F35" s="311">
        <v>1</v>
      </c>
      <c r="G35" s="311">
        <v>10</v>
      </c>
      <c r="H35" s="311">
        <v>12</v>
      </c>
      <c r="I35" s="311">
        <v>17</v>
      </c>
      <c r="J35" s="311">
        <v>20</v>
      </c>
      <c r="K35" s="311">
        <v>23</v>
      </c>
      <c r="L35" s="311">
        <v>32</v>
      </c>
      <c r="M35" s="311">
        <v>38</v>
      </c>
      <c r="N35" s="311">
        <v>54</v>
      </c>
      <c r="O35" s="311">
        <v>57</v>
      </c>
      <c r="P35" s="311">
        <v>65</v>
      </c>
      <c r="Q35" s="311">
        <v>64</v>
      </c>
      <c r="R35" s="311">
        <v>60</v>
      </c>
      <c r="S35" s="311">
        <v>35</v>
      </c>
      <c r="T35" s="311">
        <v>23</v>
      </c>
      <c r="U35" s="311">
        <v>14</v>
      </c>
      <c r="V35" s="311">
        <v>11</v>
      </c>
      <c r="W35" s="311">
        <v>11</v>
      </c>
      <c r="X35" s="311">
        <v>10</v>
      </c>
      <c r="Y35" s="311">
        <v>10</v>
      </c>
      <c r="Z35" s="311">
        <v>11</v>
      </c>
      <c r="AA35" s="311">
        <v>11</v>
      </c>
      <c r="AB35" s="311">
        <v>13</v>
      </c>
      <c r="AC35" s="311">
        <v>12</v>
      </c>
      <c r="AD35" s="311">
        <v>13</v>
      </c>
      <c r="AE35" s="311">
        <v>13</v>
      </c>
      <c r="AF35" s="311">
        <v>2</v>
      </c>
      <c r="AG35" s="311">
        <v>1</v>
      </c>
      <c r="AH35" s="311">
        <v>1</v>
      </c>
      <c r="AI35" s="311">
        <v>2</v>
      </c>
      <c r="AJ35" s="311">
        <v>2</v>
      </c>
      <c r="AK35" s="311">
        <v>3</v>
      </c>
      <c r="AL35" s="311">
        <v>3</v>
      </c>
      <c r="AM35" s="311">
        <v>5</v>
      </c>
      <c r="AN35" s="311">
        <v>5</v>
      </c>
      <c r="AO35" s="311">
        <v>5</v>
      </c>
      <c r="AP35" s="311">
        <v>5</v>
      </c>
      <c r="AQ35" s="311">
        <v>6</v>
      </c>
      <c r="AR35" s="311">
        <v>5</v>
      </c>
      <c r="AS35" s="311">
        <v>6</v>
      </c>
      <c r="AT35" s="311">
        <v>5</v>
      </c>
      <c r="AU35" s="311">
        <v>5</v>
      </c>
      <c r="AV35" s="311">
        <v>5</v>
      </c>
      <c r="AW35" s="311">
        <v>7</v>
      </c>
      <c r="AX35" s="311">
        <v>7</v>
      </c>
      <c r="AY35" s="311">
        <v>7</v>
      </c>
      <c r="AZ35" s="311">
        <v>7</v>
      </c>
      <c r="BA35" s="311">
        <v>6</v>
      </c>
      <c r="BB35" s="311">
        <v>6</v>
      </c>
      <c r="BC35" s="311">
        <v>4</v>
      </c>
      <c r="BD35" s="311">
        <v>4</v>
      </c>
      <c r="BE35" s="311">
        <v>5</v>
      </c>
      <c r="BF35" s="311">
        <v>5</v>
      </c>
      <c r="BG35" s="311">
        <v>6</v>
      </c>
    </row>
    <row r="36" spans="1:62" x14ac:dyDescent="0.35">
      <c r="A36" s="312" t="s">
        <v>0</v>
      </c>
      <c r="B36" s="312">
        <v>3372</v>
      </c>
      <c r="C36" s="312">
        <v>3128</v>
      </c>
      <c r="D36" s="312">
        <v>3023</v>
      </c>
      <c r="E36" s="312">
        <v>2792</v>
      </c>
      <c r="F36" s="312">
        <v>2602</v>
      </c>
      <c r="G36" s="312">
        <v>2435</v>
      </c>
      <c r="H36" s="312">
        <v>2283</v>
      </c>
      <c r="I36" s="312">
        <v>2106</v>
      </c>
      <c r="J36" s="312">
        <v>1948</v>
      </c>
      <c r="K36" s="312">
        <v>1877</v>
      </c>
      <c r="L36" s="312">
        <v>1785</v>
      </c>
      <c r="M36" s="312">
        <v>1682</v>
      </c>
      <c r="N36" s="312">
        <v>1717</v>
      </c>
      <c r="O36" s="312">
        <v>1608</v>
      </c>
      <c r="P36" s="312">
        <v>1566</v>
      </c>
      <c r="Q36" s="312">
        <v>1654</v>
      </c>
      <c r="R36" s="312">
        <v>1721</v>
      </c>
      <c r="S36" s="312">
        <v>1802</v>
      </c>
      <c r="T36" s="312">
        <v>1785</v>
      </c>
      <c r="U36" s="312">
        <v>2191</v>
      </c>
      <c r="V36" s="312">
        <v>2776</v>
      </c>
      <c r="W36" s="312">
        <v>3320</v>
      </c>
      <c r="X36" s="312">
        <v>3801</v>
      </c>
      <c r="Y36" s="312">
        <v>4478</v>
      </c>
      <c r="Z36" s="312">
        <v>3444</v>
      </c>
      <c r="AA36" s="312">
        <v>3435</v>
      </c>
      <c r="AB36" s="312">
        <v>2717</v>
      </c>
      <c r="AC36" s="312">
        <v>2598</v>
      </c>
      <c r="AD36" s="312">
        <v>2348</v>
      </c>
      <c r="AE36" s="312">
        <v>2517</v>
      </c>
      <c r="AF36" s="312">
        <v>2331</v>
      </c>
      <c r="AG36" s="312">
        <v>2297</v>
      </c>
      <c r="AH36" s="312">
        <v>2646</v>
      </c>
      <c r="AI36" s="312">
        <v>2314</v>
      </c>
      <c r="AJ36" s="312">
        <v>1897</v>
      </c>
      <c r="AK36" s="312">
        <v>1511</v>
      </c>
      <c r="AL36" s="312">
        <v>1310</v>
      </c>
      <c r="AM36" s="312">
        <v>1521</v>
      </c>
      <c r="AN36" s="312">
        <v>1662</v>
      </c>
      <c r="AO36" s="312">
        <v>1497</v>
      </c>
      <c r="AP36" s="312">
        <v>1448</v>
      </c>
      <c r="AQ36" s="312">
        <v>1128</v>
      </c>
      <c r="AR36" s="312">
        <v>1127</v>
      </c>
      <c r="AS36" s="312">
        <v>1239</v>
      </c>
      <c r="AT36" s="312">
        <v>1171</v>
      </c>
      <c r="AU36" s="312">
        <v>1013</v>
      </c>
      <c r="AV36" s="312">
        <v>1564</v>
      </c>
      <c r="AW36" s="312">
        <v>1713</v>
      </c>
      <c r="AX36" s="312">
        <v>1892</v>
      </c>
      <c r="AY36" s="312">
        <v>1955</v>
      </c>
      <c r="AZ36" s="312">
        <v>2226</v>
      </c>
      <c r="BA36" s="312">
        <v>2337</v>
      </c>
      <c r="BB36" s="312">
        <v>2678</v>
      </c>
      <c r="BC36" s="312">
        <v>2826</v>
      </c>
      <c r="BD36" s="312">
        <v>2537</v>
      </c>
      <c r="BE36" s="312">
        <v>2774</v>
      </c>
      <c r="BF36" s="312">
        <v>3222</v>
      </c>
      <c r="BG36" s="312">
        <v>3323</v>
      </c>
      <c r="BH36" s="310"/>
      <c r="BI36" s="310"/>
      <c r="BJ36" s="310"/>
    </row>
    <row r="37" spans="1:62" x14ac:dyDescent="0.35">
      <c r="A37" s="307" t="s">
        <v>861</v>
      </c>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c r="AD37" s="308"/>
      <c r="AE37" s="308"/>
      <c r="AF37" s="308"/>
      <c r="AG37" s="308"/>
      <c r="AH37" s="308"/>
      <c r="AI37" s="308"/>
      <c r="AJ37" s="308"/>
      <c r="AK37" s="308"/>
      <c r="AL37" s="308"/>
      <c r="AM37" s="308"/>
      <c r="AN37" s="308"/>
      <c r="AO37" s="308"/>
      <c r="AP37" s="308"/>
      <c r="AQ37" s="308"/>
      <c r="AR37" s="308"/>
      <c r="AS37" s="308"/>
      <c r="AT37" s="308"/>
      <c r="AU37" s="308"/>
      <c r="AV37" s="308"/>
      <c r="AW37" s="308"/>
      <c r="AX37" s="308"/>
      <c r="AY37" s="308"/>
      <c r="AZ37" s="308"/>
      <c r="BA37" s="308"/>
      <c r="BB37" s="308"/>
      <c r="BC37" s="308"/>
      <c r="BD37" s="308"/>
      <c r="BE37" s="308"/>
      <c r="BF37" s="308"/>
      <c r="BG37" s="308"/>
    </row>
    <row r="38" spans="1:62" x14ac:dyDescent="0.35">
      <c r="A38" s="309" t="s">
        <v>863</v>
      </c>
      <c r="B38" s="309">
        <v>38</v>
      </c>
      <c r="C38" s="309">
        <v>54</v>
      </c>
      <c r="D38" s="309">
        <v>46</v>
      </c>
      <c r="E38" s="309">
        <v>30</v>
      </c>
      <c r="F38" s="309">
        <v>7</v>
      </c>
      <c r="G38" s="309">
        <v>13</v>
      </c>
      <c r="H38" s="309">
        <v>46</v>
      </c>
      <c r="I38" s="309">
        <v>39</v>
      </c>
      <c r="J38" s="309">
        <v>20</v>
      </c>
      <c r="K38" s="309">
        <v>64</v>
      </c>
      <c r="L38" s="309">
        <v>33</v>
      </c>
      <c r="M38" s="309">
        <v>58</v>
      </c>
      <c r="N38" s="309">
        <v>90</v>
      </c>
      <c r="O38" s="309">
        <v>76</v>
      </c>
      <c r="P38" s="309">
        <v>78</v>
      </c>
      <c r="Q38" s="309">
        <v>62</v>
      </c>
      <c r="R38" s="309">
        <v>0</v>
      </c>
      <c r="S38" s="309">
        <v>0</v>
      </c>
      <c r="T38" s="309">
        <v>0</v>
      </c>
      <c r="U38" s="309">
        <v>0</v>
      </c>
      <c r="V38" s="309">
        <v>0</v>
      </c>
      <c r="W38" s="309">
        <v>0</v>
      </c>
      <c r="X38" s="309">
        <v>0</v>
      </c>
      <c r="Y38" s="309">
        <v>0</v>
      </c>
      <c r="Z38" s="309">
        <v>0</v>
      </c>
      <c r="AA38" s="309">
        <v>5</v>
      </c>
      <c r="AB38" s="309">
        <v>0</v>
      </c>
      <c r="AC38" s="309">
        <v>0</v>
      </c>
      <c r="AD38" s="309">
        <v>0</v>
      </c>
      <c r="AE38" s="309">
        <v>0</v>
      </c>
      <c r="AF38" s="309">
        <v>2</v>
      </c>
      <c r="AG38" s="309">
        <v>0</v>
      </c>
      <c r="AH38" s="309">
        <v>2</v>
      </c>
      <c r="AI38" s="309">
        <v>3</v>
      </c>
      <c r="AJ38" s="309">
        <v>0</v>
      </c>
      <c r="AK38" s="309">
        <v>0</v>
      </c>
      <c r="AL38" s="309">
        <v>0</v>
      </c>
      <c r="AM38" s="309">
        <v>0</v>
      </c>
      <c r="AN38" s="309">
        <v>0</v>
      </c>
      <c r="AO38" s="309">
        <v>0</v>
      </c>
      <c r="AP38" s="309">
        <v>0</v>
      </c>
      <c r="AQ38" s="309">
        <v>0</v>
      </c>
      <c r="AR38" s="309">
        <v>0</v>
      </c>
      <c r="AS38" s="309">
        <v>0</v>
      </c>
      <c r="AT38" s="309">
        <v>0</v>
      </c>
      <c r="AU38" s="309">
        <v>0</v>
      </c>
      <c r="AV38" s="309">
        <v>0</v>
      </c>
      <c r="AW38" s="309">
        <v>0</v>
      </c>
      <c r="AX38" s="309"/>
      <c r="AY38" s="309"/>
      <c r="AZ38" s="309">
        <v>0</v>
      </c>
      <c r="BA38" s="309">
        <v>0</v>
      </c>
      <c r="BB38" s="309">
        <v>0</v>
      </c>
      <c r="BC38" s="309">
        <v>0</v>
      </c>
      <c r="BD38" s="309">
        <v>0</v>
      </c>
      <c r="BE38" s="309">
        <v>0</v>
      </c>
      <c r="BF38" s="309">
        <v>0</v>
      </c>
      <c r="BG38" s="309">
        <v>0</v>
      </c>
    </row>
    <row r="39" spans="1:62" x14ac:dyDescent="0.35">
      <c r="A39" s="309" t="s">
        <v>864</v>
      </c>
      <c r="B39" s="309">
        <v>49</v>
      </c>
      <c r="C39" s="309">
        <v>52</v>
      </c>
      <c r="D39" s="309">
        <v>52</v>
      </c>
      <c r="E39" s="309">
        <v>30</v>
      </c>
      <c r="F39" s="309">
        <v>36</v>
      </c>
      <c r="G39" s="309">
        <v>22</v>
      </c>
      <c r="H39" s="309">
        <v>10</v>
      </c>
      <c r="I39" s="309">
        <v>10</v>
      </c>
      <c r="J39" s="309">
        <v>10</v>
      </c>
      <c r="K39" s="309">
        <v>10</v>
      </c>
      <c r="L39" s="309">
        <v>6</v>
      </c>
      <c r="M39" s="309">
        <v>6</v>
      </c>
      <c r="N39" s="309">
        <v>3</v>
      </c>
      <c r="O39" s="309">
        <v>0</v>
      </c>
      <c r="P39" s="309">
        <v>0</v>
      </c>
      <c r="Q39" s="309">
        <v>0</v>
      </c>
      <c r="R39" s="309">
        <v>0</v>
      </c>
      <c r="S39" s="309">
        <v>0</v>
      </c>
      <c r="T39" s="309">
        <v>0</v>
      </c>
      <c r="U39" s="309">
        <v>0</v>
      </c>
      <c r="V39" s="309">
        <v>0</v>
      </c>
      <c r="W39" s="309">
        <v>0</v>
      </c>
      <c r="X39" s="309">
        <v>0</v>
      </c>
      <c r="Y39" s="309">
        <v>0</v>
      </c>
      <c r="Z39" s="309">
        <v>0</v>
      </c>
      <c r="AA39" s="309">
        <v>0</v>
      </c>
      <c r="AB39" s="309">
        <v>0</v>
      </c>
      <c r="AC39" s="309">
        <v>0</v>
      </c>
      <c r="AD39" s="309">
        <v>0</v>
      </c>
      <c r="AE39" s="309">
        <v>0</v>
      </c>
      <c r="AF39" s="309">
        <v>0</v>
      </c>
      <c r="AG39" s="309">
        <v>0</v>
      </c>
      <c r="AH39" s="309">
        <v>0</v>
      </c>
      <c r="AI39" s="309">
        <v>0</v>
      </c>
      <c r="AJ39" s="309">
        <v>0</v>
      </c>
      <c r="AK39" s="309">
        <v>0</v>
      </c>
      <c r="AL39" s="309">
        <v>0</v>
      </c>
      <c r="AM39" s="309">
        <v>0</v>
      </c>
      <c r="AN39" s="309">
        <v>0</v>
      </c>
      <c r="AO39" s="309">
        <v>0</v>
      </c>
      <c r="AP39" s="309">
        <v>0</v>
      </c>
      <c r="AQ39" s="309">
        <v>0</v>
      </c>
      <c r="AR39" s="309">
        <v>0</v>
      </c>
      <c r="AS39" s="309">
        <v>0</v>
      </c>
      <c r="AT39" s="309">
        <v>0</v>
      </c>
      <c r="AU39" s="309">
        <v>0</v>
      </c>
      <c r="AV39" s="309">
        <v>0</v>
      </c>
      <c r="AW39" s="309">
        <v>0</v>
      </c>
      <c r="AX39" s="309"/>
      <c r="AY39" s="309"/>
      <c r="AZ39" s="309">
        <v>0</v>
      </c>
      <c r="BA39" s="309">
        <v>0</v>
      </c>
      <c r="BB39" s="309">
        <v>0</v>
      </c>
      <c r="BC39" s="309">
        <v>0</v>
      </c>
      <c r="BD39" s="309">
        <v>0</v>
      </c>
      <c r="BE39" s="309">
        <v>0</v>
      </c>
      <c r="BF39" s="309">
        <v>0</v>
      </c>
      <c r="BG39" s="309">
        <v>0</v>
      </c>
    </row>
    <row r="40" spans="1:62" x14ac:dyDescent="0.35">
      <c r="A40" s="309" t="s">
        <v>865</v>
      </c>
      <c r="B40" s="309">
        <v>0</v>
      </c>
      <c r="C40" s="309">
        <v>0</v>
      </c>
      <c r="D40" s="309">
        <v>0</v>
      </c>
      <c r="E40" s="309">
        <v>22</v>
      </c>
      <c r="F40" s="309">
        <v>26</v>
      </c>
      <c r="G40" s="309">
        <v>30</v>
      </c>
      <c r="H40" s="309">
        <v>33</v>
      </c>
      <c r="I40" s="309">
        <v>21</v>
      </c>
      <c r="J40" s="309">
        <v>21</v>
      </c>
      <c r="K40" s="309">
        <v>21</v>
      </c>
      <c r="L40" s="309">
        <v>21</v>
      </c>
      <c r="M40" s="309">
        <v>0</v>
      </c>
      <c r="N40" s="309">
        <v>0</v>
      </c>
      <c r="O40" s="309">
        <v>0</v>
      </c>
      <c r="P40" s="309">
        <v>0</v>
      </c>
      <c r="Q40" s="309">
        <v>0</v>
      </c>
      <c r="R40" s="309">
        <v>0</v>
      </c>
      <c r="S40" s="309">
        <v>0</v>
      </c>
      <c r="T40" s="309">
        <v>0</v>
      </c>
      <c r="U40" s="309">
        <v>0</v>
      </c>
      <c r="V40" s="309">
        <v>0</v>
      </c>
      <c r="W40" s="309">
        <v>0</v>
      </c>
      <c r="X40" s="309">
        <v>0</v>
      </c>
      <c r="Y40" s="309">
        <v>0</v>
      </c>
      <c r="Z40" s="309">
        <v>0</v>
      </c>
      <c r="AA40" s="309">
        <v>0</v>
      </c>
      <c r="AB40" s="309">
        <v>0</v>
      </c>
      <c r="AC40" s="309">
        <v>0</v>
      </c>
      <c r="AD40" s="309">
        <v>0</v>
      </c>
      <c r="AE40" s="309">
        <v>0</v>
      </c>
      <c r="AF40" s="309">
        <v>0</v>
      </c>
      <c r="AG40" s="309">
        <v>0</v>
      </c>
      <c r="AH40" s="309">
        <v>0</v>
      </c>
      <c r="AI40" s="309">
        <v>0</v>
      </c>
      <c r="AJ40" s="309">
        <v>0</v>
      </c>
      <c r="AK40" s="309">
        <v>0</v>
      </c>
      <c r="AL40" s="309">
        <v>0</v>
      </c>
      <c r="AM40" s="309">
        <v>0</v>
      </c>
      <c r="AN40" s="309">
        <v>0</v>
      </c>
      <c r="AO40" s="309">
        <v>0</v>
      </c>
      <c r="AP40" s="309">
        <v>0</v>
      </c>
      <c r="AQ40" s="309">
        <v>0</v>
      </c>
      <c r="AR40" s="309">
        <v>0</v>
      </c>
      <c r="AS40" s="309">
        <v>0</v>
      </c>
      <c r="AT40" s="309">
        <v>0</v>
      </c>
      <c r="AU40" s="309">
        <v>0</v>
      </c>
      <c r="AV40" s="309">
        <v>0</v>
      </c>
      <c r="AW40" s="309">
        <v>0</v>
      </c>
      <c r="AX40" s="309"/>
      <c r="AY40" s="309"/>
      <c r="AZ40" s="309">
        <v>0</v>
      </c>
      <c r="BA40" s="309">
        <v>0</v>
      </c>
      <c r="BB40" s="309">
        <v>0</v>
      </c>
      <c r="BC40" s="309">
        <v>0</v>
      </c>
      <c r="BD40" s="309">
        <v>0</v>
      </c>
      <c r="BE40" s="309">
        <v>0</v>
      </c>
      <c r="BF40" s="309">
        <v>0</v>
      </c>
      <c r="BG40" s="309">
        <v>0</v>
      </c>
      <c r="BH40" s="310"/>
    </row>
    <row r="41" spans="1:62" ht="16" thickBot="1" x14ac:dyDescent="0.4">
      <c r="A41" s="311" t="s">
        <v>866</v>
      </c>
      <c r="B41" s="311">
        <v>0</v>
      </c>
      <c r="C41" s="311">
        <v>0</v>
      </c>
      <c r="D41" s="311">
        <v>0</v>
      </c>
      <c r="E41" s="311">
        <v>0</v>
      </c>
      <c r="F41" s="311">
        <v>0</v>
      </c>
      <c r="G41" s="311">
        <v>0</v>
      </c>
      <c r="H41" s="311">
        <v>0</v>
      </c>
      <c r="I41" s="311">
        <v>0</v>
      </c>
      <c r="J41" s="311">
        <v>0</v>
      </c>
      <c r="K41" s="311">
        <v>0</v>
      </c>
      <c r="L41" s="311">
        <v>0</v>
      </c>
      <c r="M41" s="311">
        <v>0</v>
      </c>
      <c r="N41" s="311">
        <v>0</v>
      </c>
      <c r="O41" s="311">
        <v>0</v>
      </c>
      <c r="P41" s="311">
        <v>0</v>
      </c>
      <c r="Q41" s="311">
        <v>0</v>
      </c>
      <c r="R41" s="311">
        <v>0</v>
      </c>
      <c r="S41" s="311">
        <v>0</v>
      </c>
      <c r="T41" s="311">
        <v>0</v>
      </c>
      <c r="U41" s="311">
        <v>0</v>
      </c>
      <c r="V41" s="311">
        <v>0</v>
      </c>
      <c r="W41" s="311">
        <v>0</v>
      </c>
      <c r="X41" s="311">
        <v>0</v>
      </c>
      <c r="Y41" s="311">
        <v>0</v>
      </c>
      <c r="Z41" s="311">
        <v>0</v>
      </c>
      <c r="AA41" s="311">
        <v>0</v>
      </c>
      <c r="AB41" s="311">
        <v>0</v>
      </c>
      <c r="AC41" s="311">
        <v>0</v>
      </c>
      <c r="AD41" s="311">
        <v>0</v>
      </c>
      <c r="AE41" s="311">
        <v>0</v>
      </c>
      <c r="AF41" s="311">
        <v>0</v>
      </c>
      <c r="AG41" s="311">
        <v>0</v>
      </c>
      <c r="AH41" s="311">
        <v>0</v>
      </c>
      <c r="AI41" s="311">
        <v>0</v>
      </c>
      <c r="AJ41" s="311">
        <v>0</v>
      </c>
      <c r="AK41" s="311">
        <v>0</v>
      </c>
      <c r="AL41" s="311">
        <v>0</v>
      </c>
      <c r="AM41" s="311">
        <v>0</v>
      </c>
      <c r="AN41" s="311">
        <v>0</v>
      </c>
      <c r="AO41" s="311">
        <v>0</v>
      </c>
      <c r="AP41" s="311">
        <v>0</v>
      </c>
      <c r="AQ41" s="311">
        <v>0</v>
      </c>
      <c r="AR41" s="311">
        <v>0</v>
      </c>
      <c r="AS41" s="311">
        <v>0</v>
      </c>
      <c r="AT41" s="311">
        <v>0</v>
      </c>
      <c r="AU41" s="311">
        <v>0</v>
      </c>
      <c r="AV41" s="311">
        <v>0</v>
      </c>
      <c r="AW41" s="311">
        <v>0</v>
      </c>
      <c r="AX41" s="311"/>
      <c r="AY41" s="311"/>
      <c r="AZ41" s="311">
        <v>0</v>
      </c>
      <c r="BA41" s="311">
        <v>0</v>
      </c>
      <c r="BB41" s="311">
        <v>0</v>
      </c>
      <c r="BC41" s="311">
        <v>0</v>
      </c>
      <c r="BD41" s="311">
        <v>0</v>
      </c>
      <c r="BE41" s="311">
        <v>0</v>
      </c>
      <c r="BF41" s="311">
        <v>0</v>
      </c>
      <c r="BG41" s="311">
        <v>0</v>
      </c>
    </row>
    <row r="42" spans="1:62" x14ac:dyDescent="0.35">
      <c r="A42" s="312" t="s">
        <v>0</v>
      </c>
      <c r="B42" s="312">
        <v>87</v>
      </c>
      <c r="C42" s="312">
        <v>106</v>
      </c>
      <c r="D42" s="312">
        <v>98</v>
      </c>
      <c r="E42" s="312">
        <v>82</v>
      </c>
      <c r="F42" s="312">
        <v>69</v>
      </c>
      <c r="G42" s="312">
        <v>65</v>
      </c>
      <c r="H42" s="312">
        <v>89</v>
      </c>
      <c r="I42" s="312">
        <v>70</v>
      </c>
      <c r="J42" s="312">
        <v>51</v>
      </c>
      <c r="K42" s="312">
        <v>95</v>
      </c>
      <c r="L42" s="312">
        <v>60</v>
      </c>
      <c r="M42" s="312">
        <v>64</v>
      </c>
      <c r="N42" s="312">
        <v>93</v>
      </c>
      <c r="O42" s="312">
        <v>76</v>
      </c>
      <c r="P42" s="312">
        <v>78</v>
      </c>
      <c r="Q42" s="312">
        <v>62</v>
      </c>
      <c r="R42" s="312">
        <v>0</v>
      </c>
      <c r="S42" s="312">
        <v>0</v>
      </c>
      <c r="T42" s="312">
        <v>0</v>
      </c>
      <c r="U42" s="312">
        <v>0</v>
      </c>
      <c r="V42" s="312">
        <v>0</v>
      </c>
      <c r="W42" s="312">
        <v>0</v>
      </c>
      <c r="X42" s="312">
        <v>0</v>
      </c>
      <c r="Y42" s="312">
        <v>0</v>
      </c>
      <c r="Z42" s="312">
        <v>0</v>
      </c>
      <c r="AA42" s="312">
        <v>5</v>
      </c>
      <c r="AB42" s="312">
        <v>0</v>
      </c>
      <c r="AC42" s="312">
        <v>0</v>
      </c>
      <c r="AD42" s="312">
        <v>0</v>
      </c>
      <c r="AE42" s="312">
        <v>0</v>
      </c>
      <c r="AF42" s="312">
        <v>2</v>
      </c>
      <c r="AG42" s="312">
        <v>0</v>
      </c>
      <c r="AH42" s="312">
        <v>2</v>
      </c>
      <c r="AI42" s="312">
        <v>3</v>
      </c>
      <c r="AJ42" s="312">
        <v>0</v>
      </c>
      <c r="AK42" s="312">
        <v>0</v>
      </c>
      <c r="AL42" s="312">
        <v>0</v>
      </c>
      <c r="AM42" s="312">
        <v>0</v>
      </c>
      <c r="AN42" s="312">
        <v>0</v>
      </c>
      <c r="AO42" s="312">
        <v>0</v>
      </c>
      <c r="AP42" s="312">
        <v>0</v>
      </c>
      <c r="AQ42" s="312">
        <v>0</v>
      </c>
      <c r="AR42" s="312">
        <v>0</v>
      </c>
      <c r="AS42" s="312">
        <v>0</v>
      </c>
      <c r="AT42" s="312">
        <v>0</v>
      </c>
      <c r="AU42" s="312">
        <v>0</v>
      </c>
      <c r="AV42" s="312">
        <v>0</v>
      </c>
      <c r="AW42" s="312">
        <v>0</v>
      </c>
      <c r="AX42" s="312"/>
      <c r="AY42" s="312"/>
      <c r="AZ42" s="312">
        <v>0</v>
      </c>
      <c r="BA42" s="312">
        <v>0</v>
      </c>
      <c r="BB42" s="312">
        <v>0</v>
      </c>
      <c r="BC42" s="312">
        <v>0</v>
      </c>
      <c r="BD42" s="312">
        <v>0</v>
      </c>
      <c r="BE42" s="312">
        <v>0</v>
      </c>
      <c r="BF42" s="312">
        <v>0</v>
      </c>
      <c r="BG42" s="312">
        <v>0</v>
      </c>
    </row>
    <row r="43" spans="1:62" x14ac:dyDescent="0.35">
      <c r="A43" s="307" t="s">
        <v>0</v>
      </c>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c r="AH43" s="308"/>
      <c r="AI43" s="308"/>
      <c r="AJ43" s="308"/>
      <c r="AK43" s="308"/>
      <c r="AL43" s="308"/>
      <c r="AM43" s="308"/>
      <c r="AN43" s="308"/>
      <c r="AO43" s="308"/>
      <c r="AP43" s="308"/>
      <c r="AQ43" s="308"/>
      <c r="AR43" s="308"/>
      <c r="AS43" s="308"/>
      <c r="AT43" s="308"/>
      <c r="AU43" s="308"/>
      <c r="AV43" s="308"/>
      <c r="AW43" s="308"/>
      <c r="AX43" s="308"/>
      <c r="AY43" s="308"/>
      <c r="AZ43" s="308"/>
      <c r="BA43" s="308"/>
      <c r="BB43" s="308"/>
      <c r="BC43" s="308"/>
      <c r="BD43" s="308"/>
      <c r="BE43" s="308"/>
      <c r="BF43" s="308"/>
      <c r="BG43" s="308"/>
    </row>
    <row r="44" spans="1:62" x14ac:dyDescent="0.35">
      <c r="A44" s="309" t="s">
        <v>863</v>
      </c>
      <c r="B44" s="309">
        <f t="shared" ref="B44:BG47" si="3">SUM(B20,B26,B32,B38)</f>
        <v>14505</v>
      </c>
      <c r="C44" s="309">
        <f t="shared" si="3"/>
        <v>13712</v>
      </c>
      <c r="D44" s="309">
        <f t="shared" si="3"/>
        <v>13213</v>
      </c>
      <c r="E44" s="309">
        <f t="shared" si="3"/>
        <v>12747</v>
      </c>
      <c r="F44" s="309">
        <f t="shared" si="3"/>
        <v>11954</v>
      </c>
      <c r="G44" s="309">
        <f t="shared" si="3"/>
        <v>12286</v>
      </c>
      <c r="H44" s="309">
        <f>SUM(H20,H26,H32,H38)</f>
        <v>12092</v>
      </c>
      <c r="I44" s="309">
        <f t="shared" si="3"/>
        <v>11232</v>
      </c>
      <c r="J44" s="309">
        <f t="shared" si="3"/>
        <v>11027</v>
      </c>
      <c r="K44" s="309">
        <f t="shared" si="3"/>
        <v>11457</v>
      </c>
      <c r="L44" s="309">
        <f t="shared" si="3"/>
        <v>11561</v>
      </c>
      <c r="M44" s="309">
        <f t="shared" si="3"/>
        <v>11418</v>
      </c>
      <c r="N44" s="309">
        <f t="shared" si="3"/>
        <v>10724</v>
      </c>
      <c r="O44" s="309">
        <f t="shared" si="3"/>
        <v>10978</v>
      </c>
      <c r="P44" s="309">
        <f t="shared" si="3"/>
        <v>10404</v>
      </c>
      <c r="Q44" s="309">
        <f t="shared" si="3"/>
        <v>10419</v>
      </c>
      <c r="R44" s="309">
        <f t="shared" si="3"/>
        <v>11715</v>
      </c>
      <c r="S44" s="309">
        <f t="shared" si="3"/>
        <v>12278</v>
      </c>
      <c r="T44" s="309">
        <f t="shared" si="3"/>
        <v>13390</v>
      </c>
      <c r="U44" s="309">
        <f t="shared" si="3"/>
        <v>15428</v>
      </c>
      <c r="V44" s="309">
        <f t="shared" si="3"/>
        <v>19339</v>
      </c>
      <c r="W44" s="309">
        <f t="shared" si="3"/>
        <v>22340</v>
      </c>
      <c r="X44" s="309">
        <f t="shared" si="3"/>
        <v>25016</v>
      </c>
      <c r="Y44" s="309">
        <f t="shared" si="3"/>
        <v>25982</v>
      </c>
      <c r="Z44" s="309">
        <f t="shared" si="3"/>
        <v>26124</v>
      </c>
      <c r="AA44" s="309">
        <f t="shared" si="3"/>
        <v>24432</v>
      </c>
      <c r="AB44" s="309">
        <f t="shared" si="3"/>
        <v>24808</v>
      </c>
      <c r="AC44" s="309">
        <f t="shared" si="3"/>
        <v>22935</v>
      </c>
      <c r="AD44" s="309">
        <f t="shared" si="3"/>
        <v>21236</v>
      </c>
      <c r="AE44" s="309">
        <f t="shared" si="3"/>
        <v>20892</v>
      </c>
      <c r="AF44" s="309">
        <f t="shared" si="3"/>
        <v>22902</v>
      </c>
      <c r="AG44" s="309">
        <f t="shared" si="3"/>
        <v>23522</v>
      </c>
      <c r="AH44" s="309">
        <f t="shared" si="3"/>
        <v>24642</v>
      </c>
      <c r="AI44" s="309">
        <f t="shared" si="3"/>
        <v>23034</v>
      </c>
      <c r="AJ44" s="309">
        <f t="shared" si="3"/>
        <v>22085</v>
      </c>
      <c r="AK44" s="309">
        <f t="shared" si="3"/>
        <v>21569</v>
      </c>
      <c r="AL44" s="309">
        <f t="shared" si="3"/>
        <v>20287</v>
      </c>
      <c r="AM44" s="309">
        <f t="shared" si="3"/>
        <v>21472</v>
      </c>
      <c r="AN44" s="309">
        <f t="shared" si="3"/>
        <v>20192</v>
      </c>
      <c r="AO44" s="309">
        <f t="shared" si="3"/>
        <v>18647</v>
      </c>
      <c r="AP44" s="309">
        <f t="shared" si="3"/>
        <v>20581</v>
      </c>
      <c r="AQ44" s="309">
        <f t="shared" si="3"/>
        <v>20103</v>
      </c>
      <c r="AR44" s="309">
        <f t="shared" si="3"/>
        <v>18669</v>
      </c>
      <c r="AS44" s="309">
        <f t="shared" si="3"/>
        <v>21278</v>
      </c>
      <c r="AT44" s="309">
        <f t="shared" si="3"/>
        <v>23591</v>
      </c>
      <c r="AU44" s="309">
        <f t="shared" si="3"/>
        <v>25667</v>
      </c>
      <c r="AV44" s="309">
        <f t="shared" si="3"/>
        <v>24212</v>
      </c>
      <c r="AW44" s="309">
        <f t="shared" si="3"/>
        <v>23877</v>
      </c>
      <c r="AX44" s="309">
        <f t="shared" si="3"/>
        <v>22956</v>
      </c>
      <c r="AY44" s="309">
        <f t="shared" si="3"/>
        <v>23039</v>
      </c>
      <c r="AZ44" s="309">
        <f t="shared" si="3"/>
        <v>25299</v>
      </c>
      <c r="BA44" s="309">
        <f t="shared" si="3"/>
        <v>26506</v>
      </c>
      <c r="BB44" s="309">
        <f t="shared" si="3"/>
        <v>25236</v>
      </c>
      <c r="BC44" s="309">
        <f t="shared" si="3"/>
        <v>25522</v>
      </c>
      <c r="BD44" s="309">
        <f t="shared" si="3"/>
        <v>27760</v>
      </c>
      <c r="BE44" s="309">
        <f t="shared" si="3"/>
        <v>30364</v>
      </c>
      <c r="BF44" s="309">
        <f t="shared" si="3"/>
        <v>30589</v>
      </c>
      <c r="BG44" s="309">
        <f t="shared" si="3"/>
        <v>29175</v>
      </c>
    </row>
    <row r="45" spans="1:62" x14ac:dyDescent="0.35">
      <c r="A45" s="309" t="s">
        <v>864</v>
      </c>
      <c r="B45" s="309">
        <f t="shared" si="3"/>
        <v>5219</v>
      </c>
      <c r="C45" s="309">
        <f t="shared" si="3"/>
        <v>5107</v>
      </c>
      <c r="D45" s="309">
        <f t="shared" si="3"/>
        <v>5155</v>
      </c>
      <c r="E45" s="309">
        <f t="shared" si="3"/>
        <v>5030</v>
      </c>
      <c r="F45" s="309">
        <f t="shared" si="3"/>
        <v>5051</v>
      </c>
      <c r="G45" s="309">
        <f t="shared" si="3"/>
        <v>4388</v>
      </c>
      <c r="H45" s="309">
        <f t="shared" si="3"/>
        <v>3706</v>
      </c>
      <c r="I45" s="309">
        <f t="shared" si="3"/>
        <v>2940</v>
      </c>
      <c r="J45" s="309">
        <f t="shared" si="3"/>
        <v>2537</v>
      </c>
      <c r="K45" s="309">
        <f t="shared" si="3"/>
        <v>2276</v>
      </c>
      <c r="L45" s="309">
        <f t="shared" si="3"/>
        <v>1985</v>
      </c>
      <c r="M45" s="309">
        <f t="shared" si="3"/>
        <v>1796</v>
      </c>
      <c r="N45" s="309">
        <f t="shared" si="3"/>
        <v>1617</v>
      </c>
      <c r="O45" s="309">
        <f t="shared" si="3"/>
        <v>1494</v>
      </c>
      <c r="P45" s="309">
        <f t="shared" si="3"/>
        <v>1384</v>
      </c>
      <c r="Q45" s="309">
        <f t="shared" si="3"/>
        <v>1288</v>
      </c>
      <c r="R45" s="309">
        <f t="shared" si="3"/>
        <v>1147</v>
      </c>
      <c r="S45" s="309">
        <f t="shared" si="3"/>
        <v>996</v>
      </c>
      <c r="T45" s="309">
        <f t="shared" si="3"/>
        <v>942</v>
      </c>
      <c r="U45" s="309">
        <f t="shared" si="3"/>
        <v>894</v>
      </c>
      <c r="V45" s="309">
        <f t="shared" si="3"/>
        <v>869</v>
      </c>
      <c r="W45" s="309">
        <f t="shared" si="3"/>
        <v>874</v>
      </c>
      <c r="X45" s="309">
        <f t="shared" si="3"/>
        <v>896</v>
      </c>
      <c r="Y45" s="309">
        <f t="shared" si="3"/>
        <v>876</v>
      </c>
      <c r="Z45" s="309">
        <f t="shared" si="3"/>
        <v>822</v>
      </c>
      <c r="AA45" s="309">
        <f t="shared" si="3"/>
        <v>761</v>
      </c>
      <c r="AB45" s="309">
        <f t="shared" si="3"/>
        <v>709</v>
      </c>
      <c r="AC45" s="309">
        <f t="shared" si="3"/>
        <v>693</v>
      </c>
      <c r="AD45" s="309">
        <f t="shared" si="3"/>
        <v>711</v>
      </c>
      <c r="AE45" s="309">
        <f t="shared" si="3"/>
        <v>703</v>
      </c>
      <c r="AF45" s="309">
        <f t="shared" si="3"/>
        <v>428</v>
      </c>
      <c r="AG45" s="309">
        <f t="shared" si="3"/>
        <v>455</v>
      </c>
      <c r="AH45" s="309">
        <f t="shared" si="3"/>
        <v>468</v>
      </c>
      <c r="AI45" s="309">
        <f t="shared" si="3"/>
        <v>496</v>
      </c>
      <c r="AJ45" s="309">
        <f t="shared" si="3"/>
        <v>499</v>
      </c>
      <c r="AK45" s="309">
        <f t="shared" si="3"/>
        <v>538</v>
      </c>
      <c r="AL45" s="309">
        <f t="shared" si="3"/>
        <v>595</v>
      </c>
      <c r="AM45" s="309">
        <f t="shared" si="3"/>
        <v>662</v>
      </c>
      <c r="AN45" s="309">
        <f t="shared" si="3"/>
        <v>682</v>
      </c>
      <c r="AO45" s="309">
        <f t="shared" si="3"/>
        <v>677</v>
      </c>
      <c r="AP45" s="309">
        <f t="shared" si="3"/>
        <v>660</v>
      </c>
      <c r="AQ45" s="309">
        <f t="shared" si="3"/>
        <v>665</v>
      </c>
      <c r="AR45" s="309">
        <f t="shared" si="3"/>
        <v>649</v>
      </c>
      <c r="AS45" s="309">
        <f t="shared" si="3"/>
        <v>620</v>
      </c>
      <c r="AT45" s="309">
        <f t="shared" si="3"/>
        <v>646</v>
      </c>
      <c r="AU45" s="309">
        <f t="shared" si="3"/>
        <v>675</v>
      </c>
      <c r="AV45" s="309">
        <f t="shared" si="3"/>
        <v>671</v>
      </c>
      <c r="AW45" s="309">
        <f t="shared" si="3"/>
        <v>667</v>
      </c>
      <c r="AX45" s="309">
        <f t="shared" si="3"/>
        <v>678</v>
      </c>
      <c r="AY45" s="309">
        <f t="shared" si="3"/>
        <v>687</v>
      </c>
      <c r="AZ45" s="309">
        <f t="shared" si="3"/>
        <v>685</v>
      </c>
      <c r="BA45" s="309">
        <f t="shared" si="3"/>
        <v>677</v>
      </c>
      <c r="BB45" s="309">
        <f t="shared" si="3"/>
        <v>756</v>
      </c>
      <c r="BC45" s="309">
        <f t="shared" si="3"/>
        <v>815</v>
      </c>
      <c r="BD45" s="309">
        <f t="shared" si="3"/>
        <v>857</v>
      </c>
      <c r="BE45" s="309">
        <f t="shared" si="3"/>
        <v>984</v>
      </c>
      <c r="BF45" s="309">
        <f t="shared" si="3"/>
        <v>1019</v>
      </c>
      <c r="BG45" s="309">
        <f t="shared" si="3"/>
        <v>1107</v>
      </c>
    </row>
    <row r="46" spans="1:62" x14ac:dyDescent="0.35">
      <c r="A46" s="309" t="s">
        <v>865</v>
      </c>
      <c r="B46" s="309">
        <f t="shared" si="3"/>
        <v>2553</v>
      </c>
      <c r="C46" s="309">
        <f t="shared" si="3"/>
        <v>2676</v>
      </c>
      <c r="D46" s="309">
        <f t="shared" si="3"/>
        <v>2701</v>
      </c>
      <c r="E46" s="309">
        <f t="shared" si="3"/>
        <v>2836</v>
      </c>
      <c r="F46" s="309">
        <f t="shared" si="3"/>
        <v>2885</v>
      </c>
      <c r="G46" s="309">
        <f t="shared" si="3"/>
        <v>2869</v>
      </c>
      <c r="H46" s="309">
        <f t="shared" si="3"/>
        <v>2845</v>
      </c>
      <c r="I46" s="309">
        <f t="shared" si="3"/>
        <v>2749</v>
      </c>
      <c r="J46" s="309">
        <f t="shared" si="3"/>
        <v>2665</v>
      </c>
      <c r="K46" s="309">
        <f t="shared" si="3"/>
        <v>2599</v>
      </c>
      <c r="L46" s="309">
        <f t="shared" si="3"/>
        <v>2395</v>
      </c>
      <c r="M46" s="309">
        <f t="shared" si="3"/>
        <v>2235</v>
      </c>
      <c r="N46" s="309">
        <f t="shared" si="3"/>
        <v>2131</v>
      </c>
      <c r="O46" s="309">
        <f t="shared" si="3"/>
        <v>2049</v>
      </c>
      <c r="P46" s="309">
        <f t="shared" si="3"/>
        <v>1925</v>
      </c>
      <c r="Q46" s="309">
        <f t="shared" si="3"/>
        <v>1892</v>
      </c>
      <c r="R46" s="309">
        <f t="shared" si="3"/>
        <v>1590</v>
      </c>
      <c r="S46" s="309">
        <f t="shared" si="3"/>
        <v>1019</v>
      </c>
      <c r="T46" s="309">
        <f t="shared" si="3"/>
        <v>788</v>
      </c>
      <c r="U46" s="309">
        <f t="shared" si="3"/>
        <v>676</v>
      </c>
      <c r="V46" s="309">
        <f t="shared" si="3"/>
        <v>637</v>
      </c>
      <c r="W46" s="309">
        <f t="shared" si="3"/>
        <v>568</v>
      </c>
      <c r="X46" s="309">
        <f t="shared" si="3"/>
        <v>534</v>
      </c>
      <c r="Y46" s="309">
        <f t="shared" si="3"/>
        <v>498</v>
      </c>
      <c r="Z46" s="309">
        <f t="shared" si="3"/>
        <v>469</v>
      </c>
      <c r="AA46" s="309">
        <f t="shared" si="3"/>
        <v>459</v>
      </c>
      <c r="AB46" s="309">
        <f t="shared" si="3"/>
        <v>449</v>
      </c>
      <c r="AC46" s="309">
        <f t="shared" si="3"/>
        <v>440</v>
      </c>
      <c r="AD46" s="309">
        <f t="shared" si="3"/>
        <v>438</v>
      </c>
      <c r="AE46" s="309">
        <f t="shared" si="3"/>
        <v>422</v>
      </c>
      <c r="AF46" s="309">
        <f t="shared" si="3"/>
        <v>250</v>
      </c>
      <c r="AG46" s="309">
        <f t="shared" si="3"/>
        <v>246</v>
      </c>
      <c r="AH46" s="309">
        <f t="shared" si="3"/>
        <v>238</v>
      </c>
      <c r="AI46" s="309">
        <f t="shared" si="3"/>
        <v>243</v>
      </c>
      <c r="AJ46" s="309">
        <f t="shared" si="3"/>
        <v>229</v>
      </c>
      <c r="AK46" s="309">
        <f t="shared" si="3"/>
        <v>232</v>
      </c>
      <c r="AL46" s="309">
        <f t="shared" si="3"/>
        <v>223</v>
      </c>
      <c r="AM46" s="309">
        <f t="shared" si="3"/>
        <v>225</v>
      </c>
      <c r="AN46" s="309">
        <f t="shared" si="3"/>
        <v>212</v>
      </c>
      <c r="AO46" s="309">
        <f t="shared" si="3"/>
        <v>206</v>
      </c>
      <c r="AP46" s="309">
        <f t="shared" si="3"/>
        <v>193</v>
      </c>
      <c r="AQ46" s="309">
        <f t="shared" si="3"/>
        <v>179</v>
      </c>
      <c r="AR46" s="309">
        <f t="shared" si="3"/>
        <v>167</v>
      </c>
      <c r="AS46" s="309">
        <f t="shared" si="3"/>
        <v>159</v>
      </c>
      <c r="AT46" s="309">
        <f t="shared" si="3"/>
        <v>159</v>
      </c>
      <c r="AU46" s="309">
        <f t="shared" si="3"/>
        <v>152</v>
      </c>
      <c r="AV46" s="309">
        <f t="shared" si="3"/>
        <v>164</v>
      </c>
      <c r="AW46" s="309">
        <f t="shared" si="3"/>
        <v>169</v>
      </c>
      <c r="AX46" s="309">
        <f t="shared" si="3"/>
        <v>192</v>
      </c>
      <c r="AY46" s="309">
        <f t="shared" si="3"/>
        <v>201</v>
      </c>
      <c r="AZ46" s="309">
        <f t="shared" si="3"/>
        <v>201</v>
      </c>
      <c r="BA46" s="309">
        <f t="shared" si="3"/>
        <v>201</v>
      </c>
      <c r="BB46" s="309">
        <f t="shared" si="3"/>
        <v>214</v>
      </c>
      <c r="BC46" s="309">
        <f t="shared" si="3"/>
        <v>224</v>
      </c>
      <c r="BD46" s="309">
        <f t="shared" si="3"/>
        <v>224</v>
      </c>
      <c r="BE46" s="309">
        <f t="shared" si="3"/>
        <v>225</v>
      </c>
      <c r="BF46" s="309">
        <f t="shared" si="3"/>
        <v>226</v>
      </c>
      <c r="BG46" s="309">
        <f t="shared" si="3"/>
        <v>225</v>
      </c>
    </row>
    <row r="47" spans="1:62" ht="16" thickBot="1" x14ac:dyDescent="0.4">
      <c r="A47" s="311" t="s">
        <v>866</v>
      </c>
      <c r="B47" s="311">
        <f t="shared" si="3"/>
        <v>433</v>
      </c>
      <c r="C47" s="311">
        <f t="shared" si="3"/>
        <v>446</v>
      </c>
      <c r="D47" s="311">
        <f t="shared" si="3"/>
        <v>444</v>
      </c>
      <c r="E47" s="311">
        <f t="shared" si="3"/>
        <v>470</v>
      </c>
      <c r="F47" s="311">
        <f t="shared" si="3"/>
        <v>448</v>
      </c>
      <c r="G47" s="311">
        <f t="shared" si="3"/>
        <v>443</v>
      </c>
      <c r="H47" s="311">
        <f t="shared" si="3"/>
        <v>452</v>
      </c>
      <c r="I47" s="311">
        <f t="shared" si="3"/>
        <v>432</v>
      </c>
      <c r="J47" s="311">
        <f t="shared" si="3"/>
        <v>412</v>
      </c>
      <c r="K47" s="311">
        <f t="shared" si="3"/>
        <v>387</v>
      </c>
      <c r="L47" s="311">
        <f t="shared" si="3"/>
        <v>370</v>
      </c>
      <c r="M47" s="311">
        <f t="shared" si="3"/>
        <v>370</v>
      </c>
      <c r="N47" s="311">
        <f t="shared" si="3"/>
        <v>371</v>
      </c>
      <c r="O47" s="311">
        <f t="shared" si="3"/>
        <v>361</v>
      </c>
      <c r="P47" s="311">
        <f t="shared" si="3"/>
        <v>353</v>
      </c>
      <c r="Q47" s="311">
        <f t="shared" si="3"/>
        <v>340</v>
      </c>
      <c r="R47" s="311">
        <f t="shared" si="3"/>
        <v>322</v>
      </c>
      <c r="S47" s="311">
        <f t="shared" si="3"/>
        <v>267</v>
      </c>
      <c r="T47" s="311">
        <f t="shared" si="3"/>
        <v>229</v>
      </c>
      <c r="U47" s="311">
        <f t="shared" si="3"/>
        <v>215</v>
      </c>
      <c r="V47" s="311">
        <f t="shared" si="3"/>
        <v>206</v>
      </c>
      <c r="W47" s="311">
        <f t="shared" si="3"/>
        <v>212</v>
      </c>
      <c r="X47" s="311">
        <f t="shared" si="3"/>
        <v>210</v>
      </c>
      <c r="Y47" s="311">
        <f t="shared" si="3"/>
        <v>207</v>
      </c>
      <c r="Z47" s="311">
        <f t="shared" si="3"/>
        <v>201</v>
      </c>
      <c r="AA47" s="311">
        <f t="shared" si="3"/>
        <v>200</v>
      </c>
      <c r="AB47" s="311">
        <f t="shared" si="3"/>
        <v>196</v>
      </c>
      <c r="AC47" s="311">
        <f t="shared" si="3"/>
        <v>193</v>
      </c>
      <c r="AD47" s="311">
        <f t="shared" si="3"/>
        <v>192</v>
      </c>
      <c r="AE47" s="311">
        <f t="shared" si="3"/>
        <v>203</v>
      </c>
      <c r="AF47" s="311">
        <f t="shared" si="3"/>
        <v>95</v>
      </c>
      <c r="AG47" s="311">
        <f t="shared" si="3"/>
        <v>95</v>
      </c>
      <c r="AH47" s="311">
        <f t="shared" si="3"/>
        <v>96</v>
      </c>
      <c r="AI47" s="311">
        <f t="shared" si="3"/>
        <v>98</v>
      </c>
      <c r="AJ47" s="311">
        <f t="shared" si="3"/>
        <v>90</v>
      </c>
      <c r="AK47" s="311">
        <f t="shared" si="3"/>
        <v>95</v>
      </c>
      <c r="AL47" s="311">
        <f t="shared" si="3"/>
        <v>93</v>
      </c>
      <c r="AM47" s="311">
        <f t="shared" si="3"/>
        <v>93</v>
      </c>
      <c r="AN47" s="311">
        <f t="shared" si="3"/>
        <v>87</v>
      </c>
      <c r="AO47" s="311">
        <f t="shared" si="3"/>
        <v>87</v>
      </c>
      <c r="AP47" s="311">
        <f t="shared" si="3"/>
        <v>81</v>
      </c>
      <c r="AQ47" s="311">
        <f t="shared" si="3"/>
        <v>81</v>
      </c>
      <c r="AR47" s="311">
        <f t="shared" si="3"/>
        <v>82</v>
      </c>
      <c r="AS47" s="311">
        <f t="shared" si="3"/>
        <v>78</v>
      </c>
      <c r="AT47" s="311">
        <f t="shared" si="3"/>
        <v>76</v>
      </c>
      <c r="AU47" s="311">
        <f t="shared" si="3"/>
        <v>73</v>
      </c>
      <c r="AV47" s="311">
        <f t="shared" si="3"/>
        <v>70</v>
      </c>
      <c r="AW47" s="311">
        <f t="shared" si="3"/>
        <v>76</v>
      </c>
      <c r="AX47" s="311">
        <f t="shared" si="3"/>
        <v>74</v>
      </c>
      <c r="AY47" s="311">
        <f t="shared" si="3"/>
        <v>73</v>
      </c>
      <c r="AZ47" s="311">
        <f t="shared" si="3"/>
        <v>76</v>
      </c>
      <c r="BA47" s="311">
        <f t="shared" si="3"/>
        <v>73</v>
      </c>
      <c r="BB47" s="311">
        <f t="shared" si="3"/>
        <v>71</v>
      </c>
      <c r="BC47" s="311">
        <f t="shared" si="3"/>
        <v>71</v>
      </c>
      <c r="BD47" s="311">
        <f t="shared" si="3"/>
        <v>75</v>
      </c>
      <c r="BE47" s="311">
        <f t="shared" si="3"/>
        <v>74</v>
      </c>
      <c r="BF47" s="311">
        <f t="shared" si="3"/>
        <v>72</v>
      </c>
      <c r="BG47" s="311">
        <f t="shared" si="3"/>
        <v>74</v>
      </c>
    </row>
    <row r="48" spans="1:62" x14ac:dyDescent="0.35">
      <c r="A48" s="312" t="s">
        <v>0</v>
      </c>
      <c r="B48" s="312">
        <f t="shared" ref="B48:N48" si="4">SUM(B44:B47)</f>
        <v>22710</v>
      </c>
      <c r="C48" s="312">
        <f t="shared" si="4"/>
        <v>21941</v>
      </c>
      <c r="D48" s="312">
        <f t="shared" si="4"/>
        <v>21513</v>
      </c>
      <c r="E48" s="312">
        <f t="shared" si="4"/>
        <v>21083</v>
      </c>
      <c r="F48" s="312">
        <f t="shared" si="4"/>
        <v>20338</v>
      </c>
      <c r="G48" s="312">
        <f t="shared" si="4"/>
        <v>19986</v>
      </c>
      <c r="H48" s="312">
        <f t="shared" si="4"/>
        <v>19095</v>
      </c>
      <c r="I48" s="312">
        <f t="shared" si="4"/>
        <v>17353</v>
      </c>
      <c r="J48" s="312">
        <f t="shared" si="4"/>
        <v>16641</v>
      </c>
      <c r="K48" s="312">
        <f t="shared" si="4"/>
        <v>16719</v>
      </c>
      <c r="L48" s="312">
        <f t="shared" si="4"/>
        <v>16311</v>
      </c>
      <c r="M48" s="312">
        <f t="shared" si="4"/>
        <v>15819</v>
      </c>
      <c r="N48" s="312">
        <f t="shared" si="4"/>
        <v>14843</v>
      </c>
      <c r="O48" s="312">
        <f t="shared" ref="O48:BG48" si="5">SUM(O44:O47)</f>
        <v>14882</v>
      </c>
      <c r="P48" s="312">
        <f t="shared" si="5"/>
        <v>14066</v>
      </c>
      <c r="Q48" s="312">
        <f t="shared" si="5"/>
        <v>13939</v>
      </c>
      <c r="R48" s="312">
        <f t="shared" si="5"/>
        <v>14774</v>
      </c>
      <c r="S48" s="312">
        <f t="shared" si="5"/>
        <v>14560</v>
      </c>
      <c r="T48" s="312">
        <f t="shared" si="5"/>
        <v>15349</v>
      </c>
      <c r="U48" s="312">
        <f t="shared" si="5"/>
        <v>17213</v>
      </c>
      <c r="V48" s="312">
        <f t="shared" si="5"/>
        <v>21051</v>
      </c>
      <c r="W48" s="312">
        <f t="shared" si="5"/>
        <v>23994</v>
      </c>
      <c r="X48" s="312">
        <f t="shared" si="5"/>
        <v>26656</v>
      </c>
      <c r="Y48" s="312">
        <f t="shared" si="5"/>
        <v>27563</v>
      </c>
      <c r="Z48" s="312">
        <f t="shared" si="5"/>
        <v>27616</v>
      </c>
      <c r="AA48" s="312">
        <f t="shared" si="5"/>
        <v>25852</v>
      </c>
      <c r="AB48" s="312">
        <f t="shared" si="5"/>
        <v>26162</v>
      </c>
      <c r="AC48" s="312">
        <f t="shared" si="5"/>
        <v>24261</v>
      </c>
      <c r="AD48" s="312">
        <f t="shared" si="5"/>
        <v>22577</v>
      </c>
      <c r="AE48" s="312">
        <f t="shared" si="5"/>
        <v>22220</v>
      </c>
      <c r="AF48" s="312">
        <f t="shared" si="5"/>
        <v>23675</v>
      </c>
      <c r="AG48" s="312">
        <f t="shared" si="5"/>
        <v>24318</v>
      </c>
      <c r="AH48" s="312">
        <f t="shared" si="5"/>
        <v>25444</v>
      </c>
      <c r="AI48" s="312">
        <f t="shared" si="5"/>
        <v>23871</v>
      </c>
      <c r="AJ48" s="312">
        <f t="shared" si="5"/>
        <v>22903</v>
      </c>
      <c r="AK48" s="312">
        <f t="shared" si="5"/>
        <v>22434</v>
      </c>
      <c r="AL48" s="312">
        <f t="shared" si="5"/>
        <v>21198</v>
      </c>
      <c r="AM48" s="312">
        <f t="shared" si="5"/>
        <v>22452</v>
      </c>
      <c r="AN48" s="312">
        <f t="shared" si="5"/>
        <v>21173</v>
      </c>
      <c r="AO48" s="312">
        <f t="shared" si="5"/>
        <v>19617</v>
      </c>
      <c r="AP48" s="312">
        <f t="shared" si="5"/>
        <v>21515</v>
      </c>
      <c r="AQ48" s="312">
        <f t="shared" si="5"/>
        <v>21028</v>
      </c>
      <c r="AR48" s="312">
        <f t="shared" si="5"/>
        <v>19567</v>
      </c>
      <c r="AS48" s="312">
        <f t="shared" si="5"/>
        <v>22135</v>
      </c>
      <c r="AT48" s="312">
        <f t="shared" si="5"/>
        <v>24472</v>
      </c>
      <c r="AU48" s="312">
        <f t="shared" si="5"/>
        <v>26567</v>
      </c>
      <c r="AV48" s="312">
        <f t="shared" si="5"/>
        <v>25117</v>
      </c>
      <c r="AW48" s="312">
        <f t="shared" si="5"/>
        <v>24789</v>
      </c>
      <c r="AX48" s="312">
        <f t="shared" si="5"/>
        <v>23900</v>
      </c>
      <c r="AY48" s="312">
        <f t="shared" si="5"/>
        <v>24000</v>
      </c>
      <c r="AZ48" s="312">
        <f t="shared" si="5"/>
        <v>26261</v>
      </c>
      <c r="BA48" s="312">
        <f t="shared" si="5"/>
        <v>27457</v>
      </c>
      <c r="BB48" s="312">
        <f t="shared" si="5"/>
        <v>26277</v>
      </c>
      <c r="BC48" s="312">
        <f t="shared" si="5"/>
        <v>26632</v>
      </c>
      <c r="BD48" s="312">
        <f t="shared" si="5"/>
        <v>28916</v>
      </c>
      <c r="BE48" s="312">
        <f t="shared" si="5"/>
        <v>31647</v>
      </c>
      <c r="BF48" s="312">
        <f t="shared" si="5"/>
        <v>31906</v>
      </c>
      <c r="BG48" s="312">
        <f t="shared" si="5"/>
        <v>30581</v>
      </c>
    </row>
    <row r="49" spans="2:55" x14ac:dyDescent="0.35">
      <c r="B49" s="310"/>
      <c r="C49" s="310"/>
      <c r="D49" s="310"/>
      <c r="E49" s="310"/>
      <c r="F49" s="310"/>
      <c r="G49" s="310"/>
      <c r="H49" s="310"/>
      <c r="I49" s="310"/>
      <c r="J49" s="310"/>
      <c r="K49" s="310"/>
      <c r="L49" s="310"/>
      <c r="M49" s="310"/>
    </row>
    <row r="50" spans="2:55" x14ac:dyDescent="0.35">
      <c r="N50" s="310"/>
      <c r="O50" s="310"/>
      <c r="P50" s="310"/>
      <c r="Q50" s="310"/>
      <c r="R50" s="310"/>
      <c r="S50" s="310"/>
      <c r="T50" s="310"/>
      <c r="U50" s="310"/>
      <c r="V50" s="310"/>
      <c r="W50" s="310"/>
      <c r="X50" s="310"/>
      <c r="Y50" s="310"/>
      <c r="Z50" s="310"/>
      <c r="AA50" s="310"/>
      <c r="AB50" s="310"/>
      <c r="AC50" s="310"/>
      <c r="AD50" s="310"/>
      <c r="AE50" s="290"/>
      <c r="AF50" s="290"/>
      <c r="AG50" s="290"/>
      <c r="AH50" s="290"/>
      <c r="AI50" s="290"/>
      <c r="AJ50" s="290"/>
      <c r="AK50" s="290"/>
      <c r="AL50" s="290"/>
      <c r="AM50" s="290"/>
      <c r="AN50" s="290"/>
      <c r="AO50" s="290"/>
      <c r="AP50" s="290"/>
      <c r="AQ50" s="290"/>
      <c r="AR50" s="290"/>
      <c r="AS50" s="290"/>
      <c r="AT50" s="290"/>
      <c r="AU50" s="290"/>
      <c r="AV50" s="290"/>
      <c r="AW50" s="290"/>
      <c r="AX50" s="290"/>
      <c r="AY50" s="290"/>
      <c r="AZ50" s="290"/>
      <c r="BA50" s="290"/>
      <c r="BB50" s="290"/>
    </row>
    <row r="51" spans="2:55" x14ac:dyDescent="0.35">
      <c r="AE51" s="290"/>
      <c r="AF51" s="290"/>
      <c r="AG51" s="290"/>
      <c r="AH51" s="290"/>
      <c r="AI51" s="290"/>
      <c r="AJ51" s="290"/>
      <c r="AK51" s="290"/>
      <c r="AL51" s="290"/>
      <c r="AM51" s="290"/>
      <c r="AN51" s="290"/>
      <c r="AO51" s="290"/>
      <c r="AP51" s="290"/>
      <c r="AQ51" s="290"/>
      <c r="AR51" s="290"/>
      <c r="AS51" s="290"/>
      <c r="AT51" s="290"/>
      <c r="AU51" s="290"/>
      <c r="AV51" s="290"/>
      <c r="AW51" s="290"/>
      <c r="AX51" s="290"/>
      <c r="AY51" s="290"/>
      <c r="AZ51" s="290"/>
      <c r="BA51" s="290"/>
      <c r="BB51" s="290"/>
      <c r="BC51" s="290"/>
    </row>
    <row r="52" spans="2:55" x14ac:dyDescent="0.35">
      <c r="AE52" s="290"/>
      <c r="AF52" s="290"/>
      <c r="AG52" s="290"/>
      <c r="AH52" s="290"/>
      <c r="AI52" s="290"/>
      <c r="AJ52" s="290"/>
      <c r="AK52" s="290"/>
      <c r="AL52" s="290"/>
      <c r="AM52" s="290"/>
      <c r="AN52" s="290"/>
      <c r="AO52" s="290"/>
      <c r="AP52" s="290"/>
      <c r="AQ52" s="290"/>
      <c r="AR52" s="290"/>
      <c r="AS52" s="290"/>
      <c r="AT52" s="290"/>
      <c r="AU52" s="290"/>
      <c r="AV52" s="290"/>
      <c r="AW52" s="290"/>
      <c r="AX52" s="290"/>
      <c r="AY52" s="290"/>
      <c r="AZ52" s="290"/>
      <c r="BA52" s="290"/>
      <c r="BB52" s="290"/>
      <c r="BC52" s="290"/>
    </row>
    <row r="53" spans="2:55" x14ac:dyDescent="0.35">
      <c r="AE53" s="290"/>
      <c r="AF53" s="290"/>
      <c r="AG53" s="290"/>
      <c r="AH53" s="290"/>
      <c r="AI53" s="290"/>
      <c r="AJ53" s="290"/>
      <c r="AK53" s="290"/>
      <c r="AL53" s="290"/>
      <c r="AM53" s="290"/>
      <c r="AN53" s="290"/>
      <c r="AO53" s="290"/>
      <c r="AP53" s="290"/>
      <c r="AQ53" s="290"/>
      <c r="AR53" s="290"/>
      <c r="AS53" s="290"/>
      <c r="AT53" s="290"/>
      <c r="AU53" s="290"/>
      <c r="AV53" s="290"/>
      <c r="AW53" s="290"/>
      <c r="AX53" s="290"/>
      <c r="AY53" s="290"/>
      <c r="AZ53" s="290"/>
      <c r="BA53" s="290"/>
      <c r="BB53" s="290"/>
      <c r="BC53" s="290"/>
    </row>
    <row r="54" spans="2:55" x14ac:dyDescent="0.35">
      <c r="AE54" s="290"/>
      <c r="AF54" s="290"/>
      <c r="AG54" s="290"/>
      <c r="AH54" s="290"/>
      <c r="AI54" s="290"/>
      <c r="AJ54" s="290"/>
      <c r="AK54" s="290"/>
      <c r="AL54" s="290"/>
      <c r="AM54" s="290"/>
      <c r="AN54" s="290"/>
      <c r="AO54" s="290"/>
      <c r="AP54" s="290"/>
      <c r="AQ54" s="290"/>
      <c r="AR54" s="290"/>
      <c r="AS54" s="290"/>
      <c r="AT54" s="290"/>
      <c r="AU54" s="290"/>
      <c r="AV54" s="290"/>
      <c r="AW54" s="290"/>
      <c r="AX54" s="290"/>
      <c r="AY54" s="290"/>
      <c r="AZ54" s="290"/>
      <c r="BA54" s="290"/>
      <c r="BB54" s="290"/>
      <c r="BC54" s="290"/>
    </row>
    <row r="55" spans="2:55" x14ac:dyDescent="0.35">
      <c r="AF55" s="290"/>
      <c r="AG55" s="290"/>
      <c r="AH55" s="290"/>
      <c r="AI55" s="290"/>
      <c r="AJ55" s="290"/>
      <c r="AK55" s="290"/>
      <c r="AL55" s="290"/>
      <c r="AM55" s="290"/>
      <c r="AN55" s="290"/>
      <c r="AO55" s="290"/>
      <c r="AP55" s="290"/>
      <c r="AQ55" s="290"/>
      <c r="AR55" s="290"/>
      <c r="AS55" s="290"/>
      <c r="AT55" s="290"/>
      <c r="AU55" s="290"/>
      <c r="AV55" s="290"/>
      <c r="AW55" s="290"/>
      <c r="AX55" s="290"/>
      <c r="AY55" s="290"/>
      <c r="AZ55" s="290"/>
      <c r="BA55" s="290"/>
      <c r="BB55" s="290"/>
      <c r="BC55" s="290"/>
    </row>
  </sheetData>
  <mergeCells count="60">
    <mergeCell ref="BF17:BG17"/>
    <mergeCell ref="AJ17:AK17"/>
    <mergeCell ref="AL17:AM17"/>
    <mergeCell ref="AN17:AO17"/>
    <mergeCell ref="AP17:AQ17"/>
    <mergeCell ref="AR17:AS17"/>
    <mergeCell ref="AT17:AU17"/>
    <mergeCell ref="AV17:AW17"/>
    <mergeCell ref="AX17:AY17"/>
    <mergeCell ref="AZ17:BA17"/>
    <mergeCell ref="BB17:BC17"/>
    <mergeCell ref="BD17:BE17"/>
    <mergeCell ref="AH17:AI17"/>
    <mergeCell ref="L17:M17"/>
    <mergeCell ref="N17:O17"/>
    <mergeCell ref="P17:Q17"/>
    <mergeCell ref="R17:S17"/>
    <mergeCell ref="T17:U17"/>
    <mergeCell ref="V17:W17"/>
    <mergeCell ref="X17:Y17"/>
    <mergeCell ref="Z17:AA17"/>
    <mergeCell ref="AB17:AC17"/>
    <mergeCell ref="AD17:AE17"/>
    <mergeCell ref="AF17:AG17"/>
    <mergeCell ref="A16:A18"/>
    <mergeCell ref="B17:C17"/>
    <mergeCell ref="D17:E17"/>
    <mergeCell ref="F17:G17"/>
    <mergeCell ref="H17:I17"/>
    <mergeCell ref="J17:K17"/>
    <mergeCell ref="AV5:AW5"/>
    <mergeCell ref="AX5:AY5"/>
    <mergeCell ref="AZ5:BA5"/>
    <mergeCell ref="BB5:BC5"/>
    <mergeCell ref="X5:Y5"/>
    <mergeCell ref="Z5:AA5"/>
    <mergeCell ref="AB5:AC5"/>
    <mergeCell ref="AD5:AE5"/>
    <mergeCell ref="AF5:AG5"/>
    <mergeCell ref="AH5:AI5"/>
    <mergeCell ref="L5:M5"/>
    <mergeCell ref="N5:O5"/>
    <mergeCell ref="P5:Q5"/>
    <mergeCell ref="R5:S5"/>
    <mergeCell ref="T5:U5"/>
    <mergeCell ref="BD5:BE5"/>
    <mergeCell ref="BF5:BG5"/>
    <mergeCell ref="AJ5:AK5"/>
    <mergeCell ref="AL5:AM5"/>
    <mergeCell ref="AN5:AO5"/>
    <mergeCell ref="AP5:AQ5"/>
    <mergeCell ref="AR5:AS5"/>
    <mergeCell ref="AT5:AU5"/>
    <mergeCell ref="V5:W5"/>
    <mergeCell ref="A4:A6"/>
    <mergeCell ref="B5:C5"/>
    <mergeCell ref="D5:E5"/>
    <mergeCell ref="F5:G5"/>
    <mergeCell ref="H5:I5"/>
    <mergeCell ref="J5:K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70316-9CDB-4D98-8F56-D3A3B68EE508}">
  <dimension ref="A1:N8"/>
  <sheetViews>
    <sheetView showGridLines="0" zoomScale="80" zoomScaleNormal="80" workbookViewId="0"/>
  </sheetViews>
  <sheetFormatPr defaultColWidth="8.7265625" defaultRowHeight="15.5" x14ac:dyDescent="0.35"/>
  <cols>
    <col min="1" max="1" width="37.453125" style="134" customWidth="1"/>
    <col min="2" max="11" width="12.7265625" style="134" customWidth="1"/>
    <col min="12" max="12" width="11" style="134" bestFit="1" customWidth="1"/>
    <col min="13" max="14" width="12.1796875" style="134" customWidth="1"/>
    <col min="15" max="16384" width="8.7265625" style="134"/>
  </cols>
  <sheetData>
    <row r="1" spans="1:14" x14ac:dyDescent="0.35">
      <c r="A1" s="278" t="s">
        <v>867</v>
      </c>
    </row>
    <row r="2" spans="1:14" ht="16" thickBot="1" x14ac:dyDescent="0.4"/>
    <row r="3" spans="1:14" x14ac:dyDescent="0.35">
      <c r="A3" s="313"/>
      <c r="B3" s="314">
        <v>44531</v>
      </c>
      <c r="C3" s="314">
        <v>44562</v>
      </c>
      <c r="D3" s="314">
        <v>44593</v>
      </c>
      <c r="E3" s="314">
        <v>44621</v>
      </c>
      <c r="F3" s="314">
        <v>44652</v>
      </c>
      <c r="G3" s="314">
        <v>44682</v>
      </c>
      <c r="H3" s="314">
        <v>44713</v>
      </c>
      <c r="I3" s="314">
        <v>44743</v>
      </c>
      <c r="J3" s="314">
        <v>44774</v>
      </c>
      <c r="K3" s="314">
        <v>44805</v>
      </c>
      <c r="L3" s="315">
        <v>44835</v>
      </c>
      <c r="M3" s="315">
        <v>44866</v>
      </c>
      <c r="N3" s="316">
        <v>44896</v>
      </c>
    </row>
    <row r="4" spans="1:14" x14ac:dyDescent="0.35">
      <c r="A4" s="317" t="s">
        <v>868</v>
      </c>
      <c r="B4" s="318">
        <v>27982</v>
      </c>
      <c r="C4" s="318">
        <v>23954</v>
      </c>
      <c r="D4" s="318">
        <v>24915</v>
      </c>
      <c r="E4" s="318">
        <v>24955</v>
      </c>
      <c r="F4" s="318">
        <v>18418</v>
      </c>
      <c r="G4" s="318">
        <v>16689</v>
      </c>
      <c r="H4" s="318">
        <v>18319</v>
      </c>
      <c r="I4" s="318">
        <v>15557</v>
      </c>
      <c r="J4" s="318">
        <v>15103</v>
      </c>
      <c r="K4" s="318">
        <v>13147</v>
      </c>
      <c r="L4" s="318">
        <v>9731</v>
      </c>
      <c r="M4" s="318">
        <v>12487</v>
      </c>
      <c r="N4" s="319">
        <v>1632</v>
      </c>
    </row>
    <row r="5" spans="1:14" x14ac:dyDescent="0.35">
      <c r="A5" s="317" t="s">
        <v>869</v>
      </c>
      <c r="B5" s="318">
        <v>1090</v>
      </c>
      <c r="C5" s="318">
        <v>724</v>
      </c>
      <c r="D5" s="318">
        <v>2145</v>
      </c>
      <c r="E5" s="318">
        <v>3182</v>
      </c>
      <c r="F5" s="318">
        <v>2423</v>
      </c>
      <c r="G5" s="318">
        <v>2720</v>
      </c>
      <c r="H5" s="318">
        <v>3450</v>
      </c>
      <c r="I5" s="318">
        <v>3070</v>
      </c>
      <c r="J5" s="318">
        <v>3397</v>
      </c>
      <c r="K5" s="318">
        <v>2843</v>
      </c>
      <c r="L5" s="318">
        <v>2727</v>
      </c>
      <c r="M5" s="318">
        <v>2858</v>
      </c>
      <c r="N5" s="319">
        <v>463</v>
      </c>
    </row>
    <row r="6" spans="1:14" x14ac:dyDescent="0.35">
      <c r="A6" s="317" t="s">
        <v>870</v>
      </c>
      <c r="B6" s="320">
        <f t="shared" ref="B6:N6" si="0">IF(ISERROR(B5/B4),0,B5/B4)</f>
        <v>3.8953613036952328E-2</v>
      </c>
      <c r="C6" s="320">
        <f t="shared" si="0"/>
        <v>3.0224597144527011E-2</v>
      </c>
      <c r="D6" s="320">
        <f t="shared" si="0"/>
        <v>8.6092715231788075E-2</v>
      </c>
      <c r="E6" s="320">
        <f t="shared" si="0"/>
        <v>0.1275095171308355</v>
      </c>
      <c r="F6" s="320">
        <f t="shared" si="0"/>
        <v>0.13155608643718103</v>
      </c>
      <c r="G6" s="320">
        <f t="shared" si="0"/>
        <v>0.1629816046497693</v>
      </c>
      <c r="H6" s="320">
        <f t="shared" si="0"/>
        <v>0.18832905726295104</v>
      </c>
      <c r="I6" s="320">
        <f t="shared" si="0"/>
        <v>0.19733881853827859</v>
      </c>
      <c r="J6" s="320">
        <f t="shared" si="0"/>
        <v>0.22492220088724094</v>
      </c>
      <c r="K6" s="320">
        <f t="shared" si="0"/>
        <v>0.21624705255951929</v>
      </c>
      <c r="L6" s="320">
        <f t="shared" si="0"/>
        <v>0.28023841331826121</v>
      </c>
      <c r="M6" s="320">
        <f t="shared" si="0"/>
        <v>0.22887803315448066</v>
      </c>
      <c r="N6" s="321">
        <f t="shared" si="0"/>
        <v>0.28370098039215685</v>
      </c>
    </row>
    <row r="7" spans="1:14" x14ac:dyDescent="0.35">
      <c r="A7" s="317" t="s">
        <v>871</v>
      </c>
      <c r="B7" s="318">
        <v>7630.1305970149297</v>
      </c>
      <c r="C7" s="318">
        <v>6620.3703703703704</v>
      </c>
      <c r="D7" s="318">
        <v>3941.7244367417702</v>
      </c>
      <c r="E7" s="318">
        <v>3840.0842514582</v>
      </c>
      <c r="F7" s="318">
        <v>4848.4527342094098</v>
      </c>
      <c r="G7" s="318">
        <v>5439.1628236963497</v>
      </c>
      <c r="H7" s="318">
        <v>4753.0787104269502</v>
      </c>
      <c r="I7" s="318">
        <v>5433.4336342360402</v>
      </c>
      <c r="J7" s="318">
        <v>5305.2949640287798</v>
      </c>
      <c r="K7" s="318">
        <v>5611.5643845335198</v>
      </c>
      <c r="L7" s="318">
        <v>5512.8279883381902</v>
      </c>
      <c r="M7" s="318">
        <v>6501.8466408723198</v>
      </c>
      <c r="N7" s="319">
        <v>6203.6659877800403</v>
      </c>
    </row>
    <row r="8" spans="1:14" ht="16" thickBot="1" x14ac:dyDescent="0.4">
      <c r="A8" s="322" t="s">
        <v>872</v>
      </c>
      <c r="B8" s="323">
        <v>69.123853211009205</v>
      </c>
      <c r="C8" s="323">
        <v>63.140883977900501</v>
      </c>
      <c r="D8" s="323">
        <v>45.675058275058298</v>
      </c>
      <c r="E8" s="323">
        <v>39.007228158390902</v>
      </c>
      <c r="F8" s="323">
        <v>41.376392901361903</v>
      </c>
      <c r="G8" s="323">
        <v>41.692647058823503</v>
      </c>
      <c r="H8" s="323">
        <v>38.944637681159399</v>
      </c>
      <c r="I8" s="323">
        <v>43.503908794788302</v>
      </c>
      <c r="J8" s="323">
        <v>43.136296732410997</v>
      </c>
      <c r="K8" s="323">
        <v>46.504748505100203</v>
      </c>
      <c r="L8" s="323">
        <v>46.681334800146701</v>
      </c>
      <c r="M8" s="323">
        <v>46.046885934219702</v>
      </c>
      <c r="N8" s="324">
        <v>51.8185745140389</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5B230-D635-4D12-8AA2-17B003EC85E0}">
  <dimension ref="A1:L127"/>
  <sheetViews>
    <sheetView showGridLines="0" zoomScale="80" zoomScaleNormal="80" workbookViewId="0">
      <selection activeCell="F25" sqref="F25"/>
    </sheetView>
  </sheetViews>
  <sheetFormatPr defaultRowHeight="14.5" x14ac:dyDescent="0.35"/>
  <cols>
    <col min="1" max="1" width="35.7265625" customWidth="1"/>
    <col min="2" max="2" width="11.1796875" customWidth="1"/>
    <col min="3" max="3" width="10.81640625" customWidth="1"/>
  </cols>
  <sheetData>
    <row r="1" spans="1:12" ht="98.5" customHeight="1" x14ac:dyDescent="0.35">
      <c r="A1" s="397" t="s">
        <v>873</v>
      </c>
      <c r="B1" s="398"/>
      <c r="C1" s="398"/>
      <c r="D1" s="398"/>
      <c r="E1" s="398"/>
      <c r="F1" s="398"/>
      <c r="G1" s="398"/>
      <c r="H1" s="398"/>
      <c r="I1" s="398"/>
      <c r="J1" s="398"/>
      <c r="K1" s="398"/>
      <c r="L1" s="398"/>
    </row>
    <row r="2" spans="1:12" ht="12.65" customHeight="1" x14ac:dyDescent="0.35"/>
    <row r="3" spans="1:12" ht="16" thickBot="1" x14ac:dyDescent="0.4">
      <c r="A3" s="278" t="s">
        <v>982</v>
      </c>
      <c r="B3" s="134"/>
      <c r="C3" s="134"/>
    </row>
    <row r="4" spans="1:12" ht="15" x14ac:dyDescent="0.35">
      <c r="A4" s="313" t="s">
        <v>835</v>
      </c>
      <c r="B4" s="316" t="s">
        <v>874</v>
      </c>
    </row>
    <row r="5" spans="1:12" ht="15.5" x14ac:dyDescent="0.35">
      <c r="A5" s="317" t="s">
        <v>875</v>
      </c>
      <c r="B5" s="325">
        <v>15</v>
      </c>
    </row>
    <row r="6" spans="1:12" ht="15.5" x14ac:dyDescent="0.35">
      <c r="A6" s="317" t="s">
        <v>876</v>
      </c>
      <c r="B6" s="325">
        <v>9</v>
      </c>
    </row>
    <row r="7" spans="1:12" ht="15.5" x14ac:dyDescent="0.35">
      <c r="A7" s="317" t="s">
        <v>877</v>
      </c>
      <c r="B7" s="325">
        <v>10</v>
      </c>
    </row>
    <row r="8" spans="1:12" ht="15.5" x14ac:dyDescent="0.35">
      <c r="A8" s="317" t="s">
        <v>837</v>
      </c>
      <c r="B8" s="325">
        <v>25</v>
      </c>
    </row>
    <row r="9" spans="1:12" ht="16" thickBot="1" x14ac:dyDescent="0.4">
      <c r="A9" s="322" t="s">
        <v>878</v>
      </c>
      <c r="B9" s="326">
        <v>17</v>
      </c>
    </row>
    <row r="11" spans="1:12" ht="16" thickBot="1" x14ac:dyDescent="0.4">
      <c r="A11" s="278" t="s">
        <v>983</v>
      </c>
      <c r="B11" s="134"/>
    </row>
    <row r="12" spans="1:12" ht="15" x14ac:dyDescent="0.35">
      <c r="A12" s="313" t="s">
        <v>835</v>
      </c>
      <c r="B12" s="316" t="s">
        <v>879</v>
      </c>
    </row>
    <row r="13" spans="1:12" ht="15.5" x14ac:dyDescent="0.35">
      <c r="A13" s="317" t="s">
        <v>875</v>
      </c>
      <c r="B13" s="325">
        <v>22</v>
      </c>
    </row>
    <row r="14" spans="1:12" ht="15.5" x14ac:dyDescent="0.35">
      <c r="A14" s="317" t="s">
        <v>876</v>
      </c>
      <c r="B14" s="325">
        <v>21</v>
      </c>
    </row>
    <row r="15" spans="1:12" ht="15.5" x14ac:dyDescent="0.35">
      <c r="A15" s="317" t="s">
        <v>877</v>
      </c>
      <c r="B15" s="325">
        <v>19</v>
      </c>
    </row>
    <row r="16" spans="1:12" ht="15.5" x14ac:dyDescent="0.35">
      <c r="A16" s="317" t="s">
        <v>837</v>
      </c>
      <c r="B16" s="325">
        <v>19</v>
      </c>
    </row>
    <row r="17" spans="1:2" ht="16" thickBot="1" x14ac:dyDescent="0.4">
      <c r="A17" s="322" t="s">
        <v>878</v>
      </c>
      <c r="B17" s="326">
        <v>19</v>
      </c>
    </row>
    <row r="18" spans="1:2" ht="15.5" x14ac:dyDescent="0.35">
      <c r="B18" s="327"/>
    </row>
    <row r="19" spans="1:2" ht="16" thickBot="1" x14ac:dyDescent="0.4">
      <c r="A19" s="278" t="s">
        <v>984</v>
      </c>
      <c r="B19" s="134"/>
    </row>
    <row r="20" spans="1:2" ht="15" x14ac:dyDescent="0.35">
      <c r="A20" s="313" t="s">
        <v>835</v>
      </c>
      <c r="B20" s="316" t="s">
        <v>816</v>
      </c>
    </row>
    <row r="21" spans="1:2" ht="15.5" x14ac:dyDescent="0.35">
      <c r="A21" s="317" t="s">
        <v>875</v>
      </c>
      <c r="B21" s="319">
        <v>12</v>
      </c>
    </row>
    <row r="22" spans="1:2" ht="15.5" x14ac:dyDescent="0.35">
      <c r="A22" s="317" t="s">
        <v>876</v>
      </c>
      <c r="B22" s="319">
        <v>3</v>
      </c>
    </row>
    <row r="23" spans="1:2" ht="15.5" x14ac:dyDescent="0.35">
      <c r="A23" s="317" t="s">
        <v>877</v>
      </c>
      <c r="B23" s="319">
        <v>9</v>
      </c>
    </row>
    <row r="24" spans="1:2" ht="15.5" x14ac:dyDescent="0.35">
      <c r="A24" s="317" t="s">
        <v>837</v>
      </c>
      <c r="B24" s="319">
        <v>11</v>
      </c>
    </row>
    <row r="25" spans="1:2" ht="16" thickBot="1" x14ac:dyDescent="0.4">
      <c r="A25" s="322" t="s">
        <v>878</v>
      </c>
      <c r="B25" s="328">
        <v>8</v>
      </c>
    </row>
    <row r="26" spans="1:2" ht="15.5" x14ac:dyDescent="0.35">
      <c r="B26" s="327"/>
    </row>
    <row r="27" spans="1:2" ht="16" thickBot="1" x14ac:dyDescent="0.4">
      <c r="A27" s="278" t="s">
        <v>880</v>
      </c>
      <c r="B27" s="134"/>
    </row>
    <row r="28" spans="1:2" ht="15" x14ac:dyDescent="0.35">
      <c r="A28" s="313" t="s">
        <v>835</v>
      </c>
      <c r="B28" s="316" t="s">
        <v>874</v>
      </c>
    </row>
    <row r="29" spans="1:2" ht="15.5" x14ac:dyDescent="0.35">
      <c r="A29" s="317" t="s">
        <v>875</v>
      </c>
      <c r="B29" s="325">
        <v>30</v>
      </c>
    </row>
    <row r="30" spans="1:2" ht="15.5" x14ac:dyDescent="0.35">
      <c r="A30" s="317" t="s">
        <v>876</v>
      </c>
      <c r="B30" s="325">
        <v>12</v>
      </c>
    </row>
    <row r="31" spans="1:2" ht="15.5" x14ac:dyDescent="0.35">
      <c r="A31" s="317" t="s">
        <v>877</v>
      </c>
      <c r="B31" s="325">
        <v>11</v>
      </c>
    </row>
    <row r="32" spans="1:2" ht="15.5" x14ac:dyDescent="0.35">
      <c r="A32" s="317" t="s">
        <v>837</v>
      </c>
      <c r="B32" s="325">
        <v>6</v>
      </c>
    </row>
    <row r="33" spans="1:2" ht="16" thickBot="1" x14ac:dyDescent="0.4">
      <c r="A33" s="322" t="s">
        <v>836</v>
      </c>
      <c r="B33" s="328">
        <v>1</v>
      </c>
    </row>
    <row r="35" spans="1:2" ht="16" thickBot="1" x14ac:dyDescent="0.4">
      <c r="A35" s="278" t="s">
        <v>881</v>
      </c>
      <c r="B35" s="134"/>
    </row>
    <row r="36" spans="1:2" ht="15" x14ac:dyDescent="0.35">
      <c r="A36" s="313" t="s">
        <v>835</v>
      </c>
      <c r="B36" s="316" t="s">
        <v>879</v>
      </c>
    </row>
    <row r="37" spans="1:2" ht="15.5" x14ac:dyDescent="0.35">
      <c r="A37" s="317" t="s">
        <v>875</v>
      </c>
      <c r="B37" s="325">
        <v>19</v>
      </c>
    </row>
    <row r="38" spans="1:2" ht="15.5" x14ac:dyDescent="0.35">
      <c r="A38" s="317" t="s">
        <v>876</v>
      </c>
      <c r="B38" s="325">
        <v>8</v>
      </c>
    </row>
    <row r="39" spans="1:2" ht="15.5" x14ac:dyDescent="0.35">
      <c r="A39" s="317" t="s">
        <v>877</v>
      </c>
      <c r="B39" s="325">
        <v>9</v>
      </c>
    </row>
    <row r="40" spans="1:2" ht="15.5" x14ac:dyDescent="0.35">
      <c r="A40" s="317" t="s">
        <v>837</v>
      </c>
      <c r="B40" s="325">
        <v>4</v>
      </c>
    </row>
    <row r="41" spans="1:2" ht="16" thickBot="1" x14ac:dyDescent="0.4">
      <c r="A41" s="322" t="s">
        <v>836</v>
      </c>
      <c r="B41" s="329">
        <v>1</v>
      </c>
    </row>
    <row r="42" spans="1:2" ht="15.5" x14ac:dyDescent="0.35">
      <c r="B42" s="327"/>
    </row>
    <row r="43" spans="1:2" ht="16" thickBot="1" x14ac:dyDescent="0.4">
      <c r="A43" s="278" t="s">
        <v>882</v>
      </c>
      <c r="B43" s="134"/>
    </row>
    <row r="44" spans="1:2" ht="15" x14ac:dyDescent="0.35">
      <c r="A44" s="313" t="s">
        <v>835</v>
      </c>
      <c r="B44" s="316" t="s">
        <v>816</v>
      </c>
    </row>
    <row r="45" spans="1:2" ht="15.5" x14ac:dyDescent="0.35">
      <c r="A45" s="317" t="s">
        <v>875</v>
      </c>
      <c r="B45" s="319">
        <v>2</v>
      </c>
    </row>
    <row r="46" spans="1:2" ht="15.5" x14ac:dyDescent="0.35">
      <c r="A46" s="317" t="s">
        <v>876</v>
      </c>
      <c r="B46" s="319">
        <v>1</v>
      </c>
    </row>
    <row r="47" spans="1:2" ht="15.5" x14ac:dyDescent="0.35">
      <c r="A47" s="317" t="s">
        <v>877</v>
      </c>
      <c r="B47" s="319">
        <v>0</v>
      </c>
    </row>
    <row r="48" spans="1:2" ht="15.5" x14ac:dyDescent="0.35">
      <c r="A48" s="317" t="s">
        <v>837</v>
      </c>
      <c r="B48" s="319">
        <v>0</v>
      </c>
    </row>
    <row r="49" spans="1:2" ht="16" thickBot="1" x14ac:dyDescent="0.4">
      <c r="A49" s="322" t="s">
        <v>878</v>
      </c>
      <c r="B49" s="328">
        <v>0</v>
      </c>
    </row>
    <row r="50" spans="1:2" ht="15.5" x14ac:dyDescent="0.35">
      <c r="B50" s="327"/>
    </row>
    <row r="51" spans="1:2" ht="16" thickBot="1" x14ac:dyDescent="0.4">
      <c r="A51" s="278" t="s">
        <v>883</v>
      </c>
      <c r="B51" s="134"/>
    </row>
    <row r="52" spans="1:2" ht="15" x14ac:dyDescent="0.35">
      <c r="A52" s="313" t="s">
        <v>835</v>
      </c>
      <c r="B52" s="316" t="s">
        <v>874</v>
      </c>
    </row>
    <row r="53" spans="1:2" ht="15.5" x14ac:dyDescent="0.35">
      <c r="A53" s="317" t="s">
        <v>875</v>
      </c>
      <c r="B53" s="325">
        <v>24545</v>
      </c>
    </row>
    <row r="54" spans="1:2" ht="15.5" x14ac:dyDescent="0.35">
      <c r="A54" s="317" t="s">
        <v>876</v>
      </c>
      <c r="B54" s="325">
        <v>22976</v>
      </c>
    </row>
    <row r="55" spans="1:2" ht="15.5" x14ac:dyDescent="0.35">
      <c r="A55" s="317" t="s">
        <v>877</v>
      </c>
      <c r="B55" s="325">
        <v>16174</v>
      </c>
    </row>
    <row r="56" spans="1:2" ht="15.5" x14ac:dyDescent="0.35">
      <c r="A56" s="317" t="s">
        <v>837</v>
      </c>
      <c r="B56" s="325">
        <v>6941</v>
      </c>
    </row>
    <row r="57" spans="1:2" ht="16" thickBot="1" x14ac:dyDescent="0.4">
      <c r="A57" s="322" t="s">
        <v>878</v>
      </c>
      <c r="B57" s="326">
        <v>5977</v>
      </c>
    </row>
    <row r="59" spans="1:2" ht="16" thickBot="1" x14ac:dyDescent="0.4">
      <c r="A59" s="278" t="s">
        <v>884</v>
      </c>
      <c r="B59" s="134"/>
    </row>
    <row r="60" spans="1:2" ht="15" x14ac:dyDescent="0.35">
      <c r="A60" s="313" t="s">
        <v>835</v>
      </c>
      <c r="B60" s="316" t="s">
        <v>879</v>
      </c>
    </row>
    <row r="61" spans="1:2" ht="15.5" x14ac:dyDescent="0.35">
      <c r="A61" s="317" t="s">
        <v>875</v>
      </c>
      <c r="B61" s="325">
        <v>25793</v>
      </c>
    </row>
    <row r="62" spans="1:2" ht="15.5" x14ac:dyDescent="0.35">
      <c r="A62" s="317" t="s">
        <v>876</v>
      </c>
      <c r="B62" s="325">
        <v>24371</v>
      </c>
    </row>
    <row r="63" spans="1:2" ht="15.5" x14ac:dyDescent="0.35">
      <c r="A63" s="317" t="s">
        <v>877</v>
      </c>
      <c r="B63" s="325">
        <v>17657</v>
      </c>
    </row>
    <row r="64" spans="1:2" ht="15.5" x14ac:dyDescent="0.35">
      <c r="A64" s="317" t="s">
        <v>837</v>
      </c>
      <c r="B64" s="325">
        <v>7422</v>
      </c>
    </row>
    <row r="65" spans="1:6" ht="16" thickBot="1" x14ac:dyDescent="0.4">
      <c r="A65" s="322" t="s">
        <v>878</v>
      </c>
      <c r="B65" s="326">
        <v>6468</v>
      </c>
    </row>
    <row r="66" spans="1:6" ht="15.5" x14ac:dyDescent="0.35">
      <c r="B66" s="327"/>
    </row>
    <row r="67" spans="1:6" ht="16" thickBot="1" x14ac:dyDescent="0.4">
      <c r="A67" s="278" t="s">
        <v>885</v>
      </c>
      <c r="B67" s="134"/>
    </row>
    <row r="68" spans="1:6" ht="15" x14ac:dyDescent="0.35">
      <c r="A68" s="313" t="s">
        <v>835</v>
      </c>
      <c r="B68" s="316" t="s">
        <v>816</v>
      </c>
    </row>
    <row r="69" spans="1:6" ht="15.5" x14ac:dyDescent="0.35">
      <c r="A69" s="317" t="s">
        <v>875</v>
      </c>
      <c r="B69" s="319">
        <v>13632</v>
      </c>
    </row>
    <row r="70" spans="1:6" ht="15.5" x14ac:dyDescent="0.35">
      <c r="A70" s="317" t="s">
        <v>876</v>
      </c>
      <c r="B70" s="319">
        <v>13203</v>
      </c>
    </row>
    <row r="71" spans="1:6" ht="15.5" x14ac:dyDescent="0.35">
      <c r="A71" s="317" t="s">
        <v>877</v>
      </c>
      <c r="B71" s="319">
        <v>10998</v>
      </c>
    </row>
    <row r="72" spans="1:6" ht="15.5" x14ac:dyDescent="0.35">
      <c r="A72" s="317" t="s">
        <v>837</v>
      </c>
      <c r="B72" s="319">
        <v>64</v>
      </c>
    </row>
    <row r="73" spans="1:6" ht="16" thickBot="1" x14ac:dyDescent="0.4">
      <c r="A73" s="322" t="s">
        <v>878</v>
      </c>
      <c r="B73" s="328">
        <v>4065</v>
      </c>
    </row>
    <row r="74" spans="1:6" ht="15.5" x14ac:dyDescent="0.35">
      <c r="B74" s="327"/>
    </row>
    <row r="75" spans="1:6" ht="16" thickBot="1" x14ac:dyDescent="0.4">
      <c r="A75" s="278" t="s">
        <v>886</v>
      </c>
      <c r="B75" s="134"/>
    </row>
    <row r="76" spans="1:6" ht="15" x14ac:dyDescent="0.35">
      <c r="A76" s="313" t="s">
        <v>887</v>
      </c>
      <c r="B76" s="315" t="s">
        <v>875</v>
      </c>
      <c r="C76" s="315" t="s">
        <v>876</v>
      </c>
      <c r="D76" s="315" t="s">
        <v>877</v>
      </c>
      <c r="E76" s="315" t="s">
        <v>837</v>
      </c>
      <c r="F76" s="316" t="s">
        <v>836</v>
      </c>
    </row>
    <row r="77" spans="1:6" ht="15.5" x14ac:dyDescent="0.35">
      <c r="A77" s="317" t="s">
        <v>888</v>
      </c>
      <c r="B77" s="330"/>
      <c r="C77" s="330"/>
      <c r="D77" s="330"/>
      <c r="E77" s="330"/>
      <c r="F77" s="319">
        <v>23</v>
      </c>
    </row>
    <row r="78" spans="1:6" ht="15.5" x14ac:dyDescent="0.35">
      <c r="A78" s="317" t="s">
        <v>889</v>
      </c>
      <c r="B78" s="330">
        <v>0</v>
      </c>
      <c r="C78" s="330">
        <v>0</v>
      </c>
      <c r="D78" s="330">
        <v>0</v>
      </c>
      <c r="E78" s="318">
        <v>10</v>
      </c>
      <c r="F78" s="319">
        <v>37</v>
      </c>
    </row>
    <row r="79" spans="1:6" ht="15.5" x14ac:dyDescent="0.35">
      <c r="A79" s="317" t="s">
        <v>890</v>
      </c>
      <c r="B79" s="330"/>
      <c r="C79" s="330"/>
      <c r="D79" s="330"/>
      <c r="E79" s="330"/>
      <c r="F79" s="319">
        <v>54</v>
      </c>
    </row>
    <row r="80" spans="1:6" ht="15.5" x14ac:dyDescent="0.35">
      <c r="A80" s="317" t="s">
        <v>891</v>
      </c>
      <c r="B80" s="318">
        <v>10119</v>
      </c>
      <c r="C80" s="318">
        <v>9164</v>
      </c>
      <c r="D80" s="318">
        <v>6123</v>
      </c>
      <c r="E80" s="318">
        <v>5270</v>
      </c>
      <c r="F80" s="319">
        <v>6607</v>
      </c>
    </row>
    <row r="81" spans="1:6" ht="15.5" x14ac:dyDescent="0.35">
      <c r="A81" s="317" t="s">
        <v>892</v>
      </c>
      <c r="B81" s="330">
        <v>0</v>
      </c>
      <c r="C81" s="330">
        <v>0</v>
      </c>
      <c r="D81" s="330">
        <v>0</v>
      </c>
      <c r="E81" s="318">
        <v>1303</v>
      </c>
      <c r="F81" s="319">
        <v>4296</v>
      </c>
    </row>
    <row r="82" spans="1:6" ht="15.5" x14ac:dyDescent="0.35">
      <c r="A82" s="317" t="s">
        <v>893</v>
      </c>
      <c r="B82" s="318">
        <v>13597</v>
      </c>
      <c r="C82" s="318">
        <v>13716</v>
      </c>
      <c r="D82" s="318">
        <v>9950</v>
      </c>
      <c r="E82" s="318">
        <v>10790</v>
      </c>
      <c r="F82" s="319">
        <v>16487</v>
      </c>
    </row>
    <row r="83" spans="1:6" ht="15.5" x14ac:dyDescent="0.35">
      <c r="A83" s="317" t="s">
        <v>894</v>
      </c>
      <c r="B83" s="318">
        <v>53</v>
      </c>
      <c r="C83" s="318">
        <v>34</v>
      </c>
      <c r="D83" s="318">
        <v>36</v>
      </c>
      <c r="E83" s="318">
        <v>11</v>
      </c>
      <c r="F83" s="319">
        <v>30</v>
      </c>
    </row>
    <row r="84" spans="1:6" ht="15.5" x14ac:dyDescent="0.35">
      <c r="A84" s="317" t="s">
        <v>895</v>
      </c>
      <c r="B84" s="318">
        <v>637</v>
      </c>
      <c r="C84" s="318">
        <v>823</v>
      </c>
      <c r="D84" s="318">
        <v>543</v>
      </c>
      <c r="E84" s="318">
        <v>2222</v>
      </c>
      <c r="F84" s="319">
        <v>10858</v>
      </c>
    </row>
    <row r="85" spans="1:6" ht="15.5" x14ac:dyDescent="0.35">
      <c r="A85" s="317" t="s">
        <v>896</v>
      </c>
      <c r="B85" s="318">
        <v>236</v>
      </c>
      <c r="C85" s="318">
        <v>132</v>
      </c>
      <c r="D85" s="318">
        <v>105</v>
      </c>
      <c r="E85" s="318">
        <v>52</v>
      </c>
      <c r="F85" s="319">
        <v>88</v>
      </c>
    </row>
    <row r="86" spans="1:6" ht="15.5" x14ac:dyDescent="0.35">
      <c r="A86" s="317" t="s">
        <v>897</v>
      </c>
      <c r="B86" s="318">
        <v>81</v>
      </c>
      <c r="C86" s="318">
        <v>40</v>
      </c>
      <c r="D86" s="318">
        <v>29</v>
      </c>
      <c r="E86" s="318">
        <v>12</v>
      </c>
      <c r="F86" s="319">
        <v>5</v>
      </c>
    </row>
    <row r="87" spans="1:6" ht="15.5" x14ac:dyDescent="0.35">
      <c r="A87" s="317" t="s">
        <v>898</v>
      </c>
      <c r="B87" s="318">
        <v>134</v>
      </c>
      <c r="C87" s="318">
        <v>82</v>
      </c>
      <c r="D87" s="318">
        <v>72</v>
      </c>
      <c r="E87" s="318">
        <v>29</v>
      </c>
      <c r="F87" s="319">
        <v>26</v>
      </c>
    </row>
    <row r="88" spans="1:6" ht="15.5" x14ac:dyDescent="0.35">
      <c r="A88" s="317" t="s">
        <v>899</v>
      </c>
      <c r="B88" s="318">
        <v>27</v>
      </c>
      <c r="C88" s="318">
        <v>19</v>
      </c>
      <c r="D88" s="318">
        <v>17</v>
      </c>
      <c r="E88" s="318">
        <v>7</v>
      </c>
      <c r="F88" s="319">
        <v>12</v>
      </c>
    </row>
    <row r="89" spans="1:6" ht="15.5" x14ac:dyDescent="0.35">
      <c r="A89" s="317" t="s">
        <v>900</v>
      </c>
      <c r="B89" s="330"/>
      <c r="C89" s="330"/>
      <c r="D89" s="330"/>
      <c r="E89" s="330"/>
      <c r="F89" s="319">
        <v>86</v>
      </c>
    </row>
    <row r="90" spans="1:6" ht="15.5" x14ac:dyDescent="0.35">
      <c r="A90" s="317" t="s">
        <v>901</v>
      </c>
      <c r="B90" s="330">
        <v>0</v>
      </c>
      <c r="C90" s="330">
        <v>0</v>
      </c>
      <c r="D90" s="330">
        <v>0</v>
      </c>
      <c r="E90" s="318">
        <v>2452</v>
      </c>
      <c r="F90" s="319">
        <v>17061</v>
      </c>
    </row>
    <row r="91" spans="1:6" ht="16" thickBot="1" x14ac:dyDescent="0.4">
      <c r="A91" s="322" t="s">
        <v>902</v>
      </c>
      <c r="B91" s="331">
        <v>51</v>
      </c>
      <c r="C91" s="331">
        <v>32</v>
      </c>
      <c r="D91" s="331">
        <v>14</v>
      </c>
      <c r="E91" s="331">
        <v>5</v>
      </c>
      <c r="F91" s="328">
        <v>24</v>
      </c>
    </row>
    <row r="93" spans="1:6" ht="16" thickBot="1" x14ac:dyDescent="0.4">
      <c r="A93" s="278" t="s">
        <v>903</v>
      </c>
      <c r="B93" s="134"/>
    </row>
    <row r="94" spans="1:6" ht="15" x14ac:dyDescent="0.35">
      <c r="A94" s="313" t="s">
        <v>887</v>
      </c>
      <c r="B94" s="315" t="s">
        <v>875</v>
      </c>
      <c r="C94" s="315" t="s">
        <v>876</v>
      </c>
      <c r="D94" s="315" t="s">
        <v>877</v>
      </c>
      <c r="E94" s="315" t="s">
        <v>837</v>
      </c>
      <c r="F94" s="316" t="s">
        <v>836</v>
      </c>
    </row>
    <row r="95" spans="1:6" ht="15.5" x14ac:dyDescent="0.35">
      <c r="A95" s="317" t="s">
        <v>888</v>
      </c>
      <c r="B95" s="330"/>
      <c r="C95" s="330"/>
      <c r="D95" s="330"/>
      <c r="E95" s="330"/>
      <c r="F95" s="319">
        <v>173</v>
      </c>
    </row>
    <row r="96" spans="1:6" ht="15.5" x14ac:dyDescent="0.35">
      <c r="A96" s="317" t="s">
        <v>889</v>
      </c>
      <c r="B96" s="330">
        <v>0</v>
      </c>
      <c r="C96" s="330">
        <v>0</v>
      </c>
      <c r="D96" s="330">
        <v>0</v>
      </c>
      <c r="E96" s="318">
        <v>10</v>
      </c>
      <c r="F96" s="319">
        <v>36</v>
      </c>
    </row>
    <row r="97" spans="1:6" ht="15.5" x14ac:dyDescent="0.35">
      <c r="A97" s="317" t="s">
        <v>890</v>
      </c>
      <c r="B97" s="330"/>
      <c r="C97" s="330"/>
      <c r="D97" s="330"/>
      <c r="E97" s="330"/>
      <c r="F97" s="319">
        <v>108</v>
      </c>
    </row>
    <row r="98" spans="1:6" ht="15.5" x14ac:dyDescent="0.35">
      <c r="A98" s="317" t="s">
        <v>891</v>
      </c>
      <c r="B98" s="318">
        <v>33169</v>
      </c>
      <c r="C98" s="318">
        <v>43408</v>
      </c>
      <c r="D98" s="318">
        <v>11108</v>
      </c>
      <c r="E98" s="318">
        <v>5137</v>
      </c>
      <c r="F98" s="319">
        <v>5367</v>
      </c>
    </row>
    <row r="99" spans="1:6" ht="15.5" x14ac:dyDescent="0.35">
      <c r="A99" s="317" t="s">
        <v>892</v>
      </c>
      <c r="B99" s="330">
        <v>0</v>
      </c>
      <c r="C99" s="330">
        <v>0</v>
      </c>
      <c r="D99" s="330">
        <v>0</v>
      </c>
      <c r="E99" s="318">
        <v>12331</v>
      </c>
      <c r="F99" s="319">
        <v>3926</v>
      </c>
    </row>
    <row r="100" spans="1:6" ht="15.5" x14ac:dyDescent="0.35">
      <c r="A100" s="317" t="s">
        <v>893</v>
      </c>
      <c r="B100" s="318">
        <v>62461</v>
      </c>
      <c r="C100" s="318">
        <v>104166</v>
      </c>
      <c r="D100" s="318">
        <v>16860</v>
      </c>
      <c r="E100" s="318">
        <v>13106</v>
      </c>
      <c r="F100" s="319">
        <v>11239</v>
      </c>
    </row>
    <row r="101" spans="1:6" ht="15.5" x14ac:dyDescent="0.35">
      <c r="A101" s="317" t="s">
        <v>894</v>
      </c>
      <c r="B101" s="318">
        <v>777</v>
      </c>
      <c r="C101" s="318">
        <v>371</v>
      </c>
      <c r="D101" s="318">
        <v>152</v>
      </c>
      <c r="E101" s="318">
        <v>384</v>
      </c>
      <c r="F101" s="319">
        <v>962</v>
      </c>
    </row>
    <row r="102" spans="1:6" ht="15.5" x14ac:dyDescent="0.35">
      <c r="A102" s="317" t="s">
        <v>895</v>
      </c>
      <c r="B102" s="318">
        <v>3428</v>
      </c>
      <c r="C102" s="318">
        <v>7893</v>
      </c>
      <c r="D102" s="318">
        <v>1467</v>
      </c>
      <c r="E102" s="318">
        <v>26920</v>
      </c>
      <c r="F102" s="319">
        <v>48045</v>
      </c>
    </row>
    <row r="103" spans="1:6" ht="15.5" x14ac:dyDescent="0.35">
      <c r="A103" s="317" t="s">
        <v>896</v>
      </c>
      <c r="B103" s="318">
        <v>290</v>
      </c>
      <c r="C103" s="318">
        <v>155</v>
      </c>
      <c r="D103" s="318">
        <v>129</v>
      </c>
      <c r="E103" s="318">
        <v>106</v>
      </c>
      <c r="F103" s="319">
        <v>502</v>
      </c>
    </row>
    <row r="104" spans="1:6" ht="15.5" x14ac:dyDescent="0.35">
      <c r="A104" s="317" t="s">
        <v>897</v>
      </c>
      <c r="B104" s="318">
        <v>113</v>
      </c>
      <c r="C104" s="318">
        <v>61</v>
      </c>
      <c r="D104" s="318">
        <v>39</v>
      </c>
      <c r="E104" s="318">
        <v>15</v>
      </c>
      <c r="F104" s="319">
        <v>9</v>
      </c>
    </row>
    <row r="105" spans="1:6" ht="15.5" x14ac:dyDescent="0.35">
      <c r="A105" s="317" t="s">
        <v>898</v>
      </c>
      <c r="B105" s="318">
        <v>121</v>
      </c>
      <c r="C105" s="318">
        <v>73</v>
      </c>
      <c r="D105" s="318">
        <v>68</v>
      </c>
      <c r="E105" s="318">
        <v>46</v>
      </c>
      <c r="F105" s="319">
        <v>58</v>
      </c>
    </row>
    <row r="106" spans="1:6" ht="15.5" x14ac:dyDescent="0.35">
      <c r="A106" s="317" t="s">
        <v>899</v>
      </c>
      <c r="B106" s="318">
        <v>41</v>
      </c>
      <c r="C106" s="318">
        <v>31</v>
      </c>
      <c r="D106" s="318">
        <v>21</v>
      </c>
      <c r="E106" s="318">
        <v>19</v>
      </c>
      <c r="F106" s="319">
        <v>107</v>
      </c>
    </row>
    <row r="107" spans="1:6" ht="15.5" x14ac:dyDescent="0.35">
      <c r="A107" s="317" t="s">
        <v>900</v>
      </c>
      <c r="B107" s="330"/>
      <c r="C107" s="330"/>
      <c r="D107" s="330"/>
      <c r="E107" s="330"/>
      <c r="F107" s="319">
        <v>75</v>
      </c>
    </row>
    <row r="108" spans="1:6" ht="15.5" x14ac:dyDescent="0.35">
      <c r="A108" s="317" t="s">
        <v>901</v>
      </c>
      <c r="B108" s="330">
        <v>0</v>
      </c>
      <c r="C108" s="330">
        <v>0</v>
      </c>
      <c r="D108" s="330">
        <v>0</v>
      </c>
      <c r="E108" s="318">
        <v>3823</v>
      </c>
      <c r="F108" s="319">
        <v>36644</v>
      </c>
    </row>
    <row r="109" spans="1:6" ht="16" thickBot="1" x14ac:dyDescent="0.4">
      <c r="A109" s="322" t="s">
        <v>902</v>
      </c>
      <c r="B109" s="331">
        <v>99</v>
      </c>
      <c r="C109" s="331">
        <v>83</v>
      </c>
      <c r="D109" s="331">
        <v>37</v>
      </c>
      <c r="E109" s="331">
        <v>43</v>
      </c>
      <c r="F109" s="328">
        <v>75</v>
      </c>
    </row>
    <row r="110" spans="1:6" ht="15.5" x14ac:dyDescent="0.35">
      <c r="A110" s="332"/>
      <c r="B110" s="333"/>
      <c r="C110" s="333"/>
      <c r="D110" s="333"/>
      <c r="E110" s="333"/>
      <c r="F110" s="333"/>
    </row>
    <row r="111" spans="1:6" ht="16" thickBot="1" x14ac:dyDescent="0.4">
      <c r="A111" s="278" t="s">
        <v>904</v>
      </c>
      <c r="B111" s="134"/>
    </row>
    <row r="112" spans="1:6" ht="15" x14ac:dyDescent="0.35">
      <c r="A112" s="313" t="s">
        <v>887</v>
      </c>
      <c r="B112" s="315" t="s">
        <v>875</v>
      </c>
      <c r="C112" s="315" t="s">
        <v>876</v>
      </c>
      <c r="D112" s="315" t="s">
        <v>877</v>
      </c>
      <c r="E112" s="315" t="s">
        <v>837</v>
      </c>
      <c r="F112" s="316" t="s">
        <v>836</v>
      </c>
    </row>
    <row r="113" spans="1:6" ht="15.5" x14ac:dyDescent="0.35">
      <c r="A113" s="317" t="s">
        <v>888</v>
      </c>
      <c r="B113" s="330"/>
      <c r="C113" s="330"/>
      <c r="D113" s="330"/>
      <c r="E113" s="330"/>
      <c r="F113" s="319">
        <v>8</v>
      </c>
    </row>
    <row r="114" spans="1:6" ht="15.5" x14ac:dyDescent="0.35">
      <c r="A114" s="317" t="s">
        <v>889</v>
      </c>
      <c r="B114" s="330">
        <v>0</v>
      </c>
      <c r="C114" s="330">
        <v>0</v>
      </c>
      <c r="D114" s="330">
        <v>0</v>
      </c>
      <c r="E114" s="318">
        <v>0</v>
      </c>
      <c r="F114" s="319">
        <v>1</v>
      </c>
    </row>
    <row r="115" spans="1:6" ht="15.5" x14ac:dyDescent="0.35">
      <c r="A115" s="317" t="s">
        <v>890</v>
      </c>
      <c r="B115" s="330"/>
      <c r="C115" s="330"/>
      <c r="D115" s="330"/>
      <c r="E115" s="330"/>
      <c r="F115" s="319">
        <v>5</v>
      </c>
    </row>
    <row r="116" spans="1:6" ht="15.5" x14ac:dyDescent="0.35">
      <c r="A116" s="317" t="s">
        <v>891</v>
      </c>
      <c r="B116" s="318">
        <v>15445</v>
      </c>
      <c r="C116" s="318">
        <v>18981</v>
      </c>
      <c r="D116" s="318">
        <v>12590</v>
      </c>
      <c r="E116" s="318">
        <v>2872</v>
      </c>
      <c r="F116" s="319">
        <v>7376</v>
      </c>
    </row>
    <row r="117" spans="1:6" ht="15.5" x14ac:dyDescent="0.35">
      <c r="A117" s="317" t="s">
        <v>892</v>
      </c>
      <c r="B117" s="330">
        <v>0</v>
      </c>
      <c r="C117" s="330">
        <v>0</v>
      </c>
      <c r="D117" s="330">
        <v>0</v>
      </c>
      <c r="E117" s="318">
        <v>16</v>
      </c>
      <c r="F117" s="319">
        <v>1612</v>
      </c>
    </row>
    <row r="118" spans="1:6" ht="15.5" x14ac:dyDescent="0.35">
      <c r="A118" s="317" t="s">
        <v>893</v>
      </c>
      <c r="B118" s="318">
        <v>28894</v>
      </c>
      <c r="C118" s="318">
        <v>41800</v>
      </c>
      <c r="D118" s="318">
        <v>21139</v>
      </c>
      <c r="E118" s="318">
        <v>4904</v>
      </c>
      <c r="F118" s="319">
        <v>6541</v>
      </c>
    </row>
    <row r="119" spans="1:6" ht="15.5" x14ac:dyDescent="0.35">
      <c r="A119" s="317" t="s">
        <v>894</v>
      </c>
      <c r="B119" s="318">
        <v>45</v>
      </c>
      <c r="C119" s="318">
        <v>162</v>
      </c>
      <c r="D119" s="318">
        <v>97</v>
      </c>
      <c r="E119" s="318">
        <v>23</v>
      </c>
      <c r="F119" s="319">
        <v>32</v>
      </c>
    </row>
    <row r="120" spans="1:6" ht="15.5" x14ac:dyDescent="0.35">
      <c r="A120" s="317" t="s">
        <v>895</v>
      </c>
      <c r="B120" s="318">
        <v>879</v>
      </c>
      <c r="C120" s="318">
        <v>2240</v>
      </c>
      <c r="D120" s="318">
        <v>1416</v>
      </c>
      <c r="E120" s="318">
        <v>964</v>
      </c>
      <c r="F120" s="319">
        <v>2605</v>
      </c>
    </row>
    <row r="121" spans="1:6" ht="15.5" x14ac:dyDescent="0.35">
      <c r="A121" s="317" t="s">
        <v>896</v>
      </c>
      <c r="B121" s="318">
        <v>229</v>
      </c>
      <c r="C121" s="318">
        <v>151</v>
      </c>
      <c r="D121" s="318">
        <v>112</v>
      </c>
      <c r="E121" s="318">
        <v>47</v>
      </c>
      <c r="F121" s="319">
        <v>23</v>
      </c>
    </row>
    <row r="122" spans="1:6" ht="15.5" x14ac:dyDescent="0.35">
      <c r="A122" s="317" t="s">
        <v>897</v>
      </c>
      <c r="B122" s="318">
        <v>61</v>
      </c>
      <c r="C122" s="318">
        <v>65</v>
      </c>
      <c r="D122" s="318">
        <v>41</v>
      </c>
      <c r="E122" s="318">
        <v>22</v>
      </c>
      <c r="F122" s="319">
        <v>0</v>
      </c>
    </row>
    <row r="123" spans="1:6" ht="15.5" x14ac:dyDescent="0.35">
      <c r="A123" s="317" t="s">
        <v>898</v>
      </c>
      <c r="B123" s="318">
        <v>42</v>
      </c>
      <c r="C123" s="318">
        <v>18</v>
      </c>
      <c r="D123" s="318">
        <v>17</v>
      </c>
      <c r="E123" s="318">
        <v>4</v>
      </c>
      <c r="F123" s="319">
        <v>9</v>
      </c>
    </row>
    <row r="124" spans="1:6" ht="15.5" x14ac:dyDescent="0.35">
      <c r="A124" s="317" t="s">
        <v>899</v>
      </c>
      <c r="B124" s="318">
        <v>7</v>
      </c>
      <c r="C124" s="318">
        <v>9</v>
      </c>
      <c r="D124" s="318">
        <v>2</v>
      </c>
      <c r="E124" s="318">
        <v>0</v>
      </c>
      <c r="F124" s="319">
        <v>6</v>
      </c>
    </row>
    <row r="125" spans="1:6" ht="15.5" x14ac:dyDescent="0.35">
      <c r="A125" s="317" t="s">
        <v>900</v>
      </c>
      <c r="B125" s="330"/>
      <c r="C125" s="330"/>
      <c r="D125" s="330"/>
      <c r="E125" s="330"/>
      <c r="F125" s="319">
        <v>10</v>
      </c>
    </row>
    <row r="126" spans="1:6" ht="15.5" x14ac:dyDescent="0.35">
      <c r="A126" s="317" t="s">
        <v>901</v>
      </c>
      <c r="B126" s="330">
        <v>0</v>
      </c>
      <c r="C126" s="330">
        <v>0</v>
      </c>
      <c r="D126" s="330">
        <v>0</v>
      </c>
      <c r="E126" s="318">
        <v>18</v>
      </c>
      <c r="F126" s="319">
        <v>197</v>
      </c>
    </row>
    <row r="127" spans="1:6" ht="16" thickBot="1" x14ac:dyDescent="0.4">
      <c r="A127" s="322" t="s">
        <v>902</v>
      </c>
      <c r="B127" s="331">
        <v>24</v>
      </c>
      <c r="C127" s="331">
        <v>46</v>
      </c>
      <c r="D127" s="331">
        <v>14</v>
      </c>
      <c r="E127" s="331">
        <v>6</v>
      </c>
      <c r="F127" s="328">
        <v>17</v>
      </c>
    </row>
  </sheetData>
  <mergeCells count="1">
    <mergeCell ref="A1:L1"/>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20B4A-7B22-477E-B3E3-FCC75B5576A3}">
  <dimension ref="A1:AD140"/>
  <sheetViews>
    <sheetView zoomScale="71" zoomScaleNormal="71" workbookViewId="0">
      <selection sqref="A1:D1"/>
    </sheetView>
  </sheetViews>
  <sheetFormatPr defaultColWidth="9.453125" defaultRowHeight="14.5" x14ac:dyDescent="0.35"/>
  <cols>
    <col min="1" max="1" width="72.54296875" customWidth="1"/>
    <col min="2" max="2" width="53.1796875" customWidth="1"/>
    <col min="3" max="3" width="27.54296875" customWidth="1"/>
    <col min="4" max="4" width="10" customWidth="1"/>
    <col min="5" max="5" width="8" customWidth="1"/>
    <col min="6" max="6" width="10.453125" customWidth="1"/>
    <col min="7" max="7" width="23.54296875" customWidth="1"/>
    <col min="8" max="8" width="14.453125" customWidth="1"/>
    <col min="9" max="9" width="19" bestFit="1" customWidth="1"/>
    <col min="10" max="10" width="17.54296875" customWidth="1"/>
    <col min="11" max="11" width="20" customWidth="1"/>
    <col min="12" max="12" width="11.54296875" customWidth="1"/>
    <col min="13" max="13" width="13.453125" customWidth="1"/>
    <col min="14" max="15" width="14.54296875" customWidth="1"/>
    <col min="16" max="19" width="13.453125" customWidth="1"/>
    <col min="20" max="21" width="12" customWidth="1"/>
    <col min="22" max="22" width="18.54296875" customWidth="1"/>
    <col min="23" max="23" width="14.54296875" customWidth="1"/>
    <col min="24" max="24" width="12.453125" customWidth="1"/>
    <col min="25" max="25" width="30.81640625" customWidth="1"/>
    <col min="26" max="26" width="23.453125" customWidth="1"/>
    <col min="27" max="27" width="16.54296875" customWidth="1"/>
    <col min="28" max="28" width="16.453125" customWidth="1"/>
    <col min="29" max="29" width="30.26953125" customWidth="1"/>
    <col min="30" max="30" width="16.453125" customWidth="1"/>
  </cols>
  <sheetData>
    <row r="1" spans="1:30" ht="41.5" customHeight="1" x14ac:dyDescent="0.35">
      <c r="A1" s="344" t="s">
        <v>47</v>
      </c>
      <c r="B1" s="344"/>
      <c r="C1" s="344"/>
      <c r="D1" s="344"/>
      <c r="E1" s="10"/>
      <c r="F1" s="10"/>
      <c r="G1" s="10"/>
      <c r="H1" s="10"/>
      <c r="I1" s="10"/>
      <c r="J1" s="10"/>
      <c r="K1" s="10"/>
      <c r="L1" s="10"/>
      <c r="M1" s="10"/>
      <c r="N1" s="10"/>
      <c r="O1" s="10"/>
      <c r="P1" s="10"/>
      <c r="Q1" s="10"/>
      <c r="R1" s="10"/>
      <c r="S1" s="10"/>
      <c r="T1" s="10"/>
      <c r="U1" s="10"/>
      <c r="V1" s="10"/>
      <c r="W1" s="96"/>
      <c r="X1" s="10"/>
      <c r="Y1" s="10"/>
      <c r="Z1" s="10"/>
      <c r="AA1" s="97"/>
      <c r="AB1" s="10"/>
      <c r="AC1" s="10"/>
      <c r="AD1" s="97"/>
    </row>
    <row r="2" spans="1:30" ht="108" customHeight="1" x14ac:dyDescent="0.35">
      <c r="A2" s="348" t="s">
        <v>597</v>
      </c>
      <c r="B2" s="348"/>
      <c r="C2" s="348"/>
      <c r="D2" s="348"/>
      <c r="E2" s="10"/>
      <c r="F2" s="10"/>
      <c r="G2" s="10"/>
      <c r="H2" s="10"/>
      <c r="I2" s="10"/>
      <c r="J2" s="10"/>
      <c r="K2" s="10"/>
      <c r="L2" s="10"/>
      <c r="M2" s="10"/>
      <c r="N2" s="10"/>
      <c r="O2" s="10"/>
      <c r="P2" s="10"/>
      <c r="Q2" s="10"/>
      <c r="R2" s="10"/>
      <c r="S2" s="10"/>
      <c r="T2" s="10"/>
      <c r="U2" s="10"/>
      <c r="V2" s="10"/>
      <c r="W2" s="96"/>
      <c r="X2" s="10"/>
      <c r="Y2" s="10"/>
      <c r="Z2" s="10"/>
      <c r="AA2" s="97"/>
      <c r="AB2" s="10"/>
      <c r="AC2" s="10"/>
      <c r="AD2" s="97"/>
    </row>
    <row r="3" spans="1:30" ht="48.65" customHeight="1" x14ac:dyDescent="0.35">
      <c r="A3" s="343" t="s">
        <v>598</v>
      </c>
      <c r="B3" s="343"/>
      <c r="C3" s="343"/>
      <c r="D3" s="343"/>
      <c r="E3" s="343"/>
      <c r="F3" s="343"/>
      <c r="G3" s="343"/>
      <c r="H3" s="343"/>
      <c r="I3" s="343"/>
      <c r="J3" s="343"/>
      <c r="K3" s="343"/>
      <c r="L3" s="343"/>
      <c r="M3" s="343"/>
      <c r="N3" s="343"/>
      <c r="O3" s="343"/>
      <c r="P3" s="343"/>
      <c r="Q3" s="343"/>
      <c r="R3" s="343"/>
      <c r="S3" s="343"/>
      <c r="T3" s="343"/>
      <c r="U3" s="343"/>
      <c r="V3" s="343"/>
      <c r="W3" s="343"/>
      <c r="X3" s="343"/>
      <c r="Y3" s="343"/>
      <c r="Z3" s="343"/>
      <c r="AA3" s="343"/>
      <c r="AB3" s="343"/>
      <c r="AC3" s="343"/>
      <c r="AD3" s="343"/>
    </row>
    <row r="4" spans="1:30" ht="30.75" customHeight="1" x14ac:dyDescent="0.35">
      <c r="A4" s="401" t="s">
        <v>599</v>
      </c>
      <c r="B4" s="401"/>
      <c r="C4" s="401"/>
      <c r="D4" s="401"/>
      <c r="E4" s="401"/>
      <c r="F4" s="401"/>
      <c r="G4" s="401"/>
      <c r="H4" s="401"/>
      <c r="I4" s="401"/>
      <c r="J4" s="401"/>
      <c r="K4" s="401"/>
      <c r="L4" s="401"/>
      <c r="M4" s="401"/>
      <c r="N4" s="401"/>
      <c r="O4" s="401"/>
      <c r="P4" s="401"/>
      <c r="Q4" s="401"/>
      <c r="R4" s="401"/>
      <c r="S4" s="401"/>
      <c r="T4" s="401"/>
      <c r="U4" s="401"/>
      <c r="V4" s="401"/>
      <c r="W4" s="401"/>
      <c r="X4" s="401"/>
      <c r="Y4" s="401"/>
      <c r="Z4" s="401"/>
      <c r="AA4" s="401"/>
      <c r="AB4" s="401"/>
      <c r="AC4" s="401"/>
      <c r="AD4" s="401"/>
    </row>
    <row r="5" spans="1:30" ht="36" customHeight="1" x14ac:dyDescent="0.35">
      <c r="A5" s="98" t="s">
        <v>117</v>
      </c>
      <c r="B5" s="99"/>
      <c r="C5" s="99"/>
      <c r="D5" s="99"/>
      <c r="E5" s="99"/>
      <c r="F5" s="99"/>
      <c r="G5" s="99"/>
      <c r="H5" s="99"/>
      <c r="I5" s="99" t="s">
        <v>118</v>
      </c>
      <c r="J5" s="402" t="s">
        <v>600</v>
      </c>
      <c r="K5" s="402"/>
      <c r="L5" s="402"/>
      <c r="M5" s="402"/>
      <c r="N5" s="402" t="s">
        <v>601</v>
      </c>
      <c r="O5" s="402"/>
      <c r="P5" s="402"/>
      <c r="Q5" s="402"/>
      <c r="R5" s="403" t="s">
        <v>602</v>
      </c>
      <c r="S5" s="403"/>
      <c r="T5" s="403"/>
      <c r="U5" s="403"/>
      <c r="V5" s="100" t="s">
        <v>603</v>
      </c>
      <c r="W5" s="403" t="s">
        <v>119</v>
      </c>
      <c r="X5" s="403"/>
      <c r="Y5" s="403"/>
      <c r="Z5" s="403"/>
      <c r="AA5" s="403"/>
      <c r="AB5" s="403"/>
      <c r="AC5" s="403"/>
      <c r="AD5" s="403"/>
    </row>
    <row r="6" spans="1:30" ht="20.25" customHeight="1" x14ac:dyDescent="0.35">
      <c r="A6" s="101" t="s">
        <v>604</v>
      </c>
      <c r="B6" s="102"/>
      <c r="C6" s="102"/>
      <c r="D6" s="102"/>
      <c r="E6" s="102"/>
      <c r="F6" s="102"/>
      <c r="G6" s="102"/>
      <c r="H6" s="102"/>
      <c r="I6" s="99"/>
      <c r="J6" s="102"/>
      <c r="K6" s="102"/>
      <c r="L6" s="102"/>
      <c r="M6" s="102"/>
      <c r="N6" s="102"/>
      <c r="O6" s="102"/>
      <c r="P6" s="102"/>
      <c r="Q6" s="102"/>
      <c r="R6" s="103"/>
      <c r="S6" s="103"/>
      <c r="T6" s="103"/>
      <c r="U6" s="103"/>
      <c r="V6" s="100"/>
      <c r="W6" s="104"/>
      <c r="X6" s="103"/>
      <c r="Y6" s="103"/>
      <c r="Z6" s="103"/>
      <c r="AA6" s="105"/>
      <c r="AB6" s="103"/>
      <c r="AC6" s="103"/>
      <c r="AD6" s="105"/>
    </row>
    <row r="7" spans="1:30" ht="48" customHeight="1" x14ac:dyDescent="0.35">
      <c r="A7" s="106" t="s">
        <v>120</v>
      </c>
      <c r="B7" s="106" t="s">
        <v>121</v>
      </c>
      <c r="C7" s="106" t="s">
        <v>122</v>
      </c>
      <c r="D7" s="106" t="s">
        <v>123</v>
      </c>
      <c r="E7" s="106" t="s">
        <v>124</v>
      </c>
      <c r="F7" s="106" t="s">
        <v>55</v>
      </c>
      <c r="G7" s="106" t="s">
        <v>125</v>
      </c>
      <c r="H7" s="106" t="s">
        <v>90</v>
      </c>
      <c r="I7" s="107" t="s">
        <v>605</v>
      </c>
      <c r="J7" s="106" t="s">
        <v>126</v>
      </c>
      <c r="K7" s="106" t="s">
        <v>127</v>
      </c>
      <c r="L7" s="106" t="s">
        <v>128</v>
      </c>
      <c r="M7" s="106" t="s">
        <v>129</v>
      </c>
      <c r="N7" s="106" t="s">
        <v>130</v>
      </c>
      <c r="O7" s="106" t="s">
        <v>131</v>
      </c>
      <c r="P7" s="106" t="s">
        <v>132</v>
      </c>
      <c r="Q7" s="106" t="s">
        <v>133</v>
      </c>
      <c r="R7" s="106" t="s">
        <v>134</v>
      </c>
      <c r="S7" s="106" t="s">
        <v>135</v>
      </c>
      <c r="T7" s="106" t="s">
        <v>136</v>
      </c>
      <c r="U7" s="106" t="s">
        <v>137</v>
      </c>
      <c r="V7" s="106" t="s">
        <v>138</v>
      </c>
      <c r="W7" s="106" t="s">
        <v>139</v>
      </c>
      <c r="X7" s="106" t="s">
        <v>140</v>
      </c>
      <c r="Y7" s="106" t="s">
        <v>88</v>
      </c>
      <c r="Z7" s="106" t="s">
        <v>141</v>
      </c>
      <c r="AA7" s="106" t="s">
        <v>84</v>
      </c>
      <c r="AB7" s="106" t="s">
        <v>142</v>
      </c>
      <c r="AC7" s="106" t="s">
        <v>97</v>
      </c>
      <c r="AD7" s="107" t="s">
        <v>101</v>
      </c>
    </row>
    <row r="8" spans="1:30" ht="12.75" customHeight="1" x14ac:dyDescent="0.35">
      <c r="A8" s="5" t="s">
        <v>606</v>
      </c>
      <c r="B8" s="5" t="s">
        <v>607</v>
      </c>
      <c r="C8" s="5" t="s">
        <v>163</v>
      </c>
      <c r="D8" s="5" t="s">
        <v>160</v>
      </c>
      <c r="E8" s="8">
        <v>78017</v>
      </c>
      <c r="F8" s="5" t="s">
        <v>161</v>
      </c>
      <c r="G8" s="5" t="s">
        <v>147</v>
      </c>
      <c r="H8" s="5" t="s">
        <v>148</v>
      </c>
      <c r="I8" s="108">
        <v>3.8478260869565202</v>
      </c>
      <c r="J8" s="6">
        <v>1616.9655172413493</v>
      </c>
      <c r="K8" s="6">
        <v>5.1379310344827589</v>
      </c>
      <c r="L8" s="6">
        <v>1.103448275862069</v>
      </c>
      <c r="M8" s="6">
        <v>0</v>
      </c>
      <c r="N8" s="6">
        <v>0</v>
      </c>
      <c r="O8" s="6">
        <v>6.7068965517241379</v>
      </c>
      <c r="P8" s="6">
        <v>4.3448275862068968</v>
      </c>
      <c r="Q8" s="6">
        <v>1612.1551724137628</v>
      </c>
      <c r="R8" s="6">
        <v>0</v>
      </c>
      <c r="S8" s="6">
        <v>0</v>
      </c>
      <c r="T8" s="6">
        <v>4.1034482758620694</v>
      </c>
      <c r="U8" s="6">
        <v>1619.1034482758319</v>
      </c>
      <c r="V8" s="6">
        <v>1041.3103448275779</v>
      </c>
      <c r="W8" s="7">
        <v>2400</v>
      </c>
      <c r="X8" s="5" t="s">
        <v>149</v>
      </c>
      <c r="Y8" s="9" t="s">
        <v>608</v>
      </c>
      <c r="Z8" s="5"/>
      <c r="AA8" s="109" t="s">
        <v>609</v>
      </c>
      <c r="AB8" s="110" t="s">
        <v>149</v>
      </c>
      <c r="AC8" s="111" t="s">
        <v>608</v>
      </c>
      <c r="AD8" s="109">
        <v>44672</v>
      </c>
    </row>
    <row r="9" spans="1:30" ht="15.5" x14ac:dyDescent="0.35">
      <c r="A9" s="5" t="s">
        <v>164</v>
      </c>
      <c r="B9" s="5" t="s">
        <v>165</v>
      </c>
      <c r="C9" s="5" t="s">
        <v>166</v>
      </c>
      <c r="D9" s="5" t="s">
        <v>167</v>
      </c>
      <c r="E9" s="8">
        <v>71483</v>
      </c>
      <c r="F9" s="5" t="s">
        <v>168</v>
      </c>
      <c r="G9" s="5" t="s">
        <v>147</v>
      </c>
      <c r="H9" s="5" t="s">
        <v>4</v>
      </c>
      <c r="I9" s="108">
        <v>40.5</v>
      </c>
      <c r="J9" s="6">
        <v>1324.6896551724162</v>
      </c>
      <c r="K9" s="6">
        <v>36.379310344827552</v>
      </c>
      <c r="L9" s="6">
        <v>65.034482758620669</v>
      </c>
      <c r="M9" s="6">
        <v>57.379310344827609</v>
      </c>
      <c r="N9" s="6">
        <v>156.87931034482764</v>
      </c>
      <c r="O9" s="6">
        <v>1326.6034482758653</v>
      </c>
      <c r="P9" s="6">
        <v>0</v>
      </c>
      <c r="Q9" s="6">
        <v>0</v>
      </c>
      <c r="R9" s="6">
        <v>77.224137931034477</v>
      </c>
      <c r="S9" s="6">
        <v>19.413793103448274</v>
      </c>
      <c r="T9" s="6">
        <v>37.431034482758605</v>
      </c>
      <c r="U9" s="6">
        <v>1349.413793103452</v>
      </c>
      <c r="V9" s="6">
        <v>983.36206896551187</v>
      </c>
      <c r="W9" s="7">
        <v>946</v>
      </c>
      <c r="X9" s="5" t="s">
        <v>149</v>
      </c>
      <c r="Y9" s="9" t="s">
        <v>610</v>
      </c>
      <c r="Z9" s="5" t="s">
        <v>151</v>
      </c>
      <c r="AA9" s="109" t="s">
        <v>611</v>
      </c>
      <c r="AB9" s="110" t="s">
        <v>149</v>
      </c>
      <c r="AC9" s="111" t="s">
        <v>610</v>
      </c>
      <c r="AD9" s="109">
        <v>44127</v>
      </c>
    </row>
    <row r="10" spans="1:30" ht="15.5" x14ac:dyDescent="0.35">
      <c r="A10" s="5" t="s">
        <v>16</v>
      </c>
      <c r="B10" s="5" t="s">
        <v>158</v>
      </c>
      <c r="C10" s="5" t="s">
        <v>159</v>
      </c>
      <c r="D10" s="5" t="s">
        <v>160</v>
      </c>
      <c r="E10" s="8">
        <v>78061</v>
      </c>
      <c r="F10" s="5" t="s">
        <v>161</v>
      </c>
      <c r="G10" s="5" t="s">
        <v>162</v>
      </c>
      <c r="H10" s="5" t="s">
        <v>148</v>
      </c>
      <c r="I10" s="108">
        <v>21.580645161290299</v>
      </c>
      <c r="J10" s="6">
        <v>1152.5172413793061</v>
      </c>
      <c r="K10" s="6">
        <v>104.91379310344827</v>
      </c>
      <c r="L10" s="6">
        <v>124.10344827586201</v>
      </c>
      <c r="M10" s="6">
        <v>61.775862068965516</v>
      </c>
      <c r="N10" s="6">
        <v>277.1379310344829</v>
      </c>
      <c r="O10" s="6">
        <v>1166.1724137931005</v>
      </c>
      <c r="P10" s="6">
        <v>0</v>
      </c>
      <c r="Q10" s="6">
        <v>0</v>
      </c>
      <c r="R10" s="6">
        <v>79.206896551724114</v>
      </c>
      <c r="S10" s="6">
        <v>69.896551724137908</v>
      </c>
      <c r="T10" s="6">
        <v>108.86206896551721</v>
      </c>
      <c r="U10" s="6">
        <v>1185.3448275862067</v>
      </c>
      <c r="V10" s="6">
        <v>1073.2586206896522</v>
      </c>
      <c r="W10" s="7">
        <v>1350</v>
      </c>
      <c r="X10" s="5" t="s">
        <v>149</v>
      </c>
      <c r="Y10" s="9" t="s">
        <v>610</v>
      </c>
      <c r="Z10" s="5" t="s">
        <v>151</v>
      </c>
      <c r="AA10" s="109" t="s">
        <v>612</v>
      </c>
      <c r="AB10" s="110" t="s">
        <v>149</v>
      </c>
      <c r="AC10" s="111" t="s">
        <v>610</v>
      </c>
      <c r="AD10" s="109">
        <v>44253</v>
      </c>
    </row>
    <row r="11" spans="1:30" ht="15.5" x14ac:dyDescent="0.35">
      <c r="A11" s="5" t="s">
        <v>153</v>
      </c>
      <c r="B11" s="5" t="s">
        <v>154</v>
      </c>
      <c r="C11" s="5" t="s">
        <v>155</v>
      </c>
      <c r="D11" s="5" t="s">
        <v>156</v>
      </c>
      <c r="E11" s="8">
        <v>31815</v>
      </c>
      <c r="F11" s="5" t="s">
        <v>157</v>
      </c>
      <c r="G11" s="5" t="s">
        <v>147</v>
      </c>
      <c r="H11" s="5" t="s">
        <v>148</v>
      </c>
      <c r="I11" s="108">
        <v>84.020408163265301</v>
      </c>
      <c r="J11" s="6">
        <v>739.87931034482403</v>
      </c>
      <c r="K11" s="6">
        <v>104.34482758620686</v>
      </c>
      <c r="L11" s="6">
        <v>199.62068965517227</v>
      </c>
      <c r="M11" s="6">
        <v>269.81034482758599</v>
      </c>
      <c r="N11" s="6">
        <v>484.67241379310349</v>
      </c>
      <c r="O11" s="6">
        <v>656.87931034482278</v>
      </c>
      <c r="P11" s="6">
        <v>27.793103448275865</v>
      </c>
      <c r="Q11" s="6">
        <v>144.3103448275871</v>
      </c>
      <c r="R11" s="6">
        <v>249.89655172413771</v>
      </c>
      <c r="S11" s="6">
        <v>83.086206896551687</v>
      </c>
      <c r="T11" s="6">
        <v>61.396551724137915</v>
      </c>
      <c r="U11" s="6">
        <v>919.27586206896126</v>
      </c>
      <c r="V11" s="6">
        <v>993.0862068965514</v>
      </c>
      <c r="W11" s="7">
        <v>1600</v>
      </c>
      <c r="X11" s="5" t="s">
        <v>149</v>
      </c>
      <c r="Y11" s="9" t="s">
        <v>610</v>
      </c>
      <c r="Z11" s="5" t="s">
        <v>151</v>
      </c>
      <c r="AA11" s="109" t="s">
        <v>613</v>
      </c>
      <c r="AB11" s="110" t="s">
        <v>149</v>
      </c>
      <c r="AC11" s="111" t="s">
        <v>610</v>
      </c>
      <c r="AD11" s="109">
        <v>44322</v>
      </c>
    </row>
    <row r="12" spans="1:30" ht="15.5" x14ac:dyDescent="0.35">
      <c r="A12" s="5" t="s">
        <v>24</v>
      </c>
      <c r="B12" s="5" t="s">
        <v>177</v>
      </c>
      <c r="C12" s="5" t="s">
        <v>178</v>
      </c>
      <c r="D12" s="5" t="s">
        <v>179</v>
      </c>
      <c r="E12" s="8">
        <v>39120</v>
      </c>
      <c r="F12" s="5" t="s">
        <v>168</v>
      </c>
      <c r="G12" s="5" t="s">
        <v>147</v>
      </c>
      <c r="H12" s="5" t="s">
        <v>148</v>
      </c>
      <c r="I12" s="108">
        <v>31.467261904761902</v>
      </c>
      <c r="J12" s="6">
        <v>1119.327586206894</v>
      </c>
      <c r="K12" s="6">
        <v>3.1206896551724133</v>
      </c>
      <c r="L12" s="6">
        <v>19.086206896551722</v>
      </c>
      <c r="M12" s="6">
        <v>17.53448275862069</v>
      </c>
      <c r="N12" s="6">
        <v>39.568965517241381</v>
      </c>
      <c r="O12" s="6">
        <v>1119.4999999999977</v>
      </c>
      <c r="P12" s="6">
        <v>0</v>
      </c>
      <c r="Q12" s="6">
        <v>0</v>
      </c>
      <c r="R12" s="6">
        <v>17</v>
      </c>
      <c r="S12" s="6">
        <v>8.637931034482758</v>
      </c>
      <c r="T12" s="6">
        <v>11</v>
      </c>
      <c r="U12" s="6">
        <v>1122.4310344827561</v>
      </c>
      <c r="V12" s="6">
        <v>656.68965517241395</v>
      </c>
      <c r="W12" s="7">
        <v>1100</v>
      </c>
      <c r="X12" s="5" t="s">
        <v>149</v>
      </c>
      <c r="Y12" s="9" t="s">
        <v>610</v>
      </c>
      <c r="Z12" s="5" t="s">
        <v>151</v>
      </c>
      <c r="AA12" s="109" t="s">
        <v>614</v>
      </c>
      <c r="AB12" s="110" t="s">
        <v>149</v>
      </c>
      <c r="AC12" s="111" t="s">
        <v>610</v>
      </c>
      <c r="AD12" s="109">
        <v>44168</v>
      </c>
    </row>
    <row r="13" spans="1:30" ht="15.5" x14ac:dyDescent="0.35">
      <c r="A13" s="5" t="s">
        <v>180</v>
      </c>
      <c r="B13" s="5" t="s">
        <v>181</v>
      </c>
      <c r="C13" s="5" t="s">
        <v>182</v>
      </c>
      <c r="D13" s="5" t="s">
        <v>145</v>
      </c>
      <c r="E13" s="8">
        <v>92154</v>
      </c>
      <c r="F13" s="5" t="s">
        <v>183</v>
      </c>
      <c r="G13" s="5" t="s">
        <v>162</v>
      </c>
      <c r="H13" s="5" t="s">
        <v>148</v>
      </c>
      <c r="I13" s="108">
        <v>132</v>
      </c>
      <c r="J13" s="6">
        <v>837.08620689655606</v>
      </c>
      <c r="K13" s="6">
        <v>39.965517241379267</v>
      </c>
      <c r="L13" s="6">
        <v>25.258620689655167</v>
      </c>
      <c r="M13" s="6">
        <v>28.862068965517242</v>
      </c>
      <c r="N13" s="6">
        <v>85.275862068965552</v>
      </c>
      <c r="O13" s="6">
        <v>771.15517241379598</v>
      </c>
      <c r="P13" s="6">
        <v>7.8275862068965516</v>
      </c>
      <c r="Q13" s="6">
        <v>66.913793103448242</v>
      </c>
      <c r="R13" s="6">
        <v>43.051724137931039</v>
      </c>
      <c r="S13" s="6">
        <v>13.379310344827587</v>
      </c>
      <c r="T13" s="6">
        <v>12.27586206896552</v>
      </c>
      <c r="U13" s="6">
        <v>862.46551724138442</v>
      </c>
      <c r="V13" s="6">
        <v>524.06896551724333</v>
      </c>
      <c r="W13" s="7">
        <v>750</v>
      </c>
      <c r="X13" s="5" t="s">
        <v>149</v>
      </c>
      <c r="Y13" s="9" t="s">
        <v>610</v>
      </c>
      <c r="Z13" s="5" t="s">
        <v>151</v>
      </c>
      <c r="AA13" s="109" t="s">
        <v>615</v>
      </c>
      <c r="AB13" s="110" t="s">
        <v>149</v>
      </c>
      <c r="AC13" s="111" t="s">
        <v>610</v>
      </c>
      <c r="AD13" s="109">
        <v>44230</v>
      </c>
    </row>
    <row r="14" spans="1:30" ht="15.5" x14ac:dyDescent="0.35">
      <c r="A14" s="5" t="s">
        <v>175</v>
      </c>
      <c r="B14" s="5" t="s">
        <v>176</v>
      </c>
      <c r="C14" s="5" t="s">
        <v>30</v>
      </c>
      <c r="D14" s="5" t="s">
        <v>171</v>
      </c>
      <c r="E14" s="8">
        <v>85131</v>
      </c>
      <c r="F14" s="5" t="s">
        <v>172</v>
      </c>
      <c r="G14" s="5" t="s">
        <v>147</v>
      </c>
      <c r="H14" s="5" t="s">
        <v>148</v>
      </c>
      <c r="I14" s="108">
        <v>11.7452830188679</v>
      </c>
      <c r="J14" s="6">
        <v>812.55172413797152</v>
      </c>
      <c r="K14" s="6">
        <v>35.706896551724128</v>
      </c>
      <c r="L14" s="6">
        <v>37.655172413793089</v>
      </c>
      <c r="M14" s="6">
        <v>38.948275862068982</v>
      </c>
      <c r="N14" s="6">
        <v>61.58620689655173</v>
      </c>
      <c r="O14" s="6">
        <v>501.00000000001063</v>
      </c>
      <c r="P14" s="6">
        <v>27.172413793103445</v>
      </c>
      <c r="Q14" s="6">
        <v>335.1034482758613</v>
      </c>
      <c r="R14" s="6">
        <v>41.965517241379317</v>
      </c>
      <c r="S14" s="6">
        <v>19.241379310344822</v>
      </c>
      <c r="T14" s="6">
        <v>21.086206896551719</v>
      </c>
      <c r="U14" s="6">
        <v>842.56896551728516</v>
      </c>
      <c r="V14" s="6">
        <v>317.77586206896513</v>
      </c>
      <c r="W14" s="7"/>
      <c r="X14" s="5" t="s">
        <v>149</v>
      </c>
      <c r="Y14" s="9" t="s">
        <v>610</v>
      </c>
      <c r="Z14" s="5" t="s">
        <v>151</v>
      </c>
      <c r="AA14" s="109" t="s">
        <v>616</v>
      </c>
      <c r="AB14" s="110" t="s">
        <v>149</v>
      </c>
      <c r="AC14" s="111" t="s">
        <v>610</v>
      </c>
      <c r="AD14" s="109">
        <v>44232</v>
      </c>
    </row>
    <row r="15" spans="1:30" ht="15.5" x14ac:dyDescent="0.35">
      <c r="A15" s="5" t="s">
        <v>199</v>
      </c>
      <c r="B15" s="5" t="s">
        <v>200</v>
      </c>
      <c r="C15" s="5" t="s">
        <v>201</v>
      </c>
      <c r="D15" s="5" t="s">
        <v>160</v>
      </c>
      <c r="E15" s="8">
        <v>77301</v>
      </c>
      <c r="F15" s="5" t="s">
        <v>202</v>
      </c>
      <c r="G15" s="5" t="s">
        <v>162</v>
      </c>
      <c r="H15" s="5" t="s">
        <v>148</v>
      </c>
      <c r="I15" s="108">
        <v>16.428571428571399</v>
      </c>
      <c r="J15" s="6">
        <v>146.82758620689648</v>
      </c>
      <c r="K15" s="6">
        <v>406.70689655172441</v>
      </c>
      <c r="L15" s="6">
        <v>192.43103448275852</v>
      </c>
      <c r="M15" s="6">
        <v>173.22413793103433</v>
      </c>
      <c r="N15" s="6">
        <v>515.20689655172544</v>
      </c>
      <c r="O15" s="6">
        <v>310.4655172413797</v>
      </c>
      <c r="P15" s="6">
        <v>27.103448275862071</v>
      </c>
      <c r="Q15" s="6">
        <v>66.413793103448285</v>
      </c>
      <c r="R15" s="6">
        <v>280.03448275862081</v>
      </c>
      <c r="S15" s="6">
        <v>126.15517241379308</v>
      </c>
      <c r="T15" s="6">
        <v>120.60344827586205</v>
      </c>
      <c r="U15" s="6">
        <v>392.39655172413853</v>
      </c>
      <c r="V15" s="6">
        <v>539.84482758620936</v>
      </c>
      <c r="W15" s="7">
        <v>750</v>
      </c>
      <c r="X15" s="5" t="s">
        <v>149</v>
      </c>
      <c r="Y15" s="9" t="s">
        <v>610</v>
      </c>
      <c r="Z15" s="5" t="s">
        <v>151</v>
      </c>
      <c r="AA15" s="109" t="s">
        <v>617</v>
      </c>
      <c r="AB15" s="110" t="s">
        <v>149</v>
      </c>
      <c r="AC15" s="111" t="s">
        <v>610</v>
      </c>
      <c r="AD15" s="109">
        <v>44181</v>
      </c>
    </row>
    <row r="16" spans="1:30" ht="18.5" x14ac:dyDescent="0.35">
      <c r="A16" s="5" t="s">
        <v>618</v>
      </c>
      <c r="B16" s="5" t="s">
        <v>619</v>
      </c>
      <c r="C16" s="5" t="s">
        <v>310</v>
      </c>
      <c r="D16" s="5" t="s">
        <v>160</v>
      </c>
      <c r="E16" s="8">
        <v>78118</v>
      </c>
      <c r="F16" s="5" t="s">
        <v>161</v>
      </c>
      <c r="G16" s="5" t="s">
        <v>147</v>
      </c>
      <c r="H16" s="5" t="s">
        <v>148</v>
      </c>
      <c r="I16" s="108">
        <v>7.5405405405405403</v>
      </c>
      <c r="J16" s="6">
        <v>887.18965517243032</v>
      </c>
      <c r="K16" s="6">
        <v>25.724137931034456</v>
      </c>
      <c r="L16" s="6">
        <v>1.0689655172413792</v>
      </c>
      <c r="M16" s="6">
        <v>0</v>
      </c>
      <c r="N16" s="6">
        <v>3.2586206896551722</v>
      </c>
      <c r="O16" s="6">
        <v>910.72413793105181</v>
      </c>
      <c r="P16" s="6">
        <v>0</v>
      </c>
      <c r="Q16" s="6">
        <v>0</v>
      </c>
      <c r="R16" s="6">
        <v>0</v>
      </c>
      <c r="S16" s="6">
        <v>0.43103448275862066</v>
      </c>
      <c r="T16" s="6">
        <v>2.7241379310344831</v>
      </c>
      <c r="U16" s="6">
        <v>910.82758620691402</v>
      </c>
      <c r="V16" s="6">
        <v>373.43103448275963</v>
      </c>
      <c r="W16" s="7">
        <v>830</v>
      </c>
      <c r="X16" s="5" t="s">
        <v>149</v>
      </c>
      <c r="Y16" s="9" t="s">
        <v>608</v>
      </c>
      <c r="Z16" s="5"/>
      <c r="AA16" s="109" t="s">
        <v>620</v>
      </c>
      <c r="AB16" s="110" t="s">
        <v>149</v>
      </c>
      <c r="AC16" s="111" t="s">
        <v>608</v>
      </c>
      <c r="AD16" s="109">
        <v>44581</v>
      </c>
    </row>
    <row r="17" spans="1:30" ht="15.5" x14ac:dyDescent="0.35">
      <c r="A17" s="5" t="s">
        <v>621</v>
      </c>
      <c r="B17" s="5" t="s">
        <v>622</v>
      </c>
      <c r="C17" s="5" t="s">
        <v>623</v>
      </c>
      <c r="D17" s="5" t="s">
        <v>249</v>
      </c>
      <c r="E17" s="8">
        <v>16866</v>
      </c>
      <c r="F17" s="5" t="s">
        <v>250</v>
      </c>
      <c r="G17" s="5" t="s">
        <v>147</v>
      </c>
      <c r="H17" s="5"/>
      <c r="I17" s="108">
        <v>65.427272727272694</v>
      </c>
      <c r="J17" s="6">
        <v>151.43103448275897</v>
      </c>
      <c r="K17" s="6">
        <v>54.396551724137922</v>
      </c>
      <c r="L17" s="6">
        <v>350.87931034482767</v>
      </c>
      <c r="M17" s="6">
        <v>340.10344827586181</v>
      </c>
      <c r="N17" s="6">
        <v>505.72413793103487</v>
      </c>
      <c r="O17" s="6">
        <v>366.39655172413654</v>
      </c>
      <c r="P17" s="6">
        <v>14.482758620689655</v>
      </c>
      <c r="Q17" s="6">
        <v>10.206896551724139</v>
      </c>
      <c r="R17" s="6">
        <v>310.49999999999972</v>
      </c>
      <c r="S17" s="6">
        <v>66.44827586206894</v>
      </c>
      <c r="T17" s="6">
        <v>64.431034482758619</v>
      </c>
      <c r="U17" s="6">
        <v>455.4310344827569</v>
      </c>
      <c r="V17" s="6">
        <v>589.20689655172362</v>
      </c>
      <c r="W17" s="7">
        <v>800</v>
      </c>
      <c r="X17" s="5" t="s">
        <v>149</v>
      </c>
      <c r="Y17" s="9" t="s">
        <v>610</v>
      </c>
      <c r="Z17" s="5" t="s">
        <v>151</v>
      </c>
      <c r="AA17" s="109" t="s">
        <v>624</v>
      </c>
      <c r="AB17" s="110" t="s">
        <v>149</v>
      </c>
      <c r="AC17" s="111" t="s">
        <v>610</v>
      </c>
      <c r="AD17" s="109">
        <v>44392</v>
      </c>
    </row>
    <row r="18" spans="1:30" ht="15.5" x14ac:dyDescent="0.35">
      <c r="A18" s="5" t="s">
        <v>18</v>
      </c>
      <c r="B18" s="5" t="s">
        <v>206</v>
      </c>
      <c r="C18" s="5" t="s">
        <v>207</v>
      </c>
      <c r="D18" s="5" t="s">
        <v>167</v>
      </c>
      <c r="E18" s="8">
        <v>71251</v>
      </c>
      <c r="F18" s="5" t="s">
        <v>168</v>
      </c>
      <c r="G18" s="5" t="s">
        <v>147</v>
      </c>
      <c r="H18" s="5" t="s">
        <v>148</v>
      </c>
      <c r="I18" s="108">
        <v>39.484210526315799</v>
      </c>
      <c r="J18" s="6">
        <v>875.84482758621459</v>
      </c>
      <c r="K18" s="6">
        <v>0</v>
      </c>
      <c r="L18" s="6">
        <v>1.7586206896551726</v>
      </c>
      <c r="M18" s="6">
        <v>0</v>
      </c>
      <c r="N18" s="6">
        <v>14.517241379310347</v>
      </c>
      <c r="O18" s="6">
        <v>863.08620689655936</v>
      </c>
      <c r="P18" s="6">
        <v>0</v>
      </c>
      <c r="Q18" s="6">
        <v>0</v>
      </c>
      <c r="R18" s="6">
        <v>5.5000000000000009</v>
      </c>
      <c r="S18" s="6">
        <v>1.396551724137931</v>
      </c>
      <c r="T18" s="6">
        <v>7.5517241379310338</v>
      </c>
      <c r="U18" s="6">
        <v>863.15517241380076</v>
      </c>
      <c r="V18" s="6">
        <v>567.91379310344644</v>
      </c>
      <c r="W18" s="7">
        <v>751</v>
      </c>
      <c r="X18" s="5" t="s">
        <v>149</v>
      </c>
      <c r="Y18" s="9" t="s">
        <v>610</v>
      </c>
      <c r="Z18" s="5" t="s">
        <v>151</v>
      </c>
      <c r="AA18" s="109" t="s">
        <v>625</v>
      </c>
      <c r="AB18" s="110" t="s">
        <v>149</v>
      </c>
      <c r="AC18" s="111" t="s">
        <v>610</v>
      </c>
      <c r="AD18" s="109">
        <v>44155</v>
      </c>
    </row>
    <row r="19" spans="1:30" ht="15.5" x14ac:dyDescent="0.35">
      <c r="A19" s="5" t="s">
        <v>626</v>
      </c>
      <c r="B19" s="5" t="s">
        <v>173</v>
      </c>
      <c r="C19" s="5" t="s">
        <v>174</v>
      </c>
      <c r="D19" s="5" t="s">
        <v>167</v>
      </c>
      <c r="E19" s="8">
        <v>71342</v>
      </c>
      <c r="F19" s="5" t="s">
        <v>168</v>
      </c>
      <c r="G19" s="5" t="s">
        <v>147</v>
      </c>
      <c r="H19" s="5" t="s">
        <v>148</v>
      </c>
      <c r="I19" s="108">
        <v>38.049180327868903</v>
      </c>
      <c r="J19" s="6">
        <v>581.77586206896683</v>
      </c>
      <c r="K19" s="6">
        <v>82.431034482758676</v>
      </c>
      <c r="L19" s="6">
        <v>141.03448275862061</v>
      </c>
      <c r="M19" s="6">
        <v>57.482758620689665</v>
      </c>
      <c r="N19" s="6">
        <v>203.41379310344811</v>
      </c>
      <c r="O19" s="6">
        <v>608.87931034482949</v>
      </c>
      <c r="P19" s="6">
        <v>26.103448275862089</v>
      </c>
      <c r="Q19" s="6">
        <v>24.327586206896594</v>
      </c>
      <c r="R19" s="6">
        <v>106.34482758620688</v>
      </c>
      <c r="S19" s="6">
        <v>38.275862068965509</v>
      </c>
      <c r="T19" s="6">
        <v>40.672413793103459</v>
      </c>
      <c r="U19" s="6">
        <v>677.43103448276133</v>
      </c>
      <c r="V19" s="6">
        <v>621.12068965517551</v>
      </c>
      <c r="W19" s="7">
        <v>1170</v>
      </c>
      <c r="X19" s="5" t="s">
        <v>149</v>
      </c>
      <c r="Y19" s="9" t="s">
        <v>610</v>
      </c>
      <c r="Z19" s="5" t="s">
        <v>151</v>
      </c>
      <c r="AA19" s="109" t="s">
        <v>627</v>
      </c>
      <c r="AB19" s="110" t="s">
        <v>149</v>
      </c>
      <c r="AC19" s="111" t="s">
        <v>150</v>
      </c>
      <c r="AD19" s="109">
        <v>44111</v>
      </c>
    </row>
    <row r="20" spans="1:30" ht="15.5" x14ac:dyDescent="0.35">
      <c r="A20" s="5" t="s">
        <v>190</v>
      </c>
      <c r="B20" s="5" t="s">
        <v>191</v>
      </c>
      <c r="C20" s="5" t="s">
        <v>192</v>
      </c>
      <c r="D20" s="5" t="s">
        <v>160</v>
      </c>
      <c r="E20" s="8">
        <v>78566</v>
      </c>
      <c r="F20" s="5" t="s">
        <v>628</v>
      </c>
      <c r="G20" s="5" t="s">
        <v>193</v>
      </c>
      <c r="H20" s="5" t="s">
        <v>148</v>
      </c>
      <c r="I20" s="108">
        <v>2.8655934107076</v>
      </c>
      <c r="J20" s="6">
        <v>765.89655172413848</v>
      </c>
      <c r="K20" s="6">
        <v>38.655172413793096</v>
      </c>
      <c r="L20" s="6">
        <v>1.1379310344827587</v>
      </c>
      <c r="M20" s="6">
        <v>50.396551724137936</v>
      </c>
      <c r="N20" s="6">
        <v>162.0344827586207</v>
      </c>
      <c r="O20" s="6">
        <v>688.44827586207077</v>
      </c>
      <c r="P20" s="6">
        <v>5.1724137931034482E-2</v>
      </c>
      <c r="Q20" s="6">
        <v>5.5517241379310551</v>
      </c>
      <c r="R20" s="6">
        <v>28.017241379310342</v>
      </c>
      <c r="S20" s="6">
        <v>24.758620689655174</v>
      </c>
      <c r="T20" s="6">
        <v>63.379310344827601</v>
      </c>
      <c r="U20" s="6">
        <v>739.93103448276042</v>
      </c>
      <c r="V20" s="6">
        <v>554.17241379310644</v>
      </c>
      <c r="W20" s="7">
        <v>800</v>
      </c>
      <c r="X20" s="5" t="s">
        <v>149</v>
      </c>
      <c r="Y20" s="9" t="s">
        <v>610</v>
      </c>
      <c r="Z20" s="5" t="s">
        <v>151</v>
      </c>
      <c r="AA20" s="109" t="s">
        <v>629</v>
      </c>
      <c r="AB20" s="110" t="s">
        <v>149</v>
      </c>
      <c r="AC20" s="111" t="s">
        <v>610</v>
      </c>
      <c r="AD20" s="109">
        <v>44223</v>
      </c>
    </row>
    <row r="21" spans="1:30" ht="15.5" x14ac:dyDescent="0.35">
      <c r="A21" s="5" t="s">
        <v>321</v>
      </c>
      <c r="B21" s="5" t="s">
        <v>322</v>
      </c>
      <c r="C21" s="5" t="s">
        <v>323</v>
      </c>
      <c r="D21" s="5" t="s">
        <v>160</v>
      </c>
      <c r="E21" s="8">
        <v>79501</v>
      </c>
      <c r="F21" s="5" t="s">
        <v>228</v>
      </c>
      <c r="G21" s="5" t="s">
        <v>169</v>
      </c>
      <c r="H21" s="5" t="s">
        <v>4</v>
      </c>
      <c r="I21" s="108">
        <v>53.9444444444444</v>
      </c>
      <c r="J21" s="6">
        <v>644.32758620690322</v>
      </c>
      <c r="K21" s="6">
        <v>34.603448275862092</v>
      </c>
      <c r="L21" s="6">
        <v>35.982758620689651</v>
      </c>
      <c r="M21" s="6">
        <v>22.310344827586199</v>
      </c>
      <c r="N21" s="6">
        <v>100.67241379310344</v>
      </c>
      <c r="O21" s="6">
        <v>533.65517241379757</v>
      </c>
      <c r="P21" s="6">
        <v>1</v>
      </c>
      <c r="Q21" s="6">
        <v>101.89655172413755</v>
      </c>
      <c r="R21" s="6">
        <v>25.620689655172416</v>
      </c>
      <c r="S21" s="6">
        <v>24.655172413793114</v>
      </c>
      <c r="T21" s="6">
        <v>36.206896551724142</v>
      </c>
      <c r="U21" s="6">
        <v>650.74137931035148</v>
      </c>
      <c r="V21" s="6">
        <v>513.31034482758866</v>
      </c>
      <c r="W21" s="7">
        <v>750</v>
      </c>
      <c r="X21" s="5" t="s">
        <v>149</v>
      </c>
      <c r="Y21" s="9" t="s">
        <v>610</v>
      </c>
      <c r="Z21" s="5" t="s">
        <v>151</v>
      </c>
      <c r="AA21" s="109" t="s">
        <v>630</v>
      </c>
      <c r="AB21" s="110" t="s">
        <v>149</v>
      </c>
      <c r="AC21" s="111" t="s">
        <v>610</v>
      </c>
      <c r="AD21" s="109">
        <v>44378</v>
      </c>
    </row>
    <row r="22" spans="1:30" ht="15.5" x14ac:dyDescent="0.35">
      <c r="A22" s="5" t="s">
        <v>240</v>
      </c>
      <c r="B22" s="5" t="s">
        <v>241</v>
      </c>
      <c r="C22" s="5" t="s">
        <v>37</v>
      </c>
      <c r="D22" s="5" t="s">
        <v>242</v>
      </c>
      <c r="E22" s="8">
        <v>80010</v>
      </c>
      <c r="F22" s="5" t="s">
        <v>243</v>
      </c>
      <c r="G22" s="5" t="s">
        <v>162</v>
      </c>
      <c r="H22" s="5" t="s">
        <v>148</v>
      </c>
      <c r="I22" s="108">
        <v>84.35</v>
      </c>
      <c r="J22" s="6">
        <v>543.27586206897149</v>
      </c>
      <c r="K22" s="6">
        <v>33.241379310344833</v>
      </c>
      <c r="L22" s="6">
        <v>70.275862068965537</v>
      </c>
      <c r="M22" s="6">
        <v>74.25862068965516</v>
      </c>
      <c r="N22" s="6">
        <v>145.82758620689663</v>
      </c>
      <c r="O22" s="6">
        <v>496.44827586206719</v>
      </c>
      <c r="P22" s="6">
        <v>13.655172413793101</v>
      </c>
      <c r="Q22" s="6">
        <v>65.120689655172427</v>
      </c>
      <c r="R22" s="6">
        <v>90.879310344827616</v>
      </c>
      <c r="S22" s="6">
        <v>33.741379310344833</v>
      </c>
      <c r="T22" s="6">
        <v>15.67241379310345</v>
      </c>
      <c r="U22" s="6">
        <v>580.75862068966103</v>
      </c>
      <c r="V22" s="6">
        <v>285.91379310344888</v>
      </c>
      <c r="W22" s="7">
        <v>600</v>
      </c>
      <c r="X22" s="5" t="s">
        <v>149</v>
      </c>
      <c r="Y22" s="9" t="s">
        <v>610</v>
      </c>
      <c r="Z22" s="5" t="s">
        <v>151</v>
      </c>
      <c r="AA22" s="109" t="s">
        <v>631</v>
      </c>
      <c r="AB22" s="110" t="s">
        <v>149</v>
      </c>
      <c r="AC22" s="111" t="s">
        <v>610</v>
      </c>
      <c r="AD22" s="109">
        <v>44223</v>
      </c>
    </row>
    <row r="23" spans="1:30" ht="15.5" x14ac:dyDescent="0.35">
      <c r="A23" s="5" t="s">
        <v>263</v>
      </c>
      <c r="B23" s="5" t="s">
        <v>264</v>
      </c>
      <c r="C23" s="5" t="s">
        <v>265</v>
      </c>
      <c r="D23" s="5" t="s">
        <v>160</v>
      </c>
      <c r="E23" s="8">
        <v>77351</v>
      </c>
      <c r="F23" s="5" t="s">
        <v>202</v>
      </c>
      <c r="G23" s="5" t="s">
        <v>169</v>
      </c>
      <c r="H23" s="5" t="s">
        <v>4</v>
      </c>
      <c r="I23" s="108">
        <v>21.2173913043478</v>
      </c>
      <c r="J23" s="6">
        <v>682.6206896551696</v>
      </c>
      <c r="K23" s="6">
        <v>1.8620689655172415</v>
      </c>
      <c r="L23" s="6">
        <v>0.22413793103448276</v>
      </c>
      <c r="M23" s="6">
        <v>0</v>
      </c>
      <c r="N23" s="6">
        <v>5.3103448275862073</v>
      </c>
      <c r="O23" s="6">
        <v>679.39655172413518</v>
      </c>
      <c r="P23" s="6">
        <v>0</v>
      </c>
      <c r="Q23" s="6">
        <v>0</v>
      </c>
      <c r="R23" s="6">
        <v>0.65517241379310343</v>
      </c>
      <c r="S23" s="6">
        <v>0</v>
      </c>
      <c r="T23" s="6">
        <v>4.6551724137931032</v>
      </c>
      <c r="U23" s="6">
        <v>679.39655172413518</v>
      </c>
      <c r="V23" s="6">
        <v>274.36206896551869</v>
      </c>
      <c r="W23" s="7">
        <v>350</v>
      </c>
      <c r="X23" s="5" t="s">
        <v>149</v>
      </c>
      <c r="Y23" s="9" t="s">
        <v>632</v>
      </c>
      <c r="Z23" s="5" t="s">
        <v>257</v>
      </c>
      <c r="AA23" s="109" t="s">
        <v>633</v>
      </c>
      <c r="AB23" s="110" t="s">
        <v>149</v>
      </c>
      <c r="AC23" s="111" t="s">
        <v>632</v>
      </c>
      <c r="AD23" s="109">
        <v>44202</v>
      </c>
    </row>
    <row r="24" spans="1:30" ht="15.5" x14ac:dyDescent="0.35">
      <c r="A24" s="5" t="s">
        <v>220</v>
      </c>
      <c r="B24" s="5" t="s">
        <v>221</v>
      </c>
      <c r="C24" s="5" t="s">
        <v>222</v>
      </c>
      <c r="D24" s="5" t="s">
        <v>167</v>
      </c>
      <c r="E24" s="8">
        <v>70515</v>
      </c>
      <c r="F24" s="5" t="s">
        <v>168</v>
      </c>
      <c r="G24" s="5" t="s">
        <v>147</v>
      </c>
      <c r="H24" s="5" t="s">
        <v>148</v>
      </c>
      <c r="I24" s="108">
        <v>13.714285714285699</v>
      </c>
      <c r="J24" s="6">
        <v>620.6551724137953</v>
      </c>
      <c r="K24" s="6">
        <v>9.8965517241379324</v>
      </c>
      <c r="L24" s="6">
        <v>32.482758620689651</v>
      </c>
      <c r="M24" s="6">
        <v>5.7413793103448274</v>
      </c>
      <c r="N24" s="6">
        <v>0.17241379310344829</v>
      </c>
      <c r="O24" s="6">
        <v>3.6206896551724137</v>
      </c>
      <c r="P24" s="6">
        <v>44.931034482758584</v>
      </c>
      <c r="Q24" s="6">
        <v>620.05172413793355</v>
      </c>
      <c r="R24" s="6">
        <v>32.827586206896534</v>
      </c>
      <c r="S24" s="6">
        <v>9.1896551724137918</v>
      </c>
      <c r="T24" s="6">
        <v>2.5</v>
      </c>
      <c r="U24" s="6">
        <v>624.2586206896575</v>
      </c>
      <c r="V24" s="6">
        <v>357.93103448275821</v>
      </c>
      <c r="W24" s="7">
        <v>700</v>
      </c>
      <c r="X24" s="5" t="s">
        <v>149</v>
      </c>
      <c r="Y24" s="9" t="s">
        <v>610</v>
      </c>
      <c r="Z24" s="5" t="s">
        <v>151</v>
      </c>
      <c r="AA24" s="109" t="s">
        <v>634</v>
      </c>
      <c r="AB24" s="110" t="s">
        <v>149</v>
      </c>
      <c r="AC24" s="111" t="s">
        <v>610</v>
      </c>
      <c r="AD24" s="109">
        <v>44176</v>
      </c>
    </row>
    <row r="25" spans="1:30" ht="15.5" x14ac:dyDescent="0.35">
      <c r="A25" s="5" t="s">
        <v>10</v>
      </c>
      <c r="B25" s="5" t="s">
        <v>208</v>
      </c>
      <c r="C25" s="5" t="s">
        <v>209</v>
      </c>
      <c r="D25" s="5" t="s">
        <v>160</v>
      </c>
      <c r="E25" s="8">
        <v>78580</v>
      </c>
      <c r="F25" s="5" t="s">
        <v>628</v>
      </c>
      <c r="G25" s="5" t="s">
        <v>169</v>
      </c>
      <c r="H25" s="5" t="s">
        <v>148</v>
      </c>
      <c r="I25" s="108">
        <v>56.225000000000001</v>
      </c>
      <c r="J25" s="6">
        <v>603.79310344827547</v>
      </c>
      <c r="K25" s="6">
        <v>13.379310344827585</v>
      </c>
      <c r="L25" s="6">
        <v>3.7241379310344831</v>
      </c>
      <c r="M25" s="6">
        <v>1.1724137931034484</v>
      </c>
      <c r="N25" s="6">
        <v>29.000000000000011</v>
      </c>
      <c r="O25" s="6">
        <v>429.7586206896558</v>
      </c>
      <c r="P25" s="6">
        <v>3.8965517241379306</v>
      </c>
      <c r="Q25" s="6">
        <v>159.41379310344868</v>
      </c>
      <c r="R25" s="6">
        <v>7.3103448275862073</v>
      </c>
      <c r="S25" s="6">
        <v>6.3103448275862064</v>
      </c>
      <c r="T25" s="6">
        <v>13.862068965517246</v>
      </c>
      <c r="U25" s="6">
        <v>594.58620689655129</v>
      </c>
      <c r="V25" s="6">
        <v>461.79310344827633</v>
      </c>
      <c r="W25" s="7">
        <v>750</v>
      </c>
      <c r="X25" s="5" t="s">
        <v>149</v>
      </c>
      <c r="Y25" s="9" t="s">
        <v>610</v>
      </c>
      <c r="Z25" s="5" t="s">
        <v>151</v>
      </c>
      <c r="AA25" s="109" t="s">
        <v>635</v>
      </c>
      <c r="AB25" s="110" t="s">
        <v>149</v>
      </c>
      <c r="AC25" s="111" t="s">
        <v>610</v>
      </c>
      <c r="AD25" s="109">
        <v>44175</v>
      </c>
    </row>
    <row r="26" spans="1:30" ht="15.5" x14ac:dyDescent="0.35">
      <c r="A26" s="5" t="s">
        <v>223</v>
      </c>
      <c r="B26" s="5" t="s">
        <v>224</v>
      </c>
      <c r="C26" s="5" t="s">
        <v>225</v>
      </c>
      <c r="D26" s="5" t="s">
        <v>145</v>
      </c>
      <c r="E26" s="8">
        <v>92231</v>
      </c>
      <c r="F26" s="5" t="s">
        <v>183</v>
      </c>
      <c r="G26" s="5" t="s">
        <v>162</v>
      </c>
      <c r="H26" s="5" t="s">
        <v>148</v>
      </c>
      <c r="I26" s="108">
        <v>17.9166666666667</v>
      </c>
      <c r="J26" s="6">
        <v>539.13793103448381</v>
      </c>
      <c r="K26" s="6">
        <v>7.2241379310344822</v>
      </c>
      <c r="L26" s="6">
        <v>9.706896551724137</v>
      </c>
      <c r="M26" s="6">
        <v>17.827586206896552</v>
      </c>
      <c r="N26" s="6">
        <v>46.189655172413794</v>
      </c>
      <c r="O26" s="6">
        <v>527.63793103448552</v>
      </c>
      <c r="P26" s="6">
        <v>3.4482758620689655E-2</v>
      </c>
      <c r="Q26" s="6">
        <v>3.4482758620689655E-2</v>
      </c>
      <c r="R26" s="6">
        <v>33.948275862068968</v>
      </c>
      <c r="S26" s="6">
        <v>5.1551724137931032</v>
      </c>
      <c r="T26" s="6">
        <v>5.7068965517241388</v>
      </c>
      <c r="U26" s="6">
        <v>529.08620689655413</v>
      </c>
      <c r="V26" s="6">
        <v>338.12068965517449</v>
      </c>
      <c r="W26" s="7">
        <v>640</v>
      </c>
      <c r="X26" s="5" t="s">
        <v>149</v>
      </c>
      <c r="Y26" s="9" t="s">
        <v>610</v>
      </c>
      <c r="Z26" s="5" t="s">
        <v>151</v>
      </c>
      <c r="AA26" s="109" t="s">
        <v>629</v>
      </c>
      <c r="AB26" s="110" t="s">
        <v>149</v>
      </c>
      <c r="AC26" s="111" t="s">
        <v>610</v>
      </c>
      <c r="AD26" s="109">
        <v>44209</v>
      </c>
    </row>
    <row r="27" spans="1:30" ht="15.5" x14ac:dyDescent="0.35">
      <c r="A27" s="5" t="s">
        <v>203</v>
      </c>
      <c r="B27" s="5" t="s">
        <v>204</v>
      </c>
      <c r="C27" s="5" t="s">
        <v>205</v>
      </c>
      <c r="D27" s="5" t="s">
        <v>167</v>
      </c>
      <c r="E27" s="8">
        <v>71202</v>
      </c>
      <c r="F27" s="5" t="s">
        <v>168</v>
      </c>
      <c r="G27" s="5" t="s">
        <v>147</v>
      </c>
      <c r="H27" s="5" t="s">
        <v>4</v>
      </c>
      <c r="I27" s="108">
        <v>32.354838709677402</v>
      </c>
      <c r="J27" s="6">
        <v>566.86206896551812</v>
      </c>
      <c r="K27" s="6">
        <v>1.1206896551724137</v>
      </c>
      <c r="L27" s="6">
        <v>3.2586206896551726</v>
      </c>
      <c r="M27" s="6">
        <v>0.48275862068965514</v>
      </c>
      <c r="N27" s="6">
        <v>18.758620689655174</v>
      </c>
      <c r="O27" s="6">
        <v>546.44827586206941</v>
      </c>
      <c r="P27" s="6">
        <v>0</v>
      </c>
      <c r="Q27" s="6">
        <v>6.5172413793103487</v>
      </c>
      <c r="R27" s="6">
        <v>3.568965517241379</v>
      </c>
      <c r="S27" s="6">
        <v>3.6551724137931032</v>
      </c>
      <c r="T27" s="6">
        <v>7.6206896551724137</v>
      </c>
      <c r="U27" s="6">
        <v>556.87931034482881</v>
      </c>
      <c r="V27" s="6">
        <v>299.72413793103618</v>
      </c>
      <c r="W27" s="7">
        <v>677</v>
      </c>
      <c r="X27" s="5" t="s">
        <v>149</v>
      </c>
      <c r="Y27" s="9" t="s">
        <v>610</v>
      </c>
      <c r="Z27" s="5" t="s">
        <v>151</v>
      </c>
      <c r="AA27" s="109" t="s">
        <v>627</v>
      </c>
      <c r="AB27" s="110" t="s">
        <v>149</v>
      </c>
      <c r="AC27" s="111" t="s">
        <v>610</v>
      </c>
      <c r="AD27" s="109">
        <v>44125</v>
      </c>
    </row>
    <row r="28" spans="1:30" ht="15.5" x14ac:dyDescent="0.35">
      <c r="A28" s="5" t="s">
        <v>194</v>
      </c>
      <c r="B28" s="5" t="s">
        <v>195</v>
      </c>
      <c r="C28" s="5" t="s">
        <v>196</v>
      </c>
      <c r="D28" s="5" t="s">
        <v>197</v>
      </c>
      <c r="E28" s="8">
        <v>88081</v>
      </c>
      <c r="F28" s="5" t="s">
        <v>198</v>
      </c>
      <c r="G28" s="5" t="s">
        <v>147</v>
      </c>
      <c r="H28" s="5" t="s">
        <v>148</v>
      </c>
      <c r="I28" s="108">
        <v>38.662790697674403</v>
      </c>
      <c r="J28" s="6">
        <v>511.62068965517312</v>
      </c>
      <c r="K28" s="6">
        <v>14.63793103448276</v>
      </c>
      <c r="L28" s="6">
        <v>1.1379310344827585</v>
      </c>
      <c r="M28" s="6">
        <v>0</v>
      </c>
      <c r="N28" s="6">
        <v>5.3275862068965525</v>
      </c>
      <c r="O28" s="6">
        <v>410.29310344827633</v>
      </c>
      <c r="P28" s="6">
        <v>2.4655172413793105</v>
      </c>
      <c r="Q28" s="6">
        <v>109.31034482758599</v>
      </c>
      <c r="R28" s="6">
        <v>0</v>
      </c>
      <c r="S28" s="6">
        <v>1.4482758620689655</v>
      </c>
      <c r="T28" s="6">
        <v>4.362068965517242</v>
      </c>
      <c r="U28" s="6">
        <v>521.58620689655061</v>
      </c>
      <c r="V28" s="6">
        <v>262.34482758620737</v>
      </c>
      <c r="W28" s="7">
        <v>500</v>
      </c>
      <c r="X28" s="5" t="s">
        <v>149</v>
      </c>
      <c r="Y28" s="9" t="s">
        <v>610</v>
      </c>
      <c r="Z28" s="5" t="s">
        <v>151</v>
      </c>
      <c r="AA28" s="109" t="s">
        <v>615</v>
      </c>
      <c r="AB28" s="110" t="s">
        <v>149</v>
      </c>
      <c r="AC28" s="111" t="s">
        <v>610</v>
      </c>
      <c r="AD28" s="109">
        <v>44225</v>
      </c>
    </row>
    <row r="29" spans="1:30" ht="15.5" x14ac:dyDescent="0.35">
      <c r="A29" s="5" t="s">
        <v>14</v>
      </c>
      <c r="B29" s="5" t="s">
        <v>258</v>
      </c>
      <c r="C29" s="5" t="s">
        <v>259</v>
      </c>
      <c r="D29" s="5" t="s">
        <v>160</v>
      </c>
      <c r="E29" s="8">
        <v>78046</v>
      </c>
      <c r="F29" s="5" t="s">
        <v>628</v>
      </c>
      <c r="G29" s="5" t="s">
        <v>184</v>
      </c>
      <c r="H29" s="5" t="s">
        <v>4</v>
      </c>
      <c r="I29" s="108">
        <v>13.4</v>
      </c>
      <c r="J29" s="6">
        <v>519.13793103448336</v>
      </c>
      <c r="K29" s="6">
        <v>1.9482758620689655</v>
      </c>
      <c r="L29" s="6">
        <v>0.56896551724137934</v>
      </c>
      <c r="M29" s="6">
        <v>0</v>
      </c>
      <c r="N29" s="6">
        <v>8.9310344827586192</v>
      </c>
      <c r="O29" s="6">
        <v>512.13793103448165</v>
      </c>
      <c r="P29" s="6">
        <v>0</v>
      </c>
      <c r="Q29" s="6">
        <v>0.58620689655172409</v>
      </c>
      <c r="R29" s="6">
        <v>1.3103448275862069</v>
      </c>
      <c r="S29" s="6">
        <v>0</v>
      </c>
      <c r="T29" s="6">
        <v>5.6034482758620685</v>
      </c>
      <c r="U29" s="6">
        <v>514.74137931034443</v>
      </c>
      <c r="V29" s="6">
        <v>389.72413793103351</v>
      </c>
      <c r="W29" s="7">
        <v>275</v>
      </c>
      <c r="X29" s="5" t="s">
        <v>149</v>
      </c>
      <c r="Y29" s="9" t="s">
        <v>211</v>
      </c>
      <c r="Z29" s="5" t="s">
        <v>151</v>
      </c>
      <c r="AA29" s="109" t="s">
        <v>636</v>
      </c>
      <c r="AB29" s="110" t="s">
        <v>149</v>
      </c>
      <c r="AC29" s="111" t="s">
        <v>211</v>
      </c>
      <c r="AD29" s="109">
        <v>44265</v>
      </c>
    </row>
    <row r="30" spans="1:30" ht="15.5" x14ac:dyDescent="0.35">
      <c r="A30" s="5" t="s">
        <v>637</v>
      </c>
      <c r="B30" s="5" t="s">
        <v>638</v>
      </c>
      <c r="C30" s="5" t="s">
        <v>244</v>
      </c>
      <c r="D30" s="5" t="s">
        <v>156</v>
      </c>
      <c r="E30" s="8">
        <v>31537</v>
      </c>
      <c r="F30" s="5" t="s">
        <v>157</v>
      </c>
      <c r="G30" s="5" t="s">
        <v>147</v>
      </c>
      <c r="H30" s="5" t="s">
        <v>4</v>
      </c>
      <c r="I30" s="108">
        <v>33.1111111111111</v>
      </c>
      <c r="J30" s="6">
        <v>417.99999999999784</v>
      </c>
      <c r="K30" s="6">
        <v>34.310344827586214</v>
      </c>
      <c r="L30" s="6">
        <v>30.241379310344829</v>
      </c>
      <c r="M30" s="6">
        <v>35.689655172413801</v>
      </c>
      <c r="N30" s="6">
        <v>83.862068965517267</v>
      </c>
      <c r="O30" s="6">
        <v>434.37931034482529</v>
      </c>
      <c r="P30" s="6">
        <v>0</v>
      </c>
      <c r="Q30" s="6">
        <v>0</v>
      </c>
      <c r="R30" s="6">
        <v>21.758620689655171</v>
      </c>
      <c r="S30" s="6">
        <v>17.948275862068972</v>
      </c>
      <c r="T30" s="6">
        <v>14.586206896551726</v>
      </c>
      <c r="U30" s="6">
        <v>463.94827586206634</v>
      </c>
      <c r="V30" s="6">
        <v>116.12068965517253</v>
      </c>
      <c r="W30" s="7">
        <v>544</v>
      </c>
      <c r="X30" s="5" t="s">
        <v>149</v>
      </c>
      <c r="Y30" s="9" t="s">
        <v>610</v>
      </c>
      <c r="Z30" s="5" t="s">
        <v>151</v>
      </c>
      <c r="AA30" s="109" t="s">
        <v>639</v>
      </c>
      <c r="AB30" s="110" t="s">
        <v>149</v>
      </c>
      <c r="AC30" s="111" t="s">
        <v>610</v>
      </c>
      <c r="AD30" s="109">
        <v>44405</v>
      </c>
    </row>
    <row r="31" spans="1:30" ht="15.5" x14ac:dyDescent="0.35">
      <c r="A31" s="5" t="s">
        <v>185</v>
      </c>
      <c r="B31" s="5" t="s">
        <v>186</v>
      </c>
      <c r="C31" s="5" t="s">
        <v>187</v>
      </c>
      <c r="D31" s="5" t="s">
        <v>188</v>
      </c>
      <c r="E31" s="8">
        <v>98421</v>
      </c>
      <c r="F31" s="5" t="s">
        <v>189</v>
      </c>
      <c r="G31" s="5" t="s">
        <v>162</v>
      </c>
      <c r="H31" s="5" t="s">
        <v>148</v>
      </c>
      <c r="I31" s="108">
        <v>97.8</v>
      </c>
      <c r="J31" s="6">
        <v>277.3448275862072</v>
      </c>
      <c r="K31" s="6">
        <v>58.551724137931018</v>
      </c>
      <c r="L31" s="6">
        <v>71.224137931034491</v>
      </c>
      <c r="M31" s="6">
        <v>75.724137931034477</v>
      </c>
      <c r="N31" s="6">
        <v>165.25862068965517</v>
      </c>
      <c r="O31" s="6">
        <v>288.51724137931097</v>
      </c>
      <c r="P31" s="6">
        <v>14.189655172413795</v>
      </c>
      <c r="Q31" s="6">
        <v>14.879310344827582</v>
      </c>
      <c r="R31" s="6">
        <v>106.89655172413792</v>
      </c>
      <c r="S31" s="6">
        <v>23.948275862068961</v>
      </c>
      <c r="T31" s="6">
        <v>12.103448275862069</v>
      </c>
      <c r="U31" s="6">
        <v>339.89655172414035</v>
      </c>
      <c r="V31" s="6">
        <v>238.55172413793082</v>
      </c>
      <c r="W31" s="7">
        <v>1181</v>
      </c>
      <c r="X31" s="5" t="s">
        <v>149</v>
      </c>
      <c r="Y31" s="9" t="s">
        <v>610</v>
      </c>
      <c r="Z31" s="5" t="s">
        <v>151</v>
      </c>
      <c r="AA31" s="109" t="s">
        <v>640</v>
      </c>
      <c r="AB31" s="110" t="s">
        <v>149</v>
      </c>
      <c r="AC31" s="111" t="s">
        <v>610</v>
      </c>
      <c r="AD31" s="109">
        <v>44329</v>
      </c>
    </row>
    <row r="32" spans="1:30" ht="15.5" x14ac:dyDescent="0.35">
      <c r="A32" s="5" t="s">
        <v>226</v>
      </c>
      <c r="B32" s="5" t="s">
        <v>227</v>
      </c>
      <c r="C32" s="5" t="s">
        <v>36</v>
      </c>
      <c r="D32" s="5" t="s">
        <v>160</v>
      </c>
      <c r="E32" s="8">
        <v>76009</v>
      </c>
      <c r="F32" s="5" t="s">
        <v>228</v>
      </c>
      <c r="G32" s="5" t="s">
        <v>147</v>
      </c>
      <c r="H32" s="5" t="s">
        <v>148</v>
      </c>
      <c r="I32" s="108">
        <v>15.7931034482759</v>
      </c>
      <c r="J32" s="6">
        <v>150.01724137931149</v>
      </c>
      <c r="K32" s="6">
        <v>90.655172413793181</v>
      </c>
      <c r="L32" s="6">
        <v>142.24137931034488</v>
      </c>
      <c r="M32" s="6">
        <v>98.499999999999957</v>
      </c>
      <c r="N32" s="6">
        <v>282.91379310344871</v>
      </c>
      <c r="O32" s="6">
        <v>172.24137931034593</v>
      </c>
      <c r="P32" s="6">
        <v>17.241379310344829</v>
      </c>
      <c r="Q32" s="6">
        <v>9.0172413793103487</v>
      </c>
      <c r="R32" s="6">
        <v>134.01724137931029</v>
      </c>
      <c r="S32" s="6">
        <v>65.844827586206918</v>
      </c>
      <c r="T32" s="6">
        <v>80.258620689655189</v>
      </c>
      <c r="U32" s="6">
        <v>201.29310344827769</v>
      </c>
      <c r="V32" s="6">
        <v>285.55172413793213</v>
      </c>
      <c r="W32" s="7">
        <v>525</v>
      </c>
      <c r="X32" s="5" t="s">
        <v>149</v>
      </c>
      <c r="Y32" s="9" t="s">
        <v>610</v>
      </c>
      <c r="Z32" s="5" t="s">
        <v>151</v>
      </c>
      <c r="AA32" s="109" t="s">
        <v>641</v>
      </c>
      <c r="AB32" s="110" t="s">
        <v>149</v>
      </c>
      <c r="AC32" s="111" t="s">
        <v>610</v>
      </c>
      <c r="AD32" s="109">
        <v>44237</v>
      </c>
    </row>
    <row r="33" spans="1:30" ht="15.5" x14ac:dyDescent="0.35">
      <c r="A33" s="5" t="s">
        <v>215</v>
      </c>
      <c r="B33" s="5" t="s">
        <v>216</v>
      </c>
      <c r="C33" s="5" t="s">
        <v>217</v>
      </c>
      <c r="D33" s="5" t="s">
        <v>160</v>
      </c>
      <c r="E33" s="8">
        <v>77032</v>
      </c>
      <c r="F33" s="5" t="s">
        <v>202</v>
      </c>
      <c r="G33" s="5" t="s">
        <v>162</v>
      </c>
      <c r="H33" s="5" t="s">
        <v>148</v>
      </c>
      <c r="I33" s="108">
        <v>67.9583333333333</v>
      </c>
      <c r="J33" s="6">
        <v>451.67241379310229</v>
      </c>
      <c r="K33" s="6">
        <v>17.258620689655146</v>
      </c>
      <c r="L33" s="6">
        <v>0.81034482758620685</v>
      </c>
      <c r="M33" s="6">
        <v>0</v>
      </c>
      <c r="N33" s="6">
        <v>0.81034482758620685</v>
      </c>
      <c r="O33" s="6">
        <v>383.89655172413751</v>
      </c>
      <c r="P33" s="6">
        <v>0</v>
      </c>
      <c r="Q33" s="6">
        <v>85.034482758620811</v>
      </c>
      <c r="R33" s="6">
        <v>0</v>
      </c>
      <c r="S33" s="6">
        <v>0.81034482758620685</v>
      </c>
      <c r="T33" s="6">
        <v>0</v>
      </c>
      <c r="U33" s="6">
        <v>468.93103448275787</v>
      </c>
      <c r="V33" s="6">
        <v>354.74137931034443</v>
      </c>
      <c r="W33" s="7">
        <v>750</v>
      </c>
      <c r="X33" s="5" t="s">
        <v>149</v>
      </c>
      <c r="Y33" s="9" t="s">
        <v>610</v>
      </c>
      <c r="Z33" s="5" t="s">
        <v>151</v>
      </c>
      <c r="AA33" s="109" t="s">
        <v>633</v>
      </c>
      <c r="AB33" s="110" t="s">
        <v>149</v>
      </c>
      <c r="AC33" s="111" t="s">
        <v>610</v>
      </c>
      <c r="AD33" s="109">
        <v>44202</v>
      </c>
    </row>
    <row r="34" spans="1:30" ht="15.5" x14ac:dyDescent="0.35">
      <c r="A34" s="5" t="s">
        <v>7</v>
      </c>
      <c r="B34" s="5" t="s">
        <v>245</v>
      </c>
      <c r="C34" s="5" t="s">
        <v>246</v>
      </c>
      <c r="D34" s="5" t="s">
        <v>239</v>
      </c>
      <c r="E34" s="8">
        <v>33073</v>
      </c>
      <c r="F34" s="5" t="s">
        <v>27</v>
      </c>
      <c r="G34" s="5" t="s">
        <v>162</v>
      </c>
      <c r="H34" s="5" t="s">
        <v>148</v>
      </c>
      <c r="I34" s="108">
        <v>29.511904761904798</v>
      </c>
      <c r="J34" s="6">
        <v>361.12068965517227</v>
      </c>
      <c r="K34" s="6">
        <v>108.13793103448272</v>
      </c>
      <c r="L34" s="6">
        <v>0.20689655172413793</v>
      </c>
      <c r="M34" s="6">
        <v>0</v>
      </c>
      <c r="N34" s="6">
        <v>126.87931034482752</v>
      </c>
      <c r="O34" s="6">
        <v>272.37931034482773</v>
      </c>
      <c r="P34" s="6">
        <v>8.5</v>
      </c>
      <c r="Q34" s="6">
        <v>61.706896551724128</v>
      </c>
      <c r="R34" s="6">
        <v>17.758620689655174</v>
      </c>
      <c r="S34" s="6">
        <v>41.53448275862069</v>
      </c>
      <c r="T34" s="6">
        <v>43.327586206896548</v>
      </c>
      <c r="U34" s="6">
        <v>366.84482758620686</v>
      </c>
      <c r="V34" s="6">
        <v>229.10344827586209</v>
      </c>
      <c r="W34" s="7">
        <v>700</v>
      </c>
      <c r="X34" s="5" t="s">
        <v>149</v>
      </c>
      <c r="Y34" s="9" t="s">
        <v>610</v>
      </c>
      <c r="Z34" s="5" t="s">
        <v>151</v>
      </c>
      <c r="AA34" s="109" t="s">
        <v>642</v>
      </c>
      <c r="AB34" s="110" t="s">
        <v>149</v>
      </c>
      <c r="AC34" s="111" t="s">
        <v>150</v>
      </c>
      <c r="AD34" s="109">
        <v>44098</v>
      </c>
    </row>
    <row r="35" spans="1:30" ht="15.5" x14ac:dyDescent="0.35">
      <c r="A35" s="5" t="s">
        <v>212</v>
      </c>
      <c r="B35" s="5" t="s">
        <v>213</v>
      </c>
      <c r="C35" s="5" t="s">
        <v>214</v>
      </c>
      <c r="D35" s="5" t="s">
        <v>160</v>
      </c>
      <c r="E35" s="8">
        <v>79925</v>
      </c>
      <c r="F35" s="5" t="s">
        <v>198</v>
      </c>
      <c r="G35" s="5" t="s">
        <v>193</v>
      </c>
      <c r="H35" s="5" t="s">
        <v>148</v>
      </c>
      <c r="I35" s="108">
        <v>43.883333333333297</v>
      </c>
      <c r="J35" s="6">
        <v>257.72413793103453</v>
      </c>
      <c r="K35" s="6">
        <v>67.241379310344811</v>
      </c>
      <c r="L35" s="6">
        <v>67.344827586206904</v>
      </c>
      <c r="M35" s="6">
        <v>44.155172413793103</v>
      </c>
      <c r="N35" s="6">
        <v>152.94827586206893</v>
      </c>
      <c r="O35" s="6">
        <v>191.48275862068957</v>
      </c>
      <c r="P35" s="6">
        <v>23.086206896551719</v>
      </c>
      <c r="Q35" s="6">
        <v>68.948275862068968</v>
      </c>
      <c r="R35" s="6">
        <v>56.965517241379288</v>
      </c>
      <c r="S35" s="6">
        <v>46.172413793103438</v>
      </c>
      <c r="T35" s="6">
        <v>27.258620689655178</v>
      </c>
      <c r="U35" s="6">
        <v>306.06896551724162</v>
      </c>
      <c r="V35" s="6">
        <v>276.68965517241412</v>
      </c>
      <c r="W35" s="7">
        <v>600</v>
      </c>
      <c r="X35" s="5" t="s">
        <v>149</v>
      </c>
      <c r="Y35" s="9" t="s">
        <v>610</v>
      </c>
      <c r="Z35" s="5" t="s">
        <v>151</v>
      </c>
      <c r="AA35" s="109" t="s">
        <v>643</v>
      </c>
      <c r="AB35" s="110" t="s">
        <v>149</v>
      </c>
      <c r="AC35" s="111" t="s">
        <v>610</v>
      </c>
      <c r="AD35" s="109">
        <v>44168</v>
      </c>
    </row>
    <row r="36" spans="1:30" ht="15.5" x14ac:dyDescent="0.35">
      <c r="A36" s="112" t="s">
        <v>644</v>
      </c>
      <c r="B36" s="112" t="s">
        <v>251</v>
      </c>
      <c r="C36" s="112" t="s">
        <v>31</v>
      </c>
      <c r="D36" s="112" t="s">
        <v>160</v>
      </c>
      <c r="E36" s="113">
        <v>76574</v>
      </c>
      <c r="F36" s="112" t="s">
        <v>161</v>
      </c>
      <c r="G36" s="112" t="s">
        <v>147</v>
      </c>
      <c r="H36" s="112" t="s">
        <v>4</v>
      </c>
      <c r="I36" s="108">
        <v>31.727272727272702</v>
      </c>
      <c r="J36" s="114">
        <v>404.98275862069136</v>
      </c>
      <c r="K36" s="114">
        <v>3.7758620689655178</v>
      </c>
      <c r="L36" s="114">
        <v>1.586206896551724</v>
      </c>
      <c r="M36" s="114">
        <v>0</v>
      </c>
      <c r="N36" s="114">
        <v>14.603448275862066</v>
      </c>
      <c r="O36" s="114">
        <v>395.74137931034659</v>
      </c>
      <c r="P36" s="114">
        <v>0</v>
      </c>
      <c r="Q36" s="114">
        <v>0</v>
      </c>
      <c r="R36" s="114">
        <v>0.67241379310344829</v>
      </c>
      <c r="S36" s="114">
        <v>1.3103448275862069</v>
      </c>
      <c r="T36" s="114">
        <v>10</v>
      </c>
      <c r="U36" s="114">
        <v>398.36206896551903</v>
      </c>
      <c r="V36" s="114">
        <v>184.72413793103456</v>
      </c>
      <c r="W36" s="115">
        <v>461</v>
      </c>
      <c r="X36" s="112" t="s">
        <v>149</v>
      </c>
      <c r="Y36" s="116" t="s">
        <v>610</v>
      </c>
      <c r="Z36" s="112" t="s">
        <v>151</v>
      </c>
      <c r="AA36" s="117" t="s">
        <v>645</v>
      </c>
      <c r="AB36" s="118" t="s">
        <v>149</v>
      </c>
      <c r="AC36" s="119" t="s">
        <v>610</v>
      </c>
      <c r="AD36" s="117">
        <v>44286</v>
      </c>
    </row>
    <row r="37" spans="1:30" ht="15.5" x14ac:dyDescent="0.35">
      <c r="A37" s="5" t="s">
        <v>35</v>
      </c>
      <c r="B37" s="5" t="s">
        <v>218</v>
      </c>
      <c r="C37" s="5" t="s">
        <v>219</v>
      </c>
      <c r="D37" s="5" t="s">
        <v>167</v>
      </c>
      <c r="E37" s="8">
        <v>70576</v>
      </c>
      <c r="F37" s="5" t="s">
        <v>168</v>
      </c>
      <c r="G37" s="5" t="s">
        <v>169</v>
      </c>
      <c r="H37" s="5" t="s">
        <v>4</v>
      </c>
      <c r="I37" s="108">
        <v>44.764705882352899</v>
      </c>
      <c r="J37" s="6">
        <v>216.63793103448265</v>
      </c>
      <c r="K37" s="6">
        <v>88.655172413793053</v>
      </c>
      <c r="L37" s="6">
        <v>71.379310344827587</v>
      </c>
      <c r="M37" s="6">
        <v>23.517241379310349</v>
      </c>
      <c r="N37" s="6">
        <v>135.81034482758616</v>
      </c>
      <c r="O37" s="6">
        <v>264.37931034482756</v>
      </c>
      <c r="P37" s="6">
        <v>0</v>
      </c>
      <c r="Q37" s="6">
        <v>0</v>
      </c>
      <c r="R37" s="6">
        <v>67.137931034482747</v>
      </c>
      <c r="S37" s="6">
        <v>34.206896551724142</v>
      </c>
      <c r="T37" s="6">
        <v>26.81034482758621</v>
      </c>
      <c r="U37" s="6">
        <v>272.03448275862064</v>
      </c>
      <c r="V37" s="6">
        <v>237.18965517241344</v>
      </c>
      <c r="W37" s="7"/>
      <c r="X37" s="5" t="s">
        <v>149</v>
      </c>
      <c r="Y37" s="9" t="s">
        <v>610</v>
      </c>
      <c r="Z37" s="5" t="s">
        <v>151</v>
      </c>
      <c r="AA37" s="109" t="s">
        <v>646</v>
      </c>
      <c r="AB37" s="110" t="s">
        <v>149</v>
      </c>
      <c r="AC37" s="111" t="s">
        <v>610</v>
      </c>
      <c r="AD37" s="109">
        <v>44140</v>
      </c>
    </row>
    <row r="38" spans="1:30" ht="15.5" x14ac:dyDescent="0.35">
      <c r="A38" s="5" t="s">
        <v>236</v>
      </c>
      <c r="B38" s="5" t="s">
        <v>237</v>
      </c>
      <c r="C38" s="5" t="s">
        <v>238</v>
      </c>
      <c r="D38" s="5" t="s">
        <v>239</v>
      </c>
      <c r="E38" s="8">
        <v>33194</v>
      </c>
      <c r="F38" s="5" t="s">
        <v>27</v>
      </c>
      <c r="G38" s="5" t="s">
        <v>193</v>
      </c>
      <c r="H38" s="5" t="s">
        <v>4</v>
      </c>
      <c r="I38" s="108">
        <v>45.879781420764999</v>
      </c>
      <c r="J38" s="6">
        <v>0</v>
      </c>
      <c r="K38" s="6">
        <v>0.2413793103448276</v>
      </c>
      <c r="L38" s="6">
        <v>154.25862068965512</v>
      </c>
      <c r="M38" s="6">
        <v>229.43103448275875</v>
      </c>
      <c r="N38" s="6">
        <v>293.87931034482762</v>
      </c>
      <c r="O38" s="6">
        <v>89.758620689655132</v>
      </c>
      <c r="P38" s="6">
        <v>0.29310344827586204</v>
      </c>
      <c r="Q38" s="6">
        <v>0</v>
      </c>
      <c r="R38" s="6">
        <v>160.48275862068962</v>
      </c>
      <c r="S38" s="6">
        <v>30.310344827586206</v>
      </c>
      <c r="T38" s="6">
        <v>23.637931034482754</v>
      </c>
      <c r="U38" s="6">
        <v>169.50000000000006</v>
      </c>
      <c r="V38" s="6">
        <v>265.15517241379308</v>
      </c>
      <c r="W38" s="7">
        <v>450</v>
      </c>
      <c r="X38" s="5" t="s">
        <v>149</v>
      </c>
      <c r="Y38" s="9" t="s">
        <v>610</v>
      </c>
      <c r="Z38" s="5" t="s">
        <v>151</v>
      </c>
      <c r="AA38" s="109" t="s">
        <v>647</v>
      </c>
      <c r="AB38" s="110" t="s">
        <v>149</v>
      </c>
      <c r="AC38" s="111" t="s">
        <v>610</v>
      </c>
      <c r="AD38" s="109">
        <v>44419</v>
      </c>
    </row>
    <row r="39" spans="1:30" ht="15.5" x14ac:dyDescent="0.35">
      <c r="A39" s="5" t="s">
        <v>648</v>
      </c>
      <c r="B39" s="5" t="s">
        <v>649</v>
      </c>
      <c r="C39" s="5" t="s">
        <v>270</v>
      </c>
      <c r="D39" s="5" t="s">
        <v>171</v>
      </c>
      <c r="E39" s="8">
        <v>85132</v>
      </c>
      <c r="F39" s="5" t="s">
        <v>172</v>
      </c>
      <c r="G39" s="5" t="s">
        <v>210</v>
      </c>
      <c r="H39" s="5" t="s">
        <v>4</v>
      </c>
      <c r="I39" s="108">
        <v>25.455696202531598</v>
      </c>
      <c r="J39" s="6">
        <v>102.22413793103453</v>
      </c>
      <c r="K39" s="6">
        <v>40.379310344827573</v>
      </c>
      <c r="L39" s="6">
        <v>117.81034482758614</v>
      </c>
      <c r="M39" s="6">
        <v>111.1551724137931</v>
      </c>
      <c r="N39" s="6">
        <v>228.65517241379368</v>
      </c>
      <c r="O39" s="6">
        <v>141.89655172413825</v>
      </c>
      <c r="P39" s="6">
        <v>0.13793103448275865</v>
      </c>
      <c r="Q39" s="6">
        <v>0.87931034482758674</v>
      </c>
      <c r="R39" s="6">
        <v>98.482758620689552</v>
      </c>
      <c r="S39" s="6">
        <v>24.5</v>
      </c>
      <c r="T39" s="6">
        <v>24.431034482758648</v>
      </c>
      <c r="U39" s="6">
        <v>224.15517241379419</v>
      </c>
      <c r="V39" s="6">
        <v>232.1034482758634</v>
      </c>
      <c r="W39" s="7"/>
      <c r="X39" s="5" t="s">
        <v>149</v>
      </c>
      <c r="Y39" s="9" t="s">
        <v>211</v>
      </c>
      <c r="Z39" s="5" t="s">
        <v>152</v>
      </c>
      <c r="AA39" s="109" t="s">
        <v>650</v>
      </c>
      <c r="AB39" s="110" t="s">
        <v>149</v>
      </c>
      <c r="AC39" s="111" t="s">
        <v>211</v>
      </c>
      <c r="AD39" s="109">
        <v>44434</v>
      </c>
    </row>
    <row r="40" spans="1:30" ht="15.5" x14ac:dyDescent="0.35">
      <c r="A40" s="5" t="s">
        <v>260</v>
      </c>
      <c r="B40" s="5" t="s">
        <v>261</v>
      </c>
      <c r="C40" s="5" t="s">
        <v>262</v>
      </c>
      <c r="D40" s="5" t="s">
        <v>167</v>
      </c>
      <c r="E40" s="8">
        <v>71334</v>
      </c>
      <c r="F40" s="5" t="s">
        <v>168</v>
      </c>
      <c r="G40" s="5" t="s">
        <v>147</v>
      </c>
      <c r="H40" s="5" t="s">
        <v>4</v>
      </c>
      <c r="I40" s="108">
        <v>61.461538461538503</v>
      </c>
      <c r="J40" s="6">
        <v>350.17241379310423</v>
      </c>
      <c r="K40" s="6">
        <v>6.8275862068965516</v>
      </c>
      <c r="L40" s="6">
        <v>2.7586206896551726</v>
      </c>
      <c r="M40" s="6">
        <v>0</v>
      </c>
      <c r="N40" s="6">
        <v>12.448275862068966</v>
      </c>
      <c r="O40" s="6">
        <v>347.31034482758707</v>
      </c>
      <c r="P40" s="6">
        <v>0</v>
      </c>
      <c r="Q40" s="6">
        <v>0</v>
      </c>
      <c r="R40" s="6">
        <v>2.7068965517241379</v>
      </c>
      <c r="S40" s="6">
        <v>3.5172413793103452</v>
      </c>
      <c r="T40" s="6">
        <v>5.0517241379310347</v>
      </c>
      <c r="U40" s="6">
        <v>348.4827586206905</v>
      </c>
      <c r="V40" s="6">
        <v>223.81034482758591</v>
      </c>
      <c r="W40" s="7">
        <v>361</v>
      </c>
      <c r="X40" s="5" t="s">
        <v>149</v>
      </c>
      <c r="Y40" s="9" t="s">
        <v>610</v>
      </c>
      <c r="Z40" s="5" t="s">
        <v>151</v>
      </c>
      <c r="AA40" s="109" t="s">
        <v>651</v>
      </c>
      <c r="AB40" s="110" t="s">
        <v>149</v>
      </c>
      <c r="AC40" s="111" t="s">
        <v>610</v>
      </c>
      <c r="AD40" s="109">
        <v>44427</v>
      </c>
    </row>
    <row r="41" spans="1:30" ht="15.5" x14ac:dyDescent="0.35">
      <c r="A41" s="5" t="s">
        <v>652</v>
      </c>
      <c r="B41" s="5" t="s">
        <v>653</v>
      </c>
      <c r="C41" s="5" t="s">
        <v>201</v>
      </c>
      <c r="D41" s="5" t="s">
        <v>160</v>
      </c>
      <c r="E41" s="8">
        <v>77301</v>
      </c>
      <c r="F41" s="5" t="s">
        <v>202</v>
      </c>
      <c r="G41" s="5" t="s">
        <v>169</v>
      </c>
      <c r="H41" s="5" t="s">
        <v>148</v>
      </c>
      <c r="I41" s="108">
        <v>16.8</v>
      </c>
      <c r="J41" s="6">
        <v>322.36206896551653</v>
      </c>
      <c r="K41" s="6">
        <v>3.0862068965517246</v>
      </c>
      <c r="L41" s="6">
        <v>0</v>
      </c>
      <c r="M41" s="6">
        <v>0</v>
      </c>
      <c r="N41" s="6">
        <v>4.2068965517241379</v>
      </c>
      <c r="O41" s="6">
        <v>321.24137931034403</v>
      </c>
      <c r="P41" s="6">
        <v>0</v>
      </c>
      <c r="Q41" s="6">
        <v>0</v>
      </c>
      <c r="R41" s="6">
        <v>1.103448275862069</v>
      </c>
      <c r="S41" s="6">
        <v>1</v>
      </c>
      <c r="T41" s="6">
        <v>2.103448275862069</v>
      </c>
      <c r="U41" s="6">
        <v>321.24137931034403</v>
      </c>
      <c r="V41" s="6">
        <v>128.44827586206893</v>
      </c>
      <c r="W41" s="7"/>
      <c r="X41" s="5" t="s">
        <v>149</v>
      </c>
      <c r="Y41" s="9" t="s">
        <v>632</v>
      </c>
      <c r="Z41" s="5" t="s">
        <v>257</v>
      </c>
      <c r="AA41" s="109" t="s">
        <v>631</v>
      </c>
      <c r="AB41" s="110" t="s">
        <v>149</v>
      </c>
      <c r="AC41" s="111" t="s">
        <v>632</v>
      </c>
      <c r="AD41" s="109">
        <v>44183</v>
      </c>
    </row>
    <row r="42" spans="1:30" ht="15.5" x14ac:dyDescent="0.35">
      <c r="A42" s="5" t="s">
        <v>252</v>
      </c>
      <c r="B42" s="5" t="s">
        <v>253</v>
      </c>
      <c r="C42" s="5" t="s">
        <v>254</v>
      </c>
      <c r="D42" s="5" t="s">
        <v>255</v>
      </c>
      <c r="E42" s="8">
        <v>14020</v>
      </c>
      <c r="F42" s="5" t="s">
        <v>256</v>
      </c>
      <c r="G42" s="5" t="s">
        <v>193</v>
      </c>
      <c r="H42" s="5" t="s">
        <v>148</v>
      </c>
      <c r="I42" s="108">
        <v>70.25</v>
      </c>
      <c r="J42" s="6">
        <v>54.86206896551726</v>
      </c>
      <c r="K42" s="6">
        <v>33.413793103448278</v>
      </c>
      <c r="L42" s="6">
        <v>88.982758620689651</v>
      </c>
      <c r="M42" s="6">
        <v>126.86206896551718</v>
      </c>
      <c r="N42" s="6">
        <v>210.6379310344829</v>
      </c>
      <c r="O42" s="6">
        <v>93.48275862068958</v>
      </c>
      <c r="P42" s="6">
        <v>0</v>
      </c>
      <c r="Q42" s="6">
        <v>0</v>
      </c>
      <c r="R42" s="6">
        <v>138.37931034482762</v>
      </c>
      <c r="S42" s="6">
        <v>20.431034482758619</v>
      </c>
      <c r="T42" s="6">
        <v>21.03448275862069</v>
      </c>
      <c r="U42" s="6">
        <v>124.27586206896538</v>
      </c>
      <c r="V42" s="6">
        <v>243.31034482758622</v>
      </c>
      <c r="W42" s="7">
        <v>400</v>
      </c>
      <c r="X42" s="5" t="s">
        <v>149</v>
      </c>
      <c r="Y42" s="9" t="s">
        <v>610</v>
      </c>
      <c r="Z42" s="5" t="s">
        <v>151</v>
      </c>
      <c r="AA42" s="109" t="s">
        <v>650</v>
      </c>
      <c r="AB42" s="110" t="s">
        <v>149</v>
      </c>
      <c r="AC42" s="111" t="s">
        <v>610</v>
      </c>
      <c r="AD42" s="109">
        <v>44434</v>
      </c>
    </row>
    <row r="43" spans="1:30" ht="15.5" x14ac:dyDescent="0.35">
      <c r="A43" s="5" t="s">
        <v>15</v>
      </c>
      <c r="B43" s="5" t="s">
        <v>297</v>
      </c>
      <c r="C43" s="5" t="s">
        <v>259</v>
      </c>
      <c r="D43" s="5" t="s">
        <v>160</v>
      </c>
      <c r="E43" s="8">
        <v>78041</v>
      </c>
      <c r="F43" s="5" t="s">
        <v>628</v>
      </c>
      <c r="G43" s="5" t="s">
        <v>147</v>
      </c>
      <c r="H43" s="5" t="s">
        <v>148</v>
      </c>
      <c r="I43" s="108">
        <v>21.714285714285701</v>
      </c>
      <c r="J43" s="6">
        <v>301.56896551724179</v>
      </c>
      <c r="K43" s="6">
        <v>1.7758620689655173</v>
      </c>
      <c r="L43" s="6">
        <v>0</v>
      </c>
      <c r="M43" s="6">
        <v>0</v>
      </c>
      <c r="N43" s="6">
        <v>0</v>
      </c>
      <c r="O43" s="6">
        <v>166.75862068965515</v>
      </c>
      <c r="P43" s="6">
        <v>2.5517241379310347</v>
      </c>
      <c r="Q43" s="6">
        <v>134.03448275862084</v>
      </c>
      <c r="R43" s="6">
        <v>1</v>
      </c>
      <c r="S43" s="6">
        <v>0</v>
      </c>
      <c r="T43" s="6">
        <v>1.5517241379310345</v>
      </c>
      <c r="U43" s="6">
        <v>300.79310344827627</v>
      </c>
      <c r="V43" s="6">
        <v>183.10344827586252</v>
      </c>
      <c r="W43" s="7"/>
      <c r="X43" s="5" t="s">
        <v>149</v>
      </c>
      <c r="Y43" s="9" t="s">
        <v>632</v>
      </c>
      <c r="Z43" s="5" t="s">
        <v>257</v>
      </c>
      <c r="AA43" s="109" t="s">
        <v>654</v>
      </c>
      <c r="AB43" s="110" t="s">
        <v>149</v>
      </c>
      <c r="AC43" s="111" t="s">
        <v>632</v>
      </c>
      <c r="AD43" s="109">
        <v>44343</v>
      </c>
    </row>
    <row r="44" spans="1:30" ht="15.5" x14ac:dyDescent="0.35">
      <c r="A44" s="5" t="s">
        <v>23</v>
      </c>
      <c r="B44" s="5" t="s">
        <v>340</v>
      </c>
      <c r="C44" s="5" t="s">
        <v>259</v>
      </c>
      <c r="D44" s="5" t="s">
        <v>160</v>
      </c>
      <c r="E44" s="8">
        <v>78046</v>
      </c>
      <c r="F44" s="5" t="s">
        <v>628</v>
      </c>
      <c r="G44" s="5" t="s">
        <v>147</v>
      </c>
      <c r="H44" s="5" t="s">
        <v>148</v>
      </c>
      <c r="I44" s="108">
        <v>33</v>
      </c>
      <c r="J44" s="6">
        <v>93.965517241379189</v>
      </c>
      <c r="K44" s="6">
        <v>7.2758620689655169</v>
      </c>
      <c r="L44" s="6">
        <v>39.344827586206911</v>
      </c>
      <c r="M44" s="6">
        <v>90.827586206896555</v>
      </c>
      <c r="N44" s="6">
        <v>53.741379310344797</v>
      </c>
      <c r="O44" s="6">
        <v>140.56896551724134</v>
      </c>
      <c r="P44" s="6">
        <v>15.103448275862069</v>
      </c>
      <c r="Q44" s="6">
        <v>21.999999999999968</v>
      </c>
      <c r="R44" s="6">
        <v>28.672413793103448</v>
      </c>
      <c r="S44" s="6">
        <v>10.396551724137931</v>
      </c>
      <c r="T44" s="6">
        <v>11.775862068965518</v>
      </c>
      <c r="U44" s="6">
        <v>180.56896551724111</v>
      </c>
      <c r="V44" s="6">
        <v>160.5862068965514</v>
      </c>
      <c r="W44" s="7"/>
      <c r="X44" s="5" t="s">
        <v>149</v>
      </c>
      <c r="Y44" s="9" t="s">
        <v>610</v>
      </c>
      <c r="Z44" s="5" t="s">
        <v>151</v>
      </c>
      <c r="AA44" s="109" t="s">
        <v>616</v>
      </c>
      <c r="AB44" s="110" t="s">
        <v>149</v>
      </c>
      <c r="AC44" s="111" t="s">
        <v>610</v>
      </c>
      <c r="AD44" s="109">
        <v>44230</v>
      </c>
    </row>
    <row r="45" spans="1:30" ht="17.149999999999999" customHeight="1" x14ac:dyDescent="0.35">
      <c r="A45" s="5" t="s">
        <v>8</v>
      </c>
      <c r="B45" s="5" t="s">
        <v>286</v>
      </c>
      <c r="C45" s="5" t="s">
        <v>28</v>
      </c>
      <c r="D45" s="5" t="s">
        <v>167</v>
      </c>
      <c r="E45" s="8">
        <v>71303</v>
      </c>
      <c r="F45" s="5" t="s">
        <v>168</v>
      </c>
      <c r="G45" s="5" t="s">
        <v>287</v>
      </c>
      <c r="H45" s="5" t="s">
        <v>4</v>
      </c>
      <c r="I45" s="108">
        <v>4.3755102040816301</v>
      </c>
      <c r="J45" s="6">
        <v>118.12068965517153</v>
      </c>
      <c r="K45" s="6">
        <v>24.344827586206911</v>
      </c>
      <c r="L45" s="6">
        <v>41.81034482758605</v>
      </c>
      <c r="M45" s="6">
        <v>41.15517241379299</v>
      </c>
      <c r="N45" s="6">
        <v>102.81034482758562</v>
      </c>
      <c r="O45" s="6">
        <v>122.62068965517155</v>
      </c>
      <c r="P45" s="6">
        <v>0</v>
      </c>
      <c r="Q45" s="6">
        <v>0</v>
      </c>
      <c r="R45" s="6">
        <v>42.913793103448079</v>
      </c>
      <c r="S45" s="6">
        <v>20.775862068965544</v>
      </c>
      <c r="T45" s="6">
        <v>24.379310344827605</v>
      </c>
      <c r="U45" s="6">
        <v>137.36206896551582</v>
      </c>
      <c r="V45" s="6">
        <v>223.87931034482762</v>
      </c>
      <c r="W45" s="7"/>
      <c r="X45" s="5" t="s">
        <v>170</v>
      </c>
      <c r="Y45" s="9"/>
      <c r="Z45" s="5"/>
      <c r="AA45" s="109"/>
      <c r="AB45" s="110" t="s">
        <v>170</v>
      </c>
      <c r="AC45" s="111"/>
      <c r="AD45" s="109"/>
    </row>
    <row r="46" spans="1:30" ht="15.5" x14ac:dyDescent="0.35">
      <c r="A46" s="5" t="s">
        <v>268</v>
      </c>
      <c r="B46" s="5" t="s">
        <v>269</v>
      </c>
      <c r="C46" s="5" t="s">
        <v>270</v>
      </c>
      <c r="D46" s="5" t="s">
        <v>171</v>
      </c>
      <c r="E46" s="8">
        <v>85132</v>
      </c>
      <c r="F46" s="5" t="s">
        <v>172</v>
      </c>
      <c r="G46" s="5" t="s">
        <v>193</v>
      </c>
      <c r="H46" s="5" t="s">
        <v>4</v>
      </c>
      <c r="I46" s="108">
        <v>12.340782122905001</v>
      </c>
      <c r="J46" s="6">
        <v>200.65517241379288</v>
      </c>
      <c r="K46" s="6">
        <v>19.534482758620694</v>
      </c>
      <c r="L46" s="6">
        <v>1.2241379310344827</v>
      </c>
      <c r="M46" s="6">
        <v>0.86206896551724166</v>
      </c>
      <c r="N46" s="6">
        <v>19.206896551724167</v>
      </c>
      <c r="O46" s="6">
        <v>203.06896551724111</v>
      </c>
      <c r="P46" s="6">
        <v>0</v>
      </c>
      <c r="Q46" s="6">
        <v>0</v>
      </c>
      <c r="R46" s="6">
        <v>1.5862068965517233</v>
      </c>
      <c r="S46" s="6">
        <v>3.1206896551724137</v>
      </c>
      <c r="T46" s="6">
        <v>6.4137931034482758</v>
      </c>
      <c r="U46" s="6">
        <v>211.15517241379263</v>
      </c>
      <c r="V46" s="6">
        <v>53.344827586206875</v>
      </c>
      <c r="W46" s="7">
        <v>392</v>
      </c>
      <c r="X46" s="5" t="s">
        <v>149</v>
      </c>
      <c r="Y46" s="9" t="s">
        <v>610</v>
      </c>
      <c r="Z46" s="5" t="s">
        <v>151</v>
      </c>
      <c r="AA46" s="109" t="s">
        <v>655</v>
      </c>
      <c r="AB46" s="110" t="s">
        <v>149</v>
      </c>
      <c r="AC46" s="111" t="s">
        <v>610</v>
      </c>
      <c r="AD46" s="109">
        <v>44294</v>
      </c>
    </row>
    <row r="47" spans="1:30" ht="15.5" x14ac:dyDescent="0.35">
      <c r="A47" s="5" t="s">
        <v>295</v>
      </c>
      <c r="B47" s="5" t="s">
        <v>296</v>
      </c>
      <c r="C47" s="5" t="s">
        <v>244</v>
      </c>
      <c r="D47" s="5" t="s">
        <v>156</v>
      </c>
      <c r="E47" s="8">
        <v>31537</v>
      </c>
      <c r="F47" s="5" t="s">
        <v>157</v>
      </c>
      <c r="G47" s="5" t="s">
        <v>147</v>
      </c>
      <c r="H47" s="5" t="s">
        <v>4</v>
      </c>
      <c r="I47" s="108">
        <v>39.655999999999999</v>
      </c>
      <c r="J47" s="6">
        <v>96.896551724137467</v>
      </c>
      <c r="K47" s="6">
        <v>12.965517241379311</v>
      </c>
      <c r="L47" s="6">
        <v>18.189655172413797</v>
      </c>
      <c r="M47" s="6">
        <v>68.396551724137908</v>
      </c>
      <c r="N47" s="6">
        <v>91.81034482758615</v>
      </c>
      <c r="O47" s="6">
        <v>104.63793103448231</v>
      </c>
      <c r="P47" s="6">
        <v>0</v>
      </c>
      <c r="Q47" s="6">
        <v>0</v>
      </c>
      <c r="R47" s="6">
        <v>45.827586206896555</v>
      </c>
      <c r="S47" s="6">
        <v>8.7931034482758612</v>
      </c>
      <c r="T47" s="6">
        <v>0</v>
      </c>
      <c r="U47" s="6">
        <v>141.82758620689697</v>
      </c>
      <c r="V47" s="6">
        <v>98.413793103448171</v>
      </c>
      <c r="W47" s="7">
        <v>338</v>
      </c>
      <c r="X47" s="5" t="s">
        <v>149</v>
      </c>
      <c r="Y47" s="9" t="s">
        <v>610</v>
      </c>
      <c r="Z47" s="5" t="s">
        <v>151</v>
      </c>
      <c r="AA47" s="109" t="s">
        <v>639</v>
      </c>
      <c r="AB47" s="110" t="s">
        <v>149</v>
      </c>
      <c r="AC47" s="111" t="s">
        <v>610</v>
      </c>
      <c r="AD47" s="109">
        <v>44407</v>
      </c>
    </row>
    <row r="48" spans="1:30" ht="15.5" x14ac:dyDescent="0.35">
      <c r="A48" s="5" t="s">
        <v>288</v>
      </c>
      <c r="B48" s="5" t="s">
        <v>289</v>
      </c>
      <c r="C48" s="5" t="s">
        <v>290</v>
      </c>
      <c r="D48" s="5" t="s">
        <v>234</v>
      </c>
      <c r="E48" s="8">
        <v>22427</v>
      </c>
      <c r="F48" s="5" t="s">
        <v>235</v>
      </c>
      <c r="G48" s="5" t="s">
        <v>147</v>
      </c>
      <c r="H48" s="5" t="s">
        <v>148</v>
      </c>
      <c r="I48" s="108">
        <v>164.69811320754701</v>
      </c>
      <c r="J48" s="6">
        <v>36.982758620689665</v>
      </c>
      <c r="K48" s="6">
        <v>30.913793103448278</v>
      </c>
      <c r="L48" s="6">
        <v>42.706896551724149</v>
      </c>
      <c r="M48" s="6">
        <v>63.637931034482747</v>
      </c>
      <c r="N48" s="6">
        <v>119.46551724137927</v>
      </c>
      <c r="O48" s="6">
        <v>54.775862068965516</v>
      </c>
      <c r="P48" s="6">
        <v>0</v>
      </c>
      <c r="Q48" s="6">
        <v>0</v>
      </c>
      <c r="R48" s="6">
        <v>52.482758620689665</v>
      </c>
      <c r="S48" s="6">
        <v>22.103448275862068</v>
      </c>
      <c r="T48" s="6">
        <v>19.551724137931036</v>
      </c>
      <c r="U48" s="6">
        <v>80.103448275862036</v>
      </c>
      <c r="V48" s="6">
        <v>110.96551724137927</v>
      </c>
      <c r="W48" s="7">
        <v>224</v>
      </c>
      <c r="X48" s="5" t="s">
        <v>149</v>
      </c>
      <c r="Y48" s="9" t="s">
        <v>610</v>
      </c>
      <c r="Z48" s="5" t="s">
        <v>151</v>
      </c>
      <c r="AA48" s="109" t="s">
        <v>620</v>
      </c>
      <c r="AB48" s="110" t="s">
        <v>149</v>
      </c>
      <c r="AC48" s="111" t="s">
        <v>610</v>
      </c>
      <c r="AD48" s="109">
        <v>44314</v>
      </c>
    </row>
    <row r="49" spans="1:30" ht="15.5" x14ac:dyDescent="0.35">
      <c r="A49" s="5" t="s">
        <v>266</v>
      </c>
      <c r="B49" s="5" t="s">
        <v>267</v>
      </c>
      <c r="C49" s="5" t="s">
        <v>34</v>
      </c>
      <c r="D49" s="5" t="s">
        <v>160</v>
      </c>
      <c r="E49" s="8">
        <v>76837</v>
      </c>
      <c r="F49" s="5" t="s">
        <v>228</v>
      </c>
      <c r="G49" s="5" t="s">
        <v>210</v>
      </c>
      <c r="H49" s="5" t="s">
        <v>4</v>
      </c>
      <c r="I49" s="108">
        <v>185.73684210526301</v>
      </c>
      <c r="J49" s="6">
        <v>112.94827586206854</v>
      </c>
      <c r="K49" s="6">
        <v>50.87931034482758</v>
      </c>
      <c r="L49" s="6">
        <v>5.6034482758620694</v>
      </c>
      <c r="M49" s="6">
        <v>1.7413793103448276</v>
      </c>
      <c r="N49" s="6">
        <v>7.1896551724137945</v>
      </c>
      <c r="O49" s="6">
        <v>163.98275862069013</v>
      </c>
      <c r="P49" s="6">
        <v>0</v>
      </c>
      <c r="Q49" s="6">
        <v>0</v>
      </c>
      <c r="R49" s="6">
        <v>0.82758620689655171</v>
      </c>
      <c r="S49" s="6">
        <v>4.8448275862068968</v>
      </c>
      <c r="T49" s="6">
        <v>0.74137931034482762</v>
      </c>
      <c r="U49" s="6">
        <v>164.75862068965569</v>
      </c>
      <c r="V49" s="6">
        <v>102.22413793103414</v>
      </c>
      <c r="W49" s="7"/>
      <c r="X49" s="5" t="s">
        <v>149</v>
      </c>
      <c r="Y49" s="9" t="s">
        <v>247</v>
      </c>
      <c r="Z49" s="5" t="s">
        <v>257</v>
      </c>
      <c r="AA49" s="109" t="s">
        <v>617</v>
      </c>
      <c r="AB49" s="110" t="s">
        <v>149</v>
      </c>
      <c r="AC49" s="111" t="s">
        <v>247</v>
      </c>
      <c r="AD49" s="109">
        <v>44168</v>
      </c>
    </row>
    <row r="50" spans="1:30" ht="15.5" x14ac:dyDescent="0.35">
      <c r="A50" s="5" t="s">
        <v>291</v>
      </c>
      <c r="B50" s="5" t="s">
        <v>292</v>
      </c>
      <c r="C50" s="5" t="s">
        <v>293</v>
      </c>
      <c r="D50" s="5" t="s">
        <v>239</v>
      </c>
      <c r="E50" s="8">
        <v>32063</v>
      </c>
      <c r="F50" s="5" t="s">
        <v>27</v>
      </c>
      <c r="G50" s="5" t="s">
        <v>169</v>
      </c>
      <c r="H50" s="5" t="s">
        <v>148</v>
      </c>
      <c r="I50" s="108">
        <v>32.424999999999997</v>
      </c>
      <c r="J50" s="6">
        <v>9.6206896551724164</v>
      </c>
      <c r="K50" s="6">
        <v>24.051724137931043</v>
      </c>
      <c r="L50" s="6">
        <v>80.500000000000014</v>
      </c>
      <c r="M50" s="6">
        <v>55.637931034482762</v>
      </c>
      <c r="N50" s="6">
        <v>130.0344827586207</v>
      </c>
      <c r="O50" s="6">
        <v>28.034482758620708</v>
      </c>
      <c r="P50" s="6">
        <v>7.7241379310344831</v>
      </c>
      <c r="Q50" s="6">
        <v>4.0172413793103443</v>
      </c>
      <c r="R50" s="6">
        <v>75.827586206896569</v>
      </c>
      <c r="S50" s="6">
        <v>17.913793103448281</v>
      </c>
      <c r="T50" s="6">
        <v>19.879310344827587</v>
      </c>
      <c r="U50" s="6">
        <v>56.189655172413772</v>
      </c>
      <c r="V50" s="6">
        <v>128.87931034482759</v>
      </c>
      <c r="W50" s="7">
        <v>192</v>
      </c>
      <c r="X50" s="5" t="s">
        <v>149</v>
      </c>
      <c r="Y50" s="9" t="s">
        <v>632</v>
      </c>
      <c r="Z50" s="5" t="s">
        <v>257</v>
      </c>
      <c r="AA50" s="109" t="s">
        <v>613</v>
      </c>
      <c r="AB50" s="110" t="s">
        <v>149</v>
      </c>
      <c r="AC50" s="111" t="s">
        <v>632</v>
      </c>
      <c r="AD50" s="109">
        <v>44336</v>
      </c>
    </row>
    <row r="51" spans="1:30" ht="15.5" x14ac:dyDescent="0.35">
      <c r="A51" s="5" t="s">
        <v>6</v>
      </c>
      <c r="B51" s="5" t="s">
        <v>333</v>
      </c>
      <c r="C51" s="5" t="s">
        <v>334</v>
      </c>
      <c r="D51" s="5" t="s">
        <v>167</v>
      </c>
      <c r="E51" s="8">
        <v>70655</v>
      </c>
      <c r="F51" s="5" t="s">
        <v>168</v>
      </c>
      <c r="G51" s="5" t="s">
        <v>169</v>
      </c>
      <c r="H51" s="5" t="s">
        <v>4</v>
      </c>
      <c r="I51" s="108">
        <v>80.7777777777778</v>
      </c>
      <c r="J51" s="6">
        <v>146.29310344827655</v>
      </c>
      <c r="K51" s="6">
        <v>1.2241379310344827</v>
      </c>
      <c r="L51" s="6">
        <v>0</v>
      </c>
      <c r="M51" s="6">
        <v>0</v>
      </c>
      <c r="N51" s="6">
        <v>2.5</v>
      </c>
      <c r="O51" s="6">
        <v>145.017241379311</v>
      </c>
      <c r="P51" s="6">
        <v>0</v>
      </c>
      <c r="Q51" s="6">
        <v>0</v>
      </c>
      <c r="R51" s="6">
        <v>0.89655172413793105</v>
      </c>
      <c r="S51" s="6">
        <v>0.22413793103448276</v>
      </c>
      <c r="T51" s="6">
        <v>1.3793103448275861</v>
      </c>
      <c r="U51" s="6">
        <v>145.017241379311</v>
      </c>
      <c r="V51" s="6">
        <v>107.67241379310344</v>
      </c>
      <c r="W51" s="7">
        <v>170</v>
      </c>
      <c r="X51" s="5" t="s">
        <v>149</v>
      </c>
      <c r="Y51" s="9" t="s">
        <v>610</v>
      </c>
      <c r="Z51" s="5" t="s">
        <v>151</v>
      </c>
      <c r="AA51" s="109" t="s">
        <v>651</v>
      </c>
      <c r="AB51" s="110" t="s">
        <v>149</v>
      </c>
      <c r="AC51" s="111" t="s">
        <v>610</v>
      </c>
      <c r="AD51" s="109">
        <v>44427</v>
      </c>
    </row>
    <row r="52" spans="1:30" ht="15.5" x14ac:dyDescent="0.35">
      <c r="A52" s="5" t="s">
        <v>298</v>
      </c>
      <c r="B52" s="5" t="s">
        <v>299</v>
      </c>
      <c r="C52" s="5" t="s">
        <v>20</v>
      </c>
      <c r="D52" s="5" t="s">
        <v>229</v>
      </c>
      <c r="E52" s="8">
        <v>7201</v>
      </c>
      <c r="F52" s="5" t="s">
        <v>230</v>
      </c>
      <c r="G52" s="5" t="s">
        <v>162</v>
      </c>
      <c r="H52" s="5" t="s">
        <v>148</v>
      </c>
      <c r="I52" s="108">
        <v>3.3398058252427201</v>
      </c>
      <c r="J52" s="6">
        <v>84.482758620689737</v>
      </c>
      <c r="K52" s="6">
        <v>52.241379310344833</v>
      </c>
      <c r="L52" s="6">
        <v>4.8103448275862073</v>
      </c>
      <c r="M52" s="6">
        <v>2.2241379310344822</v>
      </c>
      <c r="N52" s="6">
        <v>24.586206896551747</v>
      </c>
      <c r="O52" s="6">
        <v>96.810344827586206</v>
      </c>
      <c r="P52" s="6">
        <v>4.4827586206896557</v>
      </c>
      <c r="Q52" s="6">
        <v>17.879310344827587</v>
      </c>
      <c r="R52" s="6">
        <v>6.3448275862068968</v>
      </c>
      <c r="S52" s="6">
        <v>5.9482758620689662</v>
      </c>
      <c r="T52" s="6">
        <v>11.982758620689655</v>
      </c>
      <c r="U52" s="6">
        <v>119.48275862068964</v>
      </c>
      <c r="V52" s="6">
        <v>77.758620689655245</v>
      </c>
      <c r="W52" s="7">
        <v>285</v>
      </c>
      <c r="X52" s="5" t="s">
        <v>149</v>
      </c>
      <c r="Y52" s="9" t="s">
        <v>610</v>
      </c>
      <c r="Z52" s="5" t="s">
        <v>151</v>
      </c>
      <c r="AA52" s="109" t="s">
        <v>611</v>
      </c>
      <c r="AB52" s="110" t="s">
        <v>149</v>
      </c>
      <c r="AC52" s="111" t="s">
        <v>150</v>
      </c>
      <c r="AD52" s="109">
        <v>44091</v>
      </c>
    </row>
    <row r="53" spans="1:30" ht="15.5" x14ac:dyDescent="0.35">
      <c r="A53" s="5" t="s">
        <v>656</v>
      </c>
      <c r="B53" s="5" t="s">
        <v>657</v>
      </c>
      <c r="C53" s="5" t="s">
        <v>658</v>
      </c>
      <c r="D53" s="5" t="s">
        <v>145</v>
      </c>
      <c r="E53" s="8">
        <v>93250</v>
      </c>
      <c r="F53" s="5" t="s">
        <v>273</v>
      </c>
      <c r="G53" s="5" t="s">
        <v>162</v>
      </c>
      <c r="H53" s="5"/>
      <c r="I53" s="108">
        <v>52.7222222222222</v>
      </c>
      <c r="J53" s="6">
        <v>0</v>
      </c>
      <c r="K53" s="6">
        <v>0</v>
      </c>
      <c r="L53" s="6">
        <v>42.241379310344833</v>
      </c>
      <c r="M53" s="6">
        <v>99.586206896551744</v>
      </c>
      <c r="N53" s="6">
        <v>138.82758620689648</v>
      </c>
      <c r="O53" s="6">
        <v>3</v>
      </c>
      <c r="P53" s="6">
        <v>0</v>
      </c>
      <c r="Q53" s="6">
        <v>0</v>
      </c>
      <c r="R53" s="6">
        <v>112.48275862068962</v>
      </c>
      <c r="S53" s="6">
        <v>1.3448275862068966</v>
      </c>
      <c r="T53" s="6">
        <v>1.3620689655172413</v>
      </c>
      <c r="U53" s="6">
        <v>26.637931034482762</v>
      </c>
      <c r="V53" s="6">
        <v>118.50000000000001</v>
      </c>
      <c r="W53" s="7">
        <v>560</v>
      </c>
      <c r="X53" s="5" t="s">
        <v>149</v>
      </c>
      <c r="Y53" s="9" t="s">
        <v>610</v>
      </c>
      <c r="Z53" s="5" t="s">
        <v>151</v>
      </c>
      <c r="AA53" s="109" t="s">
        <v>642</v>
      </c>
      <c r="AB53" s="110" t="s">
        <v>149</v>
      </c>
      <c r="AC53" s="111" t="s">
        <v>610</v>
      </c>
      <c r="AD53" s="109">
        <v>44272</v>
      </c>
    </row>
    <row r="54" spans="1:30" ht="15.5" x14ac:dyDescent="0.35">
      <c r="A54" s="5" t="s">
        <v>324</v>
      </c>
      <c r="B54" s="5" t="s">
        <v>325</v>
      </c>
      <c r="C54" s="5" t="s">
        <v>326</v>
      </c>
      <c r="D54" s="5" t="s">
        <v>327</v>
      </c>
      <c r="E54" s="8">
        <v>41005</v>
      </c>
      <c r="F54" s="5" t="s">
        <v>32</v>
      </c>
      <c r="G54" s="5" t="s">
        <v>210</v>
      </c>
      <c r="H54" s="5" t="s">
        <v>148</v>
      </c>
      <c r="I54" s="108">
        <v>53.826086956521699</v>
      </c>
      <c r="J54" s="6">
        <v>23.086206896551712</v>
      </c>
      <c r="K54" s="6">
        <v>19.672413793103445</v>
      </c>
      <c r="L54" s="6">
        <v>57.655172413793103</v>
      </c>
      <c r="M54" s="6">
        <v>36.586206896551722</v>
      </c>
      <c r="N54" s="6">
        <v>105.12068965517236</v>
      </c>
      <c r="O54" s="6">
        <v>28.862068965517221</v>
      </c>
      <c r="P54" s="6">
        <v>2.8793103448275863</v>
      </c>
      <c r="Q54" s="6">
        <v>0.13793103448275862</v>
      </c>
      <c r="R54" s="6">
        <v>39.931034482758605</v>
      </c>
      <c r="S54" s="6">
        <v>22.758620689655171</v>
      </c>
      <c r="T54" s="6">
        <v>17.586206896551726</v>
      </c>
      <c r="U54" s="6">
        <v>56.724137931034441</v>
      </c>
      <c r="V54" s="6">
        <v>90.189655172413822</v>
      </c>
      <c r="W54" s="7"/>
      <c r="X54" s="5" t="s">
        <v>149</v>
      </c>
      <c r="Y54" s="9" t="s">
        <v>247</v>
      </c>
      <c r="Z54" s="5" t="s">
        <v>257</v>
      </c>
      <c r="AA54" s="109" t="s">
        <v>624</v>
      </c>
      <c r="AB54" s="110" t="s">
        <v>149</v>
      </c>
      <c r="AC54" s="111" t="s">
        <v>247</v>
      </c>
      <c r="AD54" s="109">
        <v>44258</v>
      </c>
    </row>
    <row r="55" spans="1:30" ht="15.5" x14ac:dyDescent="0.35">
      <c r="A55" s="5" t="s">
        <v>659</v>
      </c>
      <c r="B55" s="5" t="s">
        <v>660</v>
      </c>
      <c r="C55" s="5" t="s">
        <v>144</v>
      </c>
      <c r="D55" s="5" t="s">
        <v>145</v>
      </c>
      <c r="E55" s="8">
        <v>92301</v>
      </c>
      <c r="F55" s="5" t="s">
        <v>146</v>
      </c>
      <c r="G55" s="5" t="s">
        <v>162</v>
      </c>
      <c r="H55" s="5" t="s">
        <v>148</v>
      </c>
      <c r="I55" s="108">
        <v>55.45</v>
      </c>
      <c r="J55" s="6">
        <v>0</v>
      </c>
      <c r="K55" s="6">
        <v>3.1206896551724137</v>
      </c>
      <c r="L55" s="6">
        <v>34.120689655172413</v>
      </c>
      <c r="M55" s="6">
        <v>76.706896551724128</v>
      </c>
      <c r="N55" s="6">
        <v>110.32758620689651</v>
      </c>
      <c r="O55" s="6">
        <v>3.0344827586206895</v>
      </c>
      <c r="P55" s="6">
        <v>0.58620689655172409</v>
      </c>
      <c r="Q55" s="6">
        <v>0</v>
      </c>
      <c r="R55" s="6">
        <v>81.931034482758605</v>
      </c>
      <c r="S55" s="6">
        <v>10.103448275862069</v>
      </c>
      <c r="T55" s="6">
        <v>1.4310344827586206</v>
      </c>
      <c r="U55" s="6">
        <v>20.482758620689648</v>
      </c>
      <c r="V55" s="6">
        <v>88.27586206896548</v>
      </c>
      <c r="W55" s="7">
        <v>120</v>
      </c>
      <c r="X55" s="5" t="s">
        <v>149</v>
      </c>
      <c r="Y55" s="9" t="s">
        <v>610</v>
      </c>
      <c r="Z55" s="5" t="s">
        <v>151</v>
      </c>
      <c r="AA55" s="109" t="s">
        <v>661</v>
      </c>
      <c r="AB55" s="110" t="s">
        <v>149</v>
      </c>
      <c r="AC55" s="111" t="s">
        <v>610</v>
      </c>
      <c r="AD55" s="109">
        <v>44279</v>
      </c>
    </row>
    <row r="56" spans="1:30" ht="15.5" x14ac:dyDescent="0.35">
      <c r="A56" s="5" t="s">
        <v>328</v>
      </c>
      <c r="B56" s="5" t="s">
        <v>329</v>
      </c>
      <c r="C56" s="5" t="s">
        <v>330</v>
      </c>
      <c r="D56" s="5" t="s">
        <v>316</v>
      </c>
      <c r="E56" s="8">
        <v>53039</v>
      </c>
      <c r="F56" s="5" t="s">
        <v>32</v>
      </c>
      <c r="G56" s="5" t="s">
        <v>210</v>
      </c>
      <c r="H56" s="5" t="s">
        <v>148</v>
      </c>
      <c r="I56" s="108">
        <v>59.384615384615401</v>
      </c>
      <c r="J56" s="6">
        <v>26.982758620689673</v>
      </c>
      <c r="K56" s="6">
        <v>9.482758620689653</v>
      </c>
      <c r="L56" s="6">
        <v>27.327586206896555</v>
      </c>
      <c r="M56" s="6">
        <v>43.103448275862064</v>
      </c>
      <c r="N56" s="6">
        <v>66.293103448275886</v>
      </c>
      <c r="O56" s="6">
        <v>37.724137931034484</v>
      </c>
      <c r="P56" s="6">
        <v>2.4137931034482758</v>
      </c>
      <c r="Q56" s="6">
        <v>0.46551724137931033</v>
      </c>
      <c r="R56" s="6">
        <v>38.689655172413794</v>
      </c>
      <c r="S56" s="6">
        <v>8.724137931034484</v>
      </c>
      <c r="T56" s="6">
        <v>5.7586206896551735</v>
      </c>
      <c r="U56" s="6">
        <v>53.724137931034427</v>
      </c>
      <c r="V56" s="6">
        <v>77.689655172413907</v>
      </c>
      <c r="W56" s="7"/>
      <c r="X56" s="5" t="s">
        <v>149</v>
      </c>
      <c r="Y56" s="9" t="s">
        <v>247</v>
      </c>
      <c r="Z56" s="5" t="s">
        <v>257</v>
      </c>
      <c r="AA56" s="109" t="s">
        <v>662</v>
      </c>
      <c r="AB56" s="110" t="s">
        <v>149</v>
      </c>
      <c r="AC56" s="111" t="s">
        <v>632</v>
      </c>
      <c r="AD56" s="109">
        <v>44302</v>
      </c>
    </row>
    <row r="57" spans="1:30" ht="15.5" x14ac:dyDescent="0.35">
      <c r="A57" s="5" t="s">
        <v>305</v>
      </c>
      <c r="B57" s="5" t="s">
        <v>306</v>
      </c>
      <c r="C57" s="5" t="s">
        <v>307</v>
      </c>
      <c r="D57" s="5" t="s">
        <v>249</v>
      </c>
      <c r="E57" s="8">
        <v>18428</v>
      </c>
      <c r="F57" s="5" t="s">
        <v>250</v>
      </c>
      <c r="G57" s="5" t="s">
        <v>169</v>
      </c>
      <c r="H57" s="5" t="s">
        <v>4</v>
      </c>
      <c r="I57" s="108">
        <v>60.807692307692299</v>
      </c>
      <c r="J57" s="6">
        <v>13.775862068965516</v>
      </c>
      <c r="K57" s="6">
        <v>10.931034482758623</v>
      </c>
      <c r="L57" s="6">
        <v>32.327586206896555</v>
      </c>
      <c r="M57" s="6">
        <v>34.534482758620683</v>
      </c>
      <c r="N57" s="6">
        <v>57.913793103448249</v>
      </c>
      <c r="O57" s="6">
        <v>33.655172413793096</v>
      </c>
      <c r="P57" s="6">
        <v>0</v>
      </c>
      <c r="Q57" s="6">
        <v>0</v>
      </c>
      <c r="R57" s="6">
        <v>23.982758620689655</v>
      </c>
      <c r="S57" s="6">
        <v>9.1206896551724128</v>
      </c>
      <c r="T57" s="6">
        <v>15.3448275862069</v>
      </c>
      <c r="U57" s="6">
        <v>43.120689655172399</v>
      </c>
      <c r="V57" s="6">
        <v>38.758620689655167</v>
      </c>
      <c r="W57" s="7">
        <v>100</v>
      </c>
      <c r="X57" s="5" t="s">
        <v>149</v>
      </c>
      <c r="Y57" s="9" t="s">
        <v>610</v>
      </c>
      <c r="Z57" s="5" t="s">
        <v>151</v>
      </c>
      <c r="AA57" s="109" t="s">
        <v>663</v>
      </c>
      <c r="AB57" s="110" t="s">
        <v>149</v>
      </c>
      <c r="AC57" s="111" t="s">
        <v>211</v>
      </c>
      <c r="AD57" s="109">
        <v>44307</v>
      </c>
    </row>
    <row r="58" spans="1:30" ht="15.5" x14ac:dyDescent="0.35">
      <c r="A58" s="5" t="s">
        <v>274</v>
      </c>
      <c r="B58" s="5" t="s">
        <v>275</v>
      </c>
      <c r="C58" s="5" t="s">
        <v>276</v>
      </c>
      <c r="D58" s="5" t="s">
        <v>26</v>
      </c>
      <c r="E58" s="8">
        <v>2360</v>
      </c>
      <c r="F58" s="5" t="s">
        <v>277</v>
      </c>
      <c r="G58" s="5" t="s">
        <v>169</v>
      </c>
      <c r="H58" s="5" t="s">
        <v>4</v>
      </c>
      <c r="I58" s="108">
        <v>53.485714285714302</v>
      </c>
      <c r="J58" s="6">
        <v>24.413793103448249</v>
      </c>
      <c r="K58" s="6">
        <v>1.4655172413793103</v>
      </c>
      <c r="L58" s="6">
        <v>28.896551724137932</v>
      </c>
      <c r="M58" s="6">
        <v>34.517241379310349</v>
      </c>
      <c r="N58" s="6">
        <v>43.586206896551737</v>
      </c>
      <c r="O58" s="6">
        <v>45.706896551724157</v>
      </c>
      <c r="P58" s="6">
        <v>0</v>
      </c>
      <c r="Q58" s="6">
        <v>0</v>
      </c>
      <c r="R58" s="6">
        <v>28.620689655172413</v>
      </c>
      <c r="S58" s="6">
        <v>5.4310344827586201</v>
      </c>
      <c r="T58" s="6">
        <v>1.7931034482758621</v>
      </c>
      <c r="U58" s="6">
        <v>53.448275862069032</v>
      </c>
      <c r="V58" s="6">
        <v>50.534482758620754</v>
      </c>
      <c r="W58" s="7"/>
      <c r="X58" s="5" t="s">
        <v>149</v>
      </c>
      <c r="Y58" s="9" t="s">
        <v>632</v>
      </c>
      <c r="Z58" s="5" t="s">
        <v>257</v>
      </c>
      <c r="AA58" s="109" t="s">
        <v>664</v>
      </c>
      <c r="AB58" s="110" t="s">
        <v>149</v>
      </c>
      <c r="AC58" s="111" t="s">
        <v>632</v>
      </c>
      <c r="AD58" s="109">
        <v>44357</v>
      </c>
    </row>
    <row r="59" spans="1:30" ht="15.5" x14ac:dyDescent="0.35">
      <c r="A59" s="5" t="s">
        <v>317</v>
      </c>
      <c r="B59" s="5" t="s">
        <v>318</v>
      </c>
      <c r="C59" s="5" t="s">
        <v>319</v>
      </c>
      <c r="D59" s="5" t="s">
        <v>320</v>
      </c>
      <c r="E59" s="8">
        <v>49014</v>
      </c>
      <c r="F59" s="5" t="s">
        <v>315</v>
      </c>
      <c r="G59" s="5" t="s">
        <v>169</v>
      </c>
      <c r="H59" s="5" t="s">
        <v>148</v>
      </c>
      <c r="I59" s="108">
        <v>136.6</v>
      </c>
      <c r="J59" s="6">
        <v>23.655172413793121</v>
      </c>
      <c r="K59" s="6">
        <v>19.086206896551726</v>
      </c>
      <c r="L59" s="6">
        <v>30.396551724137932</v>
      </c>
      <c r="M59" s="6">
        <v>16.051724137931032</v>
      </c>
      <c r="N59" s="6">
        <v>51.862068965517246</v>
      </c>
      <c r="O59" s="6">
        <v>35.120689655172448</v>
      </c>
      <c r="P59" s="6">
        <v>1.2758620689655173</v>
      </c>
      <c r="Q59" s="6">
        <v>0.93103448275862077</v>
      </c>
      <c r="R59" s="6">
        <v>25.741379310344829</v>
      </c>
      <c r="S59" s="6">
        <v>8.7586206896551708</v>
      </c>
      <c r="T59" s="6">
        <v>7.6034482758620694</v>
      </c>
      <c r="U59" s="6">
        <v>47.086206896551708</v>
      </c>
      <c r="V59" s="6">
        <v>68.982758620689594</v>
      </c>
      <c r="W59" s="7">
        <v>75</v>
      </c>
      <c r="X59" s="5" t="s">
        <v>149</v>
      </c>
      <c r="Y59" s="9" t="s">
        <v>632</v>
      </c>
      <c r="Z59" s="5" t="s">
        <v>257</v>
      </c>
      <c r="AA59" s="109" t="s">
        <v>624</v>
      </c>
      <c r="AB59" s="110" t="s">
        <v>149</v>
      </c>
      <c r="AC59" s="111" t="s">
        <v>632</v>
      </c>
      <c r="AD59" s="109">
        <v>44258</v>
      </c>
    </row>
    <row r="60" spans="1:30" ht="15.5" x14ac:dyDescent="0.35">
      <c r="A60" s="5" t="s">
        <v>373</v>
      </c>
      <c r="B60" s="5" t="s">
        <v>374</v>
      </c>
      <c r="C60" s="5" t="s">
        <v>375</v>
      </c>
      <c r="D60" s="5" t="s">
        <v>171</v>
      </c>
      <c r="E60" s="8">
        <v>85349</v>
      </c>
      <c r="F60" s="5" t="s">
        <v>183</v>
      </c>
      <c r="G60" s="5" t="s">
        <v>169</v>
      </c>
      <c r="H60" s="5" t="s">
        <v>148</v>
      </c>
      <c r="I60" s="108">
        <v>5.2553699284009499</v>
      </c>
      <c r="J60" s="6">
        <v>86.086206896551545</v>
      </c>
      <c r="K60" s="6">
        <v>1.9827586206896548</v>
      </c>
      <c r="L60" s="6">
        <v>0.13793103448275862</v>
      </c>
      <c r="M60" s="6">
        <v>0.12068965517241378</v>
      </c>
      <c r="N60" s="6">
        <v>2.413793103448274</v>
      </c>
      <c r="O60" s="6">
        <v>62.672413793103424</v>
      </c>
      <c r="P60" s="6">
        <v>0</v>
      </c>
      <c r="Q60" s="6">
        <v>23.241379310344836</v>
      </c>
      <c r="R60" s="6">
        <v>0.34482758620689657</v>
      </c>
      <c r="S60" s="6">
        <v>5.1724137931034482E-2</v>
      </c>
      <c r="T60" s="6">
        <v>8.6206896551724144E-2</v>
      </c>
      <c r="U60" s="6">
        <v>87.844827586206705</v>
      </c>
      <c r="V60" s="6">
        <v>70.999999999999872</v>
      </c>
      <c r="W60" s="7">
        <v>100</v>
      </c>
      <c r="X60" s="5" t="s">
        <v>149</v>
      </c>
      <c r="Y60" s="9" t="s">
        <v>632</v>
      </c>
      <c r="Z60" s="5" t="s">
        <v>257</v>
      </c>
      <c r="AA60" s="109" t="s">
        <v>665</v>
      </c>
      <c r="AB60" s="110" t="s">
        <v>149</v>
      </c>
      <c r="AC60" s="111" t="s">
        <v>632</v>
      </c>
      <c r="AD60" s="109">
        <v>44314</v>
      </c>
    </row>
    <row r="61" spans="1:30" ht="15.5" x14ac:dyDescent="0.35">
      <c r="A61" s="5" t="s">
        <v>376</v>
      </c>
      <c r="B61" s="5" t="s">
        <v>377</v>
      </c>
      <c r="C61" s="5" t="s">
        <v>378</v>
      </c>
      <c r="D61" s="5" t="s">
        <v>280</v>
      </c>
      <c r="E61" s="8">
        <v>56201</v>
      </c>
      <c r="F61" s="5" t="s">
        <v>281</v>
      </c>
      <c r="G61" s="5" t="s">
        <v>169</v>
      </c>
      <c r="H61" s="5" t="s">
        <v>148</v>
      </c>
      <c r="I61" s="108">
        <v>60.5</v>
      </c>
      <c r="J61" s="6">
        <v>7.3275862068965534</v>
      </c>
      <c r="K61" s="6">
        <v>8.5172413793103452</v>
      </c>
      <c r="L61" s="6">
        <v>50.137931034482769</v>
      </c>
      <c r="M61" s="6">
        <v>16.706896551724135</v>
      </c>
      <c r="N61" s="6">
        <v>48.672413793103445</v>
      </c>
      <c r="O61" s="6">
        <v>23.051724137931039</v>
      </c>
      <c r="P61" s="6">
        <v>8.0862068965517242</v>
      </c>
      <c r="Q61" s="6">
        <v>2.8793103448275867</v>
      </c>
      <c r="R61" s="6">
        <v>30.482758620689655</v>
      </c>
      <c r="S61" s="6">
        <v>10.465517241379311</v>
      </c>
      <c r="T61" s="6">
        <v>5.4827586206896557</v>
      </c>
      <c r="U61" s="6">
        <v>36.258620689655146</v>
      </c>
      <c r="V61" s="6">
        <v>65.224137931034491</v>
      </c>
      <c r="W61" s="7"/>
      <c r="X61" s="5" t="s">
        <v>149</v>
      </c>
      <c r="Y61" s="9" t="s">
        <v>247</v>
      </c>
      <c r="Z61" s="5" t="s">
        <v>248</v>
      </c>
      <c r="AA61" s="109" t="s">
        <v>664</v>
      </c>
      <c r="AB61" s="110" t="s">
        <v>149</v>
      </c>
      <c r="AC61" s="111" t="s">
        <v>247</v>
      </c>
      <c r="AD61" s="109">
        <v>44378</v>
      </c>
    </row>
    <row r="62" spans="1:30" ht="15.5" x14ac:dyDescent="0.35">
      <c r="A62" s="5" t="s">
        <v>348</v>
      </c>
      <c r="B62" s="5" t="s">
        <v>349</v>
      </c>
      <c r="C62" s="5" t="s">
        <v>309</v>
      </c>
      <c r="D62" s="5" t="s">
        <v>303</v>
      </c>
      <c r="E62" s="8">
        <v>89060</v>
      </c>
      <c r="F62" s="5" t="s">
        <v>304</v>
      </c>
      <c r="G62" s="5" t="s">
        <v>169</v>
      </c>
      <c r="H62" s="5" t="s">
        <v>148</v>
      </c>
      <c r="I62" s="108">
        <v>40.3333333333333</v>
      </c>
      <c r="J62" s="6">
        <v>3.6379310344827585</v>
      </c>
      <c r="K62" s="6">
        <v>11.120689655172415</v>
      </c>
      <c r="L62" s="6">
        <v>21.706896551724139</v>
      </c>
      <c r="M62" s="6">
        <v>44.448275862068961</v>
      </c>
      <c r="N62" s="6">
        <v>73.431034482758591</v>
      </c>
      <c r="O62" s="6">
        <v>7.4827586206896557</v>
      </c>
      <c r="P62" s="6">
        <v>0</v>
      </c>
      <c r="Q62" s="6">
        <v>0</v>
      </c>
      <c r="R62" s="6">
        <v>44.293103448275851</v>
      </c>
      <c r="S62" s="6">
        <v>11.034482758620689</v>
      </c>
      <c r="T62" s="6">
        <v>5.3620689655172429</v>
      </c>
      <c r="U62" s="6">
        <v>20.224137931034488</v>
      </c>
      <c r="V62" s="6">
        <v>63.551724137931011</v>
      </c>
      <c r="W62" s="7"/>
      <c r="X62" s="5" t="s">
        <v>149</v>
      </c>
      <c r="Y62" s="9" t="s">
        <v>632</v>
      </c>
      <c r="Z62" s="5" t="s">
        <v>257</v>
      </c>
      <c r="AA62" s="109" t="s">
        <v>666</v>
      </c>
      <c r="AB62" s="110" t="s">
        <v>149</v>
      </c>
      <c r="AC62" s="111" t="s">
        <v>632</v>
      </c>
      <c r="AD62" s="109">
        <v>44336</v>
      </c>
    </row>
    <row r="63" spans="1:30" ht="15.5" x14ac:dyDescent="0.35">
      <c r="A63" s="5" t="s">
        <v>301</v>
      </c>
      <c r="B63" s="5" t="s">
        <v>302</v>
      </c>
      <c r="C63" s="5" t="s">
        <v>42</v>
      </c>
      <c r="D63" s="5" t="s">
        <v>303</v>
      </c>
      <c r="E63" s="8">
        <v>89015</v>
      </c>
      <c r="F63" s="5" t="s">
        <v>304</v>
      </c>
      <c r="G63" s="5" t="s">
        <v>210</v>
      </c>
      <c r="H63" s="5" t="s">
        <v>148</v>
      </c>
      <c r="I63" s="108">
        <v>41.8</v>
      </c>
      <c r="J63" s="6">
        <v>8.6206896551724146</v>
      </c>
      <c r="K63" s="6">
        <v>14.655172413793101</v>
      </c>
      <c r="L63" s="6">
        <v>29.46551724137932</v>
      </c>
      <c r="M63" s="6">
        <v>25.344827586206897</v>
      </c>
      <c r="N63" s="6">
        <v>61.758620689655125</v>
      </c>
      <c r="O63" s="6">
        <v>8.81034482758621</v>
      </c>
      <c r="P63" s="6">
        <v>6.0172413793103452</v>
      </c>
      <c r="Q63" s="6">
        <v>1.5</v>
      </c>
      <c r="R63" s="6">
        <v>21.362068965517249</v>
      </c>
      <c r="S63" s="6">
        <v>23.96551724137932</v>
      </c>
      <c r="T63" s="6">
        <v>14.224137931034482</v>
      </c>
      <c r="U63" s="6">
        <v>18.53448275862069</v>
      </c>
      <c r="V63" s="6">
        <v>51.293103448275822</v>
      </c>
      <c r="W63" s="7"/>
      <c r="X63" s="5" t="s">
        <v>149</v>
      </c>
      <c r="Y63" s="9" t="s">
        <v>247</v>
      </c>
      <c r="Z63" s="5" t="s">
        <v>257</v>
      </c>
      <c r="AA63" s="109" t="s">
        <v>667</v>
      </c>
      <c r="AB63" s="110" t="s">
        <v>149</v>
      </c>
      <c r="AC63" s="111" t="s">
        <v>247</v>
      </c>
      <c r="AD63" s="109">
        <v>44399</v>
      </c>
    </row>
    <row r="64" spans="1:30" ht="15.5" x14ac:dyDescent="0.35">
      <c r="A64" s="5" t="s">
        <v>25</v>
      </c>
      <c r="B64" s="5" t="s">
        <v>331</v>
      </c>
      <c r="C64" s="5" t="s">
        <v>332</v>
      </c>
      <c r="D64" s="5" t="s">
        <v>255</v>
      </c>
      <c r="E64" s="8">
        <v>10924</v>
      </c>
      <c r="F64" s="5" t="s">
        <v>282</v>
      </c>
      <c r="G64" s="5" t="s">
        <v>169</v>
      </c>
      <c r="H64" s="5" t="s">
        <v>148</v>
      </c>
      <c r="I64" s="108">
        <v>115.66101694915299</v>
      </c>
      <c r="J64" s="6">
        <v>18.793103448275872</v>
      </c>
      <c r="K64" s="6">
        <v>34.155172413793103</v>
      </c>
      <c r="L64" s="6">
        <v>14.258620689655173</v>
      </c>
      <c r="M64" s="6">
        <v>10.741379310344829</v>
      </c>
      <c r="N64" s="6">
        <v>57.810344827586206</v>
      </c>
      <c r="O64" s="6">
        <v>14.120689655172425</v>
      </c>
      <c r="P64" s="6">
        <v>5.4482758620689653</v>
      </c>
      <c r="Q64" s="6">
        <v>0.56896551724137934</v>
      </c>
      <c r="R64" s="6">
        <v>15.551724137931036</v>
      </c>
      <c r="S64" s="6">
        <v>22.448275862068964</v>
      </c>
      <c r="T64" s="6">
        <v>17.465517241379313</v>
      </c>
      <c r="U64" s="6">
        <v>22.482758620689665</v>
      </c>
      <c r="V64" s="6">
        <v>42.655172413793068</v>
      </c>
      <c r="W64" s="7"/>
      <c r="X64" s="5" t="s">
        <v>149</v>
      </c>
      <c r="Y64" s="9" t="s">
        <v>632</v>
      </c>
      <c r="Z64" s="5" t="s">
        <v>257</v>
      </c>
      <c r="AA64" s="109" t="s">
        <v>668</v>
      </c>
      <c r="AB64" s="110" t="s">
        <v>149</v>
      </c>
      <c r="AC64" s="111" t="s">
        <v>632</v>
      </c>
      <c r="AD64" s="109">
        <v>44300</v>
      </c>
    </row>
    <row r="65" spans="1:30" ht="15.5" x14ac:dyDescent="0.35">
      <c r="A65" s="5" t="s">
        <v>356</v>
      </c>
      <c r="B65" s="5" t="s">
        <v>357</v>
      </c>
      <c r="C65" s="5" t="s">
        <v>358</v>
      </c>
      <c r="D65" s="5" t="s">
        <v>359</v>
      </c>
      <c r="E65" s="8">
        <v>66845</v>
      </c>
      <c r="F65" s="5" t="s">
        <v>32</v>
      </c>
      <c r="G65" s="5" t="s">
        <v>169</v>
      </c>
      <c r="H65" s="5" t="s">
        <v>148</v>
      </c>
      <c r="I65" s="108">
        <v>84.068181818181799</v>
      </c>
      <c r="J65" s="6">
        <v>13.672413793103447</v>
      </c>
      <c r="K65" s="6">
        <v>11.655172413793107</v>
      </c>
      <c r="L65" s="6">
        <v>30.568965517241384</v>
      </c>
      <c r="M65" s="6">
        <v>20.862068965517238</v>
      </c>
      <c r="N65" s="6">
        <v>53.000000000000021</v>
      </c>
      <c r="O65" s="6">
        <v>19.793103448275865</v>
      </c>
      <c r="P65" s="6">
        <v>2.2758620689655173</v>
      </c>
      <c r="Q65" s="6">
        <v>1.6896551724137931</v>
      </c>
      <c r="R65" s="6">
        <v>25.672413793103445</v>
      </c>
      <c r="S65" s="6">
        <v>11.017241379310345</v>
      </c>
      <c r="T65" s="6">
        <v>9.7586206896551726</v>
      </c>
      <c r="U65" s="6">
        <v>30.310344827586192</v>
      </c>
      <c r="V65" s="6">
        <v>62.155172413793132</v>
      </c>
      <c r="W65" s="7"/>
      <c r="X65" s="5" t="s">
        <v>149</v>
      </c>
      <c r="Y65" s="9" t="s">
        <v>632</v>
      </c>
      <c r="Z65" s="5" t="s">
        <v>257</v>
      </c>
      <c r="AA65" s="109" t="s">
        <v>669</v>
      </c>
      <c r="AB65" s="110" t="s">
        <v>149</v>
      </c>
      <c r="AC65" s="111" t="s">
        <v>632</v>
      </c>
      <c r="AD65" s="109">
        <v>44413</v>
      </c>
    </row>
    <row r="66" spans="1:30" ht="15.65" customHeight="1" x14ac:dyDescent="0.35">
      <c r="A66" s="5" t="s">
        <v>341</v>
      </c>
      <c r="B66" s="5" t="s">
        <v>342</v>
      </c>
      <c r="C66" s="5" t="s">
        <v>343</v>
      </c>
      <c r="D66" s="5" t="s">
        <v>300</v>
      </c>
      <c r="E66" s="8">
        <v>74647</v>
      </c>
      <c r="F66" s="5" t="s">
        <v>32</v>
      </c>
      <c r="G66" s="5" t="s">
        <v>169</v>
      </c>
      <c r="H66" s="5" t="s">
        <v>148</v>
      </c>
      <c r="I66" s="108">
        <v>44.692307692307701</v>
      </c>
      <c r="J66" s="6">
        <v>32.08620689655173</v>
      </c>
      <c r="K66" s="6">
        <v>8.8275862068965534</v>
      </c>
      <c r="L66" s="6">
        <v>20.931034482758623</v>
      </c>
      <c r="M66" s="6">
        <v>13.568965517241381</v>
      </c>
      <c r="N66" s="6">
        <v>37.310344827586214</v>
      </c>
      <c r="O66" s="6">
        <v>38.103448275862043</v>
      </c>
      <c r="P66" s="6">
        <v>0</v>
      </c>
      <c r="Q66" s="6">
        <v>0</v>
      </c>
      <c r="R66" s="6">
        <v>18.03448275862069</v>
      </c>
      <c r="S66" s="6">
        <v>5.6896551724137936</v>
      </c>
      <c r="T66" s="6">
        <v>6.8103448275862073</v>
      </c>
      <c r="U66" s="6">
        <v>44.87931034482753</v>
      </c>
      <c r="V66" s="6">
        <v>66.120689655172356</v>
      </c>
      <c r="W66" s="7"/>
      <c r="X66" s="5" t="s">
        <v>149</v>
      </c>
      <c r="Y66" s="9" t="s">
        <v>610</v>
      </c>
      <c r="Z66" s="5" t="s">
        <v>151</v>
      </c>
      <c r="AA66" s="109" t="s">
        <v>670</v>
      </c>
      <c r="AB66" s="110" t="s">
        <v>149</v>
      </c>
      <c r="AC66" s="111" t="s">
        <v>150</v>
      </c>
      <c r="AD66" s="109">
        <v>44119</v>
      </c>
    </row>
    <row r="67" spans="1:30" ht="14.15" customHeight="1" x14ac:dyDescent="0.35">
      <c r="A67" s="5" t="s">
        <v>22</v>
      </c>
      <c r="B67" s="5" t="s">
        <v>335</v>
      </c>
      <c r="C67" s="5" t="s">
        <v>33</v>
      </c>
      <c r="D67" s="5" t="s">
        <v>197</v>
      </c>
      <c r="E67" s="8">
        <v>87021</v>
      </c>
      <c r="F67" s="5" t="s">
        <v>198</v>
      </c>
      <c r="G67" s="5" t="s">
        <v>169</v>
      </c>
      <c r="H67" s="5" t="s">
        <v>4</v>
      </c>
      <c r="I67" s="108">
        <v>73.25</v>
      </c>
      <c r="J67" s="6">
        <v>61.517241379310434</v>
      </c>
      <c r="K67" s="6">
        <v>2.0172413793103448</v>
      </c>
      <c r="L67" s="6">
        <v>0</v>
      </c>
      <c r="M67" s="6">
        <v>0</v>
      </c>
      <c r="N67" s="6">
        <v>0.91379310344827591</v>
      </c>
      <c r="O67" s="6">
        <v>62.620689655172498</v>
      </c>
      <c r="P67" s="6">
        <v>0</v>
      </c>
      <c r="Q67" s="6">
        <v>0</v>
      </c>
      <c r="R67" s="6">
        <v>0</v>
      </c>
      <c r="S67" s="6">
        <v>0</v>
      </c>
      <c r="T67" s="6">
        <v>0.91379310344827591</v>
      </c>
      <c r="U67" s="6">
        <v>62.620689655172498</v>
      </c>
      <c r="V67" s="6">
        <v>37.344827586206904</v>
      </c>
      <c r="W67" s="7"/>
      <c r="X67" s="5" t="s">
        <v>149</v>
      </c>
      <c r="Y67" s="9" t="s">
        <v>610</v>
      </c>
      <c r="Z67" s="5" t="s">
        <v>151</v>
      </c>
      <c r="AA67" s="109" t="s">
        <v>613</v>
      </c>
      <c r="AB67" s="110" t="s">
        <v>149</v>
      </c>
      <c r="AC67" s="111" t="s">
        <v>610</v>
      </c>
      <c r="AD67" s="109">
        <v>44322</v>
      </c>
    </row>
    <row r="68" spans="1:30" ht="15.5" x14ac:dyDescent="0.35">
      <c r="A68" s="5" t="s">
        <v>336</v>
      </c>
      <c r="B68" s="5" t="s">
        <v>337</v>
      </c>
      <c r="C68" s="5" t="s">
        <v>338</v>
      </c>
      <c r="D68" s="5" t="s">
        <v>339</v>
      </c>
      <c r="E68" s="8">
        <v>2863</v>
      </c>
      <c r="F68" s="5" t="s">
        <v>277</v>
      </c>
      <c r="G68" s="5" t="s">
        <v>210</v>
      </c>
      <c r="H68" s="5" t="s">
        <v>4</v>
      </c>
      <c r="I68" s="108">
        <v>39</v>
      </c>
      <c r="J68" s="6">
        <v>42.34482758620689</v>
      </c>
      <c r="K68" s="6">
        <v>19.931034482758616</v>
      </c>
      <c r="L68" s="6">
        <v>3.4482758620689655E-2</v>
      </c>
      <c r="M68" s="6">
        <v>0</v>
      </c>
      <c r="N68" s="6">
        <v>18.758620689655171</v>
      </c>
      <c r="O68" s="6">
        <v>43.551724137931039</v>
      </c>
      <c r="P68" s="6">
        <v>0</v>
      </c>
      <c r="Q68" s="6">
        <v>0</v>
      </c>
      <c r="R68" s="6">
        <v>4.7931034482758621</v>
      </c>
      <c r="S68" s="6">
        <v>3.2241379310344831</v>
      </c>
      <c r="T68" s="6">
        <v>4.6551724137931032</v>
      </c>
      <c r="U68" s="6">
        <v>49.637931034482726</v>
      </c>
      <c r="V68" s="6">
        <v>45.534482758620655</v>
      </c>
      <c r="W68" s="7"/>
      <c r="X68" s="5" t="s">
        <v>149</v>
      </c>
      <c r="Y68" s="9" t="s">
        <v>632</v>
      </c>
      <c r="Z68" s="5" t="s">
        <v>257</v>
      </c>
      <c r="AA68" s="109" t="s">
        <v>671</v>
      </c>
      <c r="AB68" s="110" t="s">
        <v>149</v>
      </c>
      <c r="AC68" s="111" t="s">
        <v>632</v>
      </c>
      <c r="AD68" s="109">
        <v>44155</v>
      </c>
    </row>
    <row r="69" spans="1:30" ht="18.5" x14ac:dyDescent="0.35">
      <c r="A69" s="5" t="s">
        <v>672</v>
      </c>
      <c r="B69" s="5" t="s">
        <v>673</v>
      </c>
      <c r="C69" s="5" t="s">
        <v>370</v>
      </c>
      <c r="D69" s="5" t="s">
        <v>249</v>
      </c>
      <c r="E69" s="8">
        <v>19533</v>
      </c>
      <c r="F69" s="5" t="s">
        <v>250</v>
      </c>
      <c r="G69" s="5" t="s">
        <v>147</v>
      </c>
      <c r="H69" s="5" t="s">
        <v>9</v>
      </c>
      <c r="I69" s="108"/>
      <c r="J69" s="6">
        <v>51.327586206896513</v>
      </c>
      <c r="K69" s="6">
        <v>9.3275862068965534</v>
      </c>
      <c r="L69" s="6">
        <v>0</v>
      </c>
      <c r="M69" s="6">
        <v>0</v>
      </c>
      <c r="N69" s="6">
        <v>0</v>
      </c>
      <c r="O69" s="6">
        <v>1.0344827586206897</v>
      </c>
      <c r="P69" s="6">
        <v>0</v>
      </c>
      <c r="Q69" s="6">
        <v>59.620689655172328</v>
      </c>
      <c r="R69" s="6">
        <v>0</v>
      </c>
      <c r="S69" s="6">
        <v>0</v>
      </c>
      <c r="T69" s="6">
        <v>0</v>
      </c>
      <c r="U69" s="6">
        <v>60.655172413793011</v>
      </c>
      <c r="V69" s="6">
        <v>58.327586206896477</v>
      </c>
      <c r="W69" s="7">
        <v>78</v>
      </c>
      <c r="X69" s="5" t="s">
        <v>149</v>
      </c>
      <c r="Y69" s="9" t="s">
        <v>608</v>
      </c>
      <c r="Z69" s="5"/>
      <c r="AA69" s="109" t="s">
        <v>674</v>
      </c>
      <c r="AB69" s="110" t="s">
        <v>149</v>
      </c>
      <c r="AC69" s="111" t="s">
        <v>608</v>
      </c>
      <c r="AD69" s="109">
        <v>44169</v>
      </c>
    </row>
    <row r="70" spans="1:30" ht="15.5" x14ac:dyDescent="0.35">
      <c r="A70" s="5" t="s">
        <v>29</v>
      </c>
      <c r="B70" s="5" t="s">
        <v>308</v>
      </c>
      <c r="C70" s="5" t="s">
        <v>309</v>
      </c>
      <c r="D70" s="5" t="s">
        <v>303</v>
      </c>
      <c r="E70" s="8">
        <v>89060</v>
      </c>
      <c r="F70" s="5" t="s">
        <v>304</v>
      </c>
      <c r="G70" s="5" t="s">
        <v>210</v>
      </c>
      <c r="H70" s="5" t="s">
        <v>148</v>
      </c>
      <c r="I70" s="108">
        <v>77</v>
      </c>
      <c r="J70" s="6">
        <v>27.051724137931046</v>
      </c>
      <c r="K70" s="6">
        <v>12.775862068965518</v>
      </c>
      <c r="L70" s="6">
        <v>7.6724137931034475</v>
      </c>
      <c r="M70" s="6">
        <v>7.0689655172413799</v>
      </c>
      <c r="N70" s="6">
        <v>27.551724137931046</v>
      </c>
      <c r="O70" s="6">
        <v>27.017241379310356</v>
      </c>
      <c r="P70" s="6">
        <v>0</v>
      </c>
      <c r="Q70" s="6">
        <v>0</v>
      </c>
      <c r="R70" s="6">
        <v>11.620689655172416</v>
      </c>
      <c r="S70" s="6">
        <v>5.5172413793103452</v>
      </c>
      <c r="T70" s="6">
        <v>5.9310344827586192</v>
      </c>
      <c r="U70" s="6">
        <v>31.500000000000014</v>
      </c>
      <c r="V70" s="6">
        <v>26.482758620689665</v>
      </c>
      <c r="W70" s="7"/>
      <c r="X70" s="5" t="s">
        <v>149</v>
      </c>
      <c r="Y70" s="9" t="s">
        <v>211</v>
      </c>
      <c r="Z70" s="5" t="s">
        <v>151</v>
      </c>
      <c r="AA70" s="109" t="s">
        <v>675</v>
      </c>
      <c r="AB70" s="110" t="s">
        <v>149</v>
      </c>
      <c r="AC70" s="111" t="s">
        <v>211</v>
      </c>
      <c r="AD70" s="109">
        <v>44399</v>
      </c>
    </row>
    <row r="71" spans="1:30" ht="15.5" x14ac:dyDescent="0.35">
      <c r="A71" s="5" t="s">
        <v>13</v>
      </c>
      <c r="B71" s="5" t="s">
        <v>371</v>
      </c>
      <c r="C71" s="5" t="s">
        <v>372</v>
      </c>
      <c r="D71" s="5" t="s">
        <v>314</v>
      </c>
      <c r="E71" s="8">
        <v>44883</v>
      </c>
      <c r="F71" s="5" t="s">
        <v>315</v>
      </c>
      <c r="G71" s="5" t="s">
        <v>169</v>
      </c>
      <c r="H71" s="5" t="s">
        <v>148</v>
      </c>
      <c r="I71" s="108">
        <v>139.5</v>
      </c>
      <c r="J71" s="6">
        <v>17.568965517241381</v>
      </c>
      <c r="K71" s="6">
        <v>6.4655172413793114</v>
      </c>
      <c r="L71" s="6">
        <v>14.672413793103447</v>
      </c>
      <c r="M71" s="6">
        <v>15.327586206896552</v>
      </c>
      <c r="N71" s="6">
        <v>32.396551724137936</v>
      </c>
      <c r="O71" s="6">
        <v>19.879310344827591</v>
      </c>
      <c r="P71" s="6">
        <v>1</v>
      </c>
      <c r="Q71" s="6">
        <v>0.75862068965517238</v>
      </c>
      <c r="R71" s="6">
        <v>18.758620689655171</v>
      </c>
      <c r="S71" s="6">
        <v>5.5172413793103443</v>
      </c>
      <c r="T71" s="6">
        <v>6.1034482758620694</v>
      </c>
      <c r="U71" s="6">
        <v>23.655172413793103</v>
      </c>
      <c r="V71" s="6">
        <v>44.517241379310327</v>
      </c>
      <c r="W71" s="7"/>
      <c r="X71" s="5" t="s">
        <v>149</v>
      </c>
      <c r="Y71" s="9" t="s">
        <v>247</v>
      </c>
      <c r="Z71" s="5" t="s">
        <v>257</v>
      </c>
      <c r="AA71" s="109" t="s">
        <v>627</v>
      </c>
      <c r="AB71" s="110" t="s">
        <v>149</v>
      </c>
      <c r="AC71" s="111" t="s">
        <v>247</v>
      </c>
      <c r="AD71" s="109">
        <v>44209</v>
      </c>
    </row>
    <row r="72" spans="1:30" ht="15.5" x14ac:dyDescent="0.35">
      <c r="A72" s="5" t="s">
        <v>46</v>
      </c>
      <c r="B72" s="5" t="s">
        <v>271</v>
      </c>
      <c r="C72" s="5" t="s">
        <v>272</v>
      </c>
      <c r="D72" s="5" t="s">
        <v>145</v>
      </c>
      <c r="E72" s="8">
        <v>93301</v>
      </c>
      <c r="F72" s="5" t="s">
        <v>273</v>
      </c>
      <c r="G72" s="5" t="s">
        <v>162</v>
      </c>
      <c r="H72" s="5" t="s">
        <v>148</v>
      </c>
      <c r="I72" s="108">
        <v>214.25</v>
      </c>
      <c r="J72" s="6">
        <v>0</v>
      </c>
      <c r="K72" s="6">
        <v>0</v>
      </c>
      <c r="L72" s="6">
        <v>11.362068965517242</v>
      </c>
      <c r="M72" s="6">
        <v>39.551724137931039</v>
      </c>
      <c r="N72" s="6">
        <v>50.913793103448299</v>
      </c>
      <c r="O72" s="6">
        <v>0</v>
      </c>
      <c r="P72" s="6">
        <v>0</v>
      </c>
      <c r="Q72" s="6">
        <v>0</v>
      </c>
      <c r="R72" s="6">
        <v>42.603448275862092</v>
      </c>
      <c r="S72" s="6">
        <v>1</v>
      </c>
      <c r="T72" s="6">
        <v>0</v>
      </c>
      <c r="U72" s="6">
        <v>7.3103448275862082</v>
      </c>
      <c r="V72" s="6">
        <v>43.017241379310356</v>
      </c>
      <c r="W72" s="7">
        <v>320</v>
      </c>
      <c r="X72" s="5" t="s">
        <v>149</v>
      </c>
      <c r="Y72" s="9" t="s">
        <v>610</v>
      </c>
      <c r="Z72" s="5" t="s">
        <v>151</v>
      </c>
      <c r="AA72" s="109" t="s">
        <v>676</v>
      </c>
      <c r="AB72" s="110" t="s">
        <v>149</v>
      </c>
      <c r="AC72" s="111" t="s">
        <v>610</v>
      </c>
      <c r="AD72" s="109">
        <v>44371</v>
      </c>
    </row>
    <row r="73" spans="1:30" ht="15.5" x14ac:dyDescent="0.35">
      <c r="A73" s="5" t="s">
        <v>360</v>
      </c>
      <c r="B73" s="5" t="s">
        <v>361</v>
      </c>
      <c r="C73" s="5" t="s">
        <v>362</v>
      </c>
      <c r="D73" s="5" t="s">
        <v>249</v>
      </c>
      <c r="E73" s="8">
        <v>17745</v>
      </c>
      <c r="F73" s="5" t="s">
        <v>250</v>
      </c>
      <c r="G73" s="5" t="s">
        <v>210</v>
      </c>
      <c r="H73" s="5" t="s">
        <v>4</v>
      </c>
      <c r="I73" s="108">
        <v>93</v>
      </c>
      <c r="J73" s="6">
        <v>1.4655172413793105</v>
      </c>
      <c r="K73" s="6">
        <v>10.034482758620689</v>
      </c>
      <c r="L73" s="6">
        <v>19.396551724137932</v>
      </c>
      <c r="M73" s="6">
        <v>19.517241379310345</v>
      </c>
      <c r="N73" s="6">
        <v>44.017241379310342</v>
      </c>
      <c r="O73" s="6">
        <v>3.7241379310344827</v>
      </c>
      <c r="P73" s="6">
        <v>1.6724137931034484</v>
      </c>
      <c r="Q73" s="6">
        <v>1</v>
      </c>
      <c r="R73" s="6">
        <v>29.534482758620687</v>
      </c>
      <c r="S73" s="6">
        <v>7.068965517241379</v>
      </c>
      <c r="T73" s="6">
        <v>1.7241379310344829</v>
      </c>
      <c r="U73" s="6">
        <v>12.086206896551724</v>
      </c>
      <c r="V73" s="6">
        <v>40.84482758620689</v>
      </c>
      <c r="W73" s="7"/>
      <c r="X73" s="5" t="s">
        <v>149</v>
      </c>
      <c r="Y73" s="9" t="s">
        <v>632</v>
      </c>
      <c r="Z73" s="5" t="s">
        <v>257</v>
      </c>
      <c r="AA73" s="109" t="s">
        <v>611</v>
      </c>
      <c r="AB73" s="110" t="s">
        <v>149</v>
      </c>
      <c r="AC73" s="111" t="s">
        <v>632</v>
      </c>
      <c r="AD73" s="109">
        <v>44160</v>
      </c>
    </row>
    <row r="74" spans="1:30" ht="15.5" x14ac:dyDescent="0.35">
      <c r="A74" s="5" t="s">
        <v>12</v>
      </c>
      <c r="B74" s="5" t="s">
        <v>269</v>
      </c>
      <c r="C74" s="5" t="s">
        <v>270</v>
      </c>
      <c r="D74" s="5" t="s">
        <v>171</v>
      </c>
      <c r="E74" s="8">
        <v>85232</v>
      </c>
      <c r="F74" s="5" t="s">
        <v>172</v>
      </c>
      <c r="G74" s="5" t="s">
        <v>287</v>
      </c>
      <c r="H74" s="5" t="s">
        <v>4</v>
      </c>
      <c r="I74" s="108">
        <v>1.1368788142981701</v>
      </c>
      <c r="J74" s="6">
        <v>23.293103448276156</v>
      </c>
      <c r="K74" s="6">
        <v>7.9137931034483229</v>
      </c>
      <c r="L74" s="6">
        <v>4.8448275862069012</v>
      </c>
      <c r="M74" s="6">
        <v>2.3275862068965494</v>
      </c>
      <c r="N74" s="6">
        <v>11.293103448275957</v>
      </c>
      <c r="O74" s="6">
        <v>25.00000000000033</v>
      </c>
      <c r="P74" s="6">
        <v>0.49999999999999983</v>
      </c>
      <c r="Q74" s="6">
        <v>1.5862068965517224</v>
      </c>
      <c r="R74" s="6">
        <v>1.5517241379310327</v>
      </c>
      <c r="S74" s="6">
        <v>1.0344827586206899</v>
      </c>
      <c r="T74" s="6">
        <v>1.1206896551724137</v>
      </c>
      <c r="U74" s="6">
        <v>34.672413793103736</v>
      </c>
      <c r="V74" s="6">
        <v>16.293103448276046</v>
      </c>
      <c r="W74" s="7"/>
      <c r="X74" s="5" t="s">
        <v>170</v>
      </c>
      <c r="Y74" s="9"/>
      <c r="Z74" s="5"/>
      <c r="AA74" s="109"/>
      <c r="AB74" s="110" t="s">
        <v>170</v>
      </c>
      <c r="AC74" s="111"/>
      <c r="AD74" s="109"/>
    </row>
    <row r="75" spans="1:30" ht="15.5" x14ac:dyDescent="0.35">
      <c r="A75" s="5" t="s">
        <v>367</v>
      </c>
      <c r="B75" s="5" t="s">
        <v>368</v>
      </c>
      <c r="C75" s="5" t="s">
        <v>369</v>
      </c>
      <c r="D75" s="5" t="s">
        <v>320</v>
      </c>
      <c r="E75" s="8">
        <v>48060</v>
      </c>
      <c r="F75" s="5" t="s">
        <v>315</v>
      </c>
      <c r="G75" s="5" t="s">
        <v>169</v>
      </c>
      <c r="H75" s="5" t="s">
        <v>4</v>
      </c>
      <c r="I75" s="108">
        <v>22</v>
      </c>
      <c r="J75" s="6">
        <v>22.068965517241391</v>
      </c>
      <c r="K75" s="6">
        <v>8.1034482758620694</v>
      </c>
      <c r="L75" s="6">
        <v>3.1896551724137931</v>
      </c>
      <c r="M75" s="6">
        <v>2.1896551724137931</v>
      </c>
      <c r="N75" s="6">
        <v>10.603448275862069</v>
      </c>
      <c r="O75" s="6">
        <v>24.827586206896562</v>
      </c>
      <c r="P75" s="6">
        <v>0.1206896551724138</v>
      </c>
      <c r="Q75" s="6">
        <v>0</v>
      </c>
      <c r="R75" s="6">
        <v>4.0517241379310347</v>
      </c>
      <c r="S75" s="6">
        <v>3.1724137931034484</v>
      </c>
      <c r="T75" s="6">
        <v>1.5</v>
      </c>
      <c r="U75" s="6">
        <v>26.827586206896562</v>
      </c>
      <c r="V75" s="6">
        <v>25.465517241379317</v>
      </c>
      <c r="W75" s="7"/>
      <c r="X75" s="5" t="s">
        <v>149</v>
      </c>
      <c r="Y75" s="9" t="s">
        <v>632</v>
      </c>
      <c r="Z75" s="5" t="s">
        <v>257</v>
      </c>
      <c r="AA75" s="109" t="s">
        <v>664</v>
      </c>
      <c r="AB75" s="110" t="s">
        <v>149</v>
      </c>
      <c r="AC75" s="111" t="s">
        <v>211</v>
      </c>
      <c r="AD75" s="109">
        <v>44105</v>
      </c>
    </row>
    <row r="76" spans="1:30" ht="15.5" x14ac:dyDescent="0.35">
      <c r="A76" s="5" t="s">
        <v>344</v>
      </c>
      <c r="B76" s="5" t="s">
        <v>345</v>
      </c>
      <c r="C76" s="5" t="s">
        <v>346</v>
      </c>
      <c r="D76" s="5" t="s">
        <v>347</v>
      </c>
      <c r="E76" s="8">
        <v>3820</v>
      </c>
      <c r="F76" s="5" t="s">
        <v>277</v>
      </c>
      <c r="G76" s="5" t="s">
        <v>169</v>
      </c>
      <c r="H76" s="5" t="s">
        <v>148</v>
      </c>
      <c r="I76" s="108">
        <v>118</v>
      </c>
      <c r="J76" s="6">
        <v>0</v>
      </c>
      <c r="K76" s="6">
        <v>0</v>
      </c>
      <c r="L76" s="6">
        <v>10.965517241379311</v>
      </c>
      <c r="M76" s="6">
        <v>22.310344827586203</v>
      </c>
      <c r="N76" s="6">
        <v>23.517241379310349</v>
      </c>
      <c r="O76" s="6">
        <v>9.293103448275863</v>
      </c>
      <c r="P76" s="6">
        <v>0.39655172413793105</v>
      </c>
      <c r="Q76" s="6">
        <v>6.8965517241379309E-2</v>
      </c>
      <c r="R76" s="6">
        <v>18.017241379310345</v>
      </c>
      <c r="S76" s="6">
        <v>1.5344827586206895</v>
      </c>
      <c r="T76" s="6">
        <v>2</v>
      </c>
      <c r="U76" s="6">
        <v>11.724137931034482</v>
      </c>
      <c r="V76" s="6">
        <v>17.413793103448274</v>
      </c>
      <c r="W76" s="7"/>
      <c r="X76" s="5" t="s">
        <v>149</v>
      </c>
      <c r="Y76" s="9" t="s">
        <v>211</v>
      </c>
      <c r="Z76" s="5" t="s">
        <v>151</v>
      </c>
      <c r="AA76" s="109" t="s">
        <v>643</v>
      </c>
      <c r="AB76" s="110" t="s">
        <v>149</v>
      </c>
      <c r="AC76" s="111" t="s">
        <v>211</v>
      </c>
      <c r="AD76" s="109">
        <v>44175</v>
      </c>
    </row>
    <row r="77" spans="1:30" ht="15.5" x14ac:dyDescent="0.35">
      <c r="A77" s="5" t="s">
        <v>283</v>
      </c>
      <c r="B77" s="5" t="s">
        <v>284</v>
      </c>
      <c r="C77" s="5" t="s">
        <v>285</v>
      </c>
      <c r="D77" s="5" t="s">
        <v>197</v>
      </c>
      <c r="E77" s="8">
        <v>87016</v>
      </c>
      <c r="F77" s="5" t="s">
        <v>198</v>
      </c>
      <c r="G77" s="5" t="s">
        <v>169</v>
      </c>
      <c r="H77" s="5" t="s">
        <v>4</v>
      </c>
      <c r="I77" s="108">
        <v>47.05</v>
      </c>
      <c r="J77" s="6">
        <v>21.965517241379313</v>
      </c>
      <c r="K77" s="6">
        <v>3.7586206896551726</v>
      </c>
      <c r="L77" s="6">
        <v>6.8965517241379309E-2</v>
      </c>
      <c r="M77" s="6">
        <v>5.1724137931034482E-2</v>
      </c>
      <c r="N77" s="6">
        <v>0.13793103448275865</v>
      </c>
      <c r="O77" s="6">
        <v>25.706896551724146</v>
      </c>
      <c r="P77" s="6">
        <v>0</v>
      </c>
      <c r="Q77" s="6">
        <v>0</v>
      </c>
      <c r="R77" s="6">
        <v>1.7241379310344827E-2</v>
      </c>
      <c r="S77" s="6">
        <v>1.7241379310344827E-2</v>
      </c>
      <c r="T77" s="6">
        <v>1.7241379310344827E-2</v>
      </c>
      <c r="U77" s="6">
        <v>25.793103448275868</v>
      </c>
      <c r="V77" s="6">
        <v>9.844827586206895</v>
      </c>
      <c r="W77" s="7">
        <v>505</v>
      </c>
      <c r="X77" s="5" t="s">
        <v>149</v>
      </c>
      <c r="Y77" s="9" t="s">
        <v>610</v>
      </c>
      <c r="Z77" s="5" t="s">
        <v>151</v>
      </c>
      <c r="AA77" s="109" t="s">
        <v>667</v>
      </c>
      <c r="AB77" s="110" t="s">
        <v>149</v>
      </c>
      <c r="AC77" s="111" t="s">
        <v>610</v>
      </c>
      <c r="AD77" s="109">
        <v>44651</v>
      </c>
    </row>
    <row r="78" spans="1:30" ht="15.5" x14ac:dyDescent="0.35">
      <c r="A78" s="5" t="s">
        <v>382</v>
      </c>
      <c r="B78" s="5" t="s">
        <v>383</v>
      </c>
      <c r="C78" s="5" t="s">
        <v>11</v>
      </c>
      <c r="D78" s="5" t="s">
        <v>384</v>
      </c>
      <c r="E78" s="8">
        <v>47834</v>
      </c>
      <c r="F78" s="5" t="s">
        <v>32</v>
      </c>
      <c r="G78" s="5" t="s">
        <v>210</v>
      </c>
      <c r="H78" s="5" t="s">
        <v>148</v>
      </c>
      <c r="I78" s="108">
        <v>22.382716049382701</v>
      </c>
      <c r="J78" s="6">
        <v>5.9137931034482838</v>
      </c>
      <c r="K78" s="6">
        <v>2.3965517241379315</v>
      </c>
      <c r="L78" s="6">
        <v>10.3448275862069</v>
      </c>
      <c r="M78" s="6">
        <v>6.2931034482758639</v>
      </c>
      <c r="N78" s="6">
        <v>15.931034482758642</v>
      </c>
      <c r="O78" s="6">
        <v>8.9310344827586281</v>
      </c>
      <c r="P78" s="6">
        <v>6.8965517241379309E-2</v>
      </c>
      <c r="Q78" s="6">
        <v>1.7241379310344827E-2</v>
      </c>
      <c r="R78" s="6">
        <v>0.81034482758620685</v>
      </c>
      <c r="S78" s="6">
        <v>0.63793103448275867</v>
      </c>
      <c r="T78" s="6">
        <v>1.8275862068965516</v>
      </c>
      <c r="U78" s="6">
        <v>21.672413793103491</v>
      </c>
      <c r="V78" s="6">
        <v>17.258620689655217</v>
      </c>
      <c r="W78" s="7"/>
      <c r="X78" s="5" t="s">
        <v>149</v>
      </c>
      <c r="Y78" s="9" t="s">
        <v>211</v>
      </c>
      <c r="Z78" s="5" t="s">
        <v>151</v>
      </c>
      <c r="AA78" s="109" t="s">
        <v>665</v>
      </c>
      <c r="AB78" s="110" t="s">
        <v>149</v>
      </c>
      <c r="AC78" s="111" t="s">
        <v>211</v>
      </c>
      <c r="AD78" s="109">
        <v>44539</v>
      </c>
    </row>
    <row r="79" spans="1:30" ht="15.5" x14ac:dyDescent="0.35">
      <c r="A79" s="5" t="s">
        <v>453</v>
      </c>
      <c r="B79" s="5" t="s">
        <v>454</v>
      </c>
      <c r="C79" s="5" t="s">
        <v>455</v>
      </c>
      <c r="D79" s="5" t="s">
        <v>366</v>
      </c>
      <c r="E79" s="8">
        <v>51501</v>
      </c>
      <c r="F79" s="5" t="s">
        <v>281</v>
      </c>
      <c r="G79" s="5" t="s">
        <v>210</v>
      </c>
      <c r="H79" s="5" t="s">
        <v>148</v>
      </c>
      <c r="I79" s="108">
        <v>91.2</v>
      </c>
      <c r="J79" s="6">
        <v>0.48275862068965514</v>
      </c>
      <c r="K79" s="6">
        <v>1.9655172413793101</v>
      </c>
      <c r="L79" s="6">
        <v>12.67241379310345</v>
      </c>
      <c r="M79" s="6">
        <v>8.0517241379310356</v>
      </c>
      <c r="N79" s="6">
        <v>20.482758620689651</v>
      </c>
      <c r="O79" s="6">
        <v>2.5172413793103448</v>
      </c>
      <c r="P79" s="6">
        <v>0.17241379310344829</v>
      </c>
      <c r="Q79" s="6">
        <v>0</v>
      </c>
      <c r="R79" s="6">
        <v>7.9482758620689653</v>
      </c>
      <c r="S79" s="6">
        <v>3.9655172413793109</v>
      </c>
      <c r="T79" s="6">
        <v>2.8448275862068964</v>
      </c>
      <c r="U79" s="6">
        <v>8.4137931034482776</v>
      </c>
      <c r="V79" s="6">
        <v>20.517241379310345</v>
      </c>
      <c r="W79" s="7"/>
      <c r="X79" s="5" t="s">
        <v>408</v>
      </c>
      <c r="Y79" s="9" t="s">
        <v>632</v>
      </c>
      <c r="Z79" s="5" t="s">
        <v>677</v>
      </c>
      <c r="AA79" s="109" t="s">
        <v>678</v>
      </c>
      <c r="AB79" s="110" t="s">
        <v>149</v>
      </c>
      <c r="AC79" s="111" t="s">
        <v>247</v>
      </c>
      <c r="AD79" s="109">
        <v>43202</v>
      </c>
    </row>
    <row r="80" spans="1:30" ht="15.5" x14ac:dyDescent="0.35">
      <c r="A80" s="5" t="s">
        <v>396</v>
      </c>
      <c r="B80" s="5" t="s">
        <v>397</v>
      </c>
      <c r="C80" s="5" t="s">
        <v>398</v>
      </c>
      <c r="D80" s="5" t="s">
        <v>366</v>
      </c>
      <c r="E80" s="8">
        <v>50313</v>
      </c>
      <c r="F80" s="5" t="s">
        <v>281</v>
      </c>
      <c r="G80" s="5" t="s">
        <v>210</v>
      </c>
      <c r="H80" s="5" t="s">
        <v>148</v>
      </c>
      <c r="I80" s="108">
        <v>18</v>
      </c>
      <c r="J80" s="6">
        <v>2.1379310344827585</v>
      </c>
      <c r="K80" s="6">
        <v>7.1379310344827607</v>
      </c>
      <c r="L80" s="6">
        <v>6.0000000000000009</v>
      </c>
      <c r="M80" s="6">
        <v>5.1379310344827589</v>
      </c>
      <c r="N80" s="6">
        <v>16.379310344827587</v>
      </c>
      <c r="O80" s="6">
        <v>2.2413793103448274</v>
      </c>
      <c r="P80" s="6">
        <v>1.6896551724137931</v>
      </c>
      <c r="Q80" s="6">
        <v>0.10344827586206896</v>
      </c>
      <c r="R80" s="6">
        <v>8.0862068965517242</v>
      </c>
      <c r="S80" s="6">
        <v>1.8620689655172411</v>
      </c>
      <c r="T80" s="6">
        <v>2.2068965517241379</v>
      </c>
      <c r="U80" s="6">
        <v>8.2586206896551726</v>
      </c>
      <c r="V80" s="6">
        <v>18.500000000000007</v>
      </c>
      <c r="W80" s="7"/>
      <c r="X80" s="5" t="s">
        <v>149</v>
      </c>
      <c r="Y80" s="9" t="s">
        <v>247</v>
      </c>
      <c r="Z80" s="5" t="s">
        <v>257</v>
      </c>
      <c r="AA80" s="109" t="s">
        <v>679</v>
      </c>
      <c r="AB80" s="110" t="s">
        <v>149</v>
      </c>
      <c r="AC80" s="111" t="s">
        <v>247</v>
      </c>
      <c r="AD80" s="109">
        <v>43678</v>
      </c>
    </row>
    <row r="81" spans="1:30" ht="15.5" x14ac:dyDescent="0.35">
      <c r="A81" s="5" t="s">
        <v>5</v>
      </c>
      <c r="B81" s="5" t="s">
        <v>143</v>
      </c>
      <c r="C81" s="5" t="s">
        <v>144</v>
      </c>
      <c r="D81" s="5" t="s">
        <v>145</v>
      </c>
      <c r="E81" s="8">
        <v>92301</v>
      </c>
      <c r="F81" s="5" t="s">
        <v>146</v>
      </c>
      <c r="G81" s="5" t="s">
        <v>162</v>
      </c>
      <c r="H81" s="5" t="s">
        <v>148</v>
      </c>
      <c r="I81" s="108">
        <v>706.5</v>
      </c>
      <c r="J81" s="6">
        <v>3</v>
      </c>
      <c r="K81" s="6">
        <v>1</v>
      </c>
      <c r="L81" s="6">
        <v>1</v>
      </c>
      <c r="M81" s="6">
        <v>14.758620689655173</v>
      </c>
      <c r="N81" s="6">
        <v>15.758620689655173</v>
      </c>
      <c r="O81" s="6">
        <v>2</v>
      </c>
      <c r="P81" s="6">
        <v>2</v>
      </c>
      <c r="Q81" s="6">
        <v>0</v>
      </c>
      <c r="R81" s="6">
        <v>15.051724137931036</v>
      </c>
      <c r="S81" s="6">
        <v>2</v>
      </c>
      <c r="T81" s="6">
        <v>0</v>
      </c>
      <c r="U81" s="6">
        <v>2.7068965517241379</v>
      </c>
      <c r="V81" s="6">
        <v>17.758620689655174</v>
      </c>
      <c r="W81" s="7">
        <v>1455</v>
      </c>
      <c r="X81" s="5" t="s">
        <v>149</v>
      </c>
      <c r="Y81" s="9" t="s">
        <v>610</v>
      </c>
      <c r="Z81" s="5" t="s">
        <v>151</v>
      </c>
      <c r="AA81" s="109" t="s">
        <v>680</v>
      </c>
      <c r="AB81" s="110" t="s">
        <v>149</v>
      </c>
      <c r="AC81" s="111" t="s">
        <v>610</v>
      </c>
      <c r="AD81" s="109">
        <v>44155</v>
      </c>
    </row>
    <row r="82" spans="1:30" ht="15.5" x14ac:dyDescent="0.35">
      <c r="A82" s="5" t="s">
        <v>379</v>
      </c>
      <c r="B82" s="5" t="s">
        <v>380</v>
      </c>
      <c r="C82" s="5" t="s">
        <v>381</v>
      </c>
      <c r="D82" s="5" t="s">
        <v>280</v>
      </c>
      <c r="E82" s="8">
        <v>56007</v>
      </c>
      <c r="F82" s="5" t="s">
        <v>281</v>
      </c>
      <c r="G82" s="5" t="s">
        <v>169</v>
      </c>
      <c r="H82" s="5" t="s">
        <v>4</v>
      </c>
      <c r="I82" s="108">
        <v>142</v>
      </c>
      <c r="J82" s="6">
        <v>0.20689655172413793</v>
      </c>
      <c r="K82" s="6">
        <v>4.5517241379310347</v>
      </c>
      <c r="L82" s="6">
        <v>10.793103448275861</v>
      </c>
      <c r="M82" s="6">
        <v>3.7758620689655173</v>
      </c>
      <c r="N82" s="6">
        <v>15.793103448275863</v>
      </c>
      <c r="O82" s="6">
        <v>3.5344827586206904</v>
      </c>
      <c r="P82" s="6">
        <v>0</v>
      </c>
      <c r="Q82" s="6">
        <v>0</v>
      </c>
      <c r="R82" s="6">
        <v>7.1206896551724137</v>
      </c>
      <c r="S82" s="6">
        <v>2.5689655172413794</v>
      </c>
      <c r="T82" s="6">
        <v>2.3448275862068968</v>
      </c>
      <c r="U82" s="6">
        <v>7.293103448275863</v>
      </c>
      <c r="V82" s="6">
        <v>15.758620689655173</v>
      </c>
      <c r="W82" s="7"/>
      <c r="X82" s="5" t="s">
        <v>149</v>
      </c>
      <c r="Y82" s="9" t="s">
        <v>632</v>
      </c>
      <c r="Z82" s="5" t="s">
        <v>257</v>
      </c>
      <c r="AA82" s="109" t="s">
        <v>662</v>
      </c>
      <c r="AB82" s="110" t="s">
        <v>149</v>
      </c>
      <c r="AC82" s="111" t="s">
        <v>632</v>
      </c>
      <c r="AD82" s="109">
        <v>44302</v>
      </c>
    </row>
    <row r="83" spans="1:30" ht="15.5" x14ac:dyDescent="0.35">
      <c r="A83" s="5" t="s">
        <v>231</v>
      </c>
      <c r="B83" s="5" t="s">
        <v>232</v>
      </c>
      <c r="C83" s="5" t="s">
        <v>233</v>
      </c>
      <c r="D83" s="5" t="s">
        <v>234</v>
      </c>
      <c r="E83" s="8">
        <v>23901</v>
      </c>
      <c r="F83" s="5" t="s">
        <v>235</v>
      </c>
      <c r="G83" s="5" t="s">
        <v>147</v>
      </c>
      <c r="H83" s="5" t="s">
        <v>4</v>
      </c>
      <c r="I83" s="108">
        <v>638</v>
      </c>
      <c r="J83" s="6">
        <v>0</v>
      </c>
      <c r="K83" s="6">
        <v>0</v>
      </c>
      <c r="L83" s="6">
        <v>8</v>
      </c>
      <c r="M83" s="6">
        <v>10.741379310344829</v>
      </c>
      <c r="N83" s="6">
        <v>17.448275862068968</v>
      </c>
      <c r="O83" s="6">
        <v>1.2931034482758621</v>
      </c>
      <c r="P83" s="6">
        <v>0</v>
      </c>
      <c r="Q83" s="6">
        <v>0</v>
      </c>
      <c r="R83" s="6">
        <v>11</v>
      </c>
      <c r="S83" s="6">
        <v>2</v>
      </c>
      <c r="T83" s="6">
        <v>3</v>
      </c>
      <c r="U83" s="6">
        <v>2.7413793103448274</v>
      </c>
      <c r="V83" s="6">
        <v>10.741379310344827</v>
      </c>
      <c r="W83" s="7">
        <v>500</v>
      </c>
      <c r="X83" s="5" t="s">
        <v>149</v>
      </c>
      <c r="Y83" s="9" t="s">
        <v>610</v>
      </c>
      <c r="Z83" s="5" t="s">
        <v>151</v>
      </c>
      <c r="AA83" s="109" t="s">
        <v>612</v>
      </c>
      <c r="AB83" s="110" t="s">
        <v>149</v>
      </c>
      <c r="AC83" s="111" t="s">
        <v>610</v>
      </c>
      <c r="AD83" s="109">
        <v>44251</v>
      </c>
    </row>
    <row r="84" spans="1:30" ht="15.5" x14ac:dyDescent="0.35">
      <c r="A84" s="5" t="s">
        <v>40</v>
      </c>
      <c r="B84" s="5" t="s">
        <v>385</v>
      </c>
      <c r="C84" s="5" t="s">
        <v>386</v>
      </c>
      <c r="D84" s="5" t="s">
        <v>314</v>
      </c>
      <c r="E84" s="8">
        <v>44024</v>
      </c>
      <c r="F84" s="5" t="s">
        <v>315</v>
      </c>
      <c r="G84" s="5" t="s">
        <v>210</v>
      </c>
      <c r="H84" s="5" t="s">
        <v>148</v>
      </c>
      <c r="I84" s="108"/>
      <c r="J84" s="6">
        <v>4.8965517241379315</v>
      </c>
      <c r="K84" s="6">
        <v>2.6206896551724137</v>
      </c>
      <c r="L84" s="6">
        <v>4.5689655172413799</v>
      </c>
      <c r="M84" s="6">
        <v>2.7586206896551726</v>
      </c>
      <c r="N84" s="6">
        <v>8.1206896551724146</v>
      </c>
      <c r="O84" s="6">
        <v>4.7413793103448283</v>
      </c>
      <c r="P84" s="6">
        <v>0.75862068965517238</v>
      </c>
      <c r="Q84" s="6">
        <v>1.2241379310344827</v>
      </c>
      <c r="R84" s="6">
        <v>3.8103448275862069</v>
      </c>
      <c r="S84" s="6">
        <v>1.2068965517241379</v>
      </c>
      <c r="T84" s="6">
        <v>1.3275862068965518</v>
      </c>
      <c r="U84" s="6">
        <v>8.5</v>
      </c>
      <c r="V84" s="6">
        <v>11.517241379310345</v>
      </c>
      <c r="W84" s="7"/>
      <c r="X84" s="5" t="s">
        <v>149</v>
      </c>
      <c r="Y84" s="9" t="s">
        <v>247</v>
      </c>
      <c r="Z84" s="5" t="s">
        <v>257</v>
      </c>
      <c r="AA84" s="109" t="s">
        <v>681</v>
      </c>
      <c r="AB84" s="110" t="s">
        <v>149</v>
      </c>
      <c r="AC84" s="111" t="s">
        <v>247</v>
      </c>
      <c r="AD84" s="109">
        <v>44175</v>
      </c>
    </row>
    <row r="85" spans="1:30" ht="15.5" x14ac:dyDescent="0.35">
      <c r="A85" s="5" t="s">
        <v>350</v>
      </c>
      <c r="B85" s="5" t="s">
        <v>351</v>
      </c>
      <c r="C85" s="5" t="s">
        <v>352</v>
      </c>
      <c r="D85" s="5" t="s">
        <v>353</v>
      </c>
      <c r="E85" s="8">
        <v>68801</v>
      </c>
      <c r="F85" s="5" t="s">
        <v>281</v>
      </c>
      <c r="G85" s="5" t="s">
        <v>169</v>
      </c>
      <c r="H85" s="5" t="s">
        <v>148</v>
      </c>
      <c r="I85" s="108"/>
      <c r="J85" s="6">
        <v>4.8448275862068968</v>
      </c>
      <c r="K85" s="6">
        <v>2.6379310344827589</v>
      </c>
      <c r="L85" s="6">
        <v>4.9137931034482758</v>
      </c>
      <c r="M85" s="6">
        <v>0.98275862068965525</v>
      </c>
      <c r="N85" s="6">
        <v>11</v>
      </c>
      <c r="O85" s="6">
        <v>1.5</v>
      </c>
      <c r="P85" s="6">
        <v>0.41379310344827586</v>
      </c>
      <c r="Q85" s="6">
        <v>0.46551724137931033</v>
      </c>
      <c r="R85" s="6">
        <v>1.2068965517241379</v>
      </c>
      <c r="S85" s="6">
        <v>3.9827586206896552</v>
      </c>
      <c r="T85" s="6">
        <v>4.3620689655172411</v>
      </c>
      <c r="U85" s="6">
        <v>3.827586206896552</v>
      </c>
      <c r="V85" s="6">
        <v>11.32758620689655</v>
      </c>
      <c r="W85" s="7"/>
      <c r="X85" s="5" t="s">
        <v>149</v>
      </c>
      <c r="Y85" s="9" t="s">
        <v>632</v>
      </c>
      <c r="Z85" s="5" t="s">
        <v>257</v>
      </c>
      <c r="AA85" s="109" t="s">
        <v>676</v>
      </c>
      <c r="AB85" s="110" t="s">
        <v>149</v>
      </c>
      <c r="AC85" s="111" t="s">
        <v>632</v>
      </c>
      <c r="AD85" s="109">
        <v>44434</v>
      </c>
    </row>
    <row r="86" spans="1:30" ht="15.5" x14ac:dyDescent="0.35">
      <c r="A86" s="5" t="s">
        <v>682</v>
      </c>
      <c r="B86" s="5" t="s">
        <v>683</v>
      </c>
      <c r="C86" s="5" t="s">
        <v>684</v>
      </c>
      <c r="D86" s="5" t="s">
        <v>41</v>
      </c>
      <c r="E86" s="8">
        <v>35447</v>
      </c>
      <c r="F86" s="5" t="s">
        <v>168</v>
      </c>
      <c r="G86" s="5" t="s">
        <v>169</v>
      </c>
      <c r="H86" s="5"/>
      <c r="I86" s="108">
        <v>2.9958677685950401</v>
      </c>
      <c r="J86" s="6">
        <v>0.89655172413793116</v>
      </c>
      <c r="K86" s="6">
        <v>4.2413793103448283</v>
      </c>
      <c r="L86" s="6">
        <v>5.8103448275862091</v>
      </c>
      <c r="M86" s="6">
        <v>1.1896551724137929</v>
      </c>
      <c r="N86" s="6">
        <v>5.8620689655172429</v>
      </c>
      <c r="O86" s="6">
        <v>4.4655172413793123</v>
      </c>
      <c r="P86" s="6">
        <v>1.5862068965517238</v>
      </c>
      <c r="Q86" s="6">
        <v>0.22413793103448276</v>
      </c>
      <c r="R86" s="6">
        <v>0.65517241379310343</v>
      </c>
      <c r="S86" s="6">
        <v>0.20689655172413793</v>
      </c>
      <c r="T86" s="6">
        <v>5.1724137931034482E-2</v>
      </c>
      <c r="U86" s="6">
        <v>11.224137931034498</v>
      </c>
      <c r="V86" s="6">
        <v>9.2413793103448345</v>
      </c>
      <c r="W86" s="7"/>
      <c r="X86" s="5" t="s">
        <v>408</v>
      </c>
      <c r="Y86" s="9" t="s">
        <v>632</v>
      </c>
      <c r="Z86" s="5" t="s">
        <v>677</v>
      </c>
      <c r="AA86" s="109" t="s">
        <v>685</v>
      </c>
      <c r="AB86" s="110" t="s">
        <v>170</v>
      </c>
      <c r="AC86" s="111"/>
      <c r="AD86" s="109"/>
    </row>
    <row r="87" spans="1:30" ht="15.5" x14ac:dyDescent="0.35">
      <c r="A87" s="5" t="s">
        <v>402</v>
      </c>
      <c r="B87" s="5" t="s">
        <v>403</v>
      </c>
      <c r="C87" s="5" t="s">
        <v>404</v>
      </c>
      <c r="D87" s="5" t="s">
        <v>160</v>
      </c>
      <c r="E87" s="8">
        <v>78380</v>
      </c>
      <c r="F87" s="5" t="s">
        <v>628</v>
      </c>
      <c r="G87" s="5" t="s">
        <v>210</v>
      </c>
      <c r="H87" s="5" t="s">
        <v>4</v>
      </c>
      <c r="I87" s="108">
        <v>3.2446808510638299</v>
      </c>
      <c r="J87" s="6">
        <v>5.8103448275862055</v>
      </c>
      <c r="K87" s="6">
        <v>4.1034482758620676</v>
      </c>
      <c r="L87" s="6">
        <v>1.4655172413793105</v>
      </c>
      <c r="M87" s="6">
        <v>0.55172413793103448</v>
      </c>
      <c r="N87" s="6">
        <v>3.9655172413793101</v>
      </c>
      <c r="O87" s="6">
        <v>6</v>
      </c>
      <c r="P87" s="6">
        <v>0.25862068965517243</v>
      </c>
      <c r="Q87" s="6">
        <v>1.7068965517241381</v>
      </c>
      <c r="R87" s="6">
        <v>0.93103448275862066</v>
      </c>
      <c r="S87" s="6">
        <v>0.93103448275862066</v>
      </c>
      <c r="T87" s="6">
        <v>0.27586206896551724</v>
      </c>
      <c r="U87" s="6">
        <v>9.7931034482758701</v>
      </c>
      <c r="V87" s="6">
        <v>8.379310344827589</v>
      </c>
      <c r="W87" s="7"/>
      <c r="X87" s="5" t="s">
        <v>408</v>
      </c>
      <c r="Y87" s="9" t="s">
        <v>632</v>
      </c>
      <c r="Z87" s="5" t="s">
        <v>677</v>
      </c>
      <c r="AA87" s="109" t="s">
        <v>686</v>
      </c>
      <c r="AB87" s="110" t="s">
        <v>149</v>
      </c>
      <c r="AC87" s="111" t="s">
        <v>211</v>
      </c>
      <c r="AD87" s="109">
        <v>43839</v>
      </c>
    </row>
    <row r="88" spans="1:30" ht="15.5" x14ac:dyDescent="0.35">
      <c r="A88" s="5" t="s">
        <v>417</v>
      </c>
      <c r="B88" s="5" t="s">
        <v>418</v>
      </c>
      <c r="C88" s="5" t="s">
        <v>419</v>
      </c>
      <c r="D88" s="5" t="s">
        <v>239</v>
      </c>
      <c r="E88" s="8">
        <v>34112</v>
      </c>
      <c r="F88" s="5" t="s">
        <v>27</v>
      </c>
      <c r="G88" s="5" t="s">
        <v>169</v>
      </c>
      <c r="H88" s="5" t="s">
        <v>148</v>
      </c>
      <c r="I88" s="108">
        <v>3.1139240506329098</v>
      </c>
      <c r="J88" s="6">
        <v>6.0172413793103496</v>
      </c>
      <c r="K88" s="6">
        <v>2.5000000000000009</v>
      </c>
      <c r="L88" s="6">
        <v>1.6034482758620687</v>
      </c>
      <c r="M88" s="6">
        <v>0.72413793103448265</v>
      </c>
      <c r="N88" s="6">
        <v>6.1206896551724173</v>
      </c>
      <c r="O88" s="6">
        <v>4.3793103448275872</v>
      </c>
      <c r="P88" s="6">
        <v>0.18965517241379309</v>
      </c>
      <c r="Q88" s="6">
        <v>0.15517241379310345</v>
      </c>
      <c r="R88" s="6">
        <v>0.10344827586206898</v>
      </c>
      <c r="S88" s="6">
        <v>0.86206896551724144</v>
      </c>
      <c r="T88" s="6">
        <v>1.1379310344827587</v>
      </c>
      <c r="U88" s="6">
        <v>8.7413793103448416</v>
      </c>
      <c r="V88" s="6">
        <v>4.9137931034482785</v>
      </c>
      <c r="W88" s="7"/>
      <c r="X88" s="5" t="s">
        <v>408</v>
      </c>
      <c r="Y88" s="9" t="s">
        <v>632</v>
      </c>
      <c r="Z88" s="5" t="s">
        <v>677</v>
      </c>
      <c r="AA88" s="109" t="s">
        <v>634</v>
      </c>
      <c r="AB88" s="110" t="s">
        <v>149</v>
      </c>
      <c r="AC88" s="111" t="s">
        <v>247</v>
      </c>
      <c r="AD88" s="109">
        <v>43503</v>
      </c>
    </row>
    <row r="89" spans="1:30" ht="15.5" x14ac:dyDescent="0.35">
      <c r="A89" s="5" t="s">
        <v>439</v>
      </c>
      <c r="B89" s="5" t="s">
        <v>440</v>
      </c>
      <c r="C89" s="5" t="s">
        <v>441</v>
      </c>
      <c r="D89" s="5" t="s">
        <v>366</v>
      </c>
      <c r="E89" s="8">
        <v>52401</v>
      </c>
      <c r="F89" s="5" t="s">
        <v>281</v>
      </c>
      <c r="G89" s="5" t="s">
        <v>210</v>
      </c>
      <c r="H89" s="5" t="s">
        <v>148</v>
      </c>
      <c r="I89" s="108">
        <v>21.571428571428601</v>
      </c>
      <c r="J89" s="6">
        <v>1.2241379310344827</v>
      </c>
      <c r="K89" s="6">
        <v>0.75862068965517238</v>
      </c>
      <c r="L89" s="6">
        <v>5</v>
      </c>
      <c r="M89" s="6">
        <v>3.7586206896551726</v>
      </c>
      <c r="N89" s="6">
        <v>9.017241379310347</v>
      </c>
      <c r="O89" s="6">
        <v>1.5</v>
      </c>
      <c r="P89" s="6">
        <v>0.22413793103448276</v>
      </c>
      <c r="Q89" s="6">
        <v>0</v>
      </c>
      <c r="R89" s="6">
        <v>4.8448275862068959</v>
      </c>
      <c r="S89" s="6">
        <v>0.17241379310344829</v>
      </c>
      <c r="T89" s="6">
        <v>1.6206896551724139</v>
      </c>
      <c r="U89" s="6">
        <v>4.1034482758620685</v>
      </c>
      <c r="V89" s="6">
        <v>10.155172413793103</v>
      </c>
      <c r="W89" s="7"/>
      <c r="X89" s="5" t="s">
        <v>408</v>
      </c>
      <c r="Y89" s="9" t="s">
        <v>632</v>
      </c>
      <c r="Z89" s="5" t="s">
        <v>677</v>
      </c>
      <c r="AA89" s="109" t="s">
        <v>687</v>
      </c>
      <c r="AB89" s="110" t="s">
        <v>149</v>
      </c>
      <c r="AC89" s="111" t="s">
        <v>247</v>
      </c>
      <c r="AD89" s="109">
        <v>43636</v>
      </c>
    </row>
    <row r="90" spans="1:30" ht="15.5" x14ac:dyDescent="0.35">
      <c r="A90" s="5" t="s">
        <v>413</v>
      </c>
      <c r="B90" s="5" t="s">
        <v>414</v>
      </c>
      <c r="C90" s="5" t="s">
        <v>415</v>
      </c>
      <c r="D90" s="5" t="s">
        <v>303</v>
      </c>
      <c r="E90" s="8">
        <v>89512</v>
      </c>
      <c r="F90" s="5" t="s">
        <v>304</v>
      </c>
      <c r="G90" s="5" t="s">
        <v>210</v>
      </c>
      <c r="H90" s="5" t="s">
        <v>148</v>
      </c>
      <c r="I90" s="108">
        <v>16.133333333333301</v>
      </c>
      <c r="J90" s="6">
        <v>0.67241379310344829</v>
      </c>
      <c r="K90" s="6">
        <v>2.3275862068965516</v>
      </c>
      <c r="L90" s="6">
        <v>1.9137931034482758</v>
      </c>
      <c r="M90" s="6">
        <v>4.2586206896551726</v>
      </c>
      <c r="N90" s="6">
        <v>7.6379310344827562</v>
      </c>
      <c r="O90" s="6">
        <v>0.9137931034482758</v>
      </c>
      <c r="P90" s="6">
        <v>0.62068965517241381</v>
      </c>
      <c r="Q90" s="6">
        <v>0</v>
      </c>
      <c r="R90" s="6">
        <v>3.603448275862069</v>
      </c>
      <c r="S90" s="6">
        <v>0.31034482758620691</v>
      </c>
      <c r="T90" s="6">
        <v>0.72413793103448276</v>
      </c>
      <c r="U90" s="6">
        <v>4.5344827586206895</v>
      </c>
      <c r="V90" s="6">
        <v>7.8965517241379297</v>
      </c>
      <c r="W90" s="7"/>
      <c r="X90" s="5" t="s">
        <v>408</v>
      </c>
      <c r="Y90" s="9" t="s">
        <v>632</v>
      </c>
      <c r="Z90" s="5" t="s">
        <v>677</v>
      </c>
      <c r="AA90" s="109" t="s">
        <v>688</v>
      </c>
      <c r="AB90" s="110" t="s">
        <v>149</v>
      </c>
      <c r="AC90" s="111" t="s">
        <v>247</v>
      </c>
      <c r="AD90" s="109">
        <v>44119</v>
      </c>
    </row>
    <row r="91" spans="1:30" ht="15.5" x14ac:dyDescent="0.35">
      <c r="A91" s="5" t="s">
        <v>387</v>
      </c>
      <c r="B91" s="5" t="s">
        <v>388</v>
      </c>
      <c r="C91" s="5" t="s">
        <v>389</v>
      </c>
      <c r="D91" s="5" t="s">
        <v>390</v>
      </c>
      <c r="E91" s="8">
        <v>27253</v>
      </c>
      <c r="F91" s="5" t="s">
        <v>157</v>
      </c>
      <c r="G91" s="5" t="s">
        <v>169</v>
      </c>
      <c r="H91" s="5" t="s">
        <v>148</v>
      </c>
      <c r="I91" s="108">
        <v>1.89247311827957</v>
      </c>
      <c r="J91" s="6">
        <v>1.2413793103448274</v>
      </c>
      <c r="K91" s="6">
        <v>1.8448275862068964</v>
      </c>
      <c r="L91" s="6">
        <v>2.2068965517241366</v>
      </c>
      <c r="M91" s="6">
        <v>2.5689655172413794</v>
      </c>
      <c r="N91" s="6">
        <v>6.206896551724145</v>
      </c>
      <c r="O91" s="6">
        <v>1.6379310344827585</v>
      </c>
      <c r="P91" s="6">
        <v>1.7241379310344827E-2</v>
      </c>
      <c r="Q91" s="6">
        <v>0</v>
      </c>
      <c r="R91" s="6">
        <v>0.32758620689655171</v>
      </c>
      <c r="S91" s="6">
        <v>0.20689655172413793</v>
      </c>
      <c r="T91" s="6">
        <v>0</v>
      </c>
      <c r="U91" s="6">
        <v>7.3275862068965649</v>
      </c>
      <c r="V91" s="6">
        <v>5.4827586206896619</v>
      </c>
      <c r="W91" s="7">
        <v>50</v>
      </c>
      <c r="X91" s="5" t="s">
        <v>149</v>
      </c>
      <c r="Y91" s="9" t="s">
        <v>247</v>
      </c>
      <c r="Z91" s="5" t="s">
        <v>257</v>
      </c>
      <c r="AA91" s="109" t="s">
        <v>689</v>
      </c>
      <c r="AB91" s="110" t="s">
        <v>149</v>
      </c>
      <c r="AC91" s="111" t="s">
        <v>247</v>
      </c>
      <c r="AD91" s="109">
        <v>44364</v>
      </c>
    </row>
    <row r="92" spans="1:30" ht="15.5" x14ac:dyDescent="0.35">
      <c r="A92" s="5" t="s">
        <v>19</v>
      </c>
      <c r="B92" s="5" t="s">
        <v>354</v>
      </c>
      <c r="C92" s="5" t="s">
        <v>355</v>
      </c>
      <c r="D92" s="5" t="s">
        <v>320</v>
      </c>
      <c r="E92" s="8">
        <v>48161</v>
      </c>
      <c r="F92" s="5" t="s">
        <v>315</v>
      </c>
      <c r="G92" s="5" t="s">
        <v>169</v>
      </c>
      <c r="H92" s="5" t="s">
        <v>4</v>
      </c>
      <c r="I92" s="108">
        <v>25</v>
      </c>
      <c r="J92" s="6">
        <v>1.3793103448275863</v>
      </c>
      <c r="K92" s="6">
        <v>1.2241379310344827</v>
      </c>
      <c r="L92" s="6">
        <v>4.0344827586206904</v>
      </c>
      <c r="M92" s="6">
        <v>0.89655172413793105</v>
      </c>
      <c r="N92" s="6">
        <v>7.362068965517242</v>
      </c>
      <c r="O92" s="6">
        <v>0.17241379310344829</v>
      </c>
      <c r="P92" s="6">
        <v>0</v>
      </c>
      <c r="Q92" s="6">
        <v>0</v>
      </c>
      <c r="R92" s="6">
        <v>5.5862068965517242</v>
      </c>
      <c r="S92" s="6">
        <v>1.1896551724137931</v>
      </c>
      <c r="T92" s="6">
        <v>0</v>
      </c>
      <c r="U92" s="6">
        <v>0.75862068965517249</v>
      </c>
      <c r="V92" s="6">
        <v>7.3448275862068977</v>
      </c>
      <c r="W92" s="7"/>
      <c r="X92" s="5" t="s">
        <v>149</v>
      </c>
      <c r="Y92" s="9" t="s">
        <v>632</v>
      </c>
      <c r="Z92" s="5" t="s">
        <v>257</v>
      </c>
      <c r="AA92" s="109" t="s">
        <v>690</v>
      </c>
      <c r="AB92" s="110" t="s">
        <v>149</v>
      </c>
      <c r="AC92" s="111" t="s">
        <v>632</v>
      </c>
      <c r="AD92" s="109">
        <v>44420</v>
      </c>
    </row>
    <row r="93" spans="1:30" ht="15.5" x14ac:dyDescent="0.35">
      <c r="A93" s="5" t="s">
        <v>432</v>
      </c>
      <c r="B93" s="5" t="s">
        <v>433</v>
      </c>
      <c r="C93" s="5" t="s">
        <v>434</v>
      </c>
      <c r="D93" s="5" t="s">
        <v>435</v>
      </c>
      <c r="E93" s="8">
        <v>96910</v>
      </c>
      <c r="F93" s="5" t="s">
        <v>273</v>
      </c>
      <c r="G93" s="5" t="s">
        <v>210</v>
      </c>
      <c r="H93" s="5" t="s">
        <v>148</v>
      </c>
      <c r="I93" s="108"/>
      <c r="J93" s="6">
        <v>0</v>
      </c>
      <c r="K93" s="6">
        <v>0.41379310344827586</v>
      </c>
      <c r="L93" s="6">
        <v>4.4827586206896548</v>
      </c>
      <c r="M93" s="6">
        <v>2.6379310344827585</v>
      </c>
      <c r="N93" s="6">
        <v>7.5344827586206886</v>
      </c>
      <c r="O93" s="6">
        <v>0</v>
      </c>
      <c r="P93" s="6">
        <v>0</v>
      </c>
      <c r="Q93" s="6">
        <v>0</v>
      </c>
      <c r="R93" s="6">
        <v>7.1206896551724128</v>
      </c>
      <c r="S93" s="6">
        <v>0.41379310344827586</v>
      </c>
      <c r="T93" s="6">
        <v>0</v>
      </c>
      <c r="U93" s="6">
        <v>0</v>
      </c>
      <c r="V93" s="6">
        <v>6.6896551724137927</v>
      </c>
      <c r="W93" s="7"/>
      <c r="X93" s="5" t="s">
        <v>170</v>
      </c>
      <c r="Y93" s="9"/>
      <c r="Z93" s="5"/>
      <c r="AA93" s="109"/>
      <c r="AB93" s="110" t="s">
        <v>170</v>
      </c>
      <c r="AC93" s="111"/>
      <c r="AD93" s="109"/>
    </row>
    <row r="94" spans="1:30" ht="15.5" x14ac:dyDescent="0.35">
      <c r="A94" s="5" t="s">
        <v>422</v>
      </c>
      <c r="B94" s="5" t="s">
        <v>691</v>
      </c>
      <c r="C94" s="5" t="s">
        <v>423</v>
      </c>
      <c r="D94" s="5" t="s">
        <v>412</v>
      </c>
      <c r="E94" s="8">
        <v>84737</v>
      </c>
      <c r="F94" s="5" t="s">
        <v>304</v>
      </c>
      <c r="G94" s="5" t="s">
        <v>210</v>
      </c>
      <c r="H94" s="5" t="s">
        <v>148</v>
      </c>
      <c r="I94" s="108">
        <v>6.7647058823529402</v>
      </c>
      <c r="J94" s="6">
        <v>0</v>
      </c>
      <c r="K94" s="6">
        <v>2.5689655172413794</v>
      </c>
      <c r="L94" s="6">
        <v>3.8103448275862073</v>
      </c>
      <c r="M94" s="6">
        <v>0.77586206896551724</v>
      </c>
      <c r="N94" s="6">
        <v>6.0344827586206895</v>
      </c>
      <c r="O94" s="6">
        <v>0.65517241379310343</v>
      </c>
      <c r="P94" s="6">
        <v>0.46551724137931033</v>
      </c>
      <c r="Q94" s="6">
        <v>0</v>
      </c>
      <c r="R94" s="6">
        <v>2.6724137931034484</v>
      </c>
      <c r="S94" s="6">
        <v>0.77586206896551724</v>
      </c>
      <c r="T94" s="6">
        <v>0.31034482758620691</v>
      </c>
      <c r="U94" s="6">
        <v>3.3965517241379315</v>
      </c>
      <c r="V94" s="6">
        <v>6.2241379310344822</v>
      </c>
      <c r="W94" s="7"/>
      <c r="X94" s="5" t="s">
        <v>408</v>
      </c>
      <c r="Y94" s="9" t="s">
        <v>632</v>
      </c>
      <c r="Z94" s="5" t="s">
        <v>677</v>
      </c>
      <c r="AA94" s="109" t="s">
        <v>641</v>
      </c>
      <c r="AB94" s="110" t="s">
        <v>408</v>
      </c>
      <c r="AC94" s="111" t="s">
        <v>247</v>
      </c>
      <c r="AD94" s="109">
        <v>43358</v>
      </c>
    </row>
    <row r="95" spans="1:30" ht="15.5" x14ac:dyDescent="0.35">
      <c r="A95" s="5" t="s">
        <v>399</v>
      </c>
      <c r="B95" s="5" t="s">
        <v>400</v>
      </c>
      <c r="C95" s="5" t="s">
        <v>401</v>
      </c>
      <c r="D95" s="5" t="s">
        <v>320</v>
      </c>
      <c r="E95" s="8">
        <v>49783</v>
      </c>
      <c r="F95" s="5" t="s">
        <v>315</v>
      </c>
      <c r="G95" s="5" t="s">
        <v>169</v>
      </c>
      <c r="H95" s="5" t="s">
        <v>148</v>
      </c>
      <c r="I95" s="108"/>
      <c r="J95" s="6">
        <v>1.103448275862069</v>
      </c>
      <c r="K95" s="6">
        <v>1.4655172413793103</v>
      </c>
      <c r="L95" s="6">
        <v>1.3620689655172413</v>
      </c>
      <c r="M95" s="6">
        <v>2.8793103448275863</v>
      </c>
      <c r="N95" s="6">
        <v>6.0172413793103452</v>
      </c>
      <c r="O95" s="6">
        <v>0.7931034482758621</v>
      </c>
      <c r="P95" s="6">
        <v>0</v>
      </c>
      <c r="Q95" s="6">
        <v>0</v>
      </c>
      <c r="R95" s="6">
        <v>2.396551724137931</v>
      </c>
      <c r="S95" s="6">
        <v>0</v>
      </c>
      <c r="T95" s="6">
        <v>1.4310344827586206</v>
      </c>
      <c r="U95" s="6">
        <v>2.9827586206896552</v>
      </c>
      <c r="V95" s="6">
        <v>6</v>
      </c>
      <c r="W95" s="7"/>
      <c r="X95" s="5" t="s">
        <v>149</v>
      </c>
      <c r="Y95" s="9" t="s">
        <v>632</v>
      </c>
      <c r="Z95" s="5" t="s">
        <v>257</v>
      </c>
      <c r="AA95" s="109" t="s">
        <v>692</v>
      </c>
      <c r="AB95" s="110" t="s">
        <v>149</v>
      </c>
      <c r="AC95" s="111" t="s">
        <v>247</v>
      </c>
      <c r="AD95" s="109">
        <v>43552</v>
      </c>
    </row>
    <row r="96" spans="1:30" ht="15.5" x14ac:dyDescent="0.35">
      <c r="A96" s="5" t="s">
        <v>693</v>
      </c>
      <c r="B96" s="5" t="s">
        <v>694</v>
      </c>
      <c r="C96" s="5" t="s">
        <v>695</v>
      </c>
      <c r="D96" s="5" t="s">
        <v>426</v>
      </c>
      <c r="E96" s="8">
        <v>965</v>
      </c>
      <c r="F96" s="5" t="s">
        <v>27</v>
      </c>
      <c r="G96" s="5" t="s">
        <v>287</v>
      </c>
      <c r="H96" s="5" t="s">
        <v>148</v>
      </c>
      <c r="I96" s="108">
        <v>1.89090909090909</v>
      </c>
      <c r="J96" s="6">
        <v>6.1379310344827696</v>
      </c>
      <c r="K96" s="6">
        <v>6.8965517241379309E-2</v>
      </c>
      <c r="L96" s="6">
        <v>5.1724137931034482E-2</v>
      </c>
      <c r="M96" s="6">
        <v>0</v>
      </c>
      <c r="N96" s="6">
        <v>8.6206896551724144E-2</v>
      </c>
      <c r="O96" s="6">
        <v>4.7413793103448318</v>
      </c>
      <c r="P96" s="6">
        <v>1.7241379310344827E-2</v>
      </c>
      <c r="Q96" s="6">
        <v>1.4137931034482754</v>
      </c>
      <c r="R96" s="6">
        <v>0</v>
      </c>
      <c r="S96" s="6">
        <v>1.7241379310344827E-2</v>
      </c>
      <c r="T96" s="6">
        <v>0</v>
      </c>
      <c r="U96" s="6">
        <v>6.2413793103448389</v>
      </c>
      <c r="V96" s="6">
        <v>5.0862068965517295</v>
      </c>
      <c r="W96" s="7"/>
      <c r="X96" s="5" t="s">
        <v>170</v>
      </c>
      <c r="Y96" s="9"/>
      <c r="Z96" s="5"/>
      <c r="AA96" s="109"/>
      <c r="AB96" s="110" t="s">
        <v>170</v>
      </c>
      <c r="AC96" s="111"/>
      <c r="AD96" s="109"/>
    </row>
    <row r="97" spans="1:30" ht="15.5" x14ac:dyDescent="0.35">
      <c r="A97" s="5" t="s">
        <v>43</v>
      </c>
      <c r="B97" s="5" t="s">
        <v>424</v>
      </c>
      <c r="C97" s="5" t="s">
        <v>425</v>
      </c>
      <c r="D97" s="5" t="s">
        <v>426</v>
      </c>
      <c r="E97" s="8">
        <v>939</v>
      </c>
      <c r="F97" s="5" t="s">
        <v>27</v>
      </c>
      <c r="G97" s="5" t="s">
        <v>395</v>
      </c>
      <c r="H97" s="5" t="s">
        <v>148</v>
      </c>
      <c r="I97" s="108">
        <v>12.133333333333301</v>
      </c>
      <c r="J97" s="6">
        <v>0</v>
      </c>
      <c r="K97" s="6">
        <v>1.7241379310344827</v>
      </c>
      <c r="L97" s="6">
        <v>3.1551724137931032</v>
      </c>
      <c r="M97" s="6">
        <v>1</v>
      </c>
      <c r="N97" s="6">
        <v>3.8965517241379324</v>
      </c>
      <c r="O97" s="6">
        <v>1.3448275862068966</v>
      </c>
      <c r="P97" s="6">
        <v>0.44827586206896552</v>
      </c>
      <c r="Q97" s="6">
        <v>0.18965517241379309</v>
      </c>
      <c r="R97" s="6">
        <v>0.32758620689655171</v>
      </c>
      <c r="S97" s="6">
        <v>0.24137931034482762</v>
      </c>
      <c r="T97" s="6">
        <v>0</v>
      </c>
      <c r="U97" s="6">
        <v>5.3103448275862082</v>
      </c>
      <c r="V97" s="6">
        <v>4.9655172413793105</v>
      </c>
      <c r="W97" s="7"/>
      <c r="X97" s="5" t="s">
        <v>149</v>
      </c>
      <c r="Y97" s="9" t="s">
        <v>247</v>
      </c>
      <c r="Z97" s="5" t="s">
        <v>248</v>
      </c>
      <c r="AA97" s="109" t="s">
        <v>427</v>
      </c>
      <c r="AB97" s="110" t="s">
        <v>149</v>
      </c>
      <c r="AC97" s="111" t="s">
        <v>247</v>
      </c>
      <c r="AD97" s="109">
        <v>39241</v>
      </c>
    </row>
    <row r="98" spans="1:30" ht="15.5" x14ac:dyDescent="0.35">
      <c r="A98" s="5" t="s">
        <v>696</v>
      </c>
      <c r="B98" s="5" t="s">
        <v>697</v>
      </c>
      <c r="C98" s="5" t="s">
        <v>698</v>
      </c>
      <c r="D98" s="5" t="s">
        <v>450</v>
      </c>
      <c r="E98" s="8">
        <v>83647</v>
      </c>
      <c r="F98" s="5" t="s">
        <v>304</v>
      </c>
      <c r="G98" s="5" t="s">
        <v>210</v>
      </c>
      <c r="H98" s="5" t="s">
        <v>148</v>
      </c>
      <c r="I98" s="108">
        <v>5.25</v>
      </c>
      <c r="J98" s="6">
        <v>0.36206896551724138</v>
      </c>
      <c r="K98" s="6">
        <v>1.7241379310344829</v>
      </c>
      <c r="L98" s="6">
        <v>2.103448275862069</v>
      </c>
      <c r="M98" s="6">
        <v>0.89655172413793105</v>
      </c>
      <c r="N98" s="6">
        <v>4.3965517241379306</v>
      </c>
      <c r="O98" s="6">
        <v>0.67241379310344829</v>
      </c>
      <c r="P98" s="6">
        <v>1.7241379310344827E-2</v>
      </c>
      <c r="Q98" s="6">
        <v>0</v>
      </c>
      <c r="R98" s="6">
        <v>0.81034482758620685</v>
      </c>
      <c r="S98" s="6">
        <v>0.89655172413793116</v>
      </c>
      <c r="T98" s="6">
        <v>0.63793103448275867</v>
      </c>
      <c r="U98" s="6">
        <v>2.7413793103448278</v>
      </c>
      <c r="V98" s="6">
        <v>3.7241379310344827</v>
      </c>
      <c r="W98" s="7"/>
      <c r="X98" s="5" t="s">
        <v>408</v>
      </c>
      <c r="Y98" s="9" t="s">
        <v>632</v>
      </c>
      <c r="Z98" s="5" t="s">
        <v>677</v>
      </c>
      <c r="AA98" s="109" t="s">
        <v>699</v>
      </c>
      <c r="AB98" s="110" t="s">
        <v>408</v>
      </c>
      <c r="AC98" s="111" t="s">
        <v>247</v>
      </c>
      <c r="AD98" s="109">
        <v>43360</v>
      </c>
    </row>
    <row r="99" spans="1:30" ht="15.5" x14ac:dyDescent="0.35">
      <c r="A99" s="5" t="s">
        <v>700</v>
      </c>
      <c r="B99" s="5" t="s">
        <v>701</v>
      </c>
      <c r="C99" s="5" t="s">
        <v>702</v>
      </c>
      <c r="D99" s="5" t="s">
        <v>179</v>
      </c>
      <c r="E99" s="8">
        <v>39520</v>
      </c>
      <c r="F99" s="5" t="s">
        <v>168</v>
      </c>
      <c r="G99" s="5" t="s">
        <v>169</v>
      </c>
      <c r="H99" s="5"/>
      <c r="I99" s="108">
        <v>2.1619718309859199</v>
      </c>
      <c r="J99" s="6">
        <v>1.2931034482758623</v>
      </c>
      <c r="K99" s="6">
        <v>1.1896551724137929</v>
      </c>
      <c r="L99" s="6">
        <v>1.5517241379310347</v>
      </c>
      <c r="M99" s="6">
        <v>0.56896551724137923</v>
      </c>
      <c r="N99" s="6">
        <v>1.7586206896551724</v>
      </c>
      <c r="O99" s="6">
        <v>2.6034482758620681</v>
      </c>
      <c r="P99" s="6">
        <v>6.8965517241379309E-2</v>
      </c>
      <c r="Q99" s="6">
        <v>0.17241379310344829</v>
      </c>
      <c r="R99" s="6">
        <v>3.4482758620689655E-2</v>
      </c>
      <c r="S99" s="6">
        <v>3.4482758620689655E-2</v>
      </c>
      <c r="T99" s="6">
        <v>0.10344827586206898</v>
      </c>
      <c r="U99" s="6">
        <v>4.4310344827586201</v>
      </c>
      <c r="V99" s="6">
        <v>2.9310344827586201</v>
      </c>
      <c r="W99" s="7"/>
      <c r="X99" s="5" t="s">
        <v>408</v>
      </c>
      <c r="Y99" s="9" t="s">
        <v>632</v>
      </c>
      <c r="Z99" s="5" t="s">
        <v>677</v>
      </c>
      <c r="AA99" s="109" t="s">
        <v>703</v>
      </c>
      <c r="AB99" s="110" t="s">
        <v>170</v>
      </c>
      <c r="AC99" s="111"/>
      <c r="AD99" s="109"/>
    </row>
    <row r="100" spans="1:30" ht="15.5" x14ac:dyDescent="0.35">
      <c r="A100" s="5" t="s">
        <v>391</v>
      </c>
      <c r="B100" s="5" t="s">
        <v>392</v>
      </c>
      <c r="C100" s="5" t="s">
        <v>393</v>
      </c>
      <c r="D100" s="5" t="s">
        <v>394</v>
      </c>
      <c r="E100" s="8">
        <v>96819</v>
      </c>
      <c r="F100" s="5" t="s">
        <v>273</v>
      </c>
      <c r="G100" s="5" t="s">
        <v>395</v>
      </c>
      <c r="H100" s="5" t="s">
        <v>148</v>
      </c>
      <c r="I100" s="108"/>
      <c r="J100" s="6">
        <v>1.2413793103448276</v>
      </c>
      <c r="K100" s="6">
        <v>2.1379310344827589</v>
      </c>
      <c r="L100" s="6">
        <v>6.8965517241379309E-2</v>
      </c>
      <c r="M100" s="6">
        <v>1.0172413793103448</v>
      </c>
      <c r="N100" s="6">
        <v>3.1896551724137931</v>
      </c>
      <c r="O100" s="6">
        <v>0.67241379310344829</v>
      </c>
      <c r="P100" s="6">
        <v>0</v>
      </c>
      <c r="Q100" s="6">
        <v>0.60344827586206895</v>
      </c>
      <c r="R100" s="6">
        <v>3.1206896551724137</v>
      </c>
      <c r="S100" s="6">
        <v>0</v>
      </c>
      <c r="T100" s="6">
        <v>0</v>
      </c>
      <c r="U100" s="6">
        <v>1.3448275862068966</v>
      </c>
      <c r="V100" s="6">
        <v>4.3793103448275854</v>
      </c>
      <c r="W100" s="7"/>
      <c r="X100" s="5" t="s">
        <v>170</v>
      </c>
      <c r="Y100" s="9"/>
      <c r="Z100" s="5"/>
      <c r="AA100" s="109"/>
      <c r="AB100" s="110" t="s">
        <v>170</v>
      </c>
      <c r="AC100" s="111"/>
      <c r="AD100" s="109"/>
    </row>
    <row r="101" spans="1:30" ht="15.5" x14ac:dyDescent="0.35">
      <c r="A101" s="5" t="s">
        <v>442</v>
      </c>
      <c r="B101" s="5" t="s">
        <v>443</v>
      </c>
      <c r="C101" s="5" t="s">
        <v>444</v>
      </c>
      <c r="D101" s="5" t="s">
        <v>445</v>
      </c>
      <c r="E101" s="8">
        <v>25309</v>
      </c>
      <c r="F101" s="5" t="s">
        <v>250</v>
      </c>
      <c r="G101" s="5" t="s">
        <v>210</v>
      </c>
      <c r="H101" s="5" t="s">
        <v>148</v>
      </c>
      <c r="I101" s="108">
        <v>7</v>
      </c>
      <c r="J101" s="6">
        <v>0</v>
      </c>
      <c r="K101" s="6">
        <v>0</v>
      </c>
      <c r="L101" s="6">
        <v>3.7413793103448287</v>
      </c>
      <c r="M101" s="6">
        <v>0</v>
      </c>
      <c r="N101" s="6">
        <v>3.3448275862068972</v>
      </c>
      <c r="O101" s="6">
        <v>0.39655172413793105</v>
      </c>
      <c r="P101" s="6">
        <v>0</v>
      </c>
      <c r="Q101" s="6">
        <v>0</v>
      </c>
      <c r="R101" s="6">
        <v>1.1379310344827587</v>
      </c>
      <c r="S101" s="6">
        <v>0</v>
      </c>
      <c r="T101" s="6">
        <v>0</v>
      </c>
      <c r="U101" s="6">
        <v>2.6034482758620694</v>
      </c>
      <c r="V101" s="6">
        <v>3.5517241379310351</v>
      </c>
      <c r="W101" s="7"/>
      <c r="X101" s="5" t="s">
        <v>408</v>
      </c>
      <c r="Y101" s="9" t="s">
        <v>247</v>
      </c>
      <c r="Z101" s="5" t="s">
        <v>257</v>
      </c>
      <c r="AA101" s="109" t="s">
        <v>446</v>
      </c>
      <c r="AB101" s="110" t="s">
        <v>408</v>
      </c>
      <c r="AC101" s="111" t="s">
        <v>247</v>
      </c>
      <c r="AD101" s="109">
        <v>42996</v>
      </c>
    </row>
    <row r="102" spans="1:30" ht="15.5" x14ac:dyDescent="0.35">
      <c r="A102" s="5" t="s">
        <v>405</v>
      </c>
      <c r="B102" s="5" t="s">
        <v>406</v>
      </c>
      <c r="C102" s="5" t="s">
        <v>407</v>
      </c>
      <c r="D102" s="5" t="s">
        <v>156</v>
      </c>
      <c r="E102" s="8">
        <v>30250</v>
      </c>
      <c r="F102" s="5" t="s">
        <v>157</v>
      </c>
      <c r="G102" s="5" t="s">
        <v>184</v>
      </c>
      <c r="H102" s="5" t="s">
        <v>148</v>
      </c>
      <c r="I102" s="108">
        <v>3.60606060606061</v>
      </c>
      <c r="J102" s="6">
        <v>0.39655172413793105</v>
      </c>
      <c r="K102" s="6">
        <v>0.74137931034482762</v>
      </c>
      <c r="L102" s="6">
        <v>1.3793103448275859</v>
      </c>
      <c r="M102" s="6">
        <v>0.98275862068965514</v>
      </c>
      <c r="N102" s="6">
        <v>2.3965517241379302</v>
      </c>
      <c r="O102" s="6">
        <v>1.103448275862069</v>
      </c>
      <c r="P102" s="6">
        <v>0</v>
      </c>
      <c r="Q102" s="6">
        <v>0</v>
      </c>
      <c r="R102" s="6">
        <v>0.56896551724137934</v>
      </c>
      <c r="S102" s="6">
        <v>0.34482758620689657</v>
      </c>
      <c r="T102" s="6">
        <v>0</v>
      </c>
      <c r="U102" s="6">
        <v>2.5862068965517242</v>
      </c>
      <c r="V102" s="6">
        <v>2.6551724137931032</v>
      </c>
      <c r="W102" s="7"/>
      <c r="X102" s="5" t="s">
        <v>149</v>
      </c>
      <c r="Y102" s="9" t="s">
        <v>632</v>
      </c>
      <c r="Z102" s="5" t="s">
        <v>257</v>
      </c>
      <c r="AA102" s="109" t="s">
        <v>704</v>
      </c>
      <c r="AB102" s="110" t="s">
        <v>149</v>
      </c>
      <c r="AC102" s="111" t="s">
        <v>247</v>
      </c>
      <c r="AD102" s="109">
        <v>43804</v>
      </c>
    </row>
    <row r="103" spans="1:30" ht="15.5" x14ac:dyDescent="0.35">
      <c r="A103" s="5" t="s">
        <v>363</v>
      </c>
      <c r="B103" s="5" t="s">
        <v>364</v>
      </c>
      <c r="C103" s="5" t="s">
        <v>365</v>
      </c>
      <c r="D103" s="5" t="s">
        <v>300</v>
      </c>
      <c r="E103" s="8">
        <v>74103</v>
      </c>
      <c r="F103" s="5" t="s">
        <v>228</v>
      </c>
      <c r="G103" s="5" t="s">
        <v>169</v>
      </c>
      <c r="H103" s="5" t="s">
        <v>148</v>
      </c>
      <c r="I103" s="108">
        <v>2.2999999999999998</v>
      </c>
      <c r="J103" s="6">
        <v>0.89655172413793105</v>
      </c>
      <c r="K103" s="6">
        <v>0.86206896551724155</v>
      </c>
      <c r="L103" s="6">
        <v>0.96551724137931039</v>
      </c>
      <c r="M103" s="6">
        <v>0.72413793103448265</v>
      </c>
      <c r="N103" s="6">
        <v>2.672413793103448</v>
      </c>
      <c r="O103" s="6">
        <v>0.74137931034482785</v>
      </c>
      <c r="P103" s="6">
        <v>0</v>
      </c>
      <c r="Q103" s="6">
        <v>3.4482758620689655E-2</v>
      </c>
      <c r="R103" s="6">
        <v>0.43103448275862066</v>
      </c>
      <c r="S103" s="6">
        <v>0.2931034482758621</v>
      </c>
      <c r="T103" s="6">
        <v>0.27586206896551724</v>
      </c>
      <c r="U103" s="6">
        <v>2.4482758620689653</v>
      </c>
      <c r="V103" s="6">
        <v>1.7758620689655171</v>
      </c>
      <c r="W103" s="7"/>
      <c r="X103" s="5" t="s">
        <v>149</v>
      </c>
      <c r="Y103" s="9" t="s">
        <v>247</v>
      </c>
      <c r="Z103" s="5" t="s">
        <v>248</v>
      </c>
      <c r="AA103" s="109" t="s">
        <v>705</v>
      </c>
      <c r="AB103" s="110" t="s">
        <v>149</v>
      </c>
      <c r="AC103" s="111" t="s">
        <v>247</v>
      </c>
      <c r="AD103" s="109">
        <v>44187</v>
      </c>
    </row>
    <row r="104" spans="1:30" ht="15.5" x14ac:dyDescent="0.35">
      <c r="A104" s="5" t="s">
        <v>706</v>
      </c>
      <c r="B104" s="5" t="s">
        <v>707</v>
      </c>
      <c r="C104" s="5" t="s">
        <v>708</v>
      </c>
      <c r="D104" s="5" t="s">
        <v>709</v>
      </c>
      <c r="E104" s="8">
        <v>5488</v>
      </c>
      <c r="F104" s="5" t="s">
        <v>277</v>
      </c>
      <c r="G104" s="5" t="s">
        <v>210</v>
      </c>
      <c r="H104" s="5" t="s">
        <v>148</v>
      </c>
      <c r="I104" s="108">
        <v>1.9411764705882399</v>
      </c>
      <c r="J104" s="6">
        <v>2.6896551724137914</v>
      </c>
      <c r="K104" s="6">
        <v>0.25862068965517243</v>
      </c>
      <c r="L104" s="6">
        <v>0.15517241379310345</v>
      </c>
      <c r="M104" s="6">
        <v>0</v>
      </c>
      <c r="N104" s="6">
        <v>0.31034482758620685</v>
      </c>
      <c r="O104" s="6">
        <v>2.7931034482758608</v>
      </c>
      <c r="P104" s="6">
        <v>0</v>
      </c>
      <c r="Q104" s="6">
        <v>0</v>
      </c>
      <c r="R104" s="6">
        <v>0</v>
      </c>
      <c r="S104" s="6">
        <v>0</v>
      </c>
      <c r="T104" s="6">
        <v>0</v>
      </c>
      <c r="U104" s="6">
        <v>3.1034482758620663</v>
      </c>
      <c r="V104" s="6">
        <v>2.7931034482758612</v>
      </c>
      <c r="W104" s="7"/>
      <c r="X104" s="5" t="s">
        <v>408</v>
      </c>
      <c r="Y104" s="9" t="s">
        <v>247</v>
      </c>
      <c r="Z104" s="5" t="s">
        <v>257</v>
      </c>
      <c r="AA104" s="109" t="s">
        <v>710</v>
      </c>
      <c r="AB104" s="110" t="s">
        <v>408</v>
      </c>
      <c r="AC104" s="111" t="s">
        <v>247</v>
      </c>
      <c r="AD104" s="109">
        <v>42969</v>
      </c>
    </row>
    <row r="105" spans="1:30" ht="15.5" x14ac:dyDescent="0.35">
      <c r="A105" s="5" t="s">
        <v>711</v>
      </c>
      <c r="B105" s="5" t="s">
        <v>712</v>
      </c>
      <c r="C105" s="5" t="s">
        <v>713</v>
      </c>
      <c r="D105" s="5" t="s">
        <v>714</v>
      </c>
      <c r="E105" s="8">
        <v>4102</v>
      </c>
      <c r="F105" s="5" t="s">
        <v>277</v>
      </c>
      <c r="G105" s="5" t="s">
        <v>210</v>
      </c>
      <c r="H105" s="5" t="s">
        <v>148</v>
      </c>
      <c r="I105" s="108">
        <v>3.5</v>
      </c>
      <c r="J105" s="6">
        <v>2.6896551724137927</v>
      </c>
      <c r="K105" s="6">
        <v>0.24137931034482757</v>
      </c>
      <c r="L105" s="6">
        <v>0.10344827586206896</v>
      </c>
      <c r="M105" s="6">
        <v>5.1724137931034482E-2</v>
      </c>
      <c r="N105" s="6">
        <v>0.29310344827586204</v>
      </c>
      <c r="O105" s="6">
        <v>2.4310344827586201</v>
      </c>
      <c r="P105" s="6">
        <v>0</v>
      </c>
      <c r="Q105" s="6">
        <v>0.36206896551724144</v>
      </c>
      <c r="R105" s="6">
        <v>0</v>
      </c>
      <c r="S105" s="6">
        <v>0</v>
      </c>
      <c r="T105" s="6">
        <v>0.10344827586206896</v>
      </c>
      <c r="U105" s="6">
        <v>2.9827586206896544</v>
      </c>
      <c r="V105" s="6">
        <v>1.5344827586206893</v>
      </c>
      <c r="W105" s="7"/>
      <c r="X105" s="5" t="s">
        <v>408</v>
      </c>
      <c r="Y105" s="9" t="s">
        <v>632</v>
      </c>
      <c r="Z105" s="5"/>
      <c r="AA105" s="109" t="s">
        <v>715</v>
      </c>
      <c r="AB105" s="110" t="s">
        <v>408</v>
      </c>
      <c r="AC105" s="111" t="s">
        <v>247</v>
      </c>
      <c r="AD105" s="109">
        <v>43348</v>
      </c>
    </row>
    <row r="106" spans="1:30" ht="15.5" x14ac:dyDescent="0.35">
      <c r="A106" s="5" t="s">
        <v>716</v>
      </c>
      <c r="B106" s="5" t="s">
        <v>717</v>
      </c>
      <c r="C106" s="5" t="s">
        <v>718</v>
      </c>
      <c r="D106" s="5" t="s">
        <v>255</v>
      </c>
      <c r="E106" s="8">
        <v>12901</v>
      </c>
      <c r="F106" s="5" t="s">
        <v>256</v>
      </c>
      <c r="G106" s="5" t="s">
        <v>210</v>
      </c>
      <c r="H106" s="5" t="s">
        <v>148</v>
      </c>
      <c r="I106" s="108">
        <v>9.5161290322580605</v>
      </c>
      <c r="J106" s="6">
        <v>8.6206896551724144E-2</v>
      </c>
      <c r="K106" s="6">
        <v>1.6206896551724137</v>
      </c>
      <c r="L106" s="6">
        <v>0.17241379310344829</v>
      </c>
      <c r="M106" s="6">
        <v>1.0689655172413792</v>
      </c>
      <c r="N106" s="6">
        <v>1.4655172413793105</v>
      </c>
      <c r="O106" s="6">
        <v>0.48275862068965519</v>
      </c>
      <c r="P106" s="6">
        <v>1</v>
      </c>
      <c r="Q106" s="6">
        <v>0</v>
      </c>
      <c r="R106" s="6">
        <v>1</v>
      </c>
      <c r="S106" s="6">
        <v>0</v>
      </c>
      <c r="T106" s="6">
        <v>0</v>
      </c>
      <c r="U106" s="6">
        <v>1.9482758620689657</v>
      </c>
      <c r="V106" s="6">
        <v>1.7241379310344829</v>
      </c>
      <c r="W106" s="7"/>
      <c r="X106" s="5" t="s">
        <v>408</v>
      </c>
      <c r="Y106" s="9" t="s">
        <v>632</v>
      </c>
      <c r="Z106" s="5" t="s">
        <v>677</v>
      </c>
      <c r="AA106" s="109" t="s">
        <v>719</v>
      </c>
      <c r="AB106" s="110" t="s">
        <v>149</v>
      </c>
      <c r="AC106" s="111" t="s">
        <v>247</v>
      </c>
      <c r="AD106" s="109">
        <v>43398</v>
      </c>
    </row>
    <row r="107" spans="1:30" ht="15.5" x14ac:dyDescent="0.35">
      <c r="A107" s="5" t="s">
        <v>311</v>
      </c>
      <c r="B107" s="5" t="s">
        <v>312</v>
      </c>
      <c r="C107" s="5" t="s">
        <v>313</v>
      </c>
      <c r="D107" s="5" t="s">
        <v>145</v>
      </c>
      <c r="E107" s="8">
        <v>95901</v>
      </c>
      <c r="F107" s="5" t="s">
        <v>273</v>
      </c>
      <c r="G107" s="5" t="s">
        <v>169</v>
      </c>
      <c r="H107" s="5" t="s">
        <v>148</v>
      </c>
      <c r="I107" s="108"/>
      <c r="J107" s="6">
        <v>0</v>
      </c>
      <c r="K107" s="6">
        <v>0</v>
      </c>
      <c r="L107" s="6">
        <v>1.896551724137931</v>
      </c>
      <c r="M107" s="6">
        <v>0.93103448275862077</v>
      </c>
      <c r="N107" s="6">
        <v>2.8275862068965516</v>
      </c>
      <c r="O107" s="6">
        <v>0</v>
      </c>
      <c r="P107" s="6">
        <v>0</v>
      </c>
      <c r="Q107" s="6">
        <v>0</v>
      </c>
      <c r="R107" s="6">
        <v>2.3103448275862069</v>
      </c>
      <c r="S107" s="6">
        <v>0</v>
      </c>
      <c r="T107" s="6">
        <v>0</v>
      </c>
      <c r="U107" s="6">
        <v>0.51724137931034486</v>
      </c>
      <c r="V107" s="6">
        <v>2.8275862068965516</v>
      </c>
      <c r="W107" s="7">
        <v>150</v>
      </c>
      <c r="X107" s="5" t="s">
        <v>149</v>
      </c>
      <c r="Y107" s="9" t="s">
        <v>632</v>
      </c>
      <c r="Z107" s="5" t="s">
        <v>257</v>
      </c>
      <c r="AA107" s="109" t="s">
        <v>642</v>
      </c>
      <c r="AB107" s="110" t="s">
        <v>149</v>
      </c>
      <c r="AC107" s="111" t="s">
        <v>632</v>
      </c>
      <c r="AD107" s="109">
        <v>44195</v>
      </c>
    </row>
    <row r="108" spans="1:30" ht="15.5" x14ac:dyDescent="0.35">
      <c r="A108" s="5" t="s">
        <v>17</v>
      </c>
      <c r="B108" s="5" t="s">
        <v>278</v>
      </c>
      <c r="C108" s="5" t="s">
        <v>279</v>
      </c>
      <c r="D108" s="5" t="s">
        <v>280</v>
      </c>
      <c r="E108" s="8">
        <v>55330</v>
      </c>
      <c r="F108" s="5" t="s">
        <v>281</v>
      </c>
      <c r="G108" s="5" t="s">
        <v>169</v>
      </c>
      <c r="H108" s="5" t="s">
        <v>148</v>
      </c>
      <c r="I108" s="108">
        <v>377.66666666666703</v>
      </c>
      <c r="J108" s="6">
        <v>0</v>
      </c>
      <c r="K108" s="6">
        <v>0</v>
      </c>
      <c r="L108" s="6">
        <v>1.8275862068965516</v>
      </c>
      <c r="M108" s="6">
        <v>0.93103448275862077</v>
      </c>
      <c r="N108" s="6">
        <v>2.7586206896551726</v>
      </c>
      <c r="O108" s="6">
        <v>0</v>
      </c>
      <c r="P108" s="6">
        <v>0</v>
      </c>
      <c r="Q108" s="6">
        <v>0</v>
      </c>
      <c r="R108" s="6">
        <v>1</v>
      </c>
      <c r="S108" s="6">
        <v>0</v>
      </c>
      <c r="T108" s="6">
        <v>0</v>
      </c>
      <c r="U108" s="6">
        <v>1.7586206896551724</v>
      </c>
      <c r="V108" s="6">
        <v>1.7586206896551724</v>
      </c>
      <c r="W108" s="7"/>
      <c r="X108" s="5" t="s">
        <v>149</v>
      </c>
      <c r="Y108" s="9" t="s">
        <v>632</v>
      </c>
      <c r="Z108" s="5" t="s">
        <v>248</v>
      </c>
      <c r="AA108" s="109" t="s">
        <v>631</v>
      </c>
      <c r="AB108" s="110" t="s">
        <v>149</v>
      </c>
      <c r="AC108" s="111" t="s">
        <v>632</v>
      </c>
      <c r="AD108" s="109">
        <v>44217</v>
      </c>
    </row>
    <row r="109" spans="1:30" ht="15.5" x14ac:dyDescent="0.35">
      <c r="A109" s="5" t="s">
        <v>479</v>
      </c>
      <c r="B109" s="5" t="s">
        <v>480</v>
      </c>
      <c r="C109" s="5" t="s">
        <v>481</v>
      </c>
      <c r="D109" s="5" t="s">
        <v>412</v>
      </c>
      <c r="E109" s="8">
        <v>84119</v>
      </c>
      <c r="F109" s="5" t="s">
        <v>304</v>
      </c>
      <c r="G109" s="5" t="s">
        <v>210</v>
      </c>
      <c r="H109" s="5" t="s">
        <v>148</v>
      </c>
      <c r="I109" s="108">
        <v>1.84210526315789</v>
      </c>
      <c r="J109" s="6">
        <v>0.10344827586206898</v>
      </c>
      <c r="K109" s="6">
        <v>0.94827586206896541</v>
      </c>
      <c r="L109" s="6">
        <v>1.1896551724137929</v>
      </c>
      <c r="M109" s="6">
        <v>0.39655172413793099</v>
      </c>
      <c r="N109" s="6">
        <v>2.172413793103448</v>
      </c>
      <c r="O109" s="6">
        <v>0.41379310344827586</v>
      </c>
      <c r="P109" s="6">
        <v>1.7241379310344827E-2</v>
      </c>
      <c r="Q109" s="6">
        <v>3.4482758620689655E-2</v>
      </c>
      <c r="R109" s="6">
        <v>0.10344827586206898</v>
      </c>
      <c r="S109" s="6">
        <v>6.8965517241379309E-2</v>
      </c>
      <c r="T109" s="6">
        <v>5.1724137931034482E-2</v>
      </c>
      <c r="U109" s="6">
        <v>2.4137931034482754</v>
      </c>
      <c r="V109" s="6">
        <v>1.9827586206896548</v>
      </c>
      <c r="W109" s="7"/>
      <c r="X109" s="5" t="s">
        <v>408</v>
      </c>
      <c r="Y109" s="9" t="s">
        <v>632</v>
      </c>
      <c r="Z109" s="5" t="s">
        <v>677</v>
      </c>
      <c r="AA109" s="109" t="s">
        <v>715</v>
      </c>
      <c r="AB109" s="110" t="s">
        <v>408</v>
      </c>
      <c r="AC109" s="111" t="s">
        <v>247</v>
      </c>
      <c r="AD109" s="109">
        <v>43358</v>
      </c>
    </row>
    <row r="110" spans="1:30" ht="15.5" x14ac:dyDescent="0.35">
      <c r="A110" s="5" t="s">
        <v>39</v>
      </c>
      <c r="B110" s="5" t="s">
        <v>420</v>
      </c>
      <c r="C110" s="5" t="s">
        <v>421</v>
      </c>
      <c r="D110" s="5" t="s">
        <v>239</v>
      </c>
      <c r="E110" s="8">
        <v>33762</v>
      </c>
      <c r="F110" s="5" t="s">
        <v>27</v>
      </c>
      <c r="G110" s="5" t="s">
        <v>210</v>
      </c>
      <c r="H110" s="5" t="s">
        <v>148</v>
      </c>
      <c r="I110" s="108">
        <v>1.7543859649122799</v>
      </c>
      <c r="J110" s="6">
        <v>0.12068965517241378</v>
      </c>
      <c r="K110" s="6">
        <v>0.87931034482758597</v>
      </c>
      <c r="L110" s="6">
        <v>0.93103448275862077</v>
      </c>
      <c r="M110" s="6">
        <v>0.15517241379310343</v>
      </c>
      <c r="N110" s="6">
        <v>1.2068965517241377</v>
      </c>
      <c r="O110" s="6">
        <v>0.74137931034482751</v>
      </c>
      <c r="P110" s="6">
        <v>0</v>
      </c>
      <c r="Q110" s="6">
        <v>0.13793103448275862</v>
      </c>
      <c r="R110" s="6">
        <v>0</v>
      </c>
      <c r="S110" s="6">
        <v>0</v>
      </c>
      <c r="T110" s="6">
        <v>0</v>
      </c>
      <c r="U110" s="6">
        <v>2.0862068965517238</v>
      </c>
      <c r="V110" s="6">
        <v>0.94827586206896552</v>
      </c>
      <c r="W110" s="7"/>
      <c r="X110" s="5" t="s">
        <v>408</v>
      </c>
      <c r="Y110" s="9" t="s">
        <v>632</v>
      </c>
      <c r="Z110" s="5" t="s">
        <v>677</v>
      </c>
      <c r="AA110" s="109" t="s">
        <v>634</v>
      </c>
      <c r="AB110" s="110" t="s">
        <v>408</v>
      </c>
      <c r="AC110" s="111" t="s">
        <v>247</v>
      </c>
      <c r="AD110" s="109">
        <v>43364</v>
      </c>
    </row>
    <row r="111" spans="1:30" ht="15.5" x14ac:dyDescent="0.35">
      <c r="A111" s="5" t="s">
        <v>45</v>
      </c>
      <c r="B111" s="5" t="s">
        <v>456</v>
      </c>
      <c r="C111" s="5" t="s">
        <v>457</v>
      </c>
      <c r="D111" s="5" t="s">
        <v>458</v>
      </c>
      <c r="E111" s="8">
        <v>37918</v>
      </c>
      <c r="F111" s="5" t="s">
        <v>168</v>
      </c>
      <c r="G111" s="5" t="s">
        <v>210</v>
      </c>
      <c r="H111" s="5" t="s">
        <v>148</v>
      </c>
      <c r="I111" s="108">
        <v>2</v>
      </c>
      <c r="J111" s="6">
        <v>0.10344827586206898</v>
      </c>
      <c r="K111" s="6">
        <v>0.91379310344827558</v>
      </c>
      <c r="L111" s="6">
        <v>0.60344827586206884</v>
      </c>
      <c r="M111" s="6">
        <v>0.27586206896551724</v>
      </c>
      <c r="N111" s="6">
        <v>1.3448275862068968</v>
      </c>
      <c r="O111" s="6">
        <v>0.51724137931034486</v>
      </c>
      <c r="P111" s="6">
        <v>0</v>
      </c>
      <c r="Q111" s="6">
        <v>3.4482758620689655E-2</v>
      </c>
      <c r="R111" s="6">
        <v>3.4482758620689655E-2</v>
      </c>
      <c r="S111" s="6">
        <v>0</v>
      </c>
      <c r="T111" s="6">
        <v>3.4482758620689655E-2</v>
      </c>
      <c r="U111" s="6">
        <v>1.8275862068965518</v>
      </c>
      <c r="V111" s="6">
        <v>1.3448275862068966</v>
      </c>
      <c r="W111" s="7"/>
      <c r="X111" s="5" t="s">
        <v>408</v>
      </c>
      <c r="Y111" s="9" t="s">
        <v>632</v>
      </c>
      <c r="Z111" s="5" t="s">
        <v>677</v>
      </c>
      <c r="AA111" s="109" t="s">
        <v>720</v>
      </c>
      <c r="AB111" s="110" t="s">
        <v>408</v>
      </c>
      <c r="AC111" s="111" t="s">
        <v>247</v>
      </c>
      <c r="AD111" s="109">
        <v>43354</v>
      </c>
    </row>
    <row r="112" spans="1:30" ht="15.5" x14ac:dyDescent="0.35">
      <c r="A112" s="5" t="s">
        <v>462</v>
      </c>
      <c r="B112" s="5" t="s">
        <v>463</v>
      </c>
      <c r="C112" s="5" t="s">
        <v>464</v>
      </c>
      <c r="D112" s="5" t="s">
        <v>160</v>
      </c>
      <c r="E112" s="8">
        <v>78562</v>
      </c>
      <c r="F112" s="5" t="s">
        <v>628</v>
      </c>
      <c r="G112" s="5" t="s">
        <v>210</v>
      </c>
      <c r="H112" s="5" t="s">
        <v>148</v>
      </c>
      <c r="I112" s="108"/>
      <c r="J112" s="6">
        <v>1.6206896551724135</v>
      </c>
      <c r="K112" s="6">
        <v>6.8965517241379309E-2</v>
      </c>
      <c r="L112" s="6">
        <v>3.4482758620689655E-2</v>
      </c>
      <c r="M112" s="6">
        <v>0.10344827586206898</v>
      </c>
      <c r="N112" s="6">
        <v>1.8103448275862064</v>
      </c>
      <c r="O112" s="6">
        <v>1.7241379310344827E-2</v>
      </c>
      <c r="P112" s="6">
        <v>0</v>
      </c>
      <c r="Q112" s="6">
        <v>0</v>
      </c>
      <c r="R112" s="6">
        <v>1.7931034482758617</v>
      </c>
      <c r="S112" s="6">
        <v>1.7241379310344827E-2</v>
      </c>
      <c r="T112" s="6">
        <v>0</v>
      </c>
      <c r="U112" s="6">
        <v>1.7241379310344827E-2</v>
      </c>
      <c r="V112" s="6">
        <v>1.8103448275862064</v>
      </c>
      <c r="W112" s="7"/>
      <c r="X112" s="5" t="s">
        <v>408</v>
      </c>
      <c r="Y112" s="9" t="s">
        <v>632</v>
      </c>
      <c r="Z112" s="5" t="s">
        <v>677</v>
      </c>
      <c r="AA112" s="109" t="s">
        <v>686</v>
      </c>
      <c r="AB112" s="110" t="s">
        <v>149</v>
      </c>
      <c r="AC112" s="111" t="s">
        <v>247</v>
      </c>
      <c r="AD112" s="109">
        <v>44113</v>
      </c>
    </row>
    <row r="113" spans="1:30" ht="15.5" x14ac:dyDescent="0.35">
      <c r="A113" s="5" t="s">
        <v>468</v>
      </c>
      <c r="B113" s="5" t="s">
        <v>469</v>
      </c>
      <c r="C113" s="5" t="s">
        <v>467</v>
      </c>
      <c r="D113" s="5" t="s">
        <v>416</v>
      </c>
      <c r="E113" s="8">
        <v>29072</v>
      </c>
      <c r="F113" s="5" t="s">
        <v>157</v>
      </c>
      <c r="G113" s="5" t="s">
        <v>210</v>
      </c>
      <c r="H113" s="5" t="s">
        <v>148</v>
      </c>
      <c r="I113" s="108">
        <v>1.63095238095238</v>
      </c>
      <c r="J113" s="6">
        <v>0.32758620689655177</v>
      </c>
      <c r="K113" s="6">
        <v>1.1206896551724137</v>
      </c>
      <c r="L113" s="6">
        <v>0.25862068965517243</v>
      </c>
      <c r="M113" s="6">
        <v>0.10344827586206896</v>
      </c>
      <c r="N113" s="6">
        <v>1.0344827586206895</v>
      </c>
      <c r="O113" s="6">
        <v>0.72413793103448265</v>
      </c>
      <c r="P113" s="6">
        <v>0</v>
      </c>
      <c r="Q113" s="6">
        <v>5.1724137931034482E-2</v>
      </c>
      <c r="R113" s="6">
        <v>0</v>
      </c>
      <c r="S113" s="6">
        <v>0</v>
      </c>
      <c r="T113" s="6">
        <v>0</v>
      </c>
      <c r="U113" s="6">
        <v>1.8103448275862071</v>
      </c>
      <c r="V113" s="6">
        <v>0.9137931034482758</v>
      </c>
      <c r="W113" s="7"/>
      <c r="X113" s="5" t="s">
        <v>408</v>
      </c>
      <c r="Y113" s="9" t="s">
        <v>632</v>
      </c>
      <c r="Z113" s="5" t="s">
        <v>677</v>
      </c>
      <c r="AA113" s="109" t="s">
        <v>721</v>
      </c>
      <c r="AB113" s="110" t="s">
        <v>408</v>
      </c>
      <c r="AC113" s="111" t="s">
        <v>247</v>
      </c>
      <c r="AD113" s="109">
        <v>42993</v>
      </c>
    </row>
    <row r="114" spans="1:30" ht="15.5" x14ac:dyDescent="0.35">
      <c r="A114" s="5" t="s">
        <v>409</v>
      </c>
      <c r="B114" s="5" t="s">
        <v>410</v>
      </c>
      <c r="C114" s="5" t="s">
        <v>411</v>
      </c>
      <c r="D114" s="5" t="s">
        <v>412</v>
      </c>
      <c r="E114" s="8">
        <v>84321</v>
      </c>
      <c r="F114" s="5" t="s">
        <v>304</v>
      </c>
      <c r="G114" s="5" t="s">
        <v>210</v>
      </c>
      <c r="H114" s="5" t="s">
        <v>148</v>
      </c>
      <c r="I114" s="108">
        <v>3.9523809523809499</v>
      </c>
      <c r="J114" s="6">
        <v>0.36206896551724138</v>
      </c>
      <c r="K114" s="6">
        <v>0.81034482758620685</v>
      </c>
      <c r="L114" s="6">
        <v>0.18965517241379309</v>
      </c>
      <c r="M114" s="6">
        <v>0.43103448275862061</v>
      </c>
      <c r="N114" s="6">
        <v>1.5862068965517242</v>
      </c>
      <c r="O114" s="6">
        <v>0.20689655172413793</v>
      </c>
      <c r="P114" s="6">
        <v>0</v>
      </c>
      <c r="Q114" s="6">
        <v>0</v>
      </c>
      <c r="R114" s="6">
        <v>0.2413793103448276</v>
      </c>
      <c r="S114" s="6">
        <v>5.1724137931034482E-2</v>
      </c>
      <c r="T114" s="6">
        <v>5.1724137931034482E-2</v>
      </c>
      <c r="U114" s="6">
        <v>1.4482758620689655</v>
      </c>
      <c r="V114" s="6">
        <v>1.5689655172413794</v>
      </c>
      <c r="W114" s="7"/>
      <c r="X114" s="5" t="s">
        <v>149</v>
      </c>
      <c r="Y114" s="9" t="s">
        <v>247</v>
      </c>
      <c r="Z114" s="5" t="s">
        <v>152</v>
      </c>
      <c r="AA114" s="109" t="s">
        <v>722</v>
      </c>
      <c r="AB114" s="110" t="s">
        <v>149</v>
      </c>
      <c r="AC114" s="111" t="s">
        <v>247</v>
      </c>
      <c r="AD114" s="109">
        <v>43412</v>
      </c>
    </row>
    <row r="115" spans="1:30" ht="15.5" x14ac:dyDescent="0.35">
      <c r="A115" s="5" t="s">
        <v>436</v>
      </c>
      <c r="B115" s="5" t="s">
        <v>437</v>
      </c>
      <c r="C115" s="5" t="s">
        <v>438</v>
      </c>
      <c r="D115" s="5" t="s">
        <v>353</v>
      </c>
      <c r="E115" s="8">
        <v>68949</v>
      </c>
      <c r="F115" s="5" t="s">
        <v>281</v>
      </c>
      <c r="G115" s="5" t="s">
        <v>210</v>
      </c>
      <c r="H115" s="5" t="s">
        <v>148</v>
      </c>
      <c r="I115" s="108">
        <v>10</v>
      </c>
      <c r="J115" s="6">
        <v>0.46551724137931033</v>
      </c>
      <c r="K115" s="6">
        <v>0.10344827586206896</v>
      </c>
      <c r="L115" s="6">
        <v>0.10344827586206896</v>
      </c>
      <c r="M115" s="6">
        <v>1.103448275862069</v>
      </c>
      <c r="N115" s="6">
        <v>1.7758620689655173</v>
      </c>
      <c r="O115" s="6">
        <v>0</v>
      </c>
      <c r="P115" s="6">
        <v>0</v>
      </c>
      <c r="Q115" s="6">
        <v>0</v>
      </c>
      <c r="R115" s="6">
        <v>0</v>
      </c>
      <c r="S115" s="6">
        <v>1.103448275862069</v>
      </c>
      <c r="T115" s="6">
        <v>0</v>
      </c>
      <c r="U115" s="6">
        <v>0.67241379310344829</v>
      </c>
      <c r="V115" s="6">
        <v>1.6724137931034484</v>
      </c>
      <c r="W115" s="7"/>
      <c r="X115" s="5" t="s">
        <v>149</v>
      </c>
      <c r="Y115" s="9" t="s">
        <v>247</v>
      </c>
      <c r="Z115" s="5" t="s">
        <v>257</v>
      </c>
      <c r="AA115" s="109" t="s">
        <v>723</v>
      </c>
      <c r="AB115" s="110" t="s">
        <v>149</v>
      </c>
      <c r="AC115" s="111" t="s">
        <v>247</v>
      </c>
      <c r="AD115" s="109">
        <v>43664</v>
      </c>
    </row>
    <row r="116" spans="1:30" ht="15.5" x14ac:dyDescent="0.35">
      <c r="A116" s="5" t="s">
        <v>38</v>
      </c>
      <c r="B116" s="5" t="s">
        <v>451</v>
      </c>
      <c r="C116" s="5" t="s">
        <v>452</v>
      </c>
      <c r="D116" s="5" t="s">
        <v>450</v>
      </c>
      <c r="E116" s="8">
        <v>83442</v>
      </c>
      <c r="F116" s="5" t="s">
        <v>304</v>
      </c>
      <c r="G116" s="5" t="s">
        <v>169</v>
      </c>
      <c r="H116" s="5" t="s">
        <v>148</v>
      </c>
      <c r="I116" s="108">
        <v>4</v>
      </c>
      <c r="J116" s="6">
        <v>3.4482758620689655E-2</v>
      </c>
      <c r="K116" s="6">
        <v>0.36206896551724144</v>
      </c>
      <c r="L116" s="6">
        <v>0.9137931034482758</v>
      </c>
      <c r="M116" s="6">
        <v>0.41379310344827586</v>
      </c>
      <c r="N116" s="6">
        <v>1.603448275862069</v>
      </c>
      <c r="O116" s="6">
        <v>0.1206896551724138</v>
      </c>
      <c r="P116" s="6">
        <v>0</v>
      </c>
      <c r="Q116" s="6">
        <v>0</v>
      </c>
      <c r="R116" s="6">
        <v>0.2413793103448276</v>
      </c>
      <c r="S116" s="6">
        <v>1.7241379310344827E-2</v>
      </c>
      <c r="T116" s="6">
        <v>0</v>
      </c>
      <c r="U116" s="6">
        <v>1.4655172413793103</v>
      </c>
      <c r="V116" s="6">
        <v>0.86206896551724133</v>
      </c>
      <c r="W116" s="7"/>
      <c r="X116" s="5" t="s">
        <v>408</v>
      </c>
      <c r="Y116" s="9" t="s">
        <v>632</v>
      </c>
      <c r="Z116" s="5"/>
      <c r="AA116" s="109" t="s">
        <v>724</v>
      </c>
      <c r="AB116" s="110" t="s">
        <v>408</v>
      </c>
      <c r="AC116" s="111" t="s">
        <v>247</v>
      </c>
      <c r="AD116" s="109">
        <v>43360</v>
      </c>
    </row>
    <row r="117" spans="1:30" ht="15.5" x14ac:dyDescent="0.35">
      <c r="A117" s="5" t="s">
        <v>725</v>
      </c>
      <c r="B117" s="5" t="s">
        <v>726</v>
      </c>
      <c r="C117" s="5" t="s">
        <v>727</v>
      </c>
      <c r="D117" s="5" t="s">
        <v>160</v>
      </c>
      <c r="E117" s="8">
        <v>79118</v>
      </c>
      <c r="F117" s="5" t="s">
        <v>228</v>
      </c>
      <c r="G117" s="5" t="s">
        <v>210</v>
      </c>
      <c r="H117" s="5" t="s">
        <v>148</v>
      </c>
      <c r="I117" s="108">
        <v>1.63636363636364</v>
      </c>
      <c r="J117" s="6">
        <v>0.53448275862068961</v>
      </c>
      <c r="K117" s="6">
        <v>0.39655172413793094</v>
      </c>
      <c r="L117" s="6">
        <v>0.37931034482758613</v>
      </c>
      <c r="M117" s="6">
        <v>0.24137931034482757</v>
      </c>
      <c r="N117" s="6">
        <v>1.1206896551724135</v>
      </c>
      <c r="O117" s="6">
        <v>0.34482758620689663</v>
      </c>
      <c r="P117" s="6">
        <v>5.1724137931034482E-2</v>
      </c>
      <c r="Q117" s="6">
        <v>3.4482758620689655E-2</v>
      </c>
      <c r="R117" s="6">
        <v>0.17241379310344829</v>
      </c>
      <c r="S117" s="6">
        <v>0</v>
      </c>
      <c r="T117" s="6">
        <v>0</v>
      </c>
      <c r="U117" s="6">
        <v>1.3793103448275863</v>
      </c>
      <c r="V117" s="6">
        <v>1.1724137931034484</v>
      </c>
      <c r="W117" s="7"/>
      <c r="X117" s="5" t="s">
        <v>408</v>
      </c>
      <c r="Y117" s="9" t="s">
        <v>632</v>
      </c>
      <c r="Z117" s="5" t="s">
        <v>677</v>
      </c>
      <c r="AA117" s="109" t="s">
        <v>728</v>
      </c>
      <c r="AB117" s="110" t="s">
        <v>408</v>
      </c>
      <c r="AC117" s="111" t="s">
        <v>247</v>
      </c>
      <c r="AD117" s="109">
        <v>43019</v>
      </c>
    </row>
    <row r="118" spans="1:30" ht="15.5" x14ac:dyDescent="0.35">
      <c r="A118" s="5" t="s">
        <v>447</v>
      </c>
      <c r="B118" s="5" t="s">
        <v>448</v>
      </c>
      <c r="C118" s="5" t="s">
        <v>449</v>
      </c>
      <c r="D118" s="5" t="s">
        <v>450</v>
      </c>
      <c r="E118" s="8">
        <v>83318</v>
      </c>
      <c r="F118" s="5" t="s">
        <v>304</v>
      </c>
      <c r="G118" s="5" t="s">
        <v>169</v>
      </c>
      <c r="H118" s="5" t="s">
        <v>148</v>
      </c>
      <c r="I118" s="108">
        <v>2.3636363636363602</v>
      </c>
      <c r="J118" s="6">
        <v>0.22413793103448276</v>
      </c>
      <c r="K118" s="6">
        <v>0.43103448275862066</v>
      </c>
      <c r="L118" s="6">
        <v>0.51724137931034486</v>
      </c>
      <c r="M118" s="6">
        <v>0.34482758620689652</v>
      </c>
      <c r="N118" s="6">
        <v>1.4137931034482758</v>
      </c>
      <c r="O118" s="6">
        <v>6.8965517241379309E-2</v>
      </c>
      <c r="P118" s="6">
        <v>3.4482758620689655E-2</v>
      </c>
      <c r="Q118" s="6">
        <v>0</v>
      </c>
      <c r="R118" s="6">
        <v>0.17241379310344829</v>
      </c>
      <c r="S118" s="6">
        <v>0.22413793103448276</v>
      </c>
      <c r="T118" s="6">
        <v>0.1206896551724138</v>
      </c>
      <c r="U118" s="6">
        <v>1</v>
      </c>
      <c r="V118" s="6">
        <v>0.79310344827586199</v>
      </c>
      <c r="W118" s="7"/>
      <c r="X118" s="5" t="s">
        <v>408</v>
      </c>
      <c r="Y118" s="9" t="s">
        <v>632</v>
      </c>
      <c r="Z118" s="5" t="s">
        <v>677</v>
      </c>
      <c r="AA118" s="109" t="s">
        <v>729</v>
      </c>
      <c r="AB118" s="110" t="s">
        <v>408</v>
      </c>
      <c r="AC118" s="111" t="s">
        <v>247</v>
      </c>
      <c r="AD118" s="109">
        <v>43360</v>
      </c>
    </row>
    <row r="119" spans="1:30" ht="15.5" x14ac:dyDescent="0.35">
      <c r="A119" s="5" t="s">
        <v>459</v>
      </c>
      <c r="B119" s="5" t="s">
        <v>460</v>
      </c>
      <c r="C119" s="5" t="s">
        <v>461</v>
      </c>
      <c r="D119" s="5" t="s">
        <v>327</v>
      </c>
      <c r="E119" s="8">
        <v>40031</v>
      </c>
      <c r="F119" s="5" t="s">
        <v>32</v>
      </c>
      <c r="G119" s="5" t="s">
        <v>210</v>
      </c>
      <c r="H119" s="5" t="s">
        <v>148</v>
      </c>
      <c r="I119" s="108">
        <v>1.74074074074074</v>
      </c>
      <c r="J119" s="6">
        <v>0.27586206896551724</v>
      </c>
      <c r="K119" s="6">
        <v>0.25862068965517243</v>
      </c>
      <c r="L119" s="6">
        <v>0.5</v>
      </c>
      <c r="M119" s="6">
        <v>0.17241379310344829</v>
      </c>
      <c r="N119" s="6">
        <v>0.81034482758620685</v>
      </c>
      <c r="O119" s="6">
        <v>0.34482758620689657</v>
      </c>
      <c r="P119" s="6">
        <v>5.1724137931034482E-2</v>
      </c>
      <c r="Q119" s="6">
        <v>0</v>
      </c>
      <c r="R119" s="6">
        <v>0.15517241379310345</v>
      </c>
      <c r="S119" s="6">
        <v>0.13793103448275862</v>
      </c>
      <c r="T119" s="6">
        <v>3.4482758620689655E-2</v>
      </c>
      <c r="U119" s="6">
        <v>0.87931034482758608</v>
      </c>
      <c r="V119" s="6">
        <v>0.65517241379310343</v>
      </c>
      <c r="W119" s="7"/>
      <c r="X119" s="5" t="s">
        <v>408</v>
      </c>
      <c r="Y119" s="9" t="s">
        <v>632</v>
      </c>
      <c r="Z119" s="5" t="s">
        <v>677</v>
      </c>
      <c r="AA119" s="109" t="s">
        <v>612</v>
      </c>
      <c r="AB119" s="110" t="s">
        <v>408</v>
      </c>
      <c r="AC119" s="111" t="s">
        <v>247</v>
      </c>
      <c r="AD119" s="109">
        <v>43328</v>
      </c>
    </row>
    <row r="120" spans="1:30" ht="15.5" x14ac:dyDescent="0.35">
      <c r="A120" s="5" t="s">
        <v>465</v>
      </c>
      <c r="B120" s="5" t="s">
        <v>466</v>
      </c>
      <c r="C120" s="5" t="s">
        <v>467</v>
      </c>
      <c r="D120" s="5" t="s">
        <v>327</v>
      </c>
      <c r="E120" s="8">
        <v>40510</v>
      </c>
      <c r="F120" s="5" t="s">
        <v>32</v>
      </c>
      <c r="G120" s="5" t="s">
        <v>210</v>
      </c>
      <c r="H120" s="5" t="s">
        <v>148</v>
      </c>
      <c r="I120" s="108">
        <v>1.71428571428571</v>
      </c>
      <c r="J120" s="6">
        <v>5.1724137931034482E-2</v>
      </c>
      <c r="K120" s="6">
        <v>0.2413793103448276</v>
      </c>
      <c r="L120" s="6">
        <v>0.22413793103448276</v>
      </c>
      <c r="M120" s="6">
        <v>0.62068965517241392</v>
      </c>
      <c r="N120" s="6">
        <v>1.0862068965517242</v>
      </c>
      <c r="O120" s="6">
        <v>5.1724137931034482E-2</v>
      </c>
      <c r="P120" s="6">
        <v>0</v>
      </c>
      <c r="Q120" s="6">
        <v>0</v>
      </c>
      <c r="R120" s="6">
        <v>8.6206896551724144E-2</v>
      </c>
      <c r="S120" s="6">
        <v>8.6206896551724144E-2</v>
      </c>
      <c r="T120" s="6">
        <v>5.1724137931034482E-2</v>
      </c>
      <c r="U120" s="6">
        <v>0.91379310344827602</v>
      </c>
      <c r="V120" s="6">
        <v>0.74137931034482785</v>
      </c>
      <c r="W120" s="7"/>
      <c r="X120" s="5" t="s">
        <v>408</v>
      </c>
      <c r="Y120" s="9" t="s">
        <v>632</v>
      </c>
      <c r="Z120" s="5" t="s">
        <v>677</v>
      </c>
      <c r="AA120" s="109" t="s">
        <v>730</v>
      </c>
      <c r="AB120" s="110" t="s">
        <v>408</v>
      </c>
      <c r="AC120" s="111" t="s">
        <v>247</v>
      </c>
      <c r="AD120" s="109">
        <v>43326</v>
      </c>
    </row>
    <row r="121" spans="1:30" ht="15.5" x14ac:dyDescent="0.35">
      <c r="A121" s="5" t="s">
        <v>428</v>
      </c>
      <c r="B121" s="5" t="s">
        <v>429</v>
      </c>
      <c r="C121" s="5" t="s">
        <v>430</v>
      </c>
      <c r="D121" s="5" t="s">
        <v>431</v>
      </c>
      <c r="E121" s="8">
        <v>96950</v>
      </c>
      <c r="F121" s="5" t="s">
        <v>273</v>
      </c>
      <c r="G121" s="5" t="s">
        <v>210</v>
      </c>
      <c r="H121" s="5" t="s">
        <v>148</v>
      </c>
      <c r="I121" s="108"/>
      <c r="J121" s="6">
        <v>1.0344827586206897</v>
      </c>
      <c r="K121" s="6">
        <v>0</v>
      </c>
      <c r="L121" s="6">
        <v>0</v>
      </c>
      <c r="M121" s="6">
        <v>0</v>
      </c>
      <c r="N121" s="6">
        <v>0</v>
      </c>
      <c r="O121" s="6">
        <v>3.4482758620689655E-2</v>
      </c>
      <c r="P121" s="6">
        <v>1</v>
      </c>
      <c r="Q121" s="6">
        <v>0</v>
      </c>
      <c r="R121" s="6">
        <v>1</v>
      </c>
      <c r="S121" s="6">
        <v>0</v>
      </c>
      <c r="T121" s="6">
        <v>0</v>
      </c>
      <c r="U121" s="6">
        <v>3.4482758620689655E-2</v>
      </c>
      <c r="V121" s="6">
        <v>1.0344827586206897</v>
      </c>
      <c r="W121" s="7"/>
      <c r="X121" s="5" t="s">
        <v>408</v>
      </c>
      <c r="Y121" s="9" t="s">
        <v>632</v>
      </c>
      <c r="Z121" s="5" t="s">
        <v>677</v>
      </c>
      <c r="AA121" s="109" t="s">
        <v>731</v>
      </c>
      <c r="AB121" s="110" t="s">
        <v>170</v>
      </c>
      <c r="AC121" s="111"/>
      <c r="AD121" s="109"/>
    </row>
    <row r="122" spans="1:30" ht="15.5" x14ac:dyDescent="0.35">
      <c r="A122" s="5" t="s">
        <v>25</v>
      </c>
      <c r="B122" s="5" t="s">
        <v>732</v>
      </c>
      <c r="C122" s="5" t="s">
        <v>733</v>
      </c>
      <c r="D122" s="5" t="s">
        <v>239</v>
      </c>
      <c r="E122" s="8">
        <v>32839</v>
      </c>
      <c r="F122" s="5" t="s">
        <v>27</v>
      </c>
      <c r="G122" s="5" t="s">
        <v>210</v>
      </c>
      <c r="H122" s="5" t="s">
        <v>148</v>
      </c>
      <c r="I122" s="108">
        <v>2.0909090909090899</v>
      </c>
      <c r="J122" s="6">
        <v>5.1724137931034482E-2</v>
      </c>
      <c r="K122" s="6">
        <v>0.18965517241379309</v>
      </c>
      <c r="L122" s="6">
        <v>0.36206896551724133</v>
      </c>
      <c r="M122" s="6">
        <v>0.39655172413793105</v>
      </c>
      <c r="N122" s="6">
        <v>0.60344827586206895</v>
      </c>
      <c r="O122" s="6">
        <v>0.32758620689655171</v>
      </c>
      <c r="P122" s="6">
        <v>0</v>
      </c>
      <c r="Q122" s="6">
        <v>6.8965517241379309E-2</v>
      </c>
      <c r="R122" s="6">
        <v>0.17241379310344826</v>
      </c>
      <c r="S122" s="6">
        <v>5.1724137931034482E-2</v>
      </c>
      <c r="T122" s="6">
        <v>0</v>
      </c>
      <c r="U122" s="6">
        <v>0.77586206896551724</v>
      </c>
      <c r="V122" s="6">
        <v>0.60344827586206895</v>
      </c>
      <c r="W122" s="7"/>
      <c r="X122" s="5" t="s">
        <v>408</v>
      </c>
      <c r="Y122" s="9" t="s">
        <v>632</v>
      </c>
      <c r="Z122" s="5"/>
      <c r="AA122" s="109" t="s">
        <v>734</v>
      </c>
      <c r="AB122" s="110" t="s">
        <v>408</v>
      </c>
      <c r="AC122" s="111" t="s">
        <v>247</v>
      </c>
      <c r="AD122" s="109">
        <v>43364</v>
      </c>
    </row>
    <row r="123" spans="1:30" ht="15.5" x14ac:dyDescent="0.35">
      <c r="A123" s="5" t="s">
        <v>476</v>
      </c>
      <c r="B123" s="5" t="s">
        <v>477</v>
      </c>
      <c r="C123" s="5" t="s">
        <v>478</v>
      </c>
      <c r="D123" s="5" t="s">
        <v>390</v>
      </c>
      <c r="E123" s="8">
        <v>28429</v>
      </c>
      <c r="F123" s="5" t="s">
        <v>157</v>
      </c>
      <c r="G123" s="5" t="s">
        <v>169</v>
      </c>
      <c r="H123" s="5" t="s">
        <v>148</v>
      </c>
      <c r="I123" s="108">
        <v>2.39130434782609</v>
      </c>
      <c r="J123" s="6">
        <v>0.39655172413793099</v>
      </c>
      <c r="K123" s="6">
        <v>0.24137931034482757</v>
      </c>
      <c r="L123" s="6">
        <v>0.13793103448275862</v>
      </c>
      <c r="M123" s="6">
        <v>0.10344827586206896</v>
      </c>
      <c r="N123" s="6">
        <v>0.7068965517241379</v>
      </c>
      <c r="O123" s="6">
        <v>0.17241379310344829</v>
      </c>
      <c r="P123" s="6">
        <v>0</v>
      </c>
      <c r="Q123" s="6">
        <v>0</v>
      </c>
      <c r="R123" s="6">
        <v>3.4482758620689655E-2</v>
      </c>
      <c r="S123" s="6">
        <v>0</v>
      </c>
      <c r="T123" s="6">
        <v>0</v>
      </c>
      <c r="U123" s="6">
        <v>0.84482758620689646</v>
      </c>
      <c r="V123" s="6">
        <v>0.4137931034482758</v>
      </c>
      <c r="W123" s="7"/>
      <c r="X123" s="5" t="s">
        <v>408</v>
      </c>
      <c r="Y123" s="9" t="s">
        <v>632</v>
      </c>
      <c r="Z123" s="5"/>
      <c r="AA123" s="109" t="s">
        <v>728</v>
      </c>
      <c r="AB123" s="110" t="s">
        <v>408</v>
      </c>
      <c r="AC123" s="111" t="s">
        <v>247</v>
      </c>
      <c r="AD123" s="109">
        <v>42993</v>
      </c>
    </row>
    <row r="124" spans="1:30" ht="15.5" x14ac:dyDescent="0.35">
      <c r="A124" s="5" t="s">
        <v>473</v>
      </c>
      <c r="B124" s="5" t="s">
        <v>474</v>
      </c>
      <c r="C124" s="5" t="s">
        <v>475</v>
      </c>
      <c r="D124" s="5" t="s">
        <v>249</v>
      </c>
      <c r="E124" s="8">
        <v>15001</v>
      </c>
      <c r="F124" s="5" t="s">
        <v>250</v>
      </c>
      <c r="G124" s="5" t="s">
        <v>210</v>
      </c>
      <c r="H124" s="5" t="s">
        <v>148</v>
      </c>
      <c r="I124" s="108">
        <v>6.71428571428571</v>
      </c>
      <c r="J124" s="6">
        <v>0.60344827586206895</v>
      </c>
      <c r="K124" s="6">
        <v>0</v>
      </c>
      <c r="L124" s="6">
        <v>0.20689655172413793</v>
      </c>
      <c r="M124" s="6">
        <v>0</v>
      </c>
      <c r="N124" s="6">
        <v>0.27586206896551724</v>
      </c>
      <c r="O124" s="6">
        <v>0.53448275862068961</v>
      </c>
      <c r="P124" s="6">
        <v>0</v>
      </c>
      <c r="Q124" s="6">
        <v>0</v>
      </c>
      <c r="R124" s="6">
        <v>0</v>
      </c>
      <c r="S124" s="6">
        <v>0</v>
      </c>
      <c r="T124" s="6">
        <v>0</v>
      </c>
      <c r="U124" s="6">
        <v>0.81034482758620685</v>
      </c>
      <c r="V124" s="6">
        <v>0.60344827586206895</v>
      </c>
      <c r="W124" s="7"/>
      <c r="X124" s="5" t="s">
        <v>408</v>
      </c>
      <c r="Y124" s="9" t="s">
        <v>632</v>
      </c>
      <c r="Z124" s="5" t="s">
        <v>677</v>
      </c>
      <c r="AA124" s="109" t="s">
        <v>735</v>
      </c>
      <c r="AB124" s="110" t="s">
        <v>408</v>
      </c>
      <c r="AC124" s="111" t="s">
        <v>247</v>
      </c>
      <c r="AD124" s="109">
        <v>42996</v>
      </c>
    </row>
    <row r="125" spans="1:30" ht="15.5" x14ac:dyDescent="0.35">
      <c r="A125" s="5" t="s">
        <v>470</v>
      </c>
      <c r="B125" s="5" t="s">
        <v>471</v>
      </c>
      <c r="C125" s="5" t="s">
        <v>44</v>
      </c>
      <c r="D125" s="5" t="s">
        <v>156</v>
      </c>
      <c r="E125" s="8">
        <v>30720</v>
      </c>
      <c r="F125" s="5" t="s">
        <v>157</v>
      </c>
      <c r="G125" s="5" t="s">
        <v>169</v>
      </c>
      <c r="H125" s="5" t="s">
        <v>148</v>
      </c>
      <c r="I125" s="108">
        <v>2</v>
      </c>
      <c r="J125" s="6">
        <v>0</v>
      </c>
      <c r="K125" s="6">
        <v>0.27586206896551724</v>
      </c>
      <c r="L125" s="6">
        <v>0.29310344827586204</v>
      </c>
      <c r="M125" s="6">
        <v>6.8965517241379309E-2</v>
      </c>
      <c r="N125" s="6">
        <v>0.36206896551724138</v>
      </c>
      <c r="O125" s="6">
        <v>0.24137931034482757</v>
      </c>
      <c r="P125" s="6">
        <v>3.4482758620689655E-2</v>
      </c>
      <c r="Q125" s="6">
        <v>0</v>
      </c>
      <c r="R125" s="6">
        <v>6.8965517241379309E-2</v>
      </c>
      <c r="S125" s="6">
        <v>3.4482758620689655E-2</v>
      </c>
      <c r="T125" s="6">
        <v>0</v>
      </c>
      <c r="U125" s="6">
        <v>0.53448275862068961</v>
      </c>
      <c r="V125" s="6">
        <v>0.44827586206896552</v>
      </c>
      <c r="W125" s="7"/>
      <c r="X125" s="5" t="s">
        <v>408</v>
      </c>
      <c r="Y125" s="9" t="s">
        <v>247</v>
      </c>
      <c r="Z125" s="5" t="s">
        <v>257</v>
      </c>
      <c r="AA125" s="109" t="s">
        <v>472</v>
      </c>
      <c r="AB125" s="110" t="s">
        <v>408</v>
      </c>
      <c r="AC125" s="111" t="s">
        <v>247</v>
      </c>
      <c r="AD125" s="109">
        <v>42993</v>
      </c>
    </row>
    <row r="126" spans="1:30" ht="15.5" x14ac:dyDescent="0.35">
      <c r="A126" s="5" t="s">
        <v>736</v>
      </c>
      <c r="B126" s="5" t="s">
        <v>737</v>
      </c>
      <c r="C126" s="5" t="s">
        <v>738</v>
      </c>
      <c r="D126" s="5" t="s">
        <v>709</v>
      </c>
      <c r="E126" s="8">
        <v>5403</v>
      </c>
      <c r="F126" s="5" t="s">
        <v>277</v>
      </c>
      <c r="G126" s="5" t="s">
        <v>169</v>
      </c>
      <c r="H126" s="5" t="s">
        <v>148</v>
      </c>
      <c r="I126" s="108">
        <v>1</v>
      </c>
      <c r="J126" s="6">
        <v>0.39655172413793105</v>
      </c>
      <c r="K126" s="6">
        <v>0.20689655172413793</v>
      </c>
      <c r="L126" s="6">
        <v>1.7241379310344827E-2</v>
      </c>
      <c r="M126" s="6">
        <v>0</v>
      </c>
      <c r="N126" s="6">
        <v>0</v>
      </c>
      <c r="O126" s="6">
        <v>8.6206896551724144E-2</v>
      </c>
      <c r="P126" s="6">
        <v>6.8965517241379309E-2</v>
      </c>
      <c r="Q126" s="6">
        <v>0.46551724137931033</v>
      </c>
      <c r="R126" s="6">
        <v>0</v>
      </c>
      <c r="S126" s="6">
        <v>0</v>
      </c>
      <c r="T126" s="6">
        <v>0</v>
      </c>
      <c r="U126" s="6">
        <v>0.62068965517241381</v>
      </c>
      <c r="V126" s="6">
        <v>0.51724137931034486</v>
      </c>
      <c r="W126" s="7"/>
      <c r="X126" s="5" t="s">
        <v>170</v>
      </c>
      <c r="Y126" s="9"/>
      <c r="Z126" s="5"/>
      <c r="AA126" s="109"/>
      <c r="AB126" s="110" t="s">
        <v>170</v>
      </c>
      <c r="AC126" s="111"/>
      <c r="AD126" s="109"/>
    </row>
    <row r="127" spans="1:30" ht="15.5" x14ac:dyDescent="0.35">
      <c r="A127" s="5" t="s">
        <v>739</v>
      </c>
      <c r="B127" s="5" t="s">
        <v>740</v>
      </c>
      <c r="C127" s="5" t="s">
        <v>741</v>
      </c>
      <c r="D127" s="5" t="s">
        <v>156</v>
      </c>
      <c r="E127" s="8">
        <v>30060</v>
      </c>
      <c r="F127" s="5" t="s">
        <v>157</v>
      </c>
      <c r="G127" s="5" t="s">
        <v>169</v>
      </c>
      <c r="H127" s="5" t="s">
        <v>148</v>
      </c>
      <c r="I127" s="108">
        <v>1.1818181818181801</v>
      </c>
      <c r="J127" s="6">
        <v>0</v>
      </c>
      <c r="K127" s="6">
        <v>1.7241379310344827E-2</v>
      </c>
      <c r="L127" s="6">
        <v>0.29310344827586204</v>
      </c>
      <c r="M127" s="6">
        <v>0.17241379310344829</v>
      </c>
      <c r="N127" s="6">
        <v>0.27586206896551729</v>
      </c>
      <c r="O127" s="6">
        <v>0.20689655172413793</v>
      </c>
      <c r="P127" s="6">
        <v>0</v>
      </c>
      <c r="Q127" s="6">
        <v>0</v>
      </c>
      <c r="R127" s="6">
        <v>0</v>
      </c>
      <c r="S127" s="6">
        <v>0</v>
      </c>
      <c r="T127" s="6">
        <v>0</v>
      </c>
      <c r="U127" s="6">
        <v>0.48275862068965514</v>
      </c>
      <c r="V127" s="6">
        <v>0.27586206896551724</v>
      </c>
      <c r="W127" s="7"/>
      <c r="X127" s="5" t="s">
        <v>408</v>
      </c>
      <c r="Y127" s="9" t="s">
        <v>632</v>
      </c>
      <c r="Z127" s="5" t="s">
        <v>677</v>
      </c>
      <c r="AA127" s="109" t="s">
        <v>614</v>
      </c>
      <c r="AB127" s="110" t="s">
        <v>408</v>
      </c>
      <c r="AC127" s="111" t="s">
        <v>247</v>
      </c>
      <c r="AD127" s="109">
        <v>43389</v>
      </c>
    </row>
    <row r="128" spans="1:30" ht="15.5" x14ac:dyDescent="0.35">
      <c r="A128" s="5" t="s">
        <v>742</v>
      </c>
      <c r="B128" s="5" t="s">
        <v>743</v>
      </c>
      <c r="C128" s="5" t="s">
        <v>744</v>
      </c>
      <c r="D128" s="5" t="s">
        <v>234</v>
      </c>
      <c r="E128" s="8">
        <v>24153</v>
      </c>
      <c r="F128" s="5" t="s">
        <v>235</v>
      </c>
      <c r="G128" s="5" t="s">
        <v>210</v>
      </c>
      <c r="H128" s="5"/>
      <c r="I128" s="108">
        <v>1.2222222222222201</v>
      </c>
      <c r="J128" s="6">
        <v>0.10344827586206898</v>
      </c>
      <c r="K128" s="6">
        <v>8.6206896551724144E-2</v>
      </c>
      <c r="L128" s="6">
        <v>5.1724137931034482E-2</v>
      </c>
      <c r="M128" s="6">
        <v>0.22413793103448279</v>
      </c>
      <c r="N128" s="6">
        <v>0.39655172413793088</v>
      </c>
      <c r="O128" s="6">
        <v>6.8965517241379309E-2</v>
      </c>
      <c r="P128" s="6">
        <v>0</v>
      </c>
      <c r="Q128" s="6">
        <v>0</v>
      </c>
      <c r="R128" s="6">
        <v>0.10344827586206896</v>
      </c>
      <c r="S128" s="6">
        <v>0</v>
      </c>
      <c r="T128" s="6">
        <v>0</v>
      </c>
      <c r="U128" s="6">
        <v>0.36206896551724127</v>
      </c>
      <c r="V128" s="6">
        <v>0.24137931034482762</v>
      </c>
      <c r="W128" s="7"/>
      <c r="X128" s="5" t="s">
        <v>170</v>
      </c>
      <c r="Y128" s="9"/>
      <c r="Z128" s="5"/>
      <c r="AA128" s="109"/>
      <c r="AB128" s="110" t="s">
        <v>170</v>
      </c>
      <c r="AC128" s="111"/>
      <c r="AD128" s="109"/>
    </row>
    <row r="129" spans="1:30" ht="15.5" x14ac:dyDescent="0.35">
      <c r="A129" s="5" t="s">
        <v>482</v>
      </c>
      <c r="B129" s="5" t="s">
        <v>483</v>
      </c>
      <c r="C129" s="5" t="s">
        <v>484</v>
      </c>
      <c r="D129" s="5" t="s">
        <v>156</v>
      </c>
      <c r="E129" s="8">
        <v>30161</v>
      </c>
      <c r="F129" s="5" t="s">
        <v>157</v>
      </c>
      <c r="G129" s="5" t="s">
        <v>210</v>
      </c>
      <c r="H129" s="5" t="s">
        <v>148</v>
      </c>
      <c r="I129" s="108">
        <v>3</v>
      </c>
      <c r="J129" s="6">
        <v>3.4482758620689655E-2</v>
      </c>
      <c r="K129" s="6">
        <v>0.27586206896551724</v>
      </c>
      <c r="L129" s="6">
        <v>8.6206896551724144E-2</v>
      </c>
      <c r="M129" s="6">
        <v>0</v>
      </c>
      <c r="N129" s="6">
        <v>0.18965517241379309</v>
      </c>
      <c r="O129" s="6">
        <v>0.18965517241379309</v>
      </c>
      <c r="P129" s="6">
        <v>0</v>
      </c>
      <c r="Q129" s="6">
        <v>1.7241379310344827E-2</v>
      </c>
      <c r="R129" s="6">
        <v>0</v>
      </c>
      <c r="S129" s="6">
        <v>5.1724137931034482E-2</v>
      </c>
      <c r="T129" s="6">
        <v>0</v>
      </c>
      <c r="U129" s="6">
        <v>0.34482758620689657</v>
      </c>
      <c r="V129" s="6">
        <v>0.2413793103448276</v>
      </c>
      <c r="W129" s="7"/>
      <c r="X129" s="5" t="s">
        <v>170</v>
      </c>
      <c r="Y129" s="9"/>
      <c r="Z129" s="5"/>
      <c r="AA129" s="109"/>
      <c r="AB129" s="110" t="s">
        <v>170</v>
      </c>
      <c r="AC129" s="111"/>
      <c r="AD129" s="109"/>
    </row>
    <row r="130" spans="1:30" ht="15.5" x14ac:dyDescent="0.35">
      <c r="A130" s="5" t="s">
        <v>485</v>
      </c>
      <c r="B130" s="5" t="s">
        <v>486</v>
      </c>
      <c r="C130" s="5" t="s">
        <v>487</v>
      </c>
      <c r="D130" s="5" t="s">
        <v>249</v>
      </c>
      <c r="E130" s="8">
        <v>16503</v>
      </c>
      <c r="F130" s="5" t="s">
        <v>250</v>
      </c>
      <c r="G130" s="5" t="s">
        <v>210</v>
      </c>
      <c r="H130" s="5" t="s">
        <v>148</v>
      </c>
      <c r="I130" s="108"/>
      <c r="J130" s="6">
        <v>6.8965517241379309E-2</v>
      </c>
      <c r="K130" s="6">
        <v>0.15517241379310345</v>
      </c>
      <c r="L130" s="6">
        <v>0</v>
      </c>
      <c r="M130" s="6">
        <v>0.13793103448275862</v>
      </c>
      <c r="N130" s="6">
        <v>0.15517241379310345</v>
      </c>
      <c r="O130" s="6">
        <v>6.8965517241379309E-2</v>
      </c>
      <c r="P130" s="6">
        <v>0.13793103448275862</v>
      </c>
      <c r="Q130" s="6">
        <v>0</v>
      </c>
      <c r="R130" s="6">
        <v>0</v>
      </c>
      <c r="S130" s="6">
        <v>0.10344827586206896</v>
      </c>
      <c r="T130" s="6">
        <v>5.1724137931034482E-2</v>
      </c>
      <c r="U130" s="6">
        <v>0.20689655172413793</v>
      </c>
      <c r="V130" s="6">
        <v>0.20689655172413793</v>
      </c>
      <c r="W130" s="7"/>
      <c r="X130" s="5" t="s">
        <v>408</v>
      </c>
      <c r="Y130" s="9" t="s">
        <v>632</v>
      </c>
      <c r="Z130" s="5"/>
      <c r="AA130" s="109" t="s">
        <v>735</v>
      </c>
      <c r="AB130" s="110" t="s">
        <v>408</v>
      </c>
      <c r="AC130" s="111" t="s">
        <v>247</v>
      </c>
      <c r="AD130" s="109">
        <v>43363</v>
      </c>
    </row>
    <row r="131" spans="1:30" ht="15.5" x14ac:dyDescent="0.35">
      <c r="A131" s="5" t="s">
        <v>745</v>
      </c>
      <c r="B131" s="5" t="s">
        <v>746</v>
      </c>
      <c r="C131" s="5" t="s">
        <v>747</v>
      </c>
      <c r="D131" s="5" t="s">
        <v>239</v>
      </c>
      <c r="E131" s="8">
        <v>32621</v>
      </c>
      <c r="F131" s="5" t="s">
        <v>27</v>
      </c>
      <c r="G131" s="5" t="s">
        <v>169</v>
      </c>
      <c r="H131" s="5"/>
      <c r="I131" s="108"/>
      <c r="J131" s="6">
        <v>0.34482758620689657</v>
      </c>
      <c r="K131" s="6">
        <v>0</v>
      </c>
      <c r="L131" s="6">
        <v>0</v>
      </c>
      <c r="M131" s="6">
        <v>0</v>
      </c>
      <c r="N131" s="6">
        <v>0</v>
      </c>
      <c r="O131" s="6">
        <v>0.34482758620689657</v>
      </c>
      <c r="P131" s="6">
        <v>0</v>
      </c>
      <c r="Q131" s="6">
        <v>0</v>
      </c>
      <c r="R131" s="6">
        <v>0</v>
      </c>
      <c r="S131" s="6">
        <v>0</v>
      </c>
      <c r="T131" s="6">
        <v>0</v>
      </c>
      <c r="U131" s="6">
        <v>0.34482758620689657</v>
      </c>
      <c r="V131" s="6">
        <v>0</v>
      </c>
      <c r="W131" s="7"/>
      <c r="X131" s="5" t="s">
        <v>170</v>
      </c>
      <c r="Y131" s="9"/>
      <c r="Z131" s="5"/>
      <c r="AA131" s="109"/>
      <c r="AB131" s="110" t="s">
        <v>170</v>
      </c>
      <c r="AC131" s="111"/>
      <c r="AD131" s="109"/>
    </row>
    <row r="132" spans="1:30" ht="15.5" x14ac:dyDescent="0.35">
      <c r="A132" s="5" t="s">
        <v>748</v>
      </c>
      <c r="B132" s="5" t="s">
        <v>749</v>
      </c>
      <c r="C132" s="5" t="s">
        <v>750</v>
      </c>
      <c r="D132" s="5" t="s">
        <v>145</v>
      </c>
      <c r="E132" s="8">
        <v>91910</v>
      </c>
      <c r="F132" s="5" t="s">
        <v>183</v>
      </c>
      <c r="G132" s="5" t="s">
        <v>169</v>
      </c>
      <c r="H132" s="5" t="s">
        <v>148</v>
      </c>
      <c r="I132" s="108"/>
      <c r="J132" s="6">
        <v>0.10344827586206896</v>
      </c>
      <c r="K132" s="6">
        <v>0</v>
      </c>
      <c r="L132" s="6">
        <v>0</v>
      </c>
      <c r="M132" s="6">
        <v>0</v>
      </c>
      <c r="N132" s="6">
        <v>0</v>
      </c>
      <c r="O132" s="6">
        <v>0.10344827586206896</v>
      </c>
      <c r="P132" s="6">
        <v>0</v>
      </c>
      <c r="Q132" s="6">
        <v>0</v>
      </c>
      <c r="R132" s="6">
        <v>0</v>
      </c>
      <c r="S132" s="6">
        <v>0</v>
      </c>
      <c r="T132" s="6">
        <v>0</v>
      </c>
      <c r="U132" s="6">
        <v>0.10344827586206896</v>
      </c>
      <c r="V132" s="6">
        <v>0</v>
      </c>
      <c r="W132" s="7"/>
      <c r="X132" s="5" t="s">
        <v>170</v>
      </c>
      <c r="Y132" s="9"/>
      <c r="Z132" s="5"/>
      <c r="AA132" s="109"/>
      <c r="AB132" s="110" t="s">
        <v>170</v>
      </c>
      <c r="AC132" s="111"/>
      <c r="AD132" s="109"/>
    </row>
    <row r="133" spans="1:30" ht="15.5" x14ac:dyDescent="0.35">
      <c r="A133" s="5" t="s">
        <v>751</v>
      </c>
      <c r="B133" s="5" t="s">
        <v>752</v>
      </c>
      <c r="C133" s="5" t="s">
        <v>753</v>
      </c>
      <c r="D133" s="5" t="s">
        <v>294</v>
      </c>
      <c r="E133" s="8">
        <v>60155</v>
      </c>
      <c r="F133" s="5" t="s">
        <v>32</v>
      </c>
      <c r="G133" s="5" t="s">
        <v>287</v>
      </c>
      <c r="H133" s="5" t="s">
        <v>148</v>
      </c>
      <c r="I133" s="108">
        <v>1.5151515151515201E-2</v>
      </c>
      <c r="J133" s="6">
        <v>0</v>
      </c>
      <c r="K133" s="6">
        <v>0</v>
      </c>
      <c r="L133" s="6">
        <v>5.1724137931034482E-2</v>
      </c>
      <c r="M133" s="6">
        <v>0</v>
      </c>
      <c r="N133" s="6">
        <v>5.1724137931034482E-2</v>
      </c>
      <c r="O133" s="6">
        <v>0</v>
      </c>
      <c r="P133" s="6">
        <v>0</v>
      </c>
      <c r="Q133" s="6">
        <v>0</v>
      </c>
      <c r="R133" s="6">
        <v>5.1724137931034482E-2</v>
      </c>
      <c r="S133" s="6">
        <v>0</v>
      </c>
      <c r="T133" s="6">
        <v>0</v>
      </c>
      <c r="U133" s="6">
        <v>0</v>
      </c>
      <c r="V133" s="6">
        <v>5.1724137931034482E-2</v>
      </c>
      <c r="W133" s="7"/>
      <c r="X133" s="5" t="s">
        <v>170</v>
      </c>
      <c r="Y133" s="9"/>
      <c r="Z133" s="5"/>
      <c r="AA133" s="109"/>
      <c r="AB133" s="110" t="s">
        <v>170</v>
      </c>
      <c r="AC133" s="111"/>
      <c r="AD133" s="109"/>
    </row>
    <row r="134" spans="1:30" ht="15.5" x14ac:dyDescent="0.35">
      <c r="A134" s="120"/>
      <c r="B134" s="120"/>
      <c r="C134" s="120"/>
      <c r="D134" s="120"/>
      <c r="E134" s="121"/>
      <c r="F134" s="120"/>
      <c r="G134" s="120"/>
      <c r="H134" s="120"/>
      <c r="I134" s="122"/>
      <c r="J134" s="123"/>
      <c r="K134" s="123"/>
      <c r="L134" s="123"/>
      <c r="M134" s="123"/>
      <c r="N134" s="123"/>
      <c r="O134" s="123"/>
      <c r="P134" s="123"/>
      <c r="Q134" s="123"/>
      <c r="R134" s="123"/>
      <c r="S134" s="123"/>
      <c r="T134" s="123"/>
      <c r="U134" s="123"/>
      <c r="V134" s="123"/>
      <c r="W134" s="124"/>
      <c r="X134" s="120"/>
      <c r="Y134" s="125"/>
      <c r="Z134" s="120"/>
      <c r="AA134" s="126"/>
      <c r="AB134" s="127"/>
      <c r="AC134" s="128"/>
      <c r="AD134" s="126"/>
    </row>
    <row r="135" spans="1:30" ht="15.5" x14ac:dyDescent="0.35">
      <c r="A135" s="120"/>
      <c r="B135" s="120"/>
      <c r="C135" s="120"/>
      <c r="D135" s="120"/>
      <c r="E135" s="121"/>
      <c r="F135" s="120"/>
      <c r="G135" s="120"/>
      <c r="H135" s="120"/>
      <c r="I135" s="122"/>
      <c r="J135" s="123"/>
      <c r="K135" s="123"/>
      <c r="L135" s="123"/>
      <c r="M135" s="123"/>
      <c r="N135" s="123"/>
      <c r="O135" s="123"/>
      <c r="P135" s="123"/>
      <c r="Q135" s="123"/>
      <c r="R135" s="123"/>
      <c r="S135" s="123"/>
      <c r="T135" s="123"/>
      <c r="U135" s="123"/>
      <c r="V135" s="123"/>
      <c r="W135" s="124"/>
      <c r="X135" s="120"/>
      <c r="Y135" s="125"/>
      <c r="Z135" s="120"/>
      <c r="AA135" s="126"/>
      <c r="AB135" s="127"/>
      <c r="AC135" s="128"/>
      <c r="AD135" s="126"/>
    </row>
    <row r="136" spans="1:30" ht="15.5" x14ac:dyDescent="0.35">
      <c r="A136" s="129" t="s">
        <v>754</v>
      </c>
      <c r="B136" s="120"/>
      <c r="C136" s="120"/>
      <c r="D136" s="120"/>
      <c r="E136" s="121"/>
      <c r="F136" s="120"/>
      <c r="G136" s="120"/>
      <c r="H136" s="120"/>
      <c r="I136" s="122"/>
      <c r="J136" s="123"/>
      <c r="K136" s="123"/>
      <c r="L136" s="123"/>
      <c r="M136" s="123"/>
      <c r="N136" s="123"/>
      <c r="O136" s="123"/>
      <c r="P136" s="123"/>
      <c r="Q136" s="123"/>
      <c r="R136" s="123"/>
      <c r="S136" s="123"/>
      <c r="T136" s="123"/>
      <c r="U136" s="123"/>
      <c r="V136" s="123"/>
      <c r="W136" s="124"/>
      <c r="X136" s="120"/>
      <c r="Y136" s="125"/>
      <c r="Z136" s="120"/>
      <c r="AA136" s="126"/>
      <c r="AB136" s="127"/>
      <c r="AC136" s="128"/>
      <c r="AD136" s="126"/>
    </row>
    <row r="137" spans="1:30" ht="15.5" x14ac:dyDescent="0.35">
      <c r="A137" s="129" t="s">
        <v>755</v>
      </c>
      <c r="B137" s="129"/>
      <c r="C137" s="120"/>
      <c r="D137" s="129"/>
      <c r="E137" s="129"/>
      <c r="F137" s="130"/>
      <c r="G137" s="131"/>
      <c r="H137" s="132"/>
      <c r="I137" s="129"/>
      <c r="J137" s="129"/>
      <c r="K137" s="129"/>
      <c r="L137" s="129"/>
      <c r="M137" s="130"/>
      <c r="N137" s="133"/>
      <c r="O137" s="133"/>
      <c r="P137" s="133"/>
      <c r="Q137" s="133"/>
      <c r="R137" s="133"/>
      <c r="S137" s="133"/>
      <c r="T137" s="133"/>
      <c r="U137" s="133"/>
      <c r="V137" s="133"/>
      <c r="W137" s="133"/>
      <c r="X137" s="133"/>
      <c r="Y137" s="133"/>
      <c r="Z137" s="133"/>
      <c r="AA137" s="133"/>
      <c r="AB137" s="133"/>
      <c r="AC137" s="133"/>
      <c r="AD137" s="133"/>
    </row>
    <row r="138" spans="1:30" ht="15.5" x14ac:dyDescent="0.35">
      <c r="A138" s="134" t="s">
        <v>756</v>
      </c>
      <c r="B138" s="129"/>
      <c r="C138" s="120"/>
      <c r="D138" s="129"/>
      <c r="E138" s="129"/>
      <c r="F138" s="130"/>
      <c r="G138" s="131"/>
      <c r="H138" s="132"/>
      <c r="I138" s="129"/>
      <c r="J138" s="129"/>
      <c r="K138" s="129"/>
      <c r="L138" s="129"/>
      <c r="M138" s="130"/>
      <c r="N138" s="133"/>
      <c r="O138" s="133"/>
      <c r="P138" s="133"/>
      <c r="Q138" s="133"/>
      <c r="R138" s="133"/>
      <c r="S138" s="133"/>
      <c r="T138" s="133"/>
      <c r="U138" s="133"/>
      <c r="V138" s="133"/>
      <c r="W138" s="133"/>
      <c r="X138" s="133"/>
      <c r="Y138" s="133"/>
      <c r="Z138" s="133"/>
      <c r="AA138" s="133"/>
      <c r="AB138" s="133"/>
      <c r="AC138" s="133"/>
      <c r="AD138" s="133"/>
    </row>
    <row r="139" spans="1:30" ht="15.5" x14ac:dyDescent="0.35">
      <c r="A139" s="134"/>
      <c r="C139" s="135"/>
    </row>
    <row r="140" spans="1:30" x14ac:dyDescent="0.35">
      <c r="A140" s="399"/>
      <c r="B140" s="400"/>
    </row>
  </sheetData>
  <mergeCells count="16">
    <mergeCell ref="A140:B140"/>
    <mergeCell ref="Q3:T3"/>
    <mergeCell ref="U3:X3"/>
    <mergeCell ref="Y3:AB3"/>
    <mergeCell ref="AC3:AD3"/>
    <mergeCell ref="A4:AD4"/>
    <mergeCell ref="J5:M5"/>
    <mergeCell ref="N5:Q5"/>
    <mergeCell ref="R5:U5"/>
    <mergeCell ref="W5:AD5"/>
    <mergeCell ref="M3:P3"/>
    <mergeCell ref="A1:D1"/>
    <mergeCell ref="A2:D2"/>
    <mergeCell ref="A3:D3"/>
    <mergeCell ref="E3:H3"/>
    <mergeCell ref="I3:L3"/>
  </mergeCells>
  <conditionalFormatting sqref="AD7">
    <cfRule type="cellIs" dxfId="62" priority="1" stopIfTrue="1" operator="equal">
      <formula>0</formula>
    </cfRule>
  </conditionalFormatting>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CAD7C-F510-43FF-BE9C-C55926D645BE}">
  <dimension ref="A1:F23"/>
  <sheetViews>
    <sheetView workbookViewId="0">
      <selection sqref="A1:F1"/>
    </sheetView>
  </sheetViews>
  <sheetFormatPr defaultRowHeight="14.5" x14ac:dyDescent="0.35"/>
  <cols>
    <col min="1" max="1" width="45.54296875" customWidth="1"/>
    <col min="2" max="2" width="19" customWidth="1"/>
  </cols>
  <sheetData>
    <row r="1" spans="1:6" ht="26" x14ac:dyDescent="0.35">
      <c r="A1" s="344" t="s">
        <v>47</v>
      </c>
      <c r="B1" s="344"/>
      <c r="C1" s="344"/>
      <c r="D1" s="344"/>
      <c r="E1" s="344"/>
      <c r="F1" s="344"/>
    </row>
    <row r="3" spans="1:6" ht="15" customHeight="1" x14ac:dyDescent="0.35">
      <c r="A3" s="350" t="s">
        <v>757</v>
      </c>
      <c r="B3" s="350"/>
      <c r="C3" s="350"/>
      <c r="D3" s="350"/>
      <c r="E3" s="350"/>
    </row>
    <row r="4" spans="1:6" x14ac:dyDescent="0.35">
      <c r="A4" s="67" t="s">
        <v>758</v>
      </c>
      <c r="B4" s="67" t="s">
        <v>759</v>
      </c>
    </row>
    <row r="5" spans="1:6" ht="15" thickBot="1" x14ac:dyDescent="0.4">
      <c r="A5" s="136" t="s">
        <v>760</v>
      </c>
      <c r="B5" s="137">
        <v>26</v>
      </c>
    </row>
    <row r="6" spans="1:6" ht="15" thickTop="1" x14ac:dyDescent="0.35">
      <c r="A6" s="138" t="s">
        <v>761</v>
      </c>
      <c r="B6" s="139">
        <v>20</v>
      </c>
    </row>
    <row r="7" spans="1:6" x14ac:dyDescent="0.35">
      <c r="A7" s="140" t="s">
        <v>762</v>
      </c>
      <c r="B7" s="68">
        <v>10</v>
      </c>
    </row>
    <row r="8" spans="1:6" x14ac:dyDescent="0.35">
      <c r="A8" s="140" t="s">
        <v>763</v>
      </c>
      <c r="B8" s="68">
        <v>10</v>
      </c>
    </row>
    <row r="9" spans="1:6" x14ac:dyDescent="0.35">
      <c r="A9" s="138" t="s">
        <v>764</v>
      </c>
      <c r="B9" s="138">
        <v>20</v>
      </c>
    </row>
    <row r="10" spans="1:6" x14ac:dyDescent="0.35">
      <c r="A10" s="141" t="s">
        <v>765</v>
      </c>
      <c r="B10" s="142">
        <v>5</v>
      </c>
    </row>
    <row r="11" spans="1:6" x14ac:dyDescent="0.35">
      <c r="A11" s="141" t="s">
        <v>766</v>
      </c>
      <c r="B11" s="142">
        <v>4</v>
      </c>
    </row>
    <row r="12" spans="1:6" x14ac:dyDescent="0.35">
      <c r="A12" s="141" t="s">
        <v>767</v>
      </c>
      <c r="B12" s="142">
        <v>3</v>
      </c>
    </row>
    <row r="13" spans="1:6" x14ac:dyDescent="0.35">
      <c r="A13" s="141" t="s">
        <v>768</v>
      </c>
      <c r="B13" s="142">
        <v>2</v>
      </c>
    </row>
    <row r="14" spans="1:6" x14ac:dyDescent="0.35">
      <c r="A14" s="141" t="s">
        <v>769</v>
      </c>
      <c r="B14" s="142">
        <v>2</v>
      </c>
    </row>
    <row r="15" spans="1:6" x14ac:dyDescent="0.35">
      <c r="A15" s="141" t="s">
        <v>770</v>
      </c>
      <c r="B15" s="142">
        <v>1</v>
      </c>
    </row>
    <row r="16" spans="1:6" x14ac:dyDescent="0.35">
      <c r="A16" s="141" t="s">
        <v>771</v>
      </c>
      <c r="B16" s="142">
        <v>1</v>
      </c>
    </row>
    <row r="17" spans="1:2" x14ac:dyDescent="0.35">
      <c r="A17" s="141" t="s">
        <v>772</v>
      </c>
      <c r="B17" s="142">
        <v>1</v>
      </c>
    </row>
    <row r="18" spans="1:2" x14ac:dyDescent="0.35">
      <c r="A18" s="141" t="s">
        <v>773</v>
      </c>
      <c r="B18" s="142">
        <v>1</v>
      </c>
    </row>
    <row r="20" spans="1:2" x14ac:dyDescent="0.35">
      <c r="A20" s="404" t="s">
        <v>774</v>
      </c>
      <c r="B20" s="404"/>
    </row>
    <row r="21" spans="1:2" x14ac:dyDescent="0.35">
      <c r="A21" s="404"/>
      <c r="B21" s="404"/>
    </row>
    <row r="22" spans="1:2" x14ac:dyDescent="0.35">
      <c r="A22" s="404"/>
      <c r="B22" s="404"/>
    </row>
    <row r="23" spans="1:2" x14ac:dyDescent="0.35">
      <c r="A23" s="404"/>
      <c r="B23" s="404"/>
    </row>
  </sheetData>
  <mergeCells count="3">
    <mergeCell ref="A1:F1"/>
    <mergeCell ref="A3:E3"/>
    <mergeCell ref="A20:B2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B9DB-4525-4804-BE01-62DB82640451}">
  <dimension ref="A1:BD183"/>
  <sheetViews>
    <sheetView zoomScale="93" zoomScaleNormal="93" workbookViewId="0"/>
  </sheetViews>
  <sheetFormatPr defaultRowHeight="15" x14ac:dyDescent="0.35"/>
  <cols>
    <col min="1" max="1" width="21.453125" customWidth="1"/>
    <col min="2" max="2" width="16.81640625" customWidth="1"/>
    <col min="3" max="3" width="29.54296875" customWidth="1"/>
    <col min="4" max="4" width="34.81640625" customWidth="1"/>
    <col min="5" max="9" width="19.54296875" customWidth="1"/>
    <col min="10" max="10" width="15" customWidth="1"/>
    <col min="13" max="13" width="8.81640625" style="10"/>
  </cols>
  <sheetData>
    <row r="1" spans="1:50" ht="26.25" customHeight="1" thickBot="1" x14ac:dyDescent="0.4">
      <c r="A1" s="75" t="s">
        <v>572</v>
      </c>
      <c r="B1" s="75"/>
      <c r="C1" s="76"/>
      <c r="D1" s="77"/>
      <c r="E1" s="77"/>
      <c r="F1" s="77"/>
      <c r="G1" s="77"/>
      <c r="H1" s="78"/>
      <c r="I1" s="10"/>
      <c r="J1" s="10"/>
      <c r="K1" s="10"/>
      <c r="L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row>
    <row r="2" spans="1:50" ht="150.75" customHeight="1" thickBot="1" x14ac:dyDescent="0.4">
      <c r="A2" s="407" t="s">
        <v>573</v>
      </c>
      <c r="B2" s="408"/>
      <c r="C2" s="408"/>
      <c r="D2" s="408"/>
      <c r="E2" s="408"/>
      <c r="F2" s="408"/>
      <c r="G2" s="408"/>
      <c r="H2" s="409"/>
      <c r="I2" s="10"/>
      <c r="J2" s="10"/>
      <c r="K2" s="10"/>
      <c r="L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row>
    <row r="3" spans="1:50" ht="15.5" thickBot="1" x14ac:dyDescent="0.4">
      <c r="I3" s="10"/>
      <c r="J3" s="10"/>
      <c r="K3" s="10"/>
      <c r="L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row>
    <row r="4" spans="1:50" ht="15.5" thickBot="1" x14ac:dyDescent="0.4">
      <c r="A4" s="410" t="s">
        <v>574</v>
      </c>
      <c r="B4" s="411"/>
      <c r="C4" s="411"/>
      <c r="D4" s="412"/>
      <c r="I4" s="63"/>
      <c r="J4" s="10"/>
      <c r="K4" s="10"/>
      <c r="L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row>
    <row r="5" spans="1:50" ht="29.5" thickBot="1" x14ac:dyDescent="0.4">
      <c r="A5" s="75" t="s">
        <v>575</v>
      </c>
      <c r="B5" s="79" t="s">
        <v>576</v>
      </c>
      <c r="C5" s="79" t="s">
        <v>577</v>
      </c>
      <c r="D5" s="79" t="s">
        <v>578</v>
      </c>
      <c r="I5" s="63"/>
      <c r="J5" s="10"/>
      <c r="K5" s="10"/>
      <c r="L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row>
    <row r="6" spans="1:50" ht="29.5" customHeight="1" thickBot="1" x14ac:dyDescent="0.4">
      <c r="A6" s="80" t="s">
        <v>579</v>
      </c>
      <c r="B6" s="81">
        <v>55</v>
      </c>
      <c r="C6" s="81">
        <v>12.36</v>
      </c>
      <c r="D6" s="81">
        <v>36.24</v>
      </c>
      <c r="I6" s="10"/>
      <c r="J6" s="10"/>
      <c r="K6" s="10"/>
      <c r="L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row>
    <row r="7" spans="1:50" ht="15.5" thickBot="1" x14ac:dyDescent="0.4">
      <c r="A7" s="80" t="s">
        <v>580</v>
      </c>
      <c r="B7" s="81">
        <v>9</v>
      </c>
      <c r="C7" s="81">
        <v>40.78</v>
      </c>
      <c r="D7" s="81">
        <v>74.78</v>
      </c>
      <c r="I7" s="10"/>
      <c r="J7" s="10"/>
      <c r="K7" s="10"/>
      <c r="L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spans="1:50" ht="15.5" thickBot="1" x14ac:dyDescent="0.4">
      <c r="A8" s="80" t="s">
        <v>581</v>
      </c>
      <c r="B8" s="81">
        <v>235</v>
      </c>
      <c r="C8" s="81">
        <v>13.41</v>
      </c>
      <c r="D8" s="81">
        <v>14.48</v>
      </c>
      <c r="I8" s="10"/>
      <c r="J8" s="10"/>
      <c r="K8" s="10"/>
      <c r="L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row>
    <row r="9" spans="1:50" ht="29.5" thickBot="1" x14ac:dyDescent="0.4">
      <c r="A9" s="82" t="s">
        <v>582</v>
      </c>
      <c r="B9" s="81">
        <v>13</v>
      </c>
      <c r="C9" s="81">
        <v>17.850000000000001</v>
      </c>
      <c r="D9" s="81">
        <v>22.62</v>
      </c>
      <c r="I9" s="10"/>
      <c r="J9" s="10"/>
      <c r="K9" s="10"/>
      <c r="L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row>
    <row r="10" spans="1:50" ht="15.5" thickBot="1" x14ac:dyDescent="0.4">
      <c r="A10" s="80" t="s">
        <v>583</v>
      </c>
      <c r="B10" s="81">
        <v>1</v>
      </c>
      <c r="C10" s="81">
        <v>22</v>
      </c>
      <c r="D10" s="81">
        <v>51</v>
      </c>
      <c r="I10" s="10"/>
      <c r="J10" s="10"/>
      <c r="K10" s="10"/>
      <c r="L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row>
    <row r="11" spans="1:50" ht="15.5" thickBot="1" x14ac:dyDescent="0.4">
      <c r="A11" s="83" t="s">
        <v>584</v>
      </c>
      <c r="B11" s="84">
        <v>313</v>
      </c>
      <c r="C11" s="84">
        <v>14.23</v>
      </c>
      <c r="D11" s="84">
        <v>20.49</v>
      </c>
      <c r="I11" s="10"/>
      <c r="J11" s="10"/>
      <c r="K11" s="10"/>
      <c r="L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row>
    <row r="12" spans="1:50" x14ac:dyDescent="0.35">
      <c r="A12" s="85"/>
      <c r="I12" s="10"/>
      <c r="J12" s="10"/>
      <c r="K12" s="10"/>
      <c r="L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row>
    <row r="13" spans="1:50" x14ac:dyDescent="0.35">
      <c r="A13" s="413" t="s">
        <v>585</v>
      </c>
      <c r="B13" s="413"/>
      <c r="C13" s="413"/>
      <c r="D13" s="413"/>
      <c r="E13" s="413"/>
      <c r="F13" s="413"/>
      <c r="G13" s="413"/>
      <c r="H13" s="413"/>
      <c r="I13" s="10"/>
      <c r="J13" s="10"/>
      <c r="K13" s="10"/>
      <c r="L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row>
    <row r="14" spans="1:50" ht="15.5" thickBot="1" x14ac:dyDescent="0.4">
      <c r="A14" s="85"/>
      <c r="I14" s="10"/>
      <c r="J14" s="10"/>
      <c r="K14" s="10"/>
      <c r="L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row>
    <row r="15" spans="1:50" ht="29.25" customHeight="1" thickBot="1" x14ac:dyDescent="0.4">
      <c r="A15" s="410" t="s">
        <v>586</v>
      </c>
      <c r="B15" s="411"/>
      <c r="C15" s="411"/>
      <c r="D15" s="412"/>
      <c r="I15" s="10"/>
      <c r="J15" s="10"/>
      <c r="K15" s="10"/>
      <c r="L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row>
    <row r="16" spans="1:50" ht="29.5" thickBot="1" x14ac:dyDescent="0.4">
      <c r="A16" s="75" t="s">
        <v>575</v>
      </c>
      <c r="B16" s="79" t="s">
        <v>576</v>
      </c>
      <c r="C16" s="79" t="s">
        <v>577</v>
      </c>
      <c r="D16" s="79" t="s">
        <v>578</v>
      </c>
      <c r="I16" s="10"/>
      <c r="J16" s="10"/>
      <c r="K16" s="10"/>
      <c r="L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row>
    <row r="17" spans="1:56" ht="15.5" thickBot="1" x14ac:dyDescent="0.4">
      <c r="A17" s="80" t="s">
        <v>579</v>
      </c>
      <c r="B17" s="81">
        <v>41</v>
      </c>
      <c r="C17" s="81">
        <v>14.46</v>
      </c>
      <c r="D17" s="81">
        <v>19.63</v>
      </c>
      <c r="I17" s="10"/>
      <c r="J17" s="10"/>
      <c r="K17" s="10"/>
      <c r="L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row>
    <row r="18" spans="1:56" ht="15.5" thickBot="1" x14ac:dyDescent="0.4">
      <c r="A18" s="80" t="s">
        <v>580</v>
      </c>
      <c r="B18" s="81">
        <v>10</v>
      </c>
      <c r="C18" s="81">
        <v>26.3</v>
      </c>
      <c r="D18" s="81">
        <v>29.5</v>
      </c>
      <c r="I18" s="10"/>
      <c r="J18" s="10"/>
      <c r="K18" s="10"/>
      <c r="L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row>
    <row r="19" spans="1:56" ht="15.5" thickBot="1" x14ac:dyDescent="0.4">
      <c r="A19" s="80" t="s">
        <v>581</v>
      </c>
      <c r="B19" s="81">
        <v>231</v>
      </c>
      <c r="C19" s="81">
        <v>10.48</v>
      </c>
      <c r="D19" s="81">
        <v>12.6</v>
      </c>
      <c r="I19" s="10"/>
      <c r="J19" s="10"/>
      <c r="K19" s="10"/>
      <c r="L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row>
    <row r="20" spans="1:56" ht="29.5" thickBot="1" x14ac:dyDescent="0.4">
      <c r="A20" s="82" t="s">
        <v>582</v>
      </c>
      <c r="B20" s="81">
        <v>12</v>
      </c>
      <c r="C20" s="81">
        <v>20.83</v>
      </c>
      <c r="D20" s="81">
        <v>25.5</v>
      </c>
      <c r="I20" s="10"/>
      <c r="J20" s="10"/>
      <c r="K20" s="10"/>
      <c r="L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row>
    <row r="21" spans="1:56" ht="15.5" thickBot="1" x14ac:dyDescent="0.4">
      <c r="A21" s="80" t="s">
        <v>583</v>
      </c>
      <c r="B21" s="81">
        <v>2</v>
      </c>
      <c r="C21" s="81">
        <v>11</v>
      </c>
      <c r="D21" s="81">
        <v>19.5</v>
      </c>
      <c r="I21" s="10"/>
      <c r="J21" s="10"/>
      <c r="K21" s="10"/>
      <c r="L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row>
    <row r="22" spans="1:56" ht="15.5" thickBot="1" x14ac:dyDescent="0.4">
      <c r="A22" s="83" t="s">
        <v>584</v>
      </c>
      <c r="B22" s="84">
        <v>296</v>
      </c>
      <c r="C22" s="84">
        <v>11.99</v>
      </c>
      <c r="D22" s="84">
        <v>14.72</v>
      </c>
      <c r="I22" s="10"/>
      <c r="J22" s="10"/>
      <c r="K22" s="10"/>
      <c r="L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row>
    <row r="23" spans="1:56" x14ac:dyDescent="0.35">
      <c r="I23" s="10"/>
      <c r="J23" s="10"/>
      <c r="K23" s="10"/>
      <c r="L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row>
    <row r="24" spans="1:56" x14ac:dyDescent="0.35">
      <c r="A24" s="413" t="s">
        <v>587</v>
      </c>
      <c r="B24" s="413"/>
      <c r="C24" s="413"/>
      <c r="D24" s="413"/>
      <c r="E24" s="413"/>
      <c r="F24" s="413"/>
      <c r="G24" s="413"/>
      <c r="H24" s="413"/>
      <c r="I24" s="10"/>
      <c r="J24" s="10"/>
      <c r="K24" s="10"/>
      <c r="L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row>
    <row r="25" spans="1:56" ht="15.5" thickBot="1" x14ac:dyDescent="0.4">
      <c r="A25" s="86"/>
      <c r="B25" s="86"/>
      <c r="C25" s="86"/>
      <c r="D25" s="86"/>
      <c r="E25" s="86"/>
      <c r="F25" s="86"/>
      <c r="G25" s="86"/>
      <c r="H25" s="86"/>
      <c r="I25" s="10"/>
      <c r="J25" s="10"/>
      <c r="K25" s="10"/>
      <c r="L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row>
    <row r="26" spans="1:56" ht="28.5" customHeight="1" thickBot="1" x14ac:dyDescent="0.4">
      <c r="A26" s="410" t="s">
        <v>588</v>
      </c>
      <c r="B26" s="411"/>
      <c r="C26" s="411"/>
      <c r="D26" s="412"/>
      <c r="I26" s="10"/>
      <c r="J26" s="10"/>
      <c r="K26" s="10"/>
      <c r="L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row>
    <row r="27" spans="1:56" ht="29.5" thickBot="1" x14ac:dyDescent="0.4">
      <c r="A27" s="75" t="s">
        <v>575</v>
      </c>
      <c r="B27" s="79" t="s">
        <v>576</v>
      </c>
      <c r="C27" s="79" t="s">
        <v>577</v>
      </c>
      <c r="D27" s="79" t="s">
        <v>578</v>
      </c>
      <c r="E27" s="87"/>
      <c r="F27" s="88"/>
      <c r="G27" s="88"/>
      <c r="H27" s="88"/>
      <c r="I27" s="10"/>
      <c r="J27" s="10"/>
      <c r="K27" s="10"/>
      <c r="L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row>
    <row r="28" spans="1:56" ht="15.5" thickBot="1" x14ac:dyDescent="0.4">
      <c r="A28" s="80" t="s">
        <v>579</v>
      </c>
      <c r="B28" s="81">
        <v>52</v>
      </c>
      <c r="C28" s="89">
        <v>9.884615385</v>
      </c>
      <c r="D28" s="89">
        <v>11.42222222</v>
      </c>
      <c r="E28" s="90"/>
      <c r="F28" s="91"/>
      <c r="G28" s="91"/>
      <c r="H28" s="91"/>
      <c r="I28" s="10"/>
      <c r="J28" s="10"/>
      <c r="K28" s="10"/>
      <c r="L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row>
    <row r="29" spans="1:56" ht="15.5" thickBot="1" x14ac:dyDescent="0.4">
      <c r="A29" s="80" t="s">
        <v>580</v>
      </c>
      <c r="B29" s="81">
        <v>5</v>
      </c>
      <c r="C29" s="89">
        <v>15.2</v>
      </c>
      <c r="D29" s="89">
        <v>15.2</v>
      </c>
      <c r="I29" s="10"/>
      <c r="J29" s="10"/>
      <c r="K29" s="10"/>
      <c r="L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row>
    <row r="30" spans="1:56" ht="15.5" thickBot="1" x14ac:dyDescent="0.4">
      <c r="A30" s="80" t="s">
        <v>581</v>
      </c>
      <c r="B30" s="81">
        <v>111</v>
      </c>
      <c r="C30" s="89">
        <v>7.4864864860000004</v>
      </c>
      <c r="D30" s="89">
        <v>7.6944444440000002</v>
      </c>
      <c r="E30" s="87"/>
      <c r="F30" s="88"/>
      <c r="G30" s="88"/>
      <c r="H30" s="88"/>
      <c r="I30" s="10"/>
      <c r="J30" s="10"/>
      <c r="K30" s="10"/>
      <c r="L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row>
    <row r="31" spans="1:56" ht="29.5" thickBot="1" x14ac:dyDescent="0.4">
      <c r="A31" s="82" t="s">
        <v>582</v>
      </c>
      <c r="B31" s="81">
        <v>19</v>
      </c>
      <c r="C31" s="89">
        <v>7.0526315789999998</v>
      </c>
      <c r="D31" s="89">
        <v>7.4444444440000002</v>
      </c>
      <c r="E31" s="92"/>
      <c r="F31" s="92"/>
      <c r="G31" s="92"/>
      <c r="H31" s="92"/>
      <c r="I31" s="10"/>
      <c r="J31" s="10"/>
      <c r="K31" s="10"/>
      <c r="L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row>
    <row r="32" spans="1:56" ht="15.5" thickBot="1" x14ac:dyDescent="0.4">
      <c r="A32" s="80" t="s">
        <v>583</v>
      </c>
      <c r="B32" s="81">
        <v>39</v>
      </c>
      <c r="C32" s="89">
        <v>17.410256409999999</v>
      </c>
      <c r="D32" s="89">
        <v>19.399999999999999</v>
      </c>
      <c r="E32" s="93"/>
      <c r="I32" s="10"/>
      <c r="J32" s="10"/>
      <c r="K32" s="10"/>
      <c r="L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row>
    <row r="33" spans="1:56" ht="15.5" thickBot="1" x14ac:dyDescent="0.4">
      <c r="A33" s="83" t="s">
        <v>584</v>
      </c>
      <c r="B33" s="84">
        <v>226</v>
      </c>
      <c r="C33" s="94">
        <v>11.406797971999998</v>
      </c>
      <c r="D33" s="94">
        <v>12.232222221599999</v>
      </c>
      <c r="I33" s="10"/>
      <c r="J33" s="10"/>
      <c r="K33" s="10"/>
      <c r="L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row>
    <row r="34" spans="1:56" x14ac:dyDescent="0.35">
      <c r="I34" s="10"/>
      <c r="J34" s="10"/>
      <c r="K34" s="10"/>
      <c r="L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row>
    <row r="35" spans="1:56" x14ac:dyDescent="0.35">
      <c r="A35" s="413" t="s">
        <v>589</v>
      </c>
      <c r="B35" s="413"/>
      <c r="C35" s="413"/>
      <c r="D35" s="413"/>
      <c r="E35" s="413"/>
      <c r="F35" s="413"/>
      <c r="G35" s="413"/>
      <c r="H35" s="413"/>
      <c r="I35" s="10"/>
      <c r="J35" s="10"/>
      <c r="K35" s="10"/>
      <c r="L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row>
    <row r="36" spans="1:56" x14ac:dyDescent="0.35">
      <c r="A36" s="86" t="s">
        <v>590</v>
      </c>
      <c r="B36" s="86"/>
      <c r="C36" s="86"/>
      <c r="D36" s="86"/>
      <c r="E36" s="86"/>
      <c r="F36" s="86"/>
      <c r="G36" s="86"/>
      <c r="H36" s="86"/>
      <c r="I36" s="10"/>
      <c r="J36" s="10"/>
      <c r="K36" s="10"/>
      <c r="L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row>
    <row r="37" spans="1:56" ht="15.5" thickBot="1" x14ac:dyDescent="0.4">
      <c r="A37" s="86"/>
      <c r="B37" s="86"/>
      <c r="C37" s="86"/>
      <c r="D37" s="86"/>
      <c r="E37" s="86"/>
      <c r="F37" s="86"/>
      <c r="G37" s="86"/>
      <c r="H37" s="86"/>
      <c r="I37" s="10"/>
      <c r="J37" s="10"/>
      <c r="K37" s="10"/>
      <c r="L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row>
    <row r="38" spans="1:56" ht="26.25" customHeight="1" thickBot="1" x14ac:dyDescent="0.4">
      <c r="A38" s="410" t="s">
        <v>591</v>
      </c>
      <c r="B38" s="411"/>
      <c r="C38" s="411"/>
      <c r="D38" s="412"/>
      <c r="E38" s="86"/>
      <c r="F38" s="86"/>
      <c r="G38" s="86"/>
      <c r="H38" s="86"/>
      <c r="I38" s="10"/>
      <c r="J38" s="10"/>
      <c r="K38" s="10"/>
      <c r="L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row>
    <row r="39" spans="1:56" ht="29.5" thickBot="1" x14ac:dyDescent="0.4">
      <c r="A39" s="75" t="s">
        <v>575</v>
      </c>
      <c r="B39" s="79" t="s">
        <v>576</v>
      </c>
      <c r="C39" s="79" t="s">
        <v>577</v>
      </c>
      <c r="D39" s="79" t="s">
        <v>578</v>
      </c>
      <c r="E39" s="86"/>
      <c r="F39" s="86"/>
      <c r="G39" s="86"/>
      <c r="H39" s="86"/>
      <c r="I39" s="10"/>
      <c r="J39" s="10"/>
      <c r="K39" s="10"/>
      <c r="L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row>
    <row r="40" spans="1:56" ht="15.5" thickBot="1" x14ac:dyDescent="0.4">
      <c r="A40" s="80" t="s">
        <v>579</v>
      </c>
      <c r="B40" s="81">
        <v>59</v>
      </c>
      <c r="C40" s="89">
        <v>11.78</v>
      </c>
      <c r="D40" s="89">
        <v>35</v>
      </c>
      <c r="E40" s="86"/>
      <c r="F40" s="86"/>
      <c r="G40" s="86"/>
      <c r="H40" s="86"/>
      <c r="I40" s="10"/>
      <c r="J40" s="10"/>
      <c r="K40" s="10"/>
      <c r="L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row>
    <row r="41" spans="1:56" ht="15.5" thickBot="1" x14ac:dyDescent="0.4">
      <c r="A41" s="80" t="s">
        <v>580</v>
      </c>
      <c r="B41" s="81">
        <v>13</v>
      </c>
      <c r="C41" s="89">
        <v>17.079999999999998</v>
      </c>
      <c r="D41" s="89">
        <v>64.540000000000006</v>
      </c>
      <c r="E41" s="86"/>
      <c r="F41" s="86"/>
      <c r="G41" s="86"/>
      <c r="H41" s="86"/>
      <c r="I41" s="10"/>
      <c r="J41" s="10"/>
      <c r="K41" s="10"/>
      <c r="L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row>
    <row r="42" spans="1:56" ht="15.5" thickBot="1" x14ac:dyDescent="0.4">
      <c r="A42" s="80" t="s">
        <v>581</v>
      </c>
      <c r="B42" s="81">
        <v>146</v>
      </c>
      <c r="C42" s="89">
        <v>10.210000000000001</v>
      </c>
      <c r="D42" s="89">
        <v>18.420000000000002</v>
      </c>
      <c r="E42" s="86"/>
      <c r="F42" s="86"/>
      <c r="G42" s="86"/>
      <c r="H42" s="86"/>
      <c r="I42" s="10"/>
      <c r="J42" s="10"/>
      <c r="K42" s="10"/>
      <c r="L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row>
    <row r="43" spans="1:56" ht="29.5" thickBot="1" x14ac:dyDescent="0.4">
      <c r="A43" s="82" t="s">
        <v>582</v>
      </c>
      <c r="B43" s="81">
        <v>32</v>
      </c>
      <c r="C43" s="89">
        <v>4.91</v>
      </c>
      <c r="D43" s="89">
        <v>9.9700000000000006</v>
      </c>
      <c r="E43" s="86"/>
      <c r="F43" s="86"/>
      <c r="G43" s="86"/>
      <c r="H43" s="86"/>
      <c r="I43" s="10"/>
      <c r="J43" s="10"/>
      <c r="K43" s="10"/>
      <c r="L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row>
    <row r="44" spans="1:56" ht="15.5" thickBot="1" x14ac:dyDescent="0.4">
      <c r="A44" s="80" t="s">
        <v>583</v>
      </c>
      <c r="B44" s="81">
        <v>61</v>
      </c>
      <c r="C44" s="89">
        <v>50.8</v>
      </c>
      <c r="D44" s="89">
        <v>87.23</v>
      </c>
      <c r="E44" s="86"/>
      <c r="F44" s="86"/>
      <c r="G44" s="86"/>
      <c r="H44" s="86"/>
      <c r="I44" s="10"/>
      <c r="J44" s="10"/>
      <c r="K44" s="10"/>
      <c r="L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row>
    <row r="45" spans="1:56" ht="15.5" thickBot="1" x14ac:dyDescent="0.4">
      <c r="A45" s="83" t="s">
        <v>584</v>
      </c>
      <c r="B45" s="84">
        <v>311</v>
      </c>
      <c r="C45" s="94">
        <v>18.21</v>
      </c>
      <c r="D45" s="94">
        <v>36.119999999999997</v>
      </c>
      <c r="E45" s="86"/>
      <c r="F45" s="86"/>
      <c r="G45" s="86"/>
      <c r="H45" s="86"/>
      <c r="I45" s="10"/>
      <c r="J45" s="10"/>
      <c r="K45" s="10"/>
      <c r="L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row>
    <row r="46" spans="1:56" x14ac:dyDescent="0.35">
      <c r="I46" s="10"/>
      <c r="J46" s="10"/>
      <c r="K46" s="10"/>
      <c r="L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row>
    <row r="47" spans="1:56" x14ac:dyDescent="0.35">
      <c r="A47" t="s">
        <v>592</v>
      </c>
      <c r="I47" s="10"/>
      <c r="J47" s="10"/>
      <c r="K47" s="10"/>
      <c r="L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row>
    <row r="48" spans="1:56" x14ac:dyDescent="0.35">
      <c r="I48" s="10"/>
      <c r="J48" s="10"/>
      <c r="K48" s="10"/>
      <c r="L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row>
    <row r="49" spans="1:56" x14ac:dyDescent="0.35">
      <c r="A49" s="414" t="s">
        <v>593</v>
      </c>
      <c r="B49" s="415"/>
      <c r="C49" s="415"/>
      <c r="D49" s="415"/>
      <c r="E49" s="415"/>
      <c r="F49" s="415"/>
      <c r="G49" s="415"/>
      <c r="H49" s="415"/>
      <c r="I49" s="10"/>
      <c r="J49" s="10"/>
      <c r="K49" s="10"/>
      <c r="L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row>
    <row r="50" spans="1:56" ht="15.65" customHeight="1" x14ac:dyDescent="0.35">
      <c r="A50" s="416" t="s">
        <v>594</v>
      </c>
      <c r="B50" s="417"/>
      <c r="C50" s="417"/>
      <c r="D50" s="417"/>
      <c r="E50" s="417"/>
      <c r="F50" s="417"/>
      <c r="G50" s="417"/>
      <c r="H50" s="417"/>
      <c r="I50" s="10"/>
      <c r="J50" s="10"/>
      <c r="K50" s="10"/>
      <c r="L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row>
    <row r="51" spans="1:56" x14ac:dyDescent="0.35">
      <c r="I51" s="10"/>
      <c r="J51" s="10"/>
      <c r="K51" s="10"/>
      <c r="L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row>
    <row r="52" spans="1:56" x14ac:dyDescent="0.35">
      <c r="A52" s="414" t="s">
        <v>595</v>
      </c>
      <c r="B52" s="415"/>
      <c r="C52" s="415"/>
      <c r="D52" s="415"/>
      <c r="E52" s="415"/>
      <c r="F52" s="415"/>
      <c r="G52" s="415"/>
      <c r="H52" s="415"/>
      <c r="I52" s="10"/>
      <c r="J52" s="10"/>
      <c r="K52" s="10"/>
      <c r="L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row>
    <row r="53" spans="1:56" x14ac:dyDescent="0.35">
      <c r="A53" s="405" t="s">
        <v>596</v>
      </c>
      <c r="B53" s="406"/>
      <c r="C53" s="406"/>
      <c r="D53" s="406"/>
      <c r="E53" s="406"/>
      <c r="F53" s="406"/>
      <c r="G53" s="406"/>
      <c r="H53" s="406"/>
      <c r="I53" s="10"/>
      <c r="J53" s="10"/>
      <c r="K53" s="10"/>
      <c r="L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row>
    <row r="54" spans="1:56" x14ac:dyDescent="0.35">
      <c r="A54" s="92"/>
      <c r="B54" s="92"/>
      <c r="C54" s="92"/>
      <c r="D54" s="92"/>
      <c r="E54" s="92"/>
      <c r="F54" s="92"/>
      <c r="G54" s="92"/>
      <c r="H54" s="92"/>
      <c r="I54" s="10"/>
      <c r="J54" s="10"/>
      <c r="K54" s="10"/>
      <c r="L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row>
    <row r="55" spans="1:56" x14ac:dyDescent="0.35">
      <c r="A55" s="92"/>
      <c r="B55" s="92"/>
      <c r="C55" s="92"/>
      <c r="D55" s="92"/>
      <c r="E55" s="92"/>
      <c r="F55" s="92"/>
      <c r="G55" s="92"/>
      <c r="H55" s="92"/>
      <c r="I55" s="10"/>
      <c r="J55" s="10"/>
      <c r="K55" s="10"/>
      <c r="L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row>
    <row r="56" spans="1:56" x14ac:dyDescent="0.35">
      <c r="A56" s="92"/>
      <c r="B56" s="92"/>
      <c r="C56" s="92"/>
      <c r="D56" s="92"/>
      <c r="E56" s="92"/>
      <c r="F56" s="92"/>
      <c r="G56" s="92"/>
      <c r="H56" s="92"/>
      <c r="I56" s="10"/>
      <c r="J56" s="10"/>
      <c r="K56" s="10"/>
      <c r="L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row>
    <row r="57" spans="1:56" x14ac:dyDescent="0.35">
      <c r="A57" s="95"/>
      <c r="B57" s="95"/>
      <c r="C57" s="95"/>
      <c r="D57" s="95"/>
      <c r="E57" s="10"/>
      <c r="F57" s="10"/>
      <c r="G57" s="10"/>
      <c r="H57" s="10"/>
      <c r="I57" s="10"/>
      <c r="J57" s="10"/>
      <c r="K57" s="10"/>
      <c r="L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row>
    <row r="58" spans="1:56" x14ac:dyDescent="0.35">
      <c r="A58" s="95"/>
      <c r="B58" s="95"/>
      <c r="C58" s="95"/>
      <c r="D58" s="95"/>
      <c r="E58" s="10"/>
      <c r="F58" s="10"/>
      <c r="G58" s="10"/>
      <c r="H58" s="10"/>
      <c r="I58" s="10"/>
      <c r="J58" s="10"/>
      <c r="K58" s="10"/>
      <c r="L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row>
    <row r="59" spans="1:56" x14ac:dyDescent="0.35">
      <c r="A59" s="95"/>
      <c r="B59" s="95"/>
      <c r="C59" s="95"/>
      <c r="D59" s="95"/>
      <c r="E59" s="10"/>
      <c r="F59" s="10"/>
      <c r="G59" s="10"/>
      <c r="H59" s="10"/>
      <c r="I59" s="10"/>
      <c r="J59" s="10"/>
      <c r="K59" s="10"/>
      <c r="L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row>
    <row r="60" spans="1:56" x14ac:dyDescent="0.35">
      <c r="A60" s="95"/>
      <c r="B60" s="95"/>
      <c r="C60" s="95"/>
      <c r="D60" s="95"/>
      <c r="E60" s="10"/>
      <c r="F60" s="10"/>
      <c r="G60" s="10"/>
      <c r="H60" s="10"/>
      <c r="I60" s="10"/>
      <c r="J60" s="10"/>
      <c r="K60" s="10"/>
      <c r="L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row>
    <row r="61" spans="1:56" x14ac:dyDescent="0.35">
      <c r="A61" s="95"/>
      <c r="B61" s="95"/>
      <c r="C61" s="95"/>
      <c r="D61" s="95"/>
      <c r="E61" s="10"/>
      <c r="F61" s="10"/>
      <c r="G61" s="10"/>
      <c r="H61" s="10"/>
      <c r="I61" s="10"/>
      <c r="J61" s="10"/>
      <c r="K61" s="10"/>
      <c r="L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row>
    <row r="62" spans="1:56" x14ac:dyDescent="0.35">
      <c r="A62" s="95"/>
      <c r="B62" s="95"/>
      <c r="C62" s="95"/>
      <c r="D62" s="95"/>
      <c r="E62" s="10"/>
      <c r="F62" s="10"/>
      <c r="G62" s="10"/>
      <c r="H62" s="10"/>
      <c r="I62" s="10"/>
      <c r="J62" s="10"/>
      <c r="K62" s="10"/>
      <c r="L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row>
    <row r="63" spans="1:56" x14ac:dyDescent="0.35">
      <c r="A63" s="95"/>
      <c r="B63" s="95"/>
      <c r="C63" s="95"/>
      <c r="D63" s="95"/>
      <c r="E63" s="10"/>
      <c r="F63" s="10"/>
      <c r="G63" s="10"/>
      <c r="H63" s="10"/>
      <c r="I63" s="10"/>
      <c r="J63" s="10"/>
      <c r="K63" s="10"/>
      <c r="L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row>
    <row r="64" spans="1:56" x14ac:dyDescent="0.35">
      <c r="A64" s="95"/>
      <c r="B64" s="95"/>
      <c r="C64" s="95"/>
      <c r="D64" s="95"/>
      <c r="E64" s="10"/>
      <c r="F64" s="10"/>
      <c r="G64" s="10"/>
      <c r="H64" s="10"/>
      <c r="I64" s="10"/>
      <c r="J64" s="10"/>
      <c r="K64" s="10"/>
      <c r="L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row>
    <row r="65" spans="1:56" x14ac:dyDescent="0.35">
      <c r="A65" s="95"/>
      <c r="B65" s="95"/>
      <c r="C65" s="95"/>
      <c r="D65" s="95"/>
      <c r="E65" s="10"/>
      <c r="F65" s="10"/>
      <c r="G65" s="10"/>
      <c r="H65" s="10"/>
      <c r="I65" s="10"/>
      <c r="J65" s="10"/>
      <c r="K65" s="10"/>
      <c r="L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row>
    <row r="66" spans="1:56" x14ac:dyDescent="0.35">
      <c r="A66" s="95"/>
      <c r="B66" s="95"/>
      <c r="C66" s="95"/>
      <c r="D66" s="95"/>
      <c r="E66" s="10"/>
      <c r="F66" s="10"/>
      <c r="G66" s="10"/>
      <c r="H66" s="10"/>
      <c r="I66" s="10"/>
      <c r="J66" s="10"/>
      <c r="K66" s="10"/>
      <c r="L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row>
    <row r="67" spans="1:56" x14ac:dyDescent="0.35">
      <c r="A67" s="95"/>
      <c r="B67" s="95"/>
      <c r="C67" s="95"/>
      <c r="D67" s="95"/>
      <c r="E67" s="10"/>
      <c r="F67" s="10"/>
      <c r="G67" s="10"/>
      <c r="H67" s="10"/>
      <c r="I67" s="10"/>
      <c r="J67" s="10"/>
      <c r="K67" s="10"/>
      <c r="L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row>
    <row r="68" spans="1:56" x14ac:dyDescent="0.35">
      <c r="A68" s="95"/>
      <c r="B68" s="95"/>
      <c r="C68" s="95"/>
      <c r="D68" s="95"/>
      <c r="E68" s="10"/>
      <c r="F68" s="10"/>
      <c r="G68" s="10"/>
      <c r="H68" s="10"/>
      <c r="I68" s="10"/>
      <c r="J68" s="10"/>
      <c r="K68" s="10"/>
      <c r="L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row>
    <row r="69" spans="1:56" x14ac:dyDescent="0.35">
      <c r="A69" s="95"/>
      <c r="B69" s="95"/>
      <c r="C69" s="95"/>
      <c r="D69" s="95"/>
      <c r="E69" s="10"/>
      <c r="F69" s="10"/>
      <c r="G69" s="10"/>
      <c r="H69" s="10"/>
      <c r="I69" s="10"/>
      <c r="J69" s="10"/>
      <c r="K69" s="10"/>
      <c r="L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row>
    <row r="70" spans="1:56" x14ac:dyDescent="0.35">
      <c r="A70" s="95"/>
      <c r="B70" s="95"/>
      <c r="C70" s="95"/>
      <c r="D70" s="95"/>
      <c r="E70" s="10"/>
      <c r="F70" s="10"/>
      <c r="G70" s="10"/>
      <c r="H70" s="10"/>
      <c r="I70" s="10"/>
      <c r="J70" s="10"/>
      <c r="K70" s="10"/>
      <c r="L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row>
    <row r="71" spans="1:56" x14ac:dyDescent="0.35">
      <c r="A71" s="95"/>
      <c r="B71" s="95"/>
      <c r="C71" s="95"/>
      <c r="D71" s="95"/>
      <c r="E71" s="10"/>
      <c r="F71" s="10"/>
      <c r="G71" s="10"/>
      <c r="H71" s="10"/>
      <c r="I71" s="10"/>
      <c r="J71" s="10"/>
      <c r="K71" s="10"/>
      <c r="L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row>
    <row r="72" spans="1:56" x14ac:dyDescent="0.35">
      <c r="A72" s="95"/>
      <c r="B72" s="95"/>
      <c r="C72" s="95"/>
      <c r="D72" s="95"/>
      <c r="E72" s="10"/>
      <c r="F72" s="10"/>
      <c r="G72" s="10"/>
      <c r="H72" s="10"/>
      <c r="I72" s="10"/>
      <c r="J72" s="10"/>
      <c r="K72" s="10"/>
      <c r="L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row>
    <row r="73" spans="1:56" x14ac:dyDescent="0.35">
      <c r="A73" s="95"/>
      <c r="B73" s="95"/>
      <c r="C73" s="95"/>
      <c r="D73" s="95"/>
      <c r="E73" s="10"/>
      <c r="F73" s="10"/>
      <c r="G73" s="10"/>
      <c r="H73" s="10"/>
      <c r="I73" s="10"/>
      <c r="J73" s="10"/>
      <c r="K73" s="10"/>
      <c r="L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row>
    <row r="74" spans="1:56" x14ac:dyDescent="0.35">
      <c r="A74" s="95"/>
      <c r="B74" s="95"/>
      <c r="C74" s="95"/>
      <c r="D74" s="95"/>
      <c r="E74" s="10"/>
      <c r="F74" s="10"/>
      <c r="G74" s="10"/>
      <c r="H74" s="10"/>
      <c r="I74" s="10"/>
      <c r="J74" s="10"/>
      <c r="K74" s="10"/>
      <c r="L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row>
    <row r="75" spans="1:56" x14ac:dyDescent="0.35">
      <c r="A75" s="95"/>
      <c r="B75" s="95"/>
      <c r="C75" s="95"/>
      <c r="D75" s="95"/>
      <c r="E75" s="10"/>
      <c r="F75" s="10"/>
      <c r="G75" s="10"/>
      <c r="H75" s="10"/>
      <c r="I75" s="10"/>
      <c r="J75" s="10"/>
      <c r="K75" s="10"/>
      <c r="L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row>
    <row r="76" spans="1:56" x14ac:dyDescent="0.35">
      <c r="A76" s="95"/>
      <c r="B76" s="95"/>
      <c r="C76" s="95"/>
      <c r="D76" s="95"/>
      <c r="E76" s="10"/>
      <c r="F76" s="10"/>
      <c r="G76" s="10"/>
      <c r="H76" s="10"/>
      <c r="I76" s="10"/>
      <c r="J76" s="10"/>
      <c r="K76" s="10"/>
      <c r="L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row>
    <row r="77" spans="1:56" x14ac:dyDescent="0.35">
      <c r="A77" s="95"/>
      <c r="B77" s="95"/>
      <c r="C77" s="95"/>
      <c r="D77" s="95"/>
      <c r="E77" s="10"/>
      <c r="F77" s="10"/>
      <c r="G77" s="10"/>
      <c r="H77" s="10"/>
      <c r="I77" s="10"/>
      <c r="J77" s="10"/>
      <c r="K77" s="10"/>
      <c r="L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row>
    <row r="78" spans="1:56" x14ac:dyDescent="0.35">
      <c r="A78" s="95"/>
      <c r="B78" s="95"/>
      <c r="C78" s="95"/>
      <c r="D78" s="95"/>
      <c r="E78" s="10"/>
      <c r="F78" s="10"/>
      <c r="G78" s="10"/>
      <c r="H78" s="10"/>
      <c r="I78" s="10"/>
      <c r="J78" s="10"/>
      <c r="K78" s="10"/>
      <c r="L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row>
    <row r="79" spans="1:56" x14ac:dyDescent="0.35">
      <c r="A79" s="95"/>
      <c r="B79" s="95"/>
      <c r="C79" s="95"/>
      <c r="D79" s="95"/>
      <c r="E79" s="10"/>
      <c r="F79" s="10"/>
      <c r="G79" s="10"/>
      <c r="H79" s="10"/>
      <c r="I79" s="10"/>
      <c r="J79" s="10"/>
      <c r="K79" s="10"/>
      <c r="L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row>
    <row r="80" spans="1:56" x14ac:dyDescent="0.35">
      <c r="A80" s="95"/>
      <c r="B80" s="95"/>
      <c r="C80" s="95"/>
      <c r="D80" s="95"/>
      <c r="E80" s="10"/>
      <c r="F80" s="10"/>
      <c r="G80" s="10"/>
      <c r="H80" s="10"/>
      <c r="I80" s="10"/>
      <c r="J80" s="10"/>
      <c r="K80" s="10"/>
      <c r="L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row>
    <row r="81" spans="1:56" x14ac:dyDescent="0.35">
      <c r="A81" s="95"/>
      <c r="B81" s="95"/>
      <c r="C81" s="95"/>
      <c r="D81" s="95"/>
      <c r="E81" s="10"/>
      <c r="F81" s="10"/>
      <c r="G81" s="10"/>
      <c r="H81" s="10"/>
      <c r="I81" s="10"/>
      <c r="J81" s="10"/>
      <c r="K81" s="10"/>
      <c r="L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row>
    <row r="82" spans="1:56" x14ac:dyDescent="0.35">
      <c r="A82" s="95"/>
      <c r="B82" s="95"/>
      <c r="C82" s="95"/>
      <c r="D82" s="95"/>
      <c r="E82" s="10"/>
      <c r="F82" s="10"/>
      <c r="G82" s="10"/>
      <c r="H82" s="10"/>
      <c r="I82" s="10"/>
      <c r="J82" s="10"/>
      <c r="K82" s="10"/>
      <c r="L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row>
    <row r="83" spans="1:56" x14ac:dyDescent="0.35">
      <c r="A83" s="95"/>
      <c r="B83" s="95"/>
      <c r="C83" s="95"/>
      <c r="D83" s="95"/>
      <c r="E83" s="10"/>
      <c r="F83" s="10"/>
      <c r="G83" s="10"/>
      <c r="H83" s="10"/>
      <c r="I83" s="10"/>
      <c r="J83" s="10"/>
      <c r="K83" s="10"/>
      <c r="L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row>
    <row r="84" spans="1:56" x14ac:dyDescent="0.35">
      <c r="A84" s="95"/>
      <c r="B84" s="95"/>
      <c r="C84" s="95"/>
      <c r="D84" s="95"/>
      <c r="E84" s="10"/>
      <c r="F84" s="10"/>
      <c r="G84" s="10"/>
      <c r="H84" s="10"/>
      <c r="I84" s="10"/>
      <c r="J84" s="10"/>
      <c r="K84" s="10"/>
      <c r="L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row>
    <row r="85" spans="1:56" x14ac:dyDescent="0.35">
      <c r="A85" s="95"/>
      <c r="B85" s="95"/>
      <c r="C85" s="95"/>
      <c r="D85" s="95"/>
      <c r="E85" s="10"/>
      <c r="F85" s="10"/>
      <c r="G85" s="10"/>
      <c r="H85" s="10"/>
      <c r="I85" s="10"/>
      <c r="J85" s="10"/>
      <c r="K85" s="10"/>
      <c r="L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row>
    <row r="86" spans="1:56" x14ac:dyDescent="0.35">
      <c r="A86" s="95"/>
      <c r="B86" s="95"/>
      <c r="C86" s="95"/>
      <c r="D86" s="95"/>
      <c r="E86" s="10"/>
      <c r="F86" s="10"/>
      <c r="G86" s="10"/>
      <c r="H86" s="10"/>
      <c r="I86" s="10"/>
      <c r="J86" s="10"/>
      <c r="K86" s="10"/>
      <c r="L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row>
    <row r="87" spans="1:56" x14ac:dyDescent="0.35">
      <c r="A87" s="95"/>
      <c r="B87" s="95"/>
      <c r="C87" s="95"/>
      <c r="D87" s="95"/>
      <c r="E87" s="10"/>
      <c r="F87" s="10"/>
      <c r="G87" s="10"/>
      <c r="H87" s="10"/>
      <c r="I87" s="10"/>
      <c r="J87" s="10"/>
      <c r="K87" s="10"/>
      <c r="L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row>
    <row r="88" spans="1:56" x14ac:dyDescent="0.35">
      <c r="A88" s="95"/>
      <c r="B88" s="95"/>
      <c r="C88" s="95"/>
      <c r="D88" s="95"/>
      <c r="E88" s="10"/>
      <c r="F88" s="10"/>
      <c r="G88" s="10"/>
      <c r="H88" s="10"/>
      <c r="I88" s="10"/>
      <c r="J88" s="10"/>
      <c r="K88" s="10"/>
      <c r="L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row>
    <row r="89" spans="1:56" x14ac:dyDescent="0.35">
      <c r="A89" s="95"/>
      <c r="B89" s="95"/>
      <c r="C89" s="95"/>
      <c r="D89" s="95"/>
      <c r="E89" s="10"/>
      <c r="F89" s="10"/>
      <c r="G89" s="10"/>
      <c r="H89" s="10"/>
      <c r="I89" s="10"/>
      <c r="J89" s="10"/>
      <c r="K89" s="10"/>
      <c r="L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row>
    <row r="90" spans="1:56" x14ac:dyDescent="0.35">
      <c r="A90" s="95"/>
      <c r="B90" s="95"/>
      <c r="C90" s="95"/>
      <c r="D90" s="95"/>
      <c r="E90" s="10"/>
      <c r="F90" s="10"/>
      <c r="G90" s="10"/>
      <c r="H90" s="10"/>
      <c r="I90" s="10"/>
      <c r="J90" s="10"/>
      <c r="K90" s="10"/>
      <c r="L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row>
    <row r="91" spans="1:56" x14ac:dyDescent="0.35">
      <c r="A91" s="95"/>
      <c r="B91" s="95"/>
      <c r="C91" s="95"/>
      <c r="D91" s="95"/>
      <c r="E91" s="10"/>
      <c r="F91" s="10"/>
      <c r="G91" s="10"/>
      <c r="H91" s="10"/>
      <c r="I91" s="10"/>
      <c r="J91" s="10"/>
      <c r="K91" s="10"/>
      <c r="L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row>
    <row r="92" spans="1:56" x14ac:dyDescent="0.35">
      <c r="A92" s="95"/>
      <c r="B92" s="95"/>
      <c r="C92" s="95"/>
      <c r="D92" s="95"/>
      <c r="E92" s="10"/>
      <c r="F92" s="10"/>
      <c r="G92" s="10"/>
      <c r="H92" s="10"/>
      <c r="I92" s="10"/>
      <c r="J92" s="10"/>
      <c r="K92" s="10"/>
      <c r="L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row>
    <row r="93" spans="1:56" x14ac:dyDescent="0.35">
      <c r="A93" s="95"/>
      <c r="B93" s="95"/>
      <c r="C93" s="95"/>
      <c r="D93" s="95"/>
      <c r="E93" s="10"/>
      <c r="F93" s="10"/>
      <c r="G93" s="10"/>
      <c r="H93" s="10"/>
      <c r="I93" s="10"/>
      <c r="J93" s="10"/>
      <c r="K93" s="10"/>
      <c r="L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row>
    <row r="94" spans="1:56" x14ac:dyDescent="0.35">
      <c r="A94" s="95"/>
      <c r="B94" s="95"/>
      <c r="C94" s="95"/>
      <c r="D94" s="95"/>
      <c r="E94" s="10"/>
      <c r="F94" s="10"/>
      <c r="G94" s="10"/>
      <c r="H94" s="10"/>
      <c r="I94" s="10"/>
      <c r="J94" s="10"/>
      <c r="K94" s="10"/>
      <c r="L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row>
    <row r="95" spans="1:56" x14ac:dyDescent="0.35">
      <c r="A95" s="95"/>
      <c r="B95" s="95"/>
      <c r="C95" s="95"/>
      <c r="D95" s="95"/>
      <c r="E95" s="10"/>
      <c r="F95" s="10"/>
      <c r="G95" s="10"/>
      <c r="H95" s="10"/>
      <c r="I95" s="10"/>
      <c r="J95" s="10"/>
      <c r="K95" s="10"/>
      <c r="L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row>
    <row r="96" spans="1:56" x14ac:dyDescent="0.35">
      <c r="A96" s="95"/>
      <c r="B96" s="95"/>
      <c r="C96" s="95"/>
      <c r="D96" s="95"/>
      <c r="E96" s="10"/>
      <c r="F96" s="10"/>
      <c r="G96" s="10"/>
      <c r="H96" s="10"/>
      <c r="I96" s="10"/>
      <c r="J96" s="10"/>
      <c r="K96" s="10"/>
      <c r="L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row>
    <row r="97" spans="1:56" x14ac:dyDescent="0.35">
      <c r="A97" s="95"/>
      <c r="B97" s="95"/>
      <c r="C97" s="95"/>
      <c r="D97" s="95"/>
      <c r="E97" s="10"/>
      <c r="F97" s="10"/>
      <c r="G97" s="10"/>
      <c r="H97" s="10"/>
      <c r="I97" s="10"/>
      <c r="J97" s="10"/>
      <c r="K97" s="10"/>
      <c r="L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row>
    <row r="98" spans="1:56" x14ac:dyDescent="0.35">
      <c r="A98" s="95"/>
      <c r="B98" s="95"/>
      <c r="C98" s="95"/>
      <c r="D98" s="95"/>
      <c r="E98" s="10"/>
      <c r="F98" s="10"/>
      <c r="G98" s="10"/>
      <c r="H98" s="10"/>
      <c r="I98" s="10"/>
      <c r="J98" s="10"/>
      <c r="K98" s="10"/>
      <c r="L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row>
    <row r="99" spans="1:56" x14ac:dyDescent="0.35">
      <c r="A99" s="95"/>
      <c r="B99" s="95"/>
      <c r="C99" s="95"/>
      <c r="D99" s="95"/>
      <c r="E99" s="10"/>
      <c r="F99" s="10"/>
      <c r="G99" s="10"/>
      <c r="H99" s="10"/>
      <c r="I99" s="10"/>
      <c r="J99" s="10"/>
      <c r="K99" s="10"/>
      <c r="L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row>
    <row r="100" spans="1:56" x14ac:dyDescent="0.35">
      <c r="A100" s="95"/>
      <c r="B100" s="95"/>
      <c r="C100" s="95"/>
      <c r="D100" s="95"/>
      <c r="E100" s="10"/>
      <c r="F100" s="10"/>
      <c r="G100" s="10"/>
      <c r="H100" s="10"/>
      <c r="I100" s="10"/>
      <c r="J100" s="10"/>
      <c r="K100" s="10"/>
      <c r="L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row>
    <row r="101" spans="1:56" x14ac:dyDescent="0.35">
      <c r="A101" s="95"/>
      <c r="B101" s="95"/>
      <c r="C101" s="95"/>
      <c r="D101" s="95"/>
      <c r="E101" s="10"/>
      <c r="F101" s="10"/>
      <c r="G101" s="10"/>
      <c r="H101" s="10"/>
      <c r="I101" s="10"/>
      <c r="J101" s="10"/>
      <c r="K101" s="10"/>
      <c r="L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row>
    <row r="102" spans="1:56" x14ac:dyDescent="0.35">
      <c r="A102" s="95"/>
      <c r="B102" s="95"/>
      <c r="C102" s="95"/>
      <c r="D102" s="95"/>
      <c r="E102" s="10"/>
      <c r="F102" s="10"/>
      <c r="G102" s="10"/>
      <c r="H102" s="10"/>
      <c r="I102" s="10"/>
      <c r="J102" s="10"/>
      <c r="K102" s="10"/>
      <c r="L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row>
    <row r="103" spans="1:56" x14ac:dyDescent="0.35">
      <c r="A103" s="95"/>
      <c r="B103" s="95"/>
      <c r="C103" s="95"/>
      <c r="D103" s="95"/>
      <c r="E103" s="10"/>
      <c r="F103" s="10"/>
      <c r="G103" s="10"/>
      <c r="H103" s="10"/>
      <c r="I103" s="10"/>
      <c r="J103" s="10"/>
      <c r="K103" s="10"/>
      <c r="L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row>
    <row r="104" spans="1:56" x14ac:dyDescent="0.35">
      <c r="A104" s="95"/>
      <c r="B104" s="95"/>
      <c r="C104" s="95"/>
      <c r="D104" s="95"/>
      <c r="E104" s="10"/>
      <c r="F104" s="10"/>
      <c r="G104" s="10"/>
      <c r="H104" s="10"/>
      <c r="I104" s="10"/>
      <c r="J104" s="10"/>
      <c r="K104" s="10"/>
      <c r="L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row>
    <row r="105" spans="1:56" x14ac:dyDescent="0.35">
      <c r="A105" s="95"/>
      <c r="B105" s="95"/>
      <c r="C105" s="95"/>
      <c r="D105" s="95"/>
      <c r="E105" s="10"/>
      <c r="F105" s="10"/>
      <c r="G105" s="10"/>
      <c r="H105" s="10"/>
      <c r="I105" s="10"/>
      <c r="J105" s="10"/>
      <c r="K105" s="10"/>
      <c r="L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row>
    <row r="106" spans="1:56" x14ac:dyDescent="0.35">
      <c r="A106" s="95"/>
      <c r="B106" s="95"/>
      <c r="C106" s="95"/>
      <c r="D106" s="95"/>
      <c r="E106" s="10"/>
      <c r="F106" s="10"/>
      <c r="G106" s="10"/>
      <c r="H106" s="10"/>
      <c r="I106" s="10"/>
      <c r="J106" s="10"/>
      <c r="K106" s="10"/>
      <c r="L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row>
    <row r="107" spans="1:56" x14ac:dyDescent="0.35">
      <c r="A107" s="95"/>
      <c r="B107" s="95"/>
      <c r="C107" s="95"/>
      <c r="D107" s="95"/>
      <c r="E107" s="10"/>
      <c r="F107" s="10"/>
      <c r="G107" s="10"/>
      <c r="H107" s="10"/>
      <c r="I107" s="10"/>
      <c r="J107" s="10"/>
      <c r="K107" s="10"/>
      <c r="L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row>
    <row r="108" spans="1:56" x14ac:dyDescent="0.35">
      <c r="A108" s="95"/>
      <c r="B108" s="95"/>
      <c r="C108" s="95"/>
      <c r="D108" s="95"/>
      <c r="E108" s="10"/>
      <c r="F108" s="10"/>
      <c r="G108" s="10"/>
      <c r="H108" s="10"/>
      <c r="I108" s="10"/>
      <c r="J108" s="10"/>
      <c r="K108" s="10"/>
      <c r="L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row>
    <row r="109" spans="1:56" x14ac:dyDescent="0.35">
      <c r="A109" s="95"/>
      <c r="B109" s="95"/>
      <c r="C109" s="95"/>
      <c r="D109" s="95"/>
      <c r="E109" s="10"/>
      <c r="F109" s="10"/>
      <c r="G109" s="10"/>
      <c r="H109" s="10"/>
      <c r="I109" s="10"/>
      <c r="J109" s="10"/>
      <c r="K109" s="10"/>
      <c r="L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row>
    <row r="110" spans="1:56" x14ac:dyDescent="0.35">
      <c r="A110" s="95"/>
      <c r="B110" s="95"/>
      <c r="C110" s="95"/>
      <c r="D110" s="95"/>
      <c r="E110" s="10"/>
      <c r="F110" s="10"/>
      <c r="G110" s="10"/>
      <c r="H110" s="10"/>
      <c r="I110" s="10"/>
      <c r="J110" s="10"/>
      <c r="K110" s="10"/>
      <c r="L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row>
    <row r="111" spans="1:56" x14ac:dyDescent="0.35">
      <c r="A111" s="95"/>
      <c r="B111" s="95"/>
      <c r="C111" s="95"/>
      <c r="D111" s="95"/>
      <c r="E111" s="10"/>
      <c r="F111" s="10"/>
      <c r="G111" s="10"/>
      <c r="H111" s="10"/>
      <c r="I111" s="10"/>
      <c r="J111" s="10"/>
      <c r="K111" s="10"/>
      <c r="L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row>
    <row r="112" spans="1:56" x14ac:dyDescent="0.35">
      <c r="A112" s="95"/>
      <c r="B112" s="95"/>
      <c r="C112" s="95"/>
      <c r="D112" s="95"/>
      <c r="E112" s="10"/>
      <c r="F112" s="10"/>
      <c r="G112" s="10"/>
      <c r="H112" s="10"/>
      <c r="I112" s="10"/>
      <c r="J112" s="10"/>
      <c r="K112" s="10"/>
      <c r="L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row>
    <row r="113" spans="1:56" x14ac:dyDescent="0.35">
      <c r="A113" s="95"/>
      <c r="B113" s="95"/>
      <c r="C113" s="95"/>
      <c r="D113" s="95"/>
      <c r="E113" s="10"/>
      <c r="F113" s="10"/>
      <c r="G113" s="10"/>
      <c r="H113" s="10"/>
      <c r="I113" s="10"/>
      <c r="J113" s="10"/>
      <c r="K113" s="10"/>
      <c r="L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row>
    <row r="114" spans="1:56" x14ac:dyDescent="0.35">
      <c r="A114" s="95"/>
      <c r="B114" s="95"/>
      <c r="C114" s="95"/>
      <c r="D114" s="95"/>
      <c r="E114" s="10"/>
      <c r="F114" s="10"/>
      <c r="G114" s="10"/>
      <c r="H114" s="10"/>
      <c r="I114" s="10"/>
      <c r="J114" s="10"/>
      <c r="K114" s="10"/>
      <c r="L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row>
    <row r="115" spans="1:56" x14ac:dyDescent="0.35">
      <c r="A115" s="95"/>
      <c r="B115" s="95"/>
      <c r="C115" s="95"/>
      <c r="D115" s="95"/>
      <c r="E115" s="10"/>
      <c r="F115" s="10"/>
      <c r="G115" s="10"/>
      <c r="H115" s="10"/>
      <c r="I115" s="10"/>
      <c r="J115" s="10"/>
      <c r="K115" s="10"/>
      <c r="L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row>
    <row r="116" spans="1:56" x14ac:dyDescent="0.35">
      <c r="A116" s="95"/>
      <c r="B116" s="95"/>
      <c r="C116" s="95"/>
      <c r="D116" s="95"/>
      <c r="E116" s="10"/>
      <c r="F116" s="10"/>
      <c r="G116" s="10"/>
      <c r="H116" s="10"/>
      <c r="I116" s="10"/>
      <c r="J116" s="10"/>
      <c r="K116" s="10"/>
      <c r="L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row>
    <row r="117" spans="1:56" x14ac:dyDescent="0.35">
      <c r="A117" s="95"/>
      <c r="B117" s="95"/>
      <c r="C117" s="95"/>
      <c r="D117" s="95"/>
      <c r="E117" s="10"/>
      <c r="F117" s="10"/>
      <c r="G117" s="10"/>
      <c r="H117" s="10"/>
      <c r="I117" s="10"/>
      <c r="J117" s="10"/>
      <c r="K117" s="10"/>
      <c r="L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row>
    <row r="118" spans="1:56" x14ac:dyDescent="0.35">
      <c r="A118" s="95"/>
      <c r="B118" s="95"/>
      <c r="C118" s="95"/>
      <c r="D118" s="95"/>
      <c r="E118" s="10"/>
      <c r="F118" s="10"/>
      <c r="G118" s="10"/>
      <c r="H118" s="10"/>
      <c r="I118" s="10"/>
      <c r="J118" s="10"/>
      <c r="K118" s="10"/>
      <c r="L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row>
    <row r="119" spans="1:56" x14ac:dyDescent="0.35">
      <c r="A119" s="95"/>
      <c r="B119" s="95"/>
      <c r="C119" s="95"/>
      <c r="D119" s="95"/>
      <c r="E119" s="10"/>
      <c r="F119" s="10"/>
      <c r="G119" s="10"/>
      <c r="H119" s="10"/>
      <c r="I119" s="10"/>
      <c r="J119" s="10"/>
      <c r="K119" s="10"/>
      <c r="L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row>
    <row r="120" spans="1:56" x14ac:dyDescent="0.35">
      <c r="A120" s="95"/>
      <c r="B120" s="95"/>
      <c r="C120" s="95"/>
      <c r="D120" s="95"/>
      <c r="E120" s="10"/>
      <c r="F120" s="10"/>
      <c r="G120" s="10"/>
      <c r="H120" s="10"/>
      <c r="I120" s="10"/>
      <c r="J120" s="10"/>
      <c r="K120" s="10"/>
      <c r="L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row>
    <row r="121" spans="1:56" x14ac:dyDescent="0.35">
      <c r="A121" s="95"/>
      <c r="B121" s="95"/>
      <c r="C121" s="95"/>
      <c r="D121" s="95"/>
      <c r="E121" s="10"/>
      <c r="F121" s="10"/>
      <c r="G121" s="10"/>
      <c r="H121" s="10"/>
      <c r="I121" s="10"/>
      <c r="J121" s="10"/>
      <c r="K121" s="10"/>
      <c r="L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row>
    <row r="122" spans="1:56" x14ac:dyDescent="0.35">
      <c r="A122" s="95"/>
      <c r="B122" s="95"/>
      <c r="C122" s="95"/>
      <c r="D122" s="95"/>
      <c r="E122" s="10"/>
      <c r="F122" s="10"/>
      <c r="G122" s="10"/>
      <c r="H122" s="10"/>
      <c r="I122" s="10"/>
      <c r="J122" s="10"/>
      <c r="K122" s="10"/>
      <c r="L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row>
    <row r="123" spans="1:56" x14ac:dyDescent="0.35">
      <c r="A123" s="95"/>
      <c r="B123" s="95"/>
      <c r="C123" s="95"/>
      <c r="D123" s="95"/>
      <c r="E123" s="10"/>
      <c r="F123" s="10"/>
      <c r="G123" s="10"/>
      <c r="H123" s="10"/>
      <c r="I123" s="10"/>
      <c r="J123" s="10"/>
      <c r="K123" s="10"/>
      <c r="L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row>
    <row r="124" spans="1:56" x14ac:dyDescent="0.35">
      <c r="A124" s="95"/>
      <c r="B124" s="95"/>
      <c r="C124" s="95"/>
      <c r="D124" s="95"/>
      <c r="E124" s="10"/>
      <c r="F124" s="10"/>
      <c r="G124" s="10"/>
      <c r="H124" s="10"/>
      <c r="I124" s="10"/>
      <c r="J124" s="10"/>
      <c r="K124" s="10"/>
      <c r="L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row>
    <row r="125" spans="1:56" x14ac:dyDescent="0.35">
      <c r="A125" s="95"/>
      <c r="B125" s="95"/>
      <c r="C125" s="95"/>
      <c r="D125" s="95"/>
      <c r="E125" s="10"/>
      <c r="F125" s="10"/>
      <c r="G125" s="10"/>
      <c r="H125" s="10"/>
      <c r="I125" s="10"/>
      <c r="J125" s="10"/>
      <c r="K125" s="10"/>
      <c r="L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row>
    <row r="126" spans="1:56" x14ac:dyDescent="0.35">
      <c r="A126" s="95"/>
      <c r="B126" s="95"/>
      <c r="C126" s="95"/>
      <c r="D126" s="95"/>
      <c r="E126" s="10"/>
      <c r="F126" s="10"/>
      <c r="G126" s="10"/>
      <c r="H126" s="10"/>
      <c r="I126" s="10"/>
      <c r="J126" s="10"/>
      <c r="K126" s="10"/>
      <c r="L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row>
    <row r="127" spans="1:56" x14ac:dyDescent="0.35">
      <c r="A127" s="95"/>
      <c r="B127" s="95"/>
      <c r="C127" s="95"/>
      <c r="D127" s="95"/>
      <c r="E127" s="10"/>
      <c r="F127" s="10"/>
      <c r="G127" s="10"/>
      <c r="H127" s="10"/>
      <c r="I127" s="10"/>
      <c r="J127" s="10"/>
      <c r="K127" s="10"/>
      <c r="L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row>
    <row r="128" spans="1:56" x14ac:dyDescent="0.35">
      <c r="A128" s="95"/>
      <c r="B128" s="95"/>
      <c r="C128" s="95"/>
      <c r="D128" s="95"/>
      <c r="E128" s="10"/>
      <c r="F128" s="10"/>
      <c r="G128" s="10"/>
      <c r="H128" s="10"/>
      <c r="I128" s="10"/>
      <c r="J128" s="10"/>
      <c r="K128" s="10"/>
      <c r="L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row>
    <row r="129" spans="1:56" x14ac:dyDescent="0.35">
      <c r="A129" s="95"/>
      <c r="B129" s="95"/>
      <c r="C129" s="95"/>
      <c r="D129" s="95"/>
      <c r="E129" s="10"/>
      <c r="F129" s="10"/>
      <c r="G129" s="10"/>
      <c r="H129" s="10"/>
      <c r="I129" s="10"/>
      <c r="J129" s="10"/>
      <c r="K129" s="10"/>
      <c r="L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row>
    <row r="130" spans="1:56" x14ac:dyDescent="0.35">
      <c r="A130" s="95"/>
      <c r="B130" s="95"/>
      <c r="C130" s="95"/>
      <c r="D130" s="95"/>
      <c r="E130" s="10"/>
      <c r="F130" s="10"/>
      <c r="G130" s="10"/>
      <c r="H130" s="10"/>
      <c r="I130" s="10"/>
      <c r="J130" s="10"/>
      <c r="K130" s="10"/>
      <c r="L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row>
    <row r="131" spans="1:56" x14ac:dyDescent="0.35">
      <c r="A131" s="95"/>
      <c r="B131" s="95"/>
      <c r="C131" s="95"/>
      <c r="D131" s="95"/>
      <c r="E131" s="10"/>
      <c r="F131" s="10"/>
      <c r="G131" s="10"/>
      <c r="H131" s="10"/>
      <c r="I131" s="10"/>
      <c r="J131" s="10"/>
      <c r="K131" s="10"/>
      <c r="L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row>
    <row r="132" spans="1:56" x14ac:dyDescent="0.35">
      <c r="A132" s="95"/>
      <c r="B132" s="95"/>
      <c r="C132" s="95"/>
      <c r="D132" s="95"/>
      <c r="E132" s="10"/>
      <c r="F132" s="10"/>
      <c r="G132" s="10"/>
      <c r="H132" s="10"/>
      <c r="I132" s="10"/>
      <c r="J132" s="10"/>
      <c r="K132" s="10"/>
      <c r="L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row>
    <row r="133" spans="1:56" x14ac:dyDescent="0.35">
      <c r="A133" s="95"/>
      <c r="B133" s="95"/>
      <c r="C133" s="95"/>
      <c r="D133" s="95"/>
      <c r="E133" s="10"/>
      <c r="F133" s="10"/>
      <c r="G133" s="10"/>
      <c r="H133" s="10"/>
      <c r="I133" s="10"/>
      <c r="J133" s="10"/>
      <c r="K133" s="10"/>
      <c r="L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row>
    <row r="134" spans="1:56" x14ac:dyDescent="0.35">
      <c r="A134" s="95"/>
      <c r="B134" s="95"/>
      <c r="C134" s="95"/>
      <c r="D134" s="95"/>
      <c r="E134" s="10"/>
      <c r="F134" s="10"/>
      <c r="G134" s="10"/>
      <c r="H134" s="10"/>
      <c r="I134" s="10"/>
      <c r="J134" s="10"/>
      <c r="K134" s="10"/>
      <c r="L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row>
    <row r="135" spans="1:56" x14ac:dyDescent="0.35">
      <c r="A135" s="95"/>
      <c r="B135" s="95"/>
      <c r="C135" s="95"/>
      <c r="D135" s="95"/>
      <c r="E135" s="10"/>
      <c r="F135" s="10"/>
      <c r="G135" s="10"/>
      <c r="H135" s="10"/>
      <c r="I135" s="10"/>
      <c r="J135" s="10"/>
      <c r="K135" s="10"/>
      <c r="L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row>
    <row r="136" spans="1:56" x14ac:dyDescent="0.35">
      <c r="A136" s="95"/>
      <c r="B136" s="95"/>
      <c r="C136" s="95"/>
      <c r="D136" s="95"/>
      <c r="E136" s="10"/>
      <c r="F136" s="10"/>
      <c r="G136" s="10"/>
      <c r="H136" s="10"/>
      <c r="I136" s="10"/>
      <c r="J136" s="10"/>
      <c r="K136" s="10"/>
      <c r="L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row>
    <row r="137" spans="1:56" x14ac:dyDescent="0.35">
      <c r="A137" s="95"/>
      <c r="B137" s="95"/>
      <c r="C137" s="95"/>
      <c r="D137" s="95"/>
      <c r="E137" s="10"/>
      <c r="F137" s="10"/>
      <c r="G137" s="10"/>
      <c r="H137" s="10"/>
      <c r="I137" s="10"/>
      <c r="J137" s="10"/>
      <c r="K137" s="10"/>
      <c r="L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row>
    <row r="138" spans="1:56" x14ac:dyDescent="0.35">
      <c r="A138" s="95"/>
      <c r="B138" s="95"/>
      <c r="C138" s="95"/>
      <c r="D138" s="95"/>
      <c r="E138" s="10"/>
      <c r="F138" s="10"/>
      <c r="G138" s="10"/>
      <c r="H138" s="10"/>
      <c r="I138" s="10"/>
      <c r="J138" s="10"/>
      <c r="K138" s="10"/>
      <c r="L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row>
    <row r="139" spans="1:56" x14ac:dyDescent="0.35">
      <c r="A139" s="95"/>
      <c r="B139" s="95"/>
      <c r="C139" s="95"/>
      <c r="D139" s="95"/>
      <c r="E139" s="10"/>
      <c r="F139" s="10"/>
      <c r="G139" s="10"/>
      <c r="H139" s="10"/>
      <c r="I139" s="10"/>
      <c r="J139" s="10"/>
      <c r="K139" s="10"/>
      <c r="L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row>
    <row r="140" spans="1:56" x14ac:dyDescent="0.35">
      <c r="A140" s="95"/>
      <c r="B140" s="95"/>
      <c r="C140" s="95"/>
      <c r="D140" s="95"/>
      <c r="E140" s="10"/>
      <c r="F140" s="10"/>
      <c r="G140" s="10"/>
      <c r="H140" s="10"/>
      <c r="I140" s="10"/>
      <c r="J140" s="10"/>
      <c r="K140" s="10"/>
      <c r="L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row>
    <row r="141" spans="1:56" x14ac:dyDescent="0.35">
      <c r="A141" s="95"/>
      <c r="B141" s="95"/>
      <c r="C141" s="95"/>
      <c r="D141" s="95"/>
      <c r="E141" s="10"/>
      <c r="F141" s="10"/>
      <c r="G141" s="10"/>
      <c r="H141" s="10"/>
      <c r="I141" s="10"/>
      <c r="J141" s="10"/>
      <c r="K141" s="10"/>
      <c r="L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row>
    <row r="142" spans="1:56" x14ac:dyDescent="0.35">
      <c r="A142" s="95"/>
      <c r="B142" s="95"/>
      <c r="C142" s="95"/>
      <c r="D142" s="95"/>
      <c r="E142" s="10"/>
      <c r="F142" s="10"/>
      <c r="G142" s="10"/>
      <c r="H142" s="10"/>
      <c r="I142" s="10"/>
      <c r="J142" s="10"/>
      <c r="K142" s="10"/>
      <c r="L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row>
    <row r="143" spans="1:56" x14ac:dyDescent="0.35">
      <c r="A143" s="95"/>
      <c r="B143" s="95"/>
      <c r="C143" s="95"/>
      <c r="D143" s="95"/>
      <c r="E143" s="10"/>
      <c r="F143" s="10"/>
      <c r="G143" s="10"/>
      <c r="H143" s="10"/>
      <c r="I143" s="10"/>
      <c r="J143" s="10"/>
      <c r="K143" s="10"/>
      <c r="L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row>
    <row r="144" spans="1:56" x14ac:dyDescent="0.35">
      <c r="A144" s="95"/>
      <c r="B144" s="95"/>
      <c r="C144" s="95"/>
      <c r="D144" s="95"/>
      <c r="E144" s="10"/>
      <c r="F144" s="10"/>
      <c r="G144" s="10"/>
      <c r="H144" s="10"/>
      <c r="I144" s="10"/>
      <c r="J144" s="10"/>
      <c r="K144" s="10"/>
      <c r="L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row>
    <row r="145" spans="1:56" x14ac:dyDescent="0.35">
      <c r="A145" s="95"/>
      <c r="B145" s="95"/>
      <c r="C145" s="95"/>
      <c r="D145" s="95"/>
      <c r="E145" s="10"/>
      <c r="F145" s="10"/>
      <c r="G145" s="10"/>
      <c r="H145" s="10"/>
      <c r="I145" s="10"/>
      <c r="J145" s="10"/>
      <c r="K145" s="10"/>
      <c r="L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row>
    <row r="146" spans="1:56" x14ac:dyDescent="0.35">
      <c r="A146" s="95"/>
      <c r="B146" s="95"/>
      <c r="C146" s="95"/>
      <c r="D146" s="95"/>
      <c r="E146" s="10"/>
      <c r="F146" s="10"/>
      <c r="G146" s="10"/>
      <c r="H146" s="10"/>
      <c r="I146" s="10"/>
      <c r="J146" s="10"/>
      <c r="K146" s="10"/>
      <c r="L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row>
    <row r="147" spans="1:56" x14ac:dyDescent="0.35">
      <c r="A147" s="95"/>
      <c r="B147" s="95"/>
      <c r="C147" s="95"/>
      <c r="D147" s="95"/>
      <c r="E147" s="10"/>
      <c r="F147" s="10"/>
      <c r="G147" s="10"/>
      <c r="H147" s="10"/>
      <c r="I147" s="10"/>
      <c r="J147" s="10"/>
      <c r="K147" s="10"/>
      <c r="L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row>
    <row r="148" spans="1:56" x14ac:dyDescent="0.35">
      <c r="A148" s="95"/>
      <c r="B148" s="95"/>
      <c r="C148" s="95"/>
      <c r="D148" s="95"/>
      <c r="E148" s="10"/>
      <c r="F148" s="10"/>
      <c r="G148" s="10"/>
      <c r="H148" s="10"/>
      <c r="I148" s="10"/>
      <c r="J148" s="10"/>
      <c r="K148" s="10"/>
      <c r="L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row>
    <row r="149" spans="1:56" x14ac:dyDescent="0.35">
      <c r="A149" s="95"/>
      <c r="B149" s="95"/>
      <c r="C149" s="95"/>
      <c r="D149" s="95"/>
      <c r="G149" s="10"/>
      <c r="H149" s="10"/>
      <c r="I149" s="10"/>
      <c r="J149" s="10"/>
      <c r="K149" s="10"/>
      <c r="L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row>
    <row r="150" spans="1:56" x14ac:dyDescent="0.35">
      <c r="A150" s="95"/>
      <c r="B150" s="95"/>
      <c r="C150" s="95"/>
      <c r="D150" s="95"/>
      <c r="G150" s="10"/>
      <c r="H150" s="10"/>
      <c r="I150" s="10"/>
      <c r="J150" s="10"/>
      <c r="K150" s="10"/>
      <c r="L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row>
    <row r="151" spans="1:56" x14ac:dyDescent="0.35">
      <c r="A151" s="95"/>
      <c r="B151" s="95"/>
      <c r="C151" s="95"/>
      <c r="D151" s="95"/>
      <c r="M151"/>
    </row>
    <row r="152" spans="1:56" x14ac:dyDescent="0.35">
      <c r="A152" s="95"/>
      <c r="B152" s="95"/>
      <c r="C152" s="95"/>
      <c r="D152" s="95"/>
      <c r="M152"/>
    </row>
    <row r="153" spans="1:56" x14ac:dyDescent="0.35">
      <c r="A153" s="95"/>
      <c r="B153" s="95"/>
      <c r="C153" s="95"/>
      <c r="D153" s="95"/>
    </row>
    <row r="154" spans="1:56" x14ac:dyDescent="0.35">
      <c r="A154" s="95"/>
      <c r="B154" s="95"/>
      <c r="C154" s="95"/>
      <c r="D154" s="95"/>
    </row>
    <row r="155" spans="1:56" x14ac:dyDescent="0.35">
      <c r="A155" s="95"/>
      <c r="B155" s="95"/>
      <c r="C155" s="95"/>
      <c r="D155" s="95"/>
    </row>
    <row r="156" spans="1:56" x14ac:dyDescent="0.35">
      <c r="A156" s="95"/>
      <c r="B156" s="95"/>
      <c r="C156" s="95"/>
      <c r="D156" s="95"/>
    </row>
    <row r="157" spans="1:56" x14ac:dyDescent="0.35">
      <c r="A157" s="95"/>
      <c r="B157" s="95"/>
      <c r="C157" s="95"/>
      <c r="D157" s="95"/>
    </row>
    <row r="158" spans="1:56" x14ac:dyDescent="0.35">
      <c r="A158" s="95"/>
      <c r="B158" s="95"/>
      <c r="C158" s="95"/>
      <c r="D158" s="95"/>
    </row>
    <row r="159" spans="1:56" x14ac:dyDescent="0.35">
      <c r="A159" s="95"/>
      <c r="B159" s="95"/>
      <c r="C159" s="95"/>
      <c r="D159" s="95"/>
    </row>
    <row r="160" spans="1:56" x14ac:dyDescent="0.35">
      <c r="A160" s="95"/>
      <c r="B160" s="95"/>
      <c r="C160" s="95"/>
      <c r="D160" s="95"/>
    </row>
    <row r="161" spans="1:4" x14ac:dyDescent="0.35">
      <c r="A161" s="95"/>
      <c r="B161" s="95"/>
      <c r="C161" s="95"/>
      <c r="D161" s="95"/>
    </row>
    <row r="162" spans="1:4" x14ac:dyDescent="0.35">
      <c r="A162" s="95"/>
      <c r="B162" s="95"/>
      <c r="C162" s="95"/>
      <c r="D162" s="95"/>
    </row>
    <row r="163" spans="1:4" x14ac:dyDescent="0.35">
      <c r="A163" s="95"/>
      <c r="B163" s="95"/>
      <c r="C163" s="95"/>
      <c r="D163" s="95"/>
    </row>
    <row r="164" spans="1:4" x14ac:dyDescent="0.35">
      <c r="A164" s="95"/>
      <c r="B164" s="95"/>
      <c r="C164" s="95"/>
      <c r="D164" s="95"/>
    </row>
    <row r="165" spans="1:4" x14ac:dyDescent="0.35">
      <c r="A165" s="95"/>
      <c r="B165" s="95"/>
      <c r="C165" s="95"/>
      <c r="D165" s="95"/>
    </row>
    <row r="166" spans="1:4" x14ac:dyDescent="0.35">
      <c r="A166" s="95"/>
      <c r="B166" s="95"/>
      <c r="C166" s="95"/>
      <c r="D166" s="95"/>
    </row>
    <row r="167" spans="1:4" x14ac:dyDescent="0.35">
      <c r="A167" s="95"/>
      <c r="B167" s="95"/>
      <c r="C167" s="95"/>
      <c r="D167" s="95"/>
    </row>
    <row r="168" spans="1:4" x14ac:dyDescent="0.35">
      <c r="A168" s="95"/>
      <c r="B168" s="95"/>
      <c r="C168" s="95"/>
      <c r="D168" s="95"/>
    </row>
    <row r="169" spans="1:4" x14ac:dyDescent="0.35">
      <c r="A169" s="95"/>
      <c r="B169" s="95"/>
      <c r="C169" s="95"/>
      <c r="D169" s="95"/>
    </row>
    <row r="170" spans="1:4" x14ac:dyDescent="0.35">
      <c r="A170" s="95"/>
      <c r="B170" s="95"/>
      <c r="C170" s="95"/>
      <c r="D170" s="95"/>
    </row>
    <row r="171" spans="1:4" x14ac:dyDescent="0.35">
      <c r="A171" s="95"/>
      <c r="B171" s="95"/>
      <c r="C171" s="95"/>
      <c r="D171" s="95"/>
    </row>
    <row r="172" spans="1:4" x14ac:dyDescent="0.35">
      <c r="A172" s="95"/>
      <c r="B172" s="95"/>
      <c r="C172" s="95"/>
      <c r="D172" s="95"/>
    </row>
    <row r="173" spans="1:4" x14ac:dyDescent="0.35">
      <c r="A173" s="95"/>
      <c r="B173" s="95"/>
      <c r="C173" s="95"/>
      <c r="D173" s="95"/>
    </row>
    <row r="174" spans="1:4" x14ac:dyDescent="0.35">
      <c r="A174" s="95"/>
      <c r="B174" s="95"/>
      <c r="C174" s="95"/>
      <c r="D174" s="95"/>
    </row>
    <row r="175" spans="1:4" x14ac:dyDescent="0.35">
      <c r="A175" s="95"/>
      <c r="B175" s="95"/>
      <c r="C175" s="95"/>
      <c r="D175" s="95"/>
    </row>
    <row r="176" spans="1:4" x14ac:dyDescent="0.35">
      <c r="A176" s="95"/>
      <c r="B176" s="95"/>
      <c r="C176" s="95"/>
      <c r="D176" s="95"/>
    </row>
    <row r="177" spans="1:4" x14ac:dyDescent="0.35">
      <c r="A177" s="95"/>
      <c r="B177" s="95"/>
      <c r="C177" s="95"/>
      <c r="D177" s="95"/>
    </row>
    <row r="178" spans="1:4" x14ac:dyDescent="0.35">
      <c r="A178" s="95"/>
      <c r="B178" s="95"/>
      <c r="C178" s="95"/>
      <c r="D178" s="95"/>
    </row>
    <row r="179" spans="1:4" x14ac:dyDescent="0.35">
      <c r="A179" s="95"/>
      <c r="B179" s="95"/>
      <c r="C179" s="95"/>
      <c r="D179" s="95"/>
    </row>
    <row r="180" spans="1:4" x14ac:dyDescent="0.35">
      <c r="A180" s="95"/>
      <c r="B180" s="95"/>
      <c r="C180" s="95"/>
      <c r="D180" s="95"/>
    </row>
    <row r="181" spans="1:4" x14ac:dyDescent="0.35">
      <c r="A181" s="95"/>
      <c r="B181" s="95"/>
      <c r="C181" s="95"/>
      <c r="D181" s="95"/>
    </row>
    <row r="182" spans="1:4" x14ac:dyDescent="0.35">
      <c r="A182" s="95"/>
      <c r="B182" s="95"/>
      <c r="C182" s="95"/>
      <c r="D182" s="95"/>
    </row>
    <row r="183" spans="1:4" x14ac:dyDescent="0.35">
      <c r="A183" s="95"/>
      <c r="B183" s="95"/>
      <c r="C183" s="95"/>
      <c r="D183" s="95"/>
    </row>
  </sheetData>
  <mergeCells count="12">
    <mergeCell ref="A53:H53"/>
    <mergeCell ref="A2:H2"/>
    <mergeCell ref="A4:D4"/>
    <mergeCell ref="A13:H13"/>
    <mergeCell ref="A15:D15"/>
    <mergeCell ref="A24:H24"/>
    <mergeCell ref="A26:D26"/>
    <mergeCell ref="A35:H35"/>
    <mergeCell ref="A38:D38"/>
    <mergeCell ref="A49:H49"/>
    <mergeCell ref="A50:H50"/>
    <mergeCell ref="A52:H52"/>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4DDC8-43A5-482B-AA5E-1742ADF97A5E}">
  <sheetPr>
    <pageSetUpPr fitToPage="1"/>
  </sheetPr>
  <dimension ref="A1:B151"/>
  <sheetViews>
    <sheetView showGridLines="0" zoomScale="80" zoomScaleNormal="80" workbookViewId="0">
      <selection sqref="A1:B1"/>
    </sheetView>
  </sheetViews>
  <sheetFormatPr defaultRowHeight="14.5" x14ac:dyDescent="0.35"/>
  <cols>
    <col min="1" max="1" width="26.54296875" style="3" customWidth="1"/>
    <col min="2" max="2" width="160.7265625" customWidth="1"/>
  </cols>
  <sheetData>
    <row r="1" spans="1:2" s="4" customFormat="1" ht="26" x14ac:dyDescent="0.35">
      <c r="A1" s="419" t="s">
        <v>47</v>
      </c>
      <c r="B1" s="419"/>
    </row>
    <row r="2" spans="1:2" s="4" customFormat="1" ht="74.25" customHeight="1" x14ac:dyDescent="0.35">
      <c r="A2" s="347" t="s">
        <v>48</v>
      </c>
      <c r="B2" s="347"/>
    </row>
    <row r="3" spans="1:2" s="4" customFormat="1" ht="48.65" customHeight="1" thickBot="1" x14ac:dyDescent="0.4">
      <c r="A3" s="18" t="s">
        <v>520</v>
      </c>
      <c r="B3" s="334"/>
    </row>
    <row r="4" spans="1:2" ht="18" x14ac:dyDescent="0.35">
      <c r="A4" s="20" t="s">
        <v>115</v>
      </c>
      <c r="B4" s="21" t="s">
        <v>116</v>
      </c>
    </row>
    <row r="5" spans="1:2" ht="15.5" x14ac:dyDescent="0.35">
      <c r="A5" s="144" t="s">
        <v>49</v>
      </c>
      <c r="B5" s="22" t="s">
        <v>50</v>
      </c>
    </row>
    <row r="6" spans="1:2" ht="15.5" x14ac:dyDescent="0.35">
      <c r="A6" s="144" t="s">
        <v>51</v>
      </c>
      <c r="B6" s="22" t="s">
        <v>52</v>
      </c>
    </row>
    <row r="7" spans="1:2" ht="15.5" x14ac:dyDescent="0.35">
      <c r="A7" s="144" t="s">
        <v>53</v>
      </c>
      <c r="B7" s="22" t="s">
        <v>54</v>
      </c>
    </row>
    <row r="8" spans="1:2" ht="15.5" x14ac:dyDescent="0.35">
      <c r="A8" s="144" t="s">
        <v>55</v>
      </c>
      <c r="B8" s="22" t="s">
        <v>56</v>
      </c>
    </row>
    <row r="9" spans="1:2" ht="15.5" x14ac:dyDescent="0.35">
      <c r="A9" s="144" t="s">
        <v>3</v>
      </c>
      <c r="B9" s="22" t="s">
        <v>57</v>
      </c>
    </row>
    <row r="10" spans="1:2" ht="15.5" x14ac:dyDescent="0.35">
      <c r="A10" s="144" t="s">
        <v>58</v>
      </c>
      <c r="B10" s="22" t="s">
        <v>59</v>
      </c>
    </row>
    <row r="11" spans="1:2" ht="15.5" x14ac:dyDescent="0.35">
      <c r="A11" s="144" t="s">
        <v>60</v>
      </c>
      <c r="B11" s="22" t="s">
        <v>61</v>
      </c>
    </row>
    <row r="12" spans="1:2" ht="15.5" x14ac:dyDescent="0.35">
      <c r="A12" s="144" t="s">
        <v>62</v>
      </c>
      <c r="B12" s="22" t="s">
        <v>63</v>
      </c>
    </row>
    <row r="13" spans="1:2" ht="46.5" x14ac:dyDescent="0.35">
      <c r="A13" s="144" t="s">
        <v>64</v>
      </c>
      <c r="B13" s="22" t="s">
        <v>65</v>
      </c>
    </row>
    <row r="14" spans="1:2" ht="46.5" x14ac:dyDescent="0.35">
      <c r="A14" s="144" t="s">
        <v>66</v>
      </c>
      <c r="B14" s="22" t="s">
        <v>67</v>
      </c>
    </row>
    <row r="15" spans="1:2" ht="15.5" x14ac:dyDescent="0.35">
      <c r="A15" s="144" t="s">
        <v>68</v>
      </c>
      <c r="B15" s="22" t="s">
        <v>69</v>
      </c>
    </row>
    <row r="16" spans="1:2" ht="47.25" customHeight="1" x14ac:dyDescent="0.35">
      <c r="A16" s="418" t="s">
        <v>70</v>
      </c>
      <c r="B16" s="22" t="s">
        <v>71</v>
      </c>
    </row>
    <row r="17" spans="1:2" ht="46.5" x14ac:dyDescent="0.35">
      <c r="A17" s="418"/>
      <c r="B17" s="22" t="s">
        <v>72</v>
      </c>
    </row>
    <row r="18" spans="1:2" ht="47.15" customHeight="1" x14ac:dyDescent="0.35">
      <c r="A18" s="418" t="s">
        <v>523</v>
      </c>
      <c r="B18" s="22" t="s">
        <v>524</v>
      </c>
    </row>
    <row r="19" spans="1:2" ht="46.5" x14ac:dyDescent="0.35">
      <c r="A19" s="418"/>
      <c r="B19" s="22" t="s">
        <v>525</v>
      </c>
    </row>
    <row r="20" spans="1:2" ht="201" customHeight="1" x14ac:dyDescent="0.35">
      <c r="A20" s="144" t="s">
        <v>73</v>
      </c>
      <c r="B20" s="22" t="s">
        <v>905</v>
      </c>
    </row>
    <row r="21" spans="1:2" ht="15.5" x14ac:dyDescent="0.35">
      <c r="A21" s="144" t="s">
        <v>74</v>
      </c>
      <c r="B21" s="22" t="s">
        <v>75</v>
      </c>
    </row>
    <row r="22" spans="1:2" ht="15.5" x14ac:dyDescent="0.35">
      <c r="A22" s="144" t="s">
        <v>76</v>
      </c>
      <c r="B22" s="22" t="s">
        <v>77</v>
      </c>
    </row>
    <row r="23" spans="1:2" ht="15.5" x14ac:dyDescent="0.35">
      <c r="A23" s="144" t="s">
        <v>78</v>
      </c>
      <c r="B23" s="22" t="s">
        <v>79</v>
      </c>
    </row>
    <row r="24" spans="1:2" ht="31" x14ac:dyDescent="0.35">
      <c r="A24" s="144" t="s">
        <v>80</v>
      </c>
      <c r="B24" s="22" t="s">
        <v>81</v>
      </c>
    </row>
    <row r="25" spans="1:2" ht="31" x14ac:dyDescent="0.35">
      <c r="A25" s="144" t="s">
        <v>82</v>
      </c>
      <c r="B25" s="22" t="s">
        <v>83</v>
      </c>
    </row>
    <row r="26" spans="1:2" ht="15.5" x14ac:dyDescent="0.35">
      <c r="A26" s="144" t="s">
        <v>84</v>
      </c>
      <c r="B26" s="22" t="s">
        <v>85</v>
      </c>
    </row>
    <row r="27" spans="1:2" ht="15.5" x14ac:dyDescent="0.35">
      <c r="A27" s="144" t="s">
        <v>86</v>
      </c>
      <c r="B27" s="22" t="s">
        <v>87</v>
      </c>
    </row>
    <row r="28" spans="1:2" ht="15.5" x14ac:dyDescent="0.35">
      <c r="A28" s="144" t="s">
        <v>88</v>
      </c>
      <c r="B28" s="22" t="s">
        <v>89</v>
      </c>
    </row>
    <row r="29" spans="1:2" ht="15.5" x14ac:dyDescent="0.35">
      <c r="A29" s="144" t="s">
        <v>90</v>
      </c>
      <c r="B29" s="22" t="s">
        <v>91</v>
      </c>
    </row>
    <row r="30" spans="1:2" ht="15.5" x14ac:dyDescent="0.35">
      <c r="A30" s="144" t="s">
        <v>92</v>
      </c>
      <c r="B30" s="22" t="s">
        <v>93</v>
      </c>
    </row>
    <row r="31" spans="1:2" ht="15.5" x14ac:dyDescent="0.35">
      <c r="A31" s="144" t="s">
        <v>1</v>
      </c>
      <c r="B31" s="22" t="s">
        <v>94</v>
      </c>
    </row>
    <row r="32" spans="1:2" ht="31" x14ac:dyDescent="0.35">
      <c r="A32" s="144" t="s">
        <v>548</v>
      </c>
      <c r="B32" s="22" t="s">
        <v>95</v>
      </c>
    </row>
    <row r="33" spans="1:2" ht="15.5" x14ac:dyDescent="0.35">
      <c r="A33" s="144" t="s">
        <v>2</v>
      </c>
      <c r="B33" s="22" t="s">
        <v>96</v>
      </c>
    </row>
    <row r="34" spans="1:2" ht="31" x14ac:dyDescent="0.35">
      <c r="A34" s="144" t="s">
        <v>97</v>
      </c>
      <c r="B34" s="22" t="s">
        <v>98</v>
      </c>
    </row>
    <row r="35" spans="1:2" ht="15.5" x14ac:dyDescent="0.35">
      <c r="A35" s="144" t="s">
        <v>99</v>
      </c>
      <c r="B35" s="22" t="s">
        <v>100</v>
      </c>
    </row>
    <row r="36" spans="1:2" ht="31" x14ac:dyDescent="0.35">
      <c r="A36" s="144" t="s">
        <v>101</v>
      </c>
      <c r="B36" s="22" t="s">
        <v>102</v>
      </c>
    </row>
    <row r="37" spans="1:2" ht="15.5" x14ac:dyDescent="0.35">
      <c r="A37" s="144" t="s">
        <v>103</v>
      </c>
      <c r="B37" s="22" t="s">
        <v>526</v>
      </c>
    </row>
    <row r="38" spans="1:2" ht="15.5" x14ac:dyDescent="0.35">
      <c r="A38" s="144" t="s">
        <v>21</v>
      </c>
      <c r="B38" s="22" t="s">
        <v>527</v>
      </c>
    </row>
    <row r="39" spans="1:2" ht="15.5" x14ac:dyDescent="0.35">
      <c r="A39" s="418" t="s">
        <v>104</v>
      </c>
      <c r="B39" s="22" t="s">
        <v>105</v>
      </c>
    </row>
    <row r="40" spans="1:2" ht="15.5" x14ac:dyDescent="0.35">
      <c r="A40" s="418"/>
      <c r="B40" s="22" t="s">
        <v>106</v>
      </c>
    </row>
    <row r="41" spans="1:2" ht="46.5" x14ac:dyDescent="0.35">
      <c r="A41" s="418"/>
      <c r="B41" s="22" t="s">
        <v>107</v>
      </c>
    </row>
    <row r="42" spans="1:2" ht="15.5" x14ac:dyDescent="0.35">
      <c r="A42" s="418"/>
      <c r="B42" s="22" t="s">
        <v>108</v>
      </c>
    </row>
    <row r="43" spans="1:2" ht="46.5" x14ac:dyDescent="0.35">
      <c r="A43" s="418"/>
      <c r="B43" s="22" t="s">
        <v>109</v>
      </c>
    </row>
    <row r="44" spans="1:2" ht="15.5" x14ac:dyDescent="0.35">
      <c r="A44" s="418"/>
      <c r="B44" s="22" t="s">
        <v>110</v>
      </c>
    </row>
    <row r="45" spans="1:2" ht="15.5" x14ac:dyDescent="0.35">
      <c r="A45" s="418"/>
      <c r="B45" s="22" t="s">
        <v>111</v>
      </c>
    </row>
    <row r="46" spans="1:2" ht="15.5" x14ac:dyDescent="0.35">
      <c r="A46" s="418"/>
      <c r="B46" s="22" t="s">
        <v>112</v>
      </c>
    </row>
    <row r="47" spans="1:2" ht="15.5" x14ac:dyDescent="0.35">
      <c r="A47" s="144" t="s">
        <v>113</v>
      </c>
      <c r="B47" s="22" t="s">
        <v>114</v>
      </c>
    </row>
    <row r="48" spans="1:2" ht="31" x14ac:dyDescent="0.35">
      <c r="A48" s="418" t="s">
        <v>543</v>
      </c>
      <c r="B48" s="22" t="s">
        <v>528</v>
      </c>
    </row>
    <row r="49" spans="1:2" ht="15.5" x14ac:dyDescent="0.35">
      <c r="A49" s="418"/>
      <c r="B49" s="22" t="s">
        <v>529</v>
      </c>
    </row>
    <row r="50" spans="1:2" ht="15.5" x14ac:dyDescent="0.35">
      <c r="A50" s="418"/>
      <c r="B50" s="22" t="s">
        <v>530</v>
      </c>
    </row>
    <row r="51" spans="1:2" ht="15.75" customHeight="1" x14ac:dyDescent="0.35">
      <c r="A51" s="418" t="s">
        <v>906</v>
      </c>
      <c r="B51" s="335" t="s">
        <v>907</v>
      </c>
    </row>
    <row r="52" spans="1:2" ht="15.5" x14ac:dyDescent="0.35">
      <c r="A52" s="418"/>
      <c r="B52" s="22" t="s">
        <v>531</v>
      </c>
    </row>
    <row r="53" spans="1:2" ht="35.5" customHeight="1" x14ac:dyDescent="0.35">
      <c r="A53" s="418"/>
      <c r="B53" s="22" t="s">
        <v>532</v>
      </c>
    </row>
    <row r="54" spans="1:2" ht="86.25" customHeight="1" x14ac:dyDescent="0.35">
      <c r="A54" s="418"/>
      <c r="B54" s="22" t="s">
        <v>908</v>
      </c>
    </row>
    <row r="55" spans="1:2" ht="87.65" customHeight="1" x14ac:dyDescent="0.35">
      <c r="A55" s="418"/>
      <c r="B55" s="22" t="s">
        <v>546</v>
      </c>
    </row>
    <row r="56" spans="1:2" ht="31" x14ac:dyDescent="0.35">
      <c r="A56" s="418"/>
      <c r="B56" s="22" t="s">
        <v>533</v>
      </c>
    </row>
    <row r="57" spans="1:2" ht="77.5" x14ac:dyDescent="0.35">
      <c r="A57" s="418"/>
      <c r="B57" s="22" t="s">
        <v>544</v>
      </c>
    </row>
    <row r="58" spans="1:2" ht="15.5" x14ac:dyDescent="0.35">
      <c r="A58" s="418"/>
      <c r="B58" s="22" t="s">
        <v>534</v>
      </c>
    </row>
    <row r="59" spans="1:2" ht="31" x14ac:dyDescent="0.35">
      <c r="A59" s="418"/>
      <c r="B59" s="22" t="s">
        <v>909</v>
      </c>
    </row>
    <row r="60" spans="1:2" ht="170.5" x14ac:dyDescent="0.35">
      <c r="A60" s="418"/>
      <c r="B60" s="22" t="s">
        <v>910</v>
      </c>
    </row>
    <row r="61" spans="1:2" ht="15.5" x14ac:dyDescent="0.35">
      <c r="A61" s="418" t="s">
        <v>911</v>
      </c>
      <c r="B61" s="335" t="s">
        <v>912</v>
      </c>
    </row>
    <row r="62" spans="1:2" ht="31" x14ac:dyDescent="0.35">
      <c r="A62" s="418"/>
      <c r="B62" s="22" t="s">
        <v>535</v>
      </c>
    </row>
    <row r="63" spans="1:2" ht="15.5" x14ac:dyDescent="0.35">
      <c r="A63" s="418"/>
      <c r="B63" s="22" t="s">
        <v>536</v>
      </c>
    </row>
    <row r="64" spans="1:2" ht="15.5" x14ac:dyDescent="0.35">
      <c r="A64" s="418"/>
      <c r="B64" s="22" t="s">
        <v>913</v>
      </c>
    </row>
    <row r="65" spans="1:2" ht="77.5" x14ac:dyDescent="0.35">
      <c r="A65" s="418"/>
      <c r="B65" s="22" t="s">
        <v>545</v>
      </c>
    </row>
    <row r="66" spans="1:2" ht="178" customHeight="1" x14ac:dyDescent="0.35">
      <c r="A66" s="418"/>
      <c r="B66" s="22" t="s">
        <v>910</v>
      </c>
    </row>
    <row r="67" spans="1:2" ht="15.5" x14ac:dyDescent="0.35">
      <c r="A67" s="423" t="s">
        <v>914</v>
      </c>
      <c r="B67" s="335" t="s">
        <v>915</v>
      </c>
    </row>
    <row r="68" spans="1:2" ht="15.5" x14ac:dyDescent="0.35">
      <c r="A68" s="423"/>
      <c r="B68" s="22" t="s">
        <v>537</v>
      </c>
    </row>
    <row r="69" spans="1:2" ht="50.5" customHeight="1" x14ac:dyDescent="0.35">
      <c r="A69" s="423"/>
      <c r="B69" s="22" t="s">
        <v>916</v>
      </c>
    </row>
    <row r="70" spans="1:2" ht="46.5" x14ac:dyDescent="0.35">
      <c r="A70" s="423"/>
      <c r="B70" s="22" t="s">
        <v>917</v>
      </c>
    </row>
    <row r="71" spans="1:2" ht="170.5" x14ac:dyDescent="0.35">
      <c r="A71" s="423"/>
      <c r="B71" s="22" t="s">
        <v>910</v>
      </c>
    </row>
    <row r="72" spans="1:2" ht="15.5" x14ac:dyDescent="0.35">
      <c r="A72" s="423" t="s">
        <v>547</v>
      </c>
      <c r="B72" s="335" t="s">
        <v>918</v>
      </c>
    </row>
    <row r="73" spans="1:2" ht="15.5" x14ac:dyDescent="0.35">
      <c r="A73" s="423"/>
      <c r="B73" s="22" t="s">
        <v>538</v>
      </c>
    </row>
    <row r="74" spans="1:2" ht="83.5" customHeight="1" x14ac:dyDescent="0.35">
      <c r="A74" s="423"/>
      <c r="B74" s="22" t="s">
        <v>545</v>
      </c>
    </row>
    <row r="75" spans="1:2" ht="77.5" x14ac:dyDescent="0.35">
      <c r="A75" s="423"/>
      <c r="B75" s="23" t="s">
        <v>544</v>
      </c>
    </row>
    <row r="76" spans="1:2" ht="15.5" x14ac:dyDescent="0.35">
      <c r="A76" s="423"/>
      <c r="B76" s="22" t="s">
        <v>534</v>
      </c>
    </row>
    <row r="77" spans="1:2" ht="31" x14ac:dyDescent="0.35">
      <c r="A77" s="423"/>
      <c r="B77" s="22" t="s">
        <v>919</v>
      </c>
    </row>
    <row r="78" spans="1:2" ht="170.5" x14ac:dyDescent="0.35">
      <c r="A78" s="423"/>
      <c r="B78" s="22" t="s">
        <v>910</v>
      </c>
    </row>
    <row r="79" spans="1:2" ht="15.5" x14ac:dyDescent="0.35">
      <c r="A79" s="424" t="s">
        <v>920</v>
      </c>
      <c r="B79" s="335" t="s">
        <v>921</v>
      </c>
    </row>
    <row r="80" spans="1:2" ht="15.5" x14ac:dyDescent="0.35">
      <c r="A80" s="424"/>
      <c r="B80" s="22" t="s">
        <v>538</v>
      </c>
    </row>
    <row r="81" spans="1:2" ht="31" x14ac:dyDescent="0.35">
      <c r="A81" s="424"/>
      <c r="B81" s="22" t="s">
        <v>533</v>
      </c>
    </row>
    <row r="82" spans="1:2" ht="15.5" x14ac:dyDescent="0.35">
      <c r="A82" s="424"/>
      <c r="B82" s="22" t="s">
        <v>539</v>
      </c>
    </row>
    <row r="83" spans="1:2" ht="46.5" x14ac:dyDescent="0.35">
      <c r="A83" s="424"/>
      <c r="B83" s="22" t="s">
        <v>540</v>
      </c>
    </row>
    <row r="84" spans="1:2" ht="15.5" x14ac:dyDescent="0.35">
      <c r="A84" s="424"/>
      <c r="B84" s="22" t="s">
        <v>541</v>
      </c>
    </row>
    <row r="85" spans="1:2" ht="15.5" x14ac:dyDescent="0.35">
      <c r="A85" s="424"/>
      <c r="B85" s="22" t="s">
        <v>542</v>
      </c>
    </row>
    <row r="86" spans="1:2" ht="15.5" x14ac:dyDescent="0.35">
      <c r="A86" s="424"/>
      <c r="B86" s="22" t="s">
        <v>534</v>
      </c>
    </row>
    <row r="87" spans="1:2" ht="77.5" x14ac:dyDescent="0.35">
      <c r="A87" s="424"/>
      <c r="B87" s="22" t="s">
        <v>545</v>
      </c>
    </row>
    <row r="88" spans="1:2" ht="170.5" x14ac:dyDescent="0.35">
      <c r="A88" s="424"/>
      <c r="B88" s="22" t="s">
        <v>910</v>
      </c>
    </row>
    <row r="89" spans="1:2" ht="15.65" customHeight="1" x14ac:dyDescent="0.35">
      <c r="A89" s="425" t="s">
        <v>922</v>
      </c>
      <c r="B89" s="24" t="s">
        <v>923</v>
      </c>
    </row>
    <row r="90" spans="1:2" ht="15.5" x14ac:dyDescent="0.35">
      <c r="A90" s="425"/>
      <c r="B90" s="336" t="s">
        <v>912</v>
      </c>
    </row>
    <row r="91" spans="1:2" ht="15.5" x14ac:dyDescent="0.35">
      <c r="A91" s="425"/>
      <c r="B91" s="25" t="s">
        <v>538</v>
      </c>
    </row>
    <row r="92" spans="1:2" ht="15.5" x14ac:dyDescent="0.35">
      <c r="A92" s="425"/>
      <c r="B92" s="24" t="s">
        <v>924</v>
      </c>
    </row>
    <row r="93" spans="1:2" ht="62" x14ac:dyDescent="0.35">
      <c r="A93" s="425"/>
      <c r="B93" s="25" t="s">
        <v>925</v>
      </c>
    </row>
    <row r="94" spans="1:2" ht="31" x14ac:dyDescent="0.35">
      <c r="A94" s="425"/>
      <c r="B94" s="25" t="s">
        <v>926</v>
      </c>
    </row>
    <row r="95" spans="1:2" ht="49" customHeight="1" x14ac:dyDescent="0.35">
      <c r="A95" s="425"/>
      <c r="B95" s="24" t="s">
        <v>927</v>
      </c>
    </row>
    <row r="96" spans="1:2" ht="31" x14ac:dyDescent="0.35">
      <c r="A96" s="425"/>
      <c r="B96" s="25" t="s">
        <v>928</v>
      </c>
    </row>
    <row r="97" spans="1:2" ht="143.5" customHeight="1" x14ac:dyDescent="0.35">
      <c r="A97" s="425"/>
      <c r="B97" s="24" t="s">
        <v>929</v>
      </c>
    </row>
    <row r="98" spans="1:2" ht="66" customHeight="1" x14ac:dyDescent="0.35">
      <c r="A98" s="425"/>
      <c r="B98" s="25" t="s">
        <v>930</v>
      </c>
    </row>
    <row r="99" spans="1:2" ht="31" x14ac:dyDescent="0.35">
      <c r="A99" s="425" t="s">
        <v>931</v>
      </c>
      <c r="B99" s="25" t="s">
        <v>932</v>
      </c>
    </row>
    <row r="100" spans="1:2" ht="148" customHeight="1" x14ac:dyDescent="0.35">
      <c r="A100" s="425"/>
      <c r="B100" s="337" t="s">
        <v>933</v>
      </c>
    </row>
    <row r="101" spans="1:2" ht="15.65" customHeight="1" x14ac:dyDescent="0.35">
      <c r="A101" s="425"/>
      <c r="B101" s="25" t="s">
        <v>934</v>
      </c>
    </row>
    <row r="102" spans="1:2" ht="176.15" customHeight="1" x14ac:dyDescent="0.35">
      <c r="A102" s="425"/>
      <c r="B102" s="338" t="s">
        <v>910</v>
      </c>
    </row>
    <row r="103" spans="1:2" ht="31" x14ac:dyDescent="0.35">
      <c r="A103" s="425"/>
      <c r="B103" s="339" t="s">
        <v>935</v>
      </c>
    </row>
    <row r="104" spans="1:2" ht="15.5" x14ac:dyDescent="0.35">
      <c r="A104" s="425"/>
      <c r="B104" s="25" t="s">
        <v>936</v>
      </c>
    </row>
    <row r="105" spans="1:2" ht="15.5" x14ac:dyDescent="0.35">
      <c r="A105" s="424" t="s">
        <v>937</v>
      </c>
      <c r="B105" s="24" t="s">
        <v>912</v>
      </c>
    </row>
    <row r="106" spans="1:2" ht="31" x14ac:dyDescent="0.35">
      <c r="A106" s="424"/>
      <c r="B106" s="22" t="s">
        <v>938</v>
      </c>
    </row>
    <row r="107" spans="1:2" ht="15.5" x14ac:dyDescent="0.35">
      <c r="A107" s="424"/>
      <c r="B107" s="22" t="s">
        <v>536</v>
      </c>
    </row>
    <row r="108" spans="1:2" ht="15.5" x14ac:dyDescent="0.35">
      <c r="A108" s="424"/>
      <c r="B108" s="22" t="s">
        <v>913</v>
      </c>
    </row>
    <row r="109" spans="1:2" ht="15.5" x14ac:dyDescent="0.35">
      <c r="A109" s="424"/>
      <c r="B109" s="24" t="s">
        <v>939</v>
      </c>
    </row>
    <row r="110" spans="1:2" ht="21" customHeight="1" x14ac:dyDescent="0.35">
      <c r="A110" s="424"/>
      <c r="B110" s="24" t="s">
        <v>940</v>
      </c>
    </row>
    <row r="111" spans="1:2" ht="31" x14ac:dyDescent="0.35">
      <c r="A111" s="424"/>
      <c r="B111" s="24" t="s">
        <v>941</v>
      </c>
    </row>
    <row r="112" spans="1:2" ht="31" x14ac:dyDescent="0.35">
      <c r="A112" s="424"/>
      <c r="B112" s="24" t="s">
        <v>942</v>
      </c>
    </row>
    <row r="113" spans="1:2" ht="15.65" customHeight="1" x14ac:dyDescent="0.35">
      <c r="A113" s="423" t="s">
        <v>943</v>
      </c>
      <c r="B113" s="23" t="s">
        <v>944</v>
      </c>
    </row>
    <row r="114" spans="1:2" ht="15.5" x14ac:dyDescent="0.35">
      <c r="A114" s="423"/>
      <c r="B114" s="24" t="s">
        <v>945</v>
      </c>
    </row>
    <row r="115" spans="1:2" ht="15.5" x14ac:dyDescent="0.35">
      <c r="A115" s="423"/>
      <c r="B115" s="24" t="s">
        <v>946</v>
      </c>
    </row>
    <row r="116" spans="1:2" ht="15.5" x14ac:dyDescent="0.35">
      <c r="A116" s="423"/>
      <c r="B116" s="24" t="s">
        <v>947</v>
      </c>
    </row>
    <row r="117" spans="1:2" ht="15.5" x14ac:dyDescent="0.35">
      <c r="A117" s="423"/>
      <c r="B117" s="24" t="s">
        <v>948</v>
      </c>
    </row>
    <row r="118" spans="1:2" ht="15.5" x14ac:dyDescent="0.35">
      <c r="A118" s="426" t="s">
        <v>949</v>
      </c>
      <c r="B118" s="24" t="s">
        <v>950</v>
      </c>
    </row>
    <row r="119" spans="1:2" ht="15.65" customHeight="1" x14ac:dyDescent="0.35">
      <c r="A119" s="427"/>
      <c r="B119" s="23" t="s">
        <v>951</v>
      </c>
    </row>
    <row r="120" spans="1:2" ht="15.5" x14ac:dyDescent="0.35">
      <c r="A120" s="427"/>
      <c r="B120" s="23" t="s">
        <v>952</v>
      </c>
    </row>
    <row r="121" spans="1:2" ht="16.5" customHeight="1" x14ac:dyDescent="0.35">
      <c r="A121" s="427"/>
      <c r="B121" s="23" t="s">
        <v>953</v>
      </c>
    </row>
    <row r="122" spans="1:2" ht="16.5" customHeight="1" x14ac:dyDescent="0.35">
      <c r="A122" s="427"/>
      <c r="B122" s="24" t="s">
        <v>954</v>
      </c>
    </row>
    <row r="123" spans="1:2" ht="16.5" customHeight="1" x14ac:dyDescent="0.35">
      <c r="A123" s="427"/>
      <c r="B123" s="23" t="s">
        <v>955</v>
      </c>
    </row>
    <row r="124" spans="1:2" ht="16.5" customHeight="1" x14ac:dyDescent="0.35">
      <c r="A124" s="427"/>
      <c r="B124" s="23" t="s">
        <v>956</v>
      </c>
    </row>
    <row r="125" spans="1:2" ht="16.5" customHeight="1" x14ac:dyDescent="0.35">
      <c r="A125" s="427"/>
      <c r="B125" s="23" t="s">
        <v>957</v>
      </c>
    </row>
    <row r="126" spans="1:2" ht="15.5" x14ac:dyDescent="0.35">
      <c r="A126" s="427"/>
      <c r="B126" s="24" t="s">
        <v>958</v>
      </c>
    </row>
    <row r="127" spans="1:2" ht="15.5" x14ac:dyDescent="0.35">
      <c r="A127" s="427"/>
      <c r="B127" s="23" t="s">
        <v>951</v>
      </c>
    </row>
    <row r="128" spans="1:2" ht="15.5" x14ac:dyDescent="0.35">
      <c r="A128" s="427"/>
      <c r="B128" s="23" t="s">
        <v>952</v>
      </c>
    </row>
    <row r="129" spans="1:2" ht="15.5" x14ac:dyDescent="0.35">
      <c r="A129" s="427"/>
      <c r="B129" s="23" t="s">
        <v>959</v>
      </c>
    </row>
    <row r="130" spans="1:2" ht="15.5" x14ac:dyDescent="0.35">
      <c r="A130" s="427"/>
      <c r="B130" s="24" t="s">
        <v>960</v>
      </c>
    </row>
    <row r="131" spans="1:2" ht="15.5" x14ac:dyDescent="0.35">
      <c r="A131" s="427"/>
      <c r="B131" s="23" t="s">
        <v>961</v>
      </c>
    </row>
    <row r="132" spans="1:2" ht="15.5" x14ac:dyDescent="0.35">
      <c r="A132" s="427"/>
      <c r="B132" s="23" t="s">
        <v>962</v>
      </c>
    </row>
    <row r="133" spans="1:2" ht="15.5" x14ac:dyDescent="0.35">
      <c r="A133" s="427"/>
      <c r="B133" s="23" t="s">
        <v>963</v>
      </c>
    </row>
    <row r="134" spans="1:2" ht="15.5" x14ac:dyDescent="0.35">
      <c r="A134" s="427"/>
      <c r="B134" s="23" t="s">
        <v>964</v>
      </c>
    </row>
    <row r="135" spans="1:2" ht="15.5" x14ac:dyDescent="0.35">
      <c r="A135" s="427"/>
      <c r="B135" s="23" t="s">
        <v>965</v>
      </c>
    </row>
    <row r="136" spans="1:2" ht="15.5" x14ac:dyDescent="0.35">
      <c r="A136" s="427"/>
      <c r="B136" s="23" t="s">
        <v>966</v>
      </c>
    </row>
    <row r="137" spans="1:2" ht="54.65" customHeight="1" x14ac:dyDescent="0.35">
      <c r="A137" s="427"/>
      <c r="B137" s="23" t="s">
        <v>967</v>
      </c>
    </row>
    <row r="138" spans="1:2" ht="15.5" x14ac:dyDescent="0.35">
      <c r="A138" s="427"/>
      <c r="B138" s="23" t="s">
        <v>968</v>
      </c>
    </row>
    <row r="139" spans="1:2" ht="31" x14ac:dyDescent="0.35">
      <c r="A139" s="427"/>
      <c r="B139" s="23" t="s">
        <v>969</v>
      </c>
    </row>
    <row r="140" spans="1:2" ht="15.5" x14ac:dyDescent="0.35">
      <c r="A140" s="427"/>
      <c r="B140" s="23" t="s">
        <v>531</v>
      </c>
    </row>
    <row r="141" spans="1:2" ht="31" x14ac:dyDescent="0.35">
      <c r="A141" s="427"/>
      <c r="B141" s="23" t="s">
        <v>970</v>
      </c>
    </row>
    <row r="142" spans="1:2" ht="93" x14ac:dyDescent="0.35">
      <c r="A142" s="427"/>
      <c r="B142" s="23" t="s">
        <v>971</v>
      </c>
    </row>
    <row r="143" spans="1:2" ht="15.5" x14ac:dyDescent="0.35">
      <c r="A143" s="427"/>
      <c r="B143" s="23" t="s">
        <v>972</v>
      </c>
    </row>
    <row r="144" spans="1:2" ht="31" x14ac:dyDescent="0.35">
      <c r="A144" s="427"/>
      <c r="B144" s="23" t="s">
        <v>973</v>
      </c>
    </row>
    <row r="145" spans="1:2" ht="15.5" x14ac:dyDescent="0.35">
      <c r="A145" s="428"/>
      <c r="B145" s="340" t="s">
        <v>974</v>
      </c>
    </row>
    <row r="146" spans="1:2" ht="15.5" x14ac:dyDescent="0.35">
      <c r="A146" s="420" t="s">
        <v>975</v>
      </c>
      <c r="B146" s="23" t="s">
        <v>976</v>
      </c>
    </row>
    <row r="147" spans="1:2" ht="15.5" x14ac:dyDescent="0.35">
      <c r="A147" s="421"/>
      <c r="B147" s="23" t="s">
        <v>977</v>
      </c>
    </row>
    <row r="148" spans="1:2" ht="15.5" x14ac:dyDescent="0.35">
      <c r="A148" s="421"/>
      <c r="B148" s="23" t="s">
        <v>978</v>
      </c>
    </row>
    <row r="149" spans="1:2" ht="15.5" x14ac:dyDescent="0.35">
      <c r="A149" s="421"/>
      <c r="B149" s="23" t="s">
        <v>979</v>
      </c>
    </row>
    <row r="150" spans="1:2" ht="15.5" x14ac:dyDescent="0.35">
      <c r="A150" s="421"/>
      <c r="B150" s="23" t="s">
        <v>980</v>
      </c>
    </row>
    <row r="151" spans="1:2" ht="16" thickBot="1" x14ac:dyDescent="0.4">
      <c r="A151" s="422"/>
      <c r="B151" s="341" t="s">
        <v>981</v>
      </c>
    </row>
  </sheetData>
  <mergeCells count="17">
    <mergeCell ref="A146:A151"/>
    <mergeCell ref="A51:A60"/>
    <mergeCell ref="A61:A66"/>
    <mergeCell ref="A67:A71"/>
    <mergeCell ref="A72:A78"/>
    <mergeCell ref="A79:A88"/>
    <mergeCell ref="A89:A98"/>
    <mergeCell ref="A99:A104"/>
    <mergeCell ref="A105:A112"/>
    <mergeCell ref="A113:A117"/>
    <mergeCell ref="A118:A145"/>
    <mergeCell ref="A48:A50"/>
    <mergeCell ref="A1:B1"/>
    <mergeCell ref="A2:B2"/>
    <mergeCell ref="A16:A17"/>
    <mergeCell ref="A18:A19"/>
    <mergeCell ref="A39:A46"/>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f64f43-848e-4f71-a29c-5b275075194e">
      <Terms xmlns="http://schemas.microsoft.com/office/infopath/2007/PartnerControls"/>
    </lcf76f155ced4ddcb4097134ff3c332f>
    <TaxCatchAll xmlns="9225b539-7b15-42b2-871d-c20cb6e17ae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0" ma:contentTypeDescription="Create a new document." ma:contentTypeScope="" ma:versionID="1927ac19cb85ee9509ddbc5f71393a09">
  <xsd:schema xmlns:xsd="http://www.w3.org/2001/XMLSchema" xmlns:xs="http://www.w3.org/2001/XMLSchema" xmlns:p="http://schemas.microsoft.com/office/2006/metadata/properties" xmlns:ns2="51f64f43-848e-4f71-a29c-5b275075194e" xmlns:ns3="9225b539-7b15-42b2-871d-c20cb6e17ae7" targetNamespace="http://schemas.microsoft.com/office/2006/metadata/properties" ma:root="true" ma:fieldsID="5a02860b1ce3aeff9359f77f91c70304" ns2:_="" ns3:_="">
    <xsd:import namespace="51f64f43-848e-4f71-a29c-5b275075194e"/>
    <xsd:import namespace="9225b539-7b15-42b2-871d-c20cb6e17ae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08AC0-783C-4C1B-927A-AB27E36B29B1}">
  <ds:schemaRefs>
    <ds:schemaRef ds:uri="http://purl.org/dc/elements/1.1/"/>
    <ds:schemaRef ds:uri="http://schemas.microsoft.com/office/2006/metadata/properties"/>
    <ds:schemaRef ds:uri="51f64f43-848e-4f71-a29c-5b275075194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9225b539-7b15-42b2-871d-c20cb6e17ae7"/>
    <ds:schemaRef ds:uri="http://www.w3.org/XML/1998/namespace"/>
    <ds:schemaRef ds:uri="http://purl.org/dc/dcmitype/"/>
  </ds:schemaRefs>
</ds:datastoreItem>
</file>

<file path=customXml/itemProps2.xml><?xml version="1.0" encoding="utf-8"?>
<ds:datastoreItem xmlns:ds="http://schemas.openxmlformats.org/officeDocument/2006/customXml" ds:itemID="{2B870606-8234-4B69-AF10-0F3E1EB99B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64f43-848e-4f71-a29c-5b275075194e"/>
    <ds:schemaRef ds:uri="9225b539-7b15-42b2-871d-c20cb6e17a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EF2A48-5B03-4C1F-A9CC-64566AC266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FY23 YTD</vt:lpstr>
      <vt:lpstr>Detention FY23</vt:lpstr>
      <vt:lpstr> ICLOS and Detainees</vt:lpstr>
      <vt:lpstr>Monthly Bond Statistics</vt:lpstr>
      <vt:lpstr>Semiannual</vt:lpstr>
      <vt:lpstr>Facilities FY23 </vt:lpstr>
      <vt:lpstr>Trans. Detainee Pop. FY23 YTD </vt:lpstr>
      <vt:lpstr>Vulnerable &amp; Special Population</vt:lpstr>
      <vt:lpstr>Footnotes</vt:lpstr>
      <vt:lpstr>'Detention FY23'!Print_Area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Black, Tyler M (CTR)</dc:creator>
  <cp:lastModifiedBy>ERO Front Office - (a) DCOS Patrick Kearns</cp:lastModifiedBy>
  <cp:lastPrinted>2020-02-10T19:14:43Z</cp:lastPrinted>
  <dcterms:created xsi:type="dcterms:W3CDTF">2020-01-31T18:40:16Z</dcterms:created>
  <dcterms:modified xsi:type="dcterms:W3CDTF">2022-12-12T14:35:42Z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