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icegov-my.sharepoint.com/personal/0667527420_ice_dhs_gov/Documents/Desktop/EIU/"/>
    </mc:Choice>
  </mc:AlternateContent>
  <xr:revisionPtr revIDLastSave="0" documentId="8_{58F3BA74-6B44-43CF-BE54-32D620B1BD1A}" xr6:coauthVersionLast="47" xr6:coauthVersionMax="47" xr10:uidLastSave="{00000000-0000-0000-0000-000000000000}"/>
  <bookViews>
    <workbookView xWindow="28680" yWindow="-120" windowWidth="29040" windowHeight="15840" tabRatio="668" firstSheet="5" activeTab="10" xr2:uid="{00000000-000D-0000-FFFF-FFFF00000000}"/>
  </bookViews>
  <sheets>
    <sheet name="Header" sheetId="9" r:id="rId1"/>
    <sheet name="ATD FY24 YTD" sheetId="12" r:id="rId2"/>
    <sheet name="ATD EOFY23 " sheetId="14" r:id="rId3"/>
    <sheet name="Detention FY24" sheetId="18" r:id="rId4"/>
    <sheet name=" ICLOS and Detainees" sheetId="19" r:id="rId5"/>
    <sheet name="Monthly Bond Statistics" sheetId="20" r:id="rId6"/>
    <sheet name="Semiannual" sheetId="21" r:id="rId7"/>
    <sheet name="Facilities FY24" sheetId="15" r:id="rId8"/>
    <sheet name="Trans. Detainee Pop." sheetId="16" r:id="rId9"/>
    <sheet name="Vulnerable &amp; Special Population" sheetId="17" r:id="rId10"/>
    <sheet name="Footnotes" sheetId="22" r:id="rId11"/>
  </sheets>
  <definedNames>
    <definedName name="_xlnm._FilterDatabase" localSheetId="6" hidden="1">Semiannual!$A$85:$F$101</definedName>
    <definedName name="_xlnm.Print_Area" localSheetId="3">'Detention FY24'!$A$1:$V$107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0" l="1"/>
  <c r="M6" i="20"/>
  <c r="L6" i="20"/>
  <c r="K6" i="20"/>
  <c r="J6" i="20"/>
  <c r="I6" i="20"/>
  <c r="H6" i="20"/>
  <c r="G6" i="20"/>
  <c r="F6" i="20"/>
  <c r="E6" i="20"/>
  <c r="D6" i="20"/>
  <c r="C6" i="20"/>
  <c r="B6" i="20"/>
  <c r="W33" i="19"/>
  <c r="V33" i="19"/>
  <c r="U33" i="19"/>
  <c r="T33" i="19"/>
  <c r="S33" i="19"/>
  <c r="R33" i="19"/>
  <c r="Q33" i="19"/>
  <c r="P33" i="19"/>
  <c r="O33" i="19"/>
  <c r="N33" i="19"/>
  <c r="M33" i="19"/>
  <c r="L33" i="19"/>
  <c r="K33" i="19"/>
  <c r="J33" i="19"/>
  <c r="I33" i="19"/>
  <c r="H33" i="19"/>
  <c r="G33" i="19"/>
  <c r="F33" i="19"/>
  <c r="E33" i="19"/>
  <c r="D33" i="19"/>
  <c r="C33" i="19"/>
  <c r="B33" i="19"/>
  <c r="W32" i="19"/>
  <c r="V32" i="19"/>
  <c r="U32" i="19"/>
  <c r="T32" i="19"/>
  <c r="S32" i="19"/>
  <c r="R32" i="19"/>
  <c r="Q32" i="19"/>
  <c r="P32" i="19"/>
  <c r="O32" i="19"/>
  <c r="N32" i="19"/>
  <c r="M32" i="19"/>
  <c r="L32" i="19"/>
  <c r="K32" i="19"/>
  <c r="J32" i="19"/>
  <c r="I32" i="19"/>
  <c r="H32" i="19"/>
  <c r="G32" i="19"/>
  <c r="F32" i="19"/>
  <c r="E32" i="19"/>
  <c r="D32" i="19"/>
  <c r="C32" i="19"/>
  <c r="B32" i="19"/>
  <c r="W31" i="19"/>
  <c r="V31" i="19"/>
  <c r="U31" i="19"/>
  <c r="T31" i="19"/>
  <c r="S31" i="19"/>
  <c r="R31" i="19"/>
  <c r="Q31" i="19"/>
  <c r="P31" i="19"/>
  <c r="O31" i="19"/>
  <c r="N31" i="19"/>
  <c r="M31" i="19"/>
  <c r="L31" i="19"/>
  <c r="K31" i="19"/>
  <c r="J31" i="19"/>
  <c r="I31" i="19"/>
  <c r="H31" i="19"/>
  <c r="G31" i="19"/>
  <c r="F31" i="19"/>
  <c r="E31" i="19"/>
  <c r="D31" i="19"/>
  <c r="C31" i="19"/>
  <c r="B31" i="19"/>
  <c r="W30" i="19"/>
  <c r="W34" i="19" s="1"/>
  <c r="V30" i="19"/>
  <c r="V34" i="19" s="1"/>
  <c r="U30" i="19"/>
  <c r="U34" i="19" s="1"/>
  <c r="T30" i="19"/>
  <c r="T34" i="19" s="1"/>
  <c r="S30" i="19"/>
  <c r="S34" i="19" s="1"/>
  <c r="R30" i="19"/>
  <c r="R34" i="19" s="1"/>
  <c r="Q30" i="19"/>
  <c r="Q34" i="19" s="1"/>
  <c r="P30" i="19"/>
  <c r="P34" i="19" s="1"/>
  <c r="O30" i="19"/>
  <c r="O34" i="19" s="1"/>
  <c r="N30" i="19"/>
  <c r="N34" i="19" s="1"/>
  <c r="M30" i="19"/>
  <c r="M34" i="19" s="1"/>
  <c r="L30" i="19"/>
  <c r="L34" i="19" s="1"/>
  <c r="K30" i="19"/>
  <c r="K34" i="19" s="1"/>
  <c r="J30" i="19"/>
  <c r="J34" i="19" s="1"/>
  <c r="I30" i="19"/>
  <c r="I34" i="19" s="1"/>
  <c r="H30" i="19"/>
  <c r="H34" i="19" s="1"/>
  <c r="G30" i="19"/>
  <c r="G34" i="19" s="1"/>
  <c r="F30" i="19"/>
  <c r="F34" i="19" s="1"/>
  <c r="E30" i="19"/>
  <c r="E34" i="19" s="1"/>
  <c r="D30" i="19"/>
  <c r="D34" i="19" s="1"/>
  <c r="C30" i="19"/>
  <c r="C34" i="19" s="1"/>
  <c r="B30" i="19"/>
  <c r="B34" i="19" s="1"/>
  <c r="O128" i="18"/>
  <c r="O127" i="18"/>
  <c r="O126" i="18"/>
  <c r="O125" i="18"/>
  <c r="O124" i="18"/>
  <c r="O123" i="18"/>
  <c r="N119" i="18"/>
  <c r="N118" i="18"/>
  <c r="N117" i="18"/>
  <c r="O61" i="18"/>
  <c r="O60" i="18"/>
  <c r="O59" i="18"/>
  <c r="N58" i="18"/>
  <c r="M58" i="18"/>
  <c r="L58" i="18"/>
  <c r="K58" i="18"/>
  <c r="J58" i="18"/>
  <c r="I58" i="18"/>
  <c r="H58" i="18"/>
  <c r="G58" i="18"/>
  <c r="F58" i="18"/>
  <c r="O58" i="18" s="1"/>
  <c r="E58" i="18"/>
  <c r="D58" i="18"/>
  <c r="C58" i="18"/>
  <c r="O57" i="18"/>
  <c r="O56" i="18"/>
  <c r="O55" i="18"/>
  <c r="N54" i="18"/>
  <c r="M54" i="18"/>
  <c r="L54" i="18"/>
  <c r="K54" i="18"/>
  <c r="J54" i="18"/>
  <c r="I54" i="18"/>
  <c r="H54" i="18"/>
  <c r="G54" i="18"/>
  <c r="F54" i="18"/>
  <c r="O54" i="18" s="1"/>
  <c r="E54" i="18"/>
  <c r="D54" i="18"/>
  <c r="C54" i="18"/>
  <c r="O53" i="18"/>
  <c r="O52" i="18"/>
  <c r="O51" i="18"/>
  <c r="N50" i="18"/>
  <c r="M50" i="18"/>
  <c r="L50" i="18"/>
  <c r="K50" i="18"/>
  <c r="J50" i="18"/>
  <c r="I50" i="18"/>
  <c r="H50" i="18"/>
  <c r="G50" i="18"/>
  <c r="F50" i="18"/>
  <c r="O50" i="18" s="1"/>
  <c r="E50" i="18"/>
  <c r="D50" i="18"/>
  <c r="C50" i="18"/>
  <c r="O49" i="18"/>
  <c r="O48" i="18"/>
  <c r="O47" i="18"/>
  <c r="N46" i="18"/>
  <c r="M46" i="18"/>
  <c r="L46" i="18"/>
  <c r="K46" i="18"/>
  <c r="J46" i="18"/>
  <c r="I46" i="18"/>
  <c r="H46" i="18"/>
  <c r="G46" i="18"/>
  <c r="F46" i="18"/>
  <c r="O46" i="18" s="1"/>
  <c r="E46" i="18"/>
  <c r="D46" i="18"/>
  <c r="C46" i="18"/>
  <c r="O45" i="18"/>
  <c r="O44" i="18"/>
  <c r="O43" i="18"/>
  <c r="N42" i="18"/>
  <c r="M42" i="18"/>
  <c r="L42" i="18"/>
  <c r="K42" i="18"/>
  <c r="J42" i="18"/>
  <c r="I42" i="18"/>
  <c r="H42" i="18"/>
  <c r="G42" i="18"/>
  <c r="F42" i="18"/>
  <c r="O42" i="18" s="1"/>
  <c r="E42" i="18"/>
  <c r="D42" i="18"/>
  <c r="C42" i="18"/>
  <c r="O41" i="18"/>
  <c r="O40" i="18"/>
  <c r="O39" i="18"/>
  <c r="N38" i="18"/>
  <c r="N37" i="18" s="1"/>
  <c r="M38" i="18"/>
  <c r="L38" i="18"/>
  <c r="K38" i="18"/>
  <c r="J38" i="18"/>
  <c r="I38" i="18"/>
  <c r="H38" i="18"/>
  <c r="H37" i="18" s="1"/>
  <c r="G38" i="18"/>
  <c r="G37" i="18" s="1"/>
  <c r="F38" i="18"/>
  <c r="F37" i="18" s="1"/>
  <c r="E38" i="18"/>
  <c r="D38" i="18"/>
  <c r="C38" i="18"/>
  <c r="M37" i="18"/>
  <c r="L37" i="18"/>
  <c r="K37" i="18"/>
  <c r="J37" i="18"/>
  <c r="I37" i="18"/>
  <c r="E37" i="18"/>
  <c r="D37" i="18"/>
  <c r="C37" i="18"/>
  <c r="E30" i="18"/>
  <c r="J29" i="18"/>
  <c r="D29" i="18"/>
  <c r="C29" i="18"/>
  <c r="B29" i="18"/>
  <c r="E29" i="18" s="1"/>
  <c r="F23" i="18"/>
  <c r="C23" i="18" s="1"/>
  <c r="E23" i="18"/>
  <c r="V22" i="18"/>
  <c r="F22" i="18"/>
  <c r="E22" i="18"/>
  <c r="C22" i="18"/>
  <c r="V21" i="18"/>
  <c r="F21" i="18"/>
  <c r="C21" i="18" s="1"/>
  <c r="E21" i="18"/>
  <c r="U20" i="18"/>
  <c r="T20" i="18"/>
  <c r="S20" i="18"/>
  <c r="R20" i="18"/>
  <c r="Q20" i="18"/>
  <c r="P20" i="18"/>
  <c r="O20" i="18"/>
  <c r="N20" i="18"/>
  <c r="M20" i="18"/>
  <c r="L20" i="18"/>
  <c r="K20" i="18"/>
  <c r="J20" i="18"/>
  <c r="V20" i="18" s="1"/>
  <c r="F20" i="18"/>
  <c r="C20" i="18" s="1"/>
  <c r="E20" i="18"/>
  <c r="D20" i="18"/>
  <c r="B20" i="18"/>
  <c r="C14" i="18"/>
  <c r="C13" i="18"/>
  <c r="C12" i="18"/>
  <c r="C11" i="18"/>
  <c r="C10" i="18" s="1"/>
  <c r="O10" i="18"/>
  <c r="B10" i="18"/>
  <c r="O37" i="18" l="1"/>
  <c r="O38" i="18"/>
  <c r="A26" i="14" l="1"/>
  <c r="A26" i="12" l="1"/>
</calcChain>
</file>

<file path=xl/sharedStrings.xml><?xml version="1.0" encoding="utf-8"?>
<sst xmlns="http://schemas.openxmlformats.org/spreadsheetml/2006/main" count="2456" uniqueCount="902">
  <si>
    <t>Other</t>
  </si>
  <si>
    <t>Total</t>
  </si>
  <si>
    <t>Order of Recognizance</t>
  </si>
  <si>
    <t>Order of Supervision</t>
  </si>
  <si>
    <t>ATD</t>
  </si>
  <si>
    <t>Male</t>
  </si>
  <si>
    <t>TR</t>
  </si>
  <si>
    <t>MA</t>
  </si>
  <si>
    <t>MIA</t>
  </si>
  <si>
    <t>CHI</t>
  </si>
  <si>
    <t>AL</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</si>
  <si>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</si>
  <si>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</si>
  <si>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</si>
  <si>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</si>
  <si>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</si>
  <si>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</si>
  <si>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</si>
  <si>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</si>
  <si>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</si>
  <si>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</si>
  <si>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</si>
  <si>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</si>
  <si>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</si>
  <si>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</si>
  <si>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</si>
  <si>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</si>
  <si>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</si>
  <si>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</si>
  <si>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</si>
  <si>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</si>
  <si>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</si>
  <si>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</si>
  <si>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</si>
  <si>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</si>
  <si>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</si>
  <si>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</si>
  <si>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</si>
  <si>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</si>
  <si>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</si>
  <si>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</si>
  <si>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</si>
  <si>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</si>
  <si>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</si>
  <si>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</si>
  <si>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</si>
  <si>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</si>
  <si>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</si>
  <si>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</si>
  <si>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</si>
  <si>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</si>
  <si>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</si>
  <si>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</si>
  <si>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</si>
  <si>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</si>
  <si>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</si>
  <si>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</si>
  <si>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</si>
  <si>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</si>
  <si>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</si>
  <si>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</si>
  <si>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</si>
  <si>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</si>
  <si>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</si>
  <si>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</si>
  <si>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</si>
  <si>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</si>
  <si>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</si>
  <si>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</si>
  <si>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</si>
  <si>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</si>
  <si>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</si>
  <si>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</si>
  <si>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</si>
  <si>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</si>
  <si>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</si>
  <si>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</si>
  <si>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</si>
  <si>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</si>
  <si>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</si>
  <si>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</si>
  <si>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</si>
  <si>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</si>
  <si>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</si>
  <si>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</si>
  <si>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</si>
  <si>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</si>
  <si>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</si>
  <si>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</si>
  <si>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</si>
  <si>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</si>
  <si>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</si>
  <si>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</si>
  <si>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</si>
  <si>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</si>
  <si>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</si>
  <si>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</si>
  <si>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</si>
  <si>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</si>
  <si>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</si>
  <si>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</si>
  <si>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</si>
  <si>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</si>
  <si>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CA</t>
  </si>
  <si>
    <t>LOS</t>
  </si>
  <si>
    <t>DIGSA</t>
  </si>
  <si>
    <t>Female/Male</t>
  </si>
  <si>
    <t>GA</t>
  </si>
  <si>
    <t>ATL</t>
  </si>
  <si>
    <t>TX</t>
  </si>
  <si>
    <t>SNA</t>
  </si>
  <si>
    <t>CDF</t>
  </si>
  <si>
    <t>LA</t>
  </si>
  <si>
    <t>NOL</t>
  </si>
  <si>
    <t>IGSA</t>
  </si>
  <si>
    <t>N/A</t>
  </si>
  <si>
    <t>AZ</t>
  </si>
  <si>
    <t>PHO</t>
  </si>
  <si>
    <t>MS</t>
  </si>
  <si>
    <t>SND</t>
  </si>
  <si>
    <t>USMS CDF</t>
  </si>
  <si>
    <t>WA</t>
  </si>
  <si>
    <t>SEA</t>
  </si>
  <si>
    <t>SPC</t>
  </si>
  <si>
    <t>NM</t>
  </si>
  <si>
    <t>ELP</t>
  </si>
  <si>
    <t>HOU</t>
  </si>
  <si>
    <t>USMS IGA</t>
  </si>
  <si>
    <t>PBNDS 2008</t>
  </si>
  <si>
    <t>DAL</t>
  </si>
  <si>
    <t>NJ</t>
  </si>
  <si>
    <t>NEW</t>
  </si>
  <si>
    <t>VA</t>
  </si>
  <si>
    <t>WAS</t>
  </si>
  <si>
    <t>FL</t>
  </si>
  <si>
    <t>CO</t>
  </si>
  <si>
    <t>DEN</t>
  </si>
  <si>
    <t>PA</t>
  </si>
  <si>
    <t>PHI</t>
  </si>
  <si>
    <t>NY</t>
  </si>
  <si>
    <t>BUF</t>
  </si>
  <si>
    <t>SFR</t>
  </si>
  <si>
    <t>BOS</t>
  </si>
  <si>
    <t>MN</t>
  </si>
  <si>
    <t>SPM</t>
  </si>
  <si>
    <t>NYC</t>
  </si>
  <si>
    <t>STAGING</t>
  </si>
  <si>
    <t>OK</t>
  </si>
  <si>
    <t>NV</t>
  </si>
  <si>
    <t>SLC</t>
  </si>
  <si>
    <t>OH</t>
  </si>
  <si>
    <t>DET</t>
  </si>
  <si>
    <t>WI</t>
  </si>
  <si>
    <t>MI</t>
  </si>
  <si>
    <t>KY</t>
  </si>
  <si>
    <t>RI</t>
  </si>
  <si>
    <t>NH</t>
  </si>
  <si>
    <t>NE</t>
  </si>
  <si>
    <t>KS</t>
  </si>
  <si>
    <t>IA</t>
  </si>
  <si>
    <t>IN</t>
  </si>
  <si>
    <t>NC</t>
  </si>
  <si>
    <t>HI</t>
  </si>
  <si>
    <t>BOP</t>
  </si>
  <si>
    <t>ORSA</t>
  </si>
  <si>
    <t>UT</t>
  </si>
  <si>
    <t>SC</t>
  </si>
  <si>
    <t>PR</t>
  </si>
  <si>
    <t>MP</t>
  </si>
  <si>
    <t>GU</t>
  </si>
  <si>
    <t>WV</t>
  </si>
  <si>
    <t>ID</t>
  </si>
  <si>
    <t>5001 Maloneyville Rd</t>
  </si>
  <si>
    <t>Knoxville</t>
  </si>
  <si>
    <t>TN</t>
  </si>
  <si>
    <t>AR</t>
  </si>
  <si>
    <t>WY</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</si>
  <si>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</si>
  <si>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</si>
  <si>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</si>
  <si>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</si>
  <si>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</si>
  <si>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</si>
  <si>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</si>
  <si>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</si>
  <si>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</si>
  <si>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</si>
  <si>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</si>
  <si>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</si>
  <si>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</si>
  <si>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</si>
  <si>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</si>
  <si>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</si>
  <si>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</si>
  <si>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</si>
  <si>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</si>
  <si>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</si>
  <si>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</si>
  <si>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</si>
  <si>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</si>
  <si>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</si>
  <si>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</si>
  <si>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</si>
  <si>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</si>
  <si>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</si>
  <si>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</si>
  <si>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</si>
  <si>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</si>
  <si>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</si>
  <si>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</si>
  <si>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</si>
  <si>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</si>
  <si>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</si>
  <si>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</si>
  <si>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</si>
  <si>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</si>
  <si>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</si>
  <si>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</si>
  <si>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</si>
  <si>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</si>
  <si>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</si>
  <si>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</si>
  <si>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</si>
  <si>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</si>
  <si>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</si>
  <si>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</si>
  <si>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</si>
  <si>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</si>
  <si>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</si>
  <si>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</si>
  <si>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</si>
  <si>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</si>
  <si>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</si>
  <si>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</si>
  <si>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</si>
  <si>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</si>
  <si>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</si>
  <si>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</si>
  <si>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</si>
  <si>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</si>
  <si>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</si>
  <si>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</si>
  <si>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</si>
  <si>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</si>
  <si>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</si>
  <si>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</si>
  <si>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</si>
  <si>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</si>
  <si>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</si>
  <si>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</si>
  <si>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</si>
  <si>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</si>
  <si>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Costs listed above are only related to technology costs, and do not include other associated contract and case management costs that are a part of the ATD program. Average daily participant cost is greater than those listed in the table above.</t>
  </si>
  <si>
    <t>Veriwatch</t>
  </si>
  <si>
    <t>VeriWatch</t>
  </si>
  <si>
    <t>Dual Technology</t>
  </si>
  <si>
    <t>Dual Tech</t>
  </si>
  <si>
    <t>Court Data from BI Inc. as of 9/30/2023</t>
  </si>
  <si>
    <t>ICE ALTERNATIVES TO DETENTION DATA, FY24</t>
  </si>
  <si>
    <t>ATD Active Population by Status, Extended Case Management Service, Count and ALIP, FY24</t>
  </si>
  <si>
    <t>Active ATD Participants and Average Length in Program, FY23,  as of 9/30/2023, by AOR and Technology</t>
  </si>
  <si>
    <t>Data from OBP Report, 9.24.2023</t>
  </si>
  <si>
    <t>ATD Active Population by Status, Extended Case Management Service, Count and ALIP, FY23</t>
  </si>
  <si>
    <t>Data from BI Inc. Participants Report, 9.30.2023</t>
  </si>
  <si>
    <t>ICE ALTERNATIVES TO DETENTION DATA, FY23</t>
  </si>
  <si>
    <t>FY23 Year End Court Appearance: Final Hearings*</t>
  </si>
  <si>
    <t>FY23 Year End Court Appearance: Total Hearings*</t>
  </si>
  <si>
    <t>FY24 thru October Court Appearance: Total Hearings*</t>
  </si>
  <si>
    <t xml:space="preserve">Court Data from BI Inc. </t>
  </si>
  <si>
    <t xml:space="preserve">
FY24 thru October Court Appearance: Final Hearings*</t>
  </si>
  <si>
    <t>Court Data from BI Inc.</t>
  </si>
  <si>
    <t>Data from BI Inc. Participants Report, 12.02.2023</t>
  </si>
  <si>
    <t>Active ATD Participants and Average Length in Program, FY24,  as of 12/02/2024, by AOR and Technology</t>
  </si>
  <si>
    <t>Data from OBP Report, 12.03.2023</t>
  </si>
  <si>
    <t xml:space="preserve"> ODO Inspection End Date is the date the final report was issued.</t>
  </si>
  <si>
    <t>ODO inspections are conducted on a semi-annual basis. The reportable inspections are listed.</t>
  </si>
  <si>
    <t>(*) Denotes no inspection completed as of the date of the report</t>
  </si>
  <si>
    <t>[2] (KRNRCTX) KARNES COUNTY IMMIGRATION PROCESSING CENTER houses single adults and no longer house family units as of 11/10/21.</t>
  </si>
  <si>
    <t>[1] (STFRCTX) SOUTH TEXAS FAMILY RESIDENTIAL CENTER houses single adults and no longer house family units as of 12/11/21.</t>
  </si>
  <si>
    <t>Pass</t>
  </si>
  <si>
    <t>NDS 2019</t>
  </si>
  <si>
    <t>ODO</t>
  </si>
  <si>
    <t>Central Falls</t>
  </si>
  <si>
    <t>950 High Street</t>
  </si>
  <si>
    <t>Wyatt Detention Center</t>
  </si>
  <si>
    <t>Charleston</t>
  </si>
  <si>
    <t>1001 Centre Way</t>
  </si>
  <si>
    <t>South Central Regional Jail</t>
  </si>
  <si>
    <t>ORSA NDS 2019</t>
  </si>
  <si>
    <t>Sioux City</t>
  </si>
  <si>
    <t>407 7th Street</t>
  </si>
  <si>
    <t>Woodbury County Jail</t>
  </si>
  <si>
    <t>PBNDS 2011 - 2016 Revised</t>
  </si>
  <si>
    <t>HLG</t>
  </si>
  <si>
    <t>Laredo</t>
  </si>
  <si>
    <t>9998 South Highway 83</t>
  </si>
  <si>
    <t>Webb County Detention Center (cca)</t>
  </si>
  <si>
    <t>Pompano Beach</t>
  </si>
  <si>
    <t>3900 North Powerline Road</t>
  </si>
  <si>
    <t>Broward Transitional Center</t>
  </si>
  <si>
    <t>Reno</t>
  </si>
  <si>
    <t>911 Parr Boulevard</t>
  </si>
  <si>
    <t>Washoe County Jail</t>
  </si>
  <si>
    <t>Fayetteville</t>
  </si>
  <si>
    <t>1155 West Clydesdale Drive</t>
  </si>
  <si>
    <t>Washington County Detention Center</t>
  </si>
  <si>
    <t>*</t>
  </si>
  <si>
    <t>VT</t>
  </si>
  <si>
    <t>Swanton</t>
  </si>
  <si>
    <t>3649 Lower Newton Road</t>
  </si>
  <si>
    <t>Northwest State Correctional Center</t>
  </si>
  <si>
    <t>South Burlington</t>
  </si>
  <si>
    <t>7 Farrell Street</t>
  </si>
  <si>
    <t>Chittenden Regional Correctional Facility</t>
  </si>
  <si>
    <t>Tulsa</t>
  </si>
  <si>
    <t>300 North Denver Avenue</t>
  </si>
  <si>
    <t>Tulsa County Jail (david L. Moss Justice Ctr)</t>
  </si>
  <si>
    <t>Estancia</t>
  </si>
  <si>
    <t>209 County Road 49</t>
  </si>
  <si>
    <t>Torrance/estancia, Nm</t>
  </si>
  <si>
    <t>Divide</t>
  </si>
  <si>
    <t>288 Weaverville Road</t>
  </si>
  <si>
    <t>Teller County Jail</t>
  </si>
  <si>
    <t>Rock Springs</t>
  </si>
  <si>
    <t>50140 United States Highway 191 South</t>
  </si>
  <si>
    <t>Sweetwater County Jail</t>
  </si>
  <si>
    <t>Lumpkin</t>
  </si>
  <si>
    <t>146 Cca Road</t>
  </si>
  <si>
    <t>Stewart Detention Center</t>
  </si>
  <si>
    <t>Dover</t>
  </si>
  <si>
    <t>266 County Farm Road</t>
  </si>
  <si>
    <t>Strafford County Corrections</t>
  </si>
  <si>
    <t>FRS</t>
  </si>
  <si>
    <t>Dilley</t>
  </si>
  <si>
    <t>300 El Rancho Way</t>
  </si>
  <si>
    <t>South Texas Fam Residential Center</t>
  </si>
  <si>
    <t>Port Huron</t>
  </si>
  <si>
    <t>1170 Michigan Road</t>
  </si>
  <si>
    <t>St. Clair County Jail</t>
  </si>
  <si>
    <t>Pearsall</t>
  </si>
  <si>
    <t>566 Veterans Drive</t>
  </si>
  <si>
    <t>South Texas Ice Processing Center</t>
  </si>
  <si>
    <t>3415 South 900 West</t>
  </si>
  <si>
    <t>Salt Lake County Metro Jail</t>
  </si>
  <si>
    <t>San Luis</t>
  </si>
  <si>
    <t>406 North Avenue D</t>
  </si>
  <si>
    <t>San Luis Regional Detention Center</t>
  </si>
  <si>
    <t>Guaynabo</t>
  </si>
  <si>
    <t>651 Federal Drive, Suite 104</t>
  </si>
  <si>
    <t>San Juan Staging</t>
  </si>
  <si>
    <t>Elk River</t>
  </si>
  <si>
    <t>13880 Business Center Drive</t>
  </si>
  <si>
    <t>Sherburne County Jail</t>
  </si>
  <si>
    <t>Tiffin</t>
  </si>
  <si>
    <t>3040 South State Highway 100</t>
  </si>
  <si>
    <t>Seneca County Jail</t>
  </si>
  <si>
    <t>Richwood</t>
  </si>
  <si>
    <t>180 Pine Bayou Circle</t>
  </si>
  <si>
    <t>Richwood Correctional Center</t>
  </si>
  <si>
    <t>Ferriday</t>
  </si>
  <si>
    <t>26362 Highway 15</t>
  </si>
  <si>
    <t>River Correctional Center</t>
  </si>
  <si>
    <t>Amarillo</t>
  </si>
  <si>
    <t>9100 South Georgia Street</t>
  </si>
  <si>
    <t>Randall County Jail</t>
  </si>
  <si>
    <t>1001 San Rio Boulevard</t>
  </si>
  <si>
    <t>Rio Grande Detention Center</t>
  </si>
  <si>
    <t>Alvarado</t>
  </si>
  <si>
    <t>1209 Sunflower Ln</t>
  </si>
  <si>
    <t>Prairieland Detention Facility</t>
  </si>
  <si>
    <t>Fail</t>
  </si>
  <si>
    <t>NDS 2000</t>
  </si>
  <si>
    <t>Council Bluffs</t>
  </si>
  <si>
    <t>1400 Big Lake Road</t>
  </si>
  <si>
    <t>Pottawattamie County Jail</t>
  </si>
  <si>
    <t>Des Moines</t>
  </si>
  <si>
    <t>1985 Ne 51st Place</t>
  </si>
  <si>
    <t>Polk County Jail</t>
  </si>
  <si>
    <t>Livingston</t>
  </si>
  <si>
    <t>3400 Fm 350 South</t>
  </si>
  <si>
    <t>Iah Secure Adult Detention Facility (polk)</t>
  </si>
  <si>
    <t>Plymouth</t>
  </si>
  <si>
    <t>26 Long Pond Road</t>
  </si>
  <si>
    <t>Plymouth County Correctional Facility</t>
  </si>
  <si>
    <t>Pine Prairie</t>
  </si>
  <si>
    <t>1133 Hampton Dupre Road</t>
  </si>
  <si>
    <t>Pine Prairie Ice Processing Center</t>
  </si>
  <si>
    <t>Lords Valley</t>
  </si>
  <si>
    <t>175 Pike County Boulevard</t>
  </si>
  <si>
    <t>Pike County Correctional Facility</t>
  </si>
  <si>
    <t>Los Fresnos</t>
  </si>
  <si>
    <t>27991 Buena Vista Boulevard</t>
  </si>
  <si>
    <t>Port Isabel Spc</t>
  </si>
  <si>
    <t>Holdrege</t>
  </si>
  <si>
    <t>715 5th Avenue</t>
  </si>
  <si>
    <t>Phelps County Jail</t>
  </si>
  <si>
    <t>Carrollton</t>
  </si>
  <si>
    <t>188 Cemetery St</t>
  </si>
  <si>
    <t>Pickens County Det Ctr</t>
  </si>
  <si>
    <t>Chaparral</t>
  </si>
  <si>
    <t>26 Mcgregor Range Road</t>
  </si>
  <si>
    <t>Otero County Processing Center</t>
  </si>
  <si>
    <t>Alamogordo</t>
  </si>
  <si>
    <t>1000 New York</t>
  </si>
  <si>
    <t>Otero County Detention</t>
  </si>
  <si>
    <t>Goshen</t>
  </si>
  <si>
    <t>110 Wells Farm Road</t>
  </si>
  <si>
    <t>Orange County Jail</t>
  </si>
  <si>
    <t>Pahrump</t>
  </si>
  <si>
    <t>1520 E. Basin Road</t>
  </si>
  <si>
    <t>Nye County Sheriff-pahrump</t>
  </si>
  <si>
    <t>2190 East Mesquite Avenue</t>
  </si>
  <si>
    <t>Nevada Southern Detention Center</t>
  </si>
  <si>
    <t>Conroe</t>
  </si>
  <si>
    <t>806 Hilbig Rd</t>
  </si>
  <si>
    <t>Montgomery Ice Processing Center</t>
  </si>
  <si>
    <t>Philipsburg</t>
  </si>
  <si>
    <t>555 Geo Drive</t>
  </si>
  <si>
    <t>Moshannon Valley Processing Center</t>
  </si>
  <si>
    <t>Saipan</t>
  </si>
  <si>
    <t>Tekken St., Susupe Village</t>
  </si>
  <si>
    <t>Saipan Department Of Corrections (susupe)</t>
  </si>
  <si>
    <t>Monroe</t>
  </si>
  <si>
    <t>7000 East Dunbar Road</t>
  </si>
  <si>
    <t>Monroe County Detention-dorm</t>
  </si>
  <si>
    <t>Burley</t>
  </si>
  <si>
    <t>1415 Albion Avenue</t>
  </si>
  <si>
    <t>Minicassia Detention Center</t>
  </si>
  <si>
    <t>Midland</t>
  </si>
  <si>
    <t>400 S Main Street</t>
  </si>
  <si>
    <t>Midland County Detention Center</t>
  </si>
  <si>
    <t>Canton</t>
  </si>
  <si>
    <t>2935 Highway 51</t>
  </si>
  <si>
    <t>Madison County Jail</t>
  </si>
  <si>
    <t>4702 East Saunders Street</t>
  </si>
  <si>
    <t>Laredo Processing Center</t>
  </si>
  <si>
    <t>Cedar Rapids</t>
  </si>
  <si>
    <t>53 3rd Avenue Bridge</t>
  </si>
  <si>
    <t>Linn County Jail</t>
  </si>
  <si>
    <t>Groesbeck</t>
  </si>
  <si>
    <t>910 North Tyus Street</t>
  </si>
  <si>
    <t>Limestone County Detention Center</t>
  </si>
  <si>
    <t>Lexington</t>
  </si>
  <si>
    <t>521 Gibson Road</t>
  </si>
  <si>
    <t>Lexington County Jail</t>
  </si>
  <si>
    <t>Winnfield</t>
  </si>
  <si>
    <t>560 Gum Spring Road</t>
  </si>
  <si>
    <t>Winn Correctional Center</t>
  </si>
  <si>
    <t>18201 Southwest 12th Street</t>
  </si>
  <si>
    <t>Krome North Service Processing Center</t>
  </si>
  <si>
    <t>Karnes City</t>
  </si>
  <si>
    <t>409 Fm 1144</t>
  </si>
  <si>
    <t>Karnes County Immigration Processing Center</t>
  </si>
  <si>
    <t>Knox County Detention Facility</t>
  </si>
  <si>
    <t>Newkirk</t>
  </si>
  <si>
    <t>1101 West Dry Road</t>
  </si>
  <si>
    <t>Kay Co Justice Facility</t>
  </si>
  <si>
    <t>Willmar</t>
  </si>
  <si>
    <t>2201 23rd St Ne</t>
  </si>
  <si>
    <t>Kandiyohi County Jail</t>
  </si>
  <si>
    <t>Jonesboro</t>
  </si>
  <si>
    <t>327 Industrial Drive</t>
  </si>
  <si>
    <t>Jackson Parish Correctional Center</t>
  </si>
  <si>
    <t>PBNDS 2011 - 2013 Errata</t>
  </si>
  <si>
    <t>Alexandria</t>
  </si>
  <si>
    <t>96 George Thompson Drive</t>
  </si>
  <si>
    <t>Alexandria Staging Facility</t>
  </si>
  <si>
    <t>Jena</t>
  </si>
  <si>
    <t>830 Pinehill Road</t>
  </si>
  <si>
    <t>Central Louisiana Ice Processing Center (clipc)</t>
  </si>
  <si>
    <t>Rigby</t>
  </si>
  <si>
    <t>200 Courthouse Way</t>
  </si>
  <si>
    <t>Jefferson County Jail</t>
  </si>
  <si>
    <t>500 Hilbig Rd</t>
  </si>
  <si>
    <t>Joe Corley Processing Ctr</t>
  </si>
  <si>
    <t>Calexico</t>
  </si>
  <si>
    <t>1572 Gateway</t>
  </si>
  <si>
    <t>Imperial Regional Detention Facility</t>
  </si>
  <si>
    <t>15850 Export Plaza Drive</t>
  </si>
  <si>
    <t>Houston Contract Detention Facility</t>
  </si>
  <si>
    <t>15675 John F Kennedy Blvd</t>
  </si>
  <si>
    <t>Greentree Inn Houston Iah</t>
  </si>
  <si>
    <t>Henderson</t>
  </si>
  <si>
    <t>18 E Basic Road</t>
  </si>
  <si>
    <t>Henderson Detention</t>
  </si>
  <si>
    <t>Bay St. Louis</t>
  </si>
  <si>
    <t>8450 Highway 90</t>
  </si>
  <si>
    <t>Hancock Co Pub Sfty Cplx</t>
  </si>
  <si>
    <t>Grand Island</t>
  </si>
  <si>
    <t>110 Public Safety Drive</t>
  </si>
  <si>
    <t>Hall County Department Of Corrections</t>
  </si>
  <si>
    <t>Caldwell</t>
  </si>
  <si>
    <t>1115 Albany</t>
  </si>
  <si>
    <t>Dale G. Haile Detention Center</t>
  </si>
  <si>
    <t>Hagatna</t>
  </si>
  <si>
    <t>203 Aspinall Avenue</t>
  </si>
  <si>
    <t>Department Of Corrections Hagatna</t>
  </si>
  <si>
    <t>Mcfarland</t>
  </si>
  <si>
    <t>611 Frontage Rd</t>
  </si>
  <si>
    <t>Golden State Annex</t>
  </si>
  <si>
    <t>Chardon</t>
  </si>
  <si>
    <t>12450 Merritt Dr</t>
  </si>
  <si>
    <t>Geauga County Jail</t>
  </si>
  <si>
    <t>Florence</t>
  </si>
  <si>
    <t>3250 North Pinal Parkway</t>
  </si>
  <si>
    <t>Florence Staging Facility</t>
  </si>
  <si>
    <t>Farmville</t>
  </si>
  <si>
    <t>508 Waterworks Road</t>
  </si>
  <si>
    <t>Ica - Farmville</t>
  </si>
  <si>
    <t>Albert Lea</t>
  </si>
  <si>
    <t>411 South Broadway Avenue</t>
  </si>
  <si>
    <t>Freeborn County Adult Detention Center</t>
  </si>
  <si>
    <t>Florence Service Processing Center</t>
  </si>
  <si>
    <t>Folkston</t>
  </si>
  <si>
    <t>3026 Hwy 252 East</t>
  </si>
  <si>
    <t>Folkston Main Ipc</t>
  </si>
  <si>
    <t>3424 Highway 252 East</t>
  </si>
  <si>
    <t>Folkston Annex Ipc</t>
  </si>
  <si>
    <t>600 Old Frankford Cr</t>
  </si>
  <si>
    <t>Fayette County Detention Center</t>
  </si>
  <si>
    <t>8915 Montana Ave.</t>
  </si>
  <si>
    <t>El Paso Spc</t>
  </si>
  <si>
    <t>Elizabeth</t>
  </si>
  <si>
    <t>625 Evans Street</t>
  </si>
  <si>
    <t>Elizabeth Contract Detention Facility</t>
  </si>
  <si>
    <t>Raymondville</t>
  </si>
  <si>
    <t>1800 Industrial Drive</t>
  </si>
  <si>
    <t>El Valle Detention Facility</t>
  </si>
  <si>
    <t>Mountain Home</t>
  </si>
  <si>
    <t>2255 E. 8th North</t>
  </si>
  <si>
    <t>Elmore County Jail</t>
  </si>
  <si>
    <t>Eden</t>
  </si>
  <si>
    <t>702 E Broadway St</t>
  </si>
  <si>
    <t>Eden Detention Center</t>
  </si>
  <si>
    <t>Eloy</t>
  </si>
  <si>
    <t>1705 East Hanna Rd.</t>
  </si>
  <si>
    <t>Eloy Federal Contract Facility</t>
  </si>
  <si>
    <t>Juneau</t>
  </si>
  <si>
    <t>215 West Central Street</t>
  </si>
  <si>
    <t>Dodge County Jail</t>
  </si>
  <si>
    <t>Aurora</t>
  </si>
  <si>
    <t>3130 N. Oakland St.</t>
  </si>
  <si>
    <t>Denver Contract Detention Facility</t>
  </si>
  <si>
    <t>ME</t>
  </si>
  <si>
    <t>Portland</t>
  </si>
  <si>
    <t>50 County Way</t>
  </si>
  <si>
    <t>Cumberland County Jail</t>
  </si>
  <si>
    <t>Tacoma</t>
  </si>
  <si>
    <t>1623 E. J Street</t>
  </si>
  <si>
    <t>Tacoma Ice Processing Center (northwest Det Ctr)</t>
  </si>
  <si>
    <t>Naples</t>
  </si>
  <si>
    <t>3319 Tamiami Trail East</t>
  </si>
  <si>
    <t>Collier County Naples Jail Center</t>
  </si>
  <si>
    <t>Marietta</t>
  </si>
  <si>
    <t>1825 County Services Parkway</t>
  </si>
  <si>
    <t>Cobb County Jail</t>
  </si>
  <si>
    <t>Lock Haven</t>
  </si>
  <si>
    <t>419 Shoemaker Road</t>
  </si>
  <si>
    <t>Clinton County Correctional Facility</t>
  </si>
  <si>
    <t>Plattsburgh</t>
  </si>
  <si>
    <t>25 Mccarthy Drive</t>
  </si>
  <si>
    <t>Clinton County Jail</t>
  </si>
  <si>
    <t>Brazil</t>
  </si>
  <si>
    <t>611 East Jackson Street</t>
  </si>
  <si>
    <t>Clay County Jail</t>
  </si>
  <si>
    <t>Milan</t>
  </si>
  <si>
    <t>2000 Cibola Loop</t>
  </si>
  <si>
    <t>Cibola County Correctional Center</t>
  </si>
  <si>
    <t>Sault Sainte Marie</t>
  </si>
  <si>
    <t>325 Court Street</t>
  </si>
  <si>
    <t>Chippewa County Ssm</t>
  </si>
  <si>
    <t>Cottonwood Fall</t>
  </si>
  <si>
    <t>301 South Walnut Street</t>
  </si>
  <si>
    <t>Chase County Jail</t>
  </si>
  <si>
    <t>7488 Calzada De La Fuente</t>
  </si>
  <si>
    <t>Otay Mesa Detention Center</t>
  </si>
  <si>
    <t>Taylor</t>
  </si>
  <si>
    <t>1001 Welch Street</t>
  </si>
  <si>
    <t>T Don Hutto Detention Center</t>
  </si>
  <si>
    <t>1100 Bowling Road</t>
  </si>
  <si>
    <t>Cca, Florence Correctional Center</t>
  </si>
  <si>
    <t>Robstown</t>
  </si>
  <si>
    <t>4909 Fm (farm To Market) 2826</t>
  </si>
  <si>
    <t>Coastal Bend Detention Facility</t>
  </si>
  <si>
    <t>Bowling Green</t>
  </si>
  <si>
    <t>11093 S.w. Lewis Memorial Drive</t>
  </si>
  <si>
    <t>Caroline Detention Facility</t>
  </si>
  <si>
    <t>Battle Creek</t>
  </si>
  <si>
    <t>185 East Michigan Avenue</t>
  </si>
  <si>
    <t>Calhoun County Correctional Center</t>
  </si>
  <si>
    <t>Adelanto</t>
  </si>
  <si>
    <t>10450 Rancho Road</t>
  </si>
  <si>
    <t>Desert View Annex</t>
  </si>
  <si>
    <t>Bakersfield</t>
  </si>
  <si>
    <t>425 Golden State Ave</t>
  </si>
  <si>
    <t>Mesa Verde Ice Processing Center</t>
  </si>
  <si>
    <t>Batavia</t>
  </si>
  <si>
    <t>4250 Federal Drive</t>
  </si>
  <si>
    <t>Buffalo Spc</t>
  </si>
  <si>
    <t>Honolulu</t>
  </si>
  <si>
    <t>351 Elliott St.</t>
  </si>
  <si>
    <t>Honolulu Federal Detention Center</t>
  </si>
  <si>
    <t>San Juan</t>
  </si>
  <si>
    <t>Hwy 28 Intsect Of Road 165</t>
  </si>
  <si>
    <t>Guaynabo Mdc (san Juan)</t>
  </si>
  <si>
    <t>Burlington</t>
  </si>
  <si>
    <t>3020 Conrad Lane</t>
  </si>
  <si>
    <t>Boone County Jail</t>
  </si>
  <si>
    <t>Anson</t>
  </si>
  <si>
    <t>400 2nd Street</t>
  </si>
  <si>
    <t>Bluebonnet Detention Facility</t>
  </si>
  <si>
    <t>Hackensack</t>
  </si>
  <si>
    <t>160 South River Street</t>
  </si>
  <si>
    <t>Bergen County Jail</t>
  </si>
  <si>
    <t>Basile</t>
  </si>
  <si>
    <t>3843 Stagg Avenue</t>
  </si>
  <si>
    <t>South Louisiana Detention Center</t>
  </si>
  <si>
    <t>Bay Minette</t>
  </si>
  <si>
    <t>200 Hand Ave.</t>
  </si>
  <si>
    <t>Baldwin County Correctional Center</t>
  </si>
  <si>
    <t>Macclenny</t>
  </si>
  <si>
    <t>1 Sheriff Office Drive</t>
  </si>
  <si>
    <t>Baker County Sheriff's Office</t>
  </si>
  <si>
    <t>Oberlin</t>
  </si>
  <si>
    <t>7340 Highway 26 West</t>
  </si>
  <si>
    <t>Allen Parish Public Safety Complex</t>
  </si>
  <si>
    <t>Graham</t>
  </si>
  <si>
    <t>109 South Maple Street</t>
  </si>
  <si>
    <t>Alamance County Detention Facility</t>
  </si>
  <si>
    <t>10250 Rancho Road</t>
  </si>
  <si>
    <t>Adelanto Ice Processing Center</t>
  </si>
  <si>
    <t>Natchez</t>
  </si>
  <si>
    <t>20 Hobo Fork Rd.</t>
  </si>
  <si>
    <t>Adams County Det Center</t>
  </si>
  <si>
    <t>ODO Final Rating</t>
  </si>
  <si>
    <t>ODO Last Inspection Standard</t>
  </si>
  <si>
    <t>ODO Inspection End Date</t>
  </si>
  <si>
    <t>FY23 ALOS</t>
  </si>
  <si>
    <t>Data Source: ICE Integrated Decision Support (IIDS), 11/27/2023</t>
  </si>
  <si>
    <t>FY23 ADP: Mandatory</t>
  </si>
  <si>
    <t>FY23 ADP: ICE Threat Level</t>
  </si>
  <si>
    <t>FY23 ADP: Criminality</t>
  </si>
  <si>
    <t>FY23 ADP: Detainee Classification Level</t>
  </si>
  <si>
    <t xml:space="preserve">This list is limited to facilities that have a population count of greater than or equal to 1 as the time of the date pull.  This list does not include HOLD, HOSPITAL, HOTEL, ORR, or MIRP facilities.  </t>
  </si>
  <si>
    <t>ICE Enforcement and Removal Operations Data, FY2024</t>
  </si>
  <si>
    <t>ICE FACILITIES DATA, FY24</t>
  </si>
  <si>
    <t>These statistics are made available to the public pursuant to H.R. 1158 Sec. 218 - Department of Homeland Security Appropriations Act, 2020. ) *The information in this report is subject to change.</t>
  </si>
  <si>
    <t xml:space="preserve"> </t>
  </si>
  <si>
    <t>* Data are based on an individual's self-identification as transgender.</t>
  </si>
  <si>
    <t>Philadelphia Area of Responsibility</t>
  </si>
  <si>
    <t>Boston Area of Responsibility</t>
  </si>
  <si>
    <t>Miami Area of Responsibility</t>
  </si>
  <si>
    <t>Dallas Area of Responsibility</t>
  </si>
  <si>
    <t>San Antonio Area of Responsibility</t>
  </si>
  <si>
    <t>Seattle Area of Responsibility</t>
  </si>
  <si>
    <t>Atlanta Area of Responsibility</t>
  </si>
  <si>
    <t>Phoenix Area of Responsibility</t>
  </si>
  <si>
    <t>Buffalo Area of Responsibility</t>
  </si>
  <si>
    <t>El Paso Area of Responsibility</t>
  </si>
  <si>
    <t>Houston Area of Responsibility</t>
  </si>
  <si>
    <t>New Orleans Area of Responsibility</t>
  </si>
  <si>
    <t>Denver Area of Responsibility</t>
  </si>
  <si>
    <t>Book-In Location/Area of Responsibility Total</t>
  </si>
  <si>
    <t>Book-Ins without Final Order</t>
  </si>
  <si>
    <t>Book-Ins with Final Order</t>
  </si>
  <si>
    <t xml:space="preserve">Total Book-Ins </t>
  </si>
  <si>
    <t>FY 2024</t>
  </si>
  <si>
    <t>ICE Transgender* Detainee Population FY 2024 YTD:  as of 12/4/2023</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</si>
  <si>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</si>
  <si>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</si>
  <si>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</si>
  <si>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</si>
  <si>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288 unique detainees. Some detainees have multiple placements within FY23 Q4 (351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</si>
  <si>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</si>
  <si>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</si>
  <si>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</si>
  <si>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</si>
  <si>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</si>
  <si>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</si>
  <si>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</si>
  <si>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</si>
  <si>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</si>
  <si>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</si>
  <si>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2023 Quarter 4 Data</t>
  </si>
  <si>
    <t>*Data represents 358 unique detainees. Some detainees have multiple placements within FY23 Q3 (418 total placements).</t>
  </si>
  <si>
    <t>Fiscal Year (FY) 2023 Quarter 3 Data</t>
  </si>
  <si>
    <t>*Data represents 335 unique detainees. Some detainees have multiple placements within FY23 Q2 (373 total placements).</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</si>
  <si>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</si>
  <si>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</si>
  <si>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</si>
  <si>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</si>
  <si>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</si>
  <si>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</si>
  <si>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</si>
  <si>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</si>
  <si>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</si>
  <si>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</si>
  <si>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</si>
  <si>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</si>
  <si>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ICE DETENTION DATA, FY2024</t>
  </si>
  <si>
    <t xml:space="preserve">ICE Currently Detained by Processing Disposition: </t>
  </si>
  <si>
    <t>Average Time from USCIS Fear Decision Service Date to ICE Release (In Days)</t>
  </si>
  <si>
    <t>Noncitizens with USCIS-Established Fear Decisions in an ICE Detention Facility</t>
  </si>
  <si>
    <t>Processing Disposition</t>
  </si>
  <si>
    <t>Adult</t>
  </si>
  <si>
    <t>ICE Release Fiscal Year</t>
  </si>
  <si>
    <t>Detention Facility Type</t>
  </si>
  <si>
    <t>Total Detained</t>
  </si>
  <si>
    <t>FY2024</t>
  </si>
  <si>
    <t>Expedited Removal (I-860)</t>
  </si>
  <si>
    <t>Notice to Appear (I-862)</t>
  </si>
  <si>
    <t>Reinstatement of Deport Order (I-871)</t>
  </si>
  <si>
    <t>ICE Currently Detained by Criminality and Arresting Agency:</t>
  </si>
  <si>
    <t>ICE Initial Book-Ins by Arresting Agency and Month: FY2024</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</si>
  <si>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</si>
  <si>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</si>
  <si>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</si>
  <si>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</si>
  <si>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</si>
  <si>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</si>
  <si>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</si>
  <si>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</si>
  <si>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</si>
  <si>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</si>
  <si>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</si>
  <si>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</si>
  <si>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</si>
  <si>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</si>
  <si>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</si>
  <si>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</si>
  <si>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</si>
  <si>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</si>
  <si>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</si>
  <si>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</si>
  <si>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r>
      <t>ICE Initial Book-Ins by</t>
    </r>
    <r>
      <rPr>
        <b/>
        <strike/>
        <sz val="9"/>
        <color theme="1"/>
        <rFont val="Calibri"/>
        <family val="2"/>
        <scheme val="minor"/>
      </rPr>
      <t xml:space="preserve"> </t>
    </r>
    <r>
      <rPr>
        <b/>
        <sz val="9"/>
        <color theme="1"/>
        <rFont val="Calibri"/>
        <family val="2"/>
        <scheme val="minor"/>
      </rPr>
      <t>Criminality: FY2024</t>
    </r>
  </si>
  <si>
    <t>ICE Final Releases: FY2024</t>
  </si>
  <si>
    <t>ICE Removals: FY2024</t>
  </si>
  <si>
    <t>Facility Type</t>
  </si>
  <si>
    <t>Removals</t>
  </si>
  <si>
    <t>Removals with a FAMU Identifier</t>
  </si>
  <si>
    <t>ICE Final Releases by Release Reason, Month and Criminality: FY2024</t>
  </si>
  <si>
    <t>Release Reason</t>
  </si>
  <si>
    <t>Bonded Out</t>
  </si>
  <si>
    <t>Bond Set by ICE</t>
  </si>
  <si>
    <t>Bond Set by IJ</t>
  </si>
  <si>
    <t>Paroled</t>
  </si>
  <si>
    <t>ICE Average Daily Population by Arresting Agency, Month and Criminality: FY2024</t>
  </si>
  <si>
    <t>FY Overall</t>
  </si>
  <si>
    <t>CBP Average</t>
  </si>
  <si>
    <t xml:space="preserve">ICE Average  </t>
  </si>
  <si>
    <t xml:space="preserve">Average </t>
  </si>
  <si>
    <t>ICE Average Length of Stay by Arresting Agency, Month and Criminality: FY2024</t>
  </si>
  <si>
    <t>ICE Average Daily Population by Month: FY2024</t>
  </si>
  <si>
    <t>ICE Average Length of Stay by Month: FY2024</t>
  </si>
  <si>
    <t>ICE Average Length of Stay Adult Facility Type by Month and Arresting Agency: FY2024</t>
  </si>
  <si>
    <t>Arresting Agency</t>
  </si>
  <si>
    <t>Individuals with Positive Credible Fear Determination Parole Requested: FY2022 - FY2024</t>
  </si>
  <si>
    <t>Fiscal Year</t>
  </si>
  <si>
    <t>FY2023</t>
  </si>
  <si>
    <t>FY2022</t>
  </si>
  <si>
    <t>Individuals with Positive Credible Fear Determination Parole Status: FY2022 - FY2024</t>
  </si>
  <si>
    <t>Parole Status</t>
  </si>
  <si>
    <t>Parole Granted</t>
  </si>
  <si>
    <t>Parole Denied</t>
  </si>
  <si>
    <t>Average In Custody Length of Stay (ICLOS)</t>
  </si>
  <si>
    <t xml:space="preserve">Population </t>
  </si>
  <si>
    <t>January</t>
  </si>
  <si>
    <t>February</t>
  </si>
  <si>
    <t>March</t>
  </si>
  <si>
    <t>April</t>
  </si>
  <si>
    <t>June</t>
  </si>
  <si>
    <t>July</t>
  </si>
  <si>
    <t>August</t>
  </si>
  <si>
    <t>September</t>
  </si>
  <si>
    <t>October</t>
  </si>
  <si>
    <t>November</t>
  </si>
  <si>
    <t xml:space="preserve">mid </t>
  </si>
  <si>
    <t>end</t>
  </si>
  <si>
    <t>Adult Facility Individuals</t>
  </si>
  <si>
    <t>Single Adults with a Positive Fear Determination Still in Custody</t>
  </si>
  <si>
    <t>Detainees</t>
  </si>
  <si>
    <t>0-180 Days</t>
  </si>
  <si>
    <t>181-365 Days</t>
  </si>
  <si>
    <t>366-730 Days</t>
  </si>
  <si>
    <t>More than 730 Days</t>
  </si>
  <si>
    <t>FY2024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</si>
  <si>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</si>
  <si>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</si>
  <si>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</si>
  <si>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</si>
  <si>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</si>
  <si>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EOFY2023. These tables will be updated after March 31, 2024. </t>
  </si>
  <si>
    <t>United States Armed Forces Noncitizen Arrests FY2018 - EOFY2023</t>
  </si>
  <si>
    <t>Arrests</t>
  </si>
  <si>
    <t>FY2018</t>
  </si>
  <si>
    <t>FY2019</t>
  </si>
  <si>
    <t>FY2020</t>
  </si>
  <si>
    <t>FY2021</t>
  </si>
  <si>
    <t xml:space="preserve">FY2022 </t>
  </si>
  <si>
    <t>United States Armed Forces Noncitizen Bookins FY2018 - EOFY2023</t>
  </si>
  <si>
    <t>Bookins</t>
  </si>
  <si>
    <t>United States Armed Forces Noncitizen Removals FY2018 - EOFY2023</t>
  </si>
  <si>
    <t>United States Citizen Arrests FY2018 - EOFY2023</t>
  </si>
  <si>
    <t>United States Citizens Bookins FY2018 - EOFY2023</t>
  </si>
  <si>
    <t>United States Citizens Removals FY2018 - EOFY2023</t>
  </si>
  <si>
    <t>Parents of USC Arrests FY2018 - EOFY2023</t>
  </si>
  <si>
    <t>Parents of USC Bookins FY2018 - EOFY2023</t>
  </si>
  <si>
    <t>Parents of USC Removals FY2018 - EOFY2023</t>
  </si>
  <si>
    <t>Temporary Protected Status Countries Arrests FY2018 - EOFY2023</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</si>
  <si>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</si>
  <si>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</si>
  <si>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</si>
  <si>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</si>
  <si>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</si>
  <si>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</si>
  <si>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</si>
  <si>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</si>
  <si>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</si>
  <si>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</si>
  <si>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</si>
  <si>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</si>
  <si>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</si>
  <si>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</si>
  <si>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</si>
  <si>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</si>
  <si>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</si>
  <si>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EOFY2023</t>
  </si>
  <si>
    <t>Temporary Protected Status Countries Removals FY2018 - EOFY2023</t>
  </si>
  <si>
    <t xml:space="preserve">Individuals identified as part of family unit are measured based off the Case Family Status of Intact and Intact-Reunified for that individual.  This includes those individuals identified as a family member by either CBP and/or ICE. Designation as a Family Unit member does not imply that all members of the family unit were removed. </t>
  </si>
  <si>
    <t>FY2024 ICE Average Daily Population and ICE Average Length of Stay</t>
  </si>
  <si>
    <t>FY2024 YTD ICE Detention data are updated through 12/02/2023 (IIDS v2.0 run date 12/04/2023; EID as of 12/02/2023).</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</si>
  <si>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</si>
  <si>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</si>
  <si>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</si>
  <si>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FY2024 ICE Final Releases</t>
  </si>
  <si>
    <t>FY2024 YTD ICE Final Releases data are updated through 12/02/2023 (IIDS v2.0 run date 12/04/2023; EID as of 12/02/2023).</t>
  </si>
  <si>
    <t>An ICE Final Release is defined as a Final Bookout that reflects  one of the following release reasons:   Bonded Out, Order of Recognizance, Order of Supervision or Paroled.  All Case Statuses are included.</t>
  </si>
  <si>
    <t>A Non-Citizen may have multiple releases; only the most recent release is included in this report.</t>
  </si>
  <si>
    <t>FY2024 ICE Removals</t>
  </si>
  <si>
    <t>FY2024 YTD ICE Removals data are updated through 12/02/2023 (IIDS v2.0 run date 12/04/2023; EID as of 12/02/2023).</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</si>
  <si>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</si>
  <si>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</si>
  <si>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discontinued the use of Family Residential Centers on March 31, 2022. Data regarding FSC detentions is not reported here</t>
  </si>
  <si>
    <t>ICE National Docket data are a snapshot as of  12/03/2023 (IIDS v2.0 run date 12/04/2023; EID as of 12/03/2023).</t>
  </si>
  <si>
    <t>Processing dispositions of Other may include, but are not limited to, Non Citizens processed under Administrative Removal, Visa Waiver Program Removal, Stowaway or Crewmember.</t>
  </si>
  <si>
    <t>FY2024 ICE Initial Book-Ins</t>
  </si>
  <si>
    <t>FY2024 YTD ICE Book-ins data is updated through 12/02/2023 (IIDS v2.0 run date 12/04/2023; EID as of 12/02/2023).</t>
  </si>
  <si>
    <t>USCIS Average Time from USCIS Fear Decision Service Date to ICE Release (In Days) &amp; Non-Citizens with USCIS-Established Fear Decisions in an ICE Detention Facility</t>
  </si>
  <si>
    <t>Non Citizens Currently in ICE Detention Facilities data are a snapshot as 12/03/2023 (IIDS v2.0 run date 12/04/2023; EID as of 12/03/2023).</t>
  </si>
  <si>
    <t>USCIS provided data containing APSO (Asylum Pre Screening Officer) cases clocked during FY2022 - FY2024. Data were received on 12/04/2023.</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</si>
  <si>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</si>
  <si>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</si>
  <si>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290,885 records in the USCIS provided data, the breakdown of the fear screening determinations is as follows; 141,904 positive fear screening determinations, 89,445 negative fear screening determinations and 59,534 without an identified determination. Of the 141,904 with positive fear screening determinations; 89,281 have Persecution Claim Established and 52,623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</si>
  <si>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</si>
  <si>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290,885 unique fear determinations and 18,662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</si>
  <si>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</si>
  <si>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</si>
  <si>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</si>
  <si>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two categories the ICLOS and Detainees tab is broken out by are
• Adult Facility Individuals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Individuals
o	Anyone who is in an adult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</si>
  <si>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</si>
  <si>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</si>
  <si>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11/30/2023 (IIDS v2.0 run date 12/06/2023; EID as of 12/05/2023).</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</si>
  <si>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</si>
  <si>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</si>
  <si>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11/01/2022 - 12/04/2023 . Data were received on 12/05/2023.</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</si>
  <si>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</si>
  <si>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</si>
  <si>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</si>
  <si>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</si>
  <si>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FY2024 YTD Encounters data is updated through 12/05/2023 (IIDS v2.0 run date 12/06/2023; EID as of 12/05/2023).</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</si>
  <si>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</si>
  <si>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</si>
  <si>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</si>
  <si>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</si>
  <si>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</si>
  <si>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</si>
  <si>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EOFY2023 ICE Arrests data are updated through 09/30/2023 (IIDS v2.0 run date 10/04/2023; EID as of 10/03/2023).</t>
  </si>
  <si>
    <t>EOFY2023 ICE Detention data are updated through 09/30/2023 (IIDS v2.0 run date 10/04/2023; EID as of 10/03/2023).</t>
  </si>
  <si>
    <t>EOFY2023 ICE Removals data are updated through 09/30/2023 (IIDS v2.0 run date 10/04/2023; EID as of 10/03/2023).</t>
  </si>
  <si>
    <t>FY2018-FY2022 data are historical and remain static.</t>
  </si>
  <si>
    <t>For United States Citizens tables:</t>
  </si>
  <si>
    <t>EOFY2023  ICE Removals data are updated through 09/30/2023 (IIDS v2.0 run date 10/04/2023; EID as of 10/03/2023).</t>
  </si>
  <si>
    <t>For Parents of United States Citizens tables:</t>
  </si>
  <si>
    <t>For Temporary Protected Status Countries tables:</t>
  </si>
  <si>
    <t xml:space="preserve">FY2018- 2022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</si>
  <si>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</si>
  <si>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</si>
  <si>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</si>
  <si>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</si>
  <si>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</si>
  <si>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</si>
  <si>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</si>
  <si>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</si>
  <si>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</si>
  <si>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</si>
  <si>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</si>
  <si>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</si>
  <si>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</si>
  <si>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</si>
  <si>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</si>
  <si>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</si>
  <si>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Burma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</si>
</sst>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mmm\-yyyy"/>
    <numFmt numFmtId="173" formatCode="_(* #,##0_);_(* \(#,##0\);_(* &quot;-&quot;?_);_(@_)"/>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color rgb="FFFF0000"/>
      <name val="Times New Roman"/>
      <family val="1"/>
    </font>
    <font>
      <sz val="10"/>
      <color indexed="8"/>
      <name val="Arial"/>
      <family val="2"/>
    </font>
    <font>
      <sz val="10"/>
      <color theme="1"/>
      <name val="Arial"/>
      <family val="2"/>
    </font>
    <font>
      <b/>
      <sz val="12"/>
      <color theme="3" tint="-0.499984740745262"/>
      <name val="Times New Roman"/>
      <family val="1"/>
    </font>
    <font>
      <b/>
      <sz val="12"/>
      <color theme="4" tint="-0.499984740745262"/>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trike/>
      <sz val="9"/>
      <color theme="1"/>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9" fontId="1" fillId="0" borderId="0" applyFont="0" applyFill="0" applyBorder="0" applyAlignment="0" applyProtection="0"/>
    <xf numFmtId="0" fontId="26" fillId="0" borderId="0"/>
    <xf numFmtId="44" fontId="1" fillId="0" borderId="0" applyFont="0" applyFill="0" applyBorder="0" applyAlignment="0" applyProtection="0"/>
  </cellStyleXfs>
  <cellXfs count="439">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13" fillId="0" borderId="1" xfId="0" applyFont="1" applyBorder="1" applyAlignment="1">
      <alignment vertical="center"/>
    </xf>
    <xf numFmtId="0" fontId="12" fillId="7" borderId="1" xfId="0" applyFont="1" applyFill="1" applyBorder="1" applyAlignment="1">
      <alignment vertical="center"/>
    </xf>
    <xf numFmtId="3" fontId="13" fillId="0" borderId="1" xfId="0" applyNumberFormat="1" applyFont="1" applyBorder="1" applyAlignment="1">
      <alignment vertical="center"/>
    </xf>
    <xf numFmtId="3" fontId="12" fillId="7" borderId="1" xfId="0" applyNumberFormat="1" applyFont="1" applyFill="1" applyBorder="1" applyAlignment="1">
      <alignment vertical="center"/>
    </xf>
    <xf numFmtId="0" fontId="16" fillId="6" borderId="8" xfId="3" applyFont="1" applyFill="1" applyBorder="1" applyAlignment="1">
      <alignment vertical="center" wrapText="1"/>
    </xf>
    <xf numFmtId="0" fontId="21" fillId="6" borderId="5" xfId="3" applyFont="1" applyFill="1" applyBorder="1" applyAlignment="1">
      <alignment vertical="center" wrapText="1"/>
    </xf>
    <xf numFmtId="0" fontId="20" fillId="5" borderId="0" xfId="2" applyFont="1" applyFill="1" applyAlignment="1">
      <alignment vertical="top"/>
    </xf>
    <xf numFmtId="0" fontId="15" fillId="3" borderId="1" xfId="0" applyFont="1" applyFill="1" applyBorder="1" applyAlignment="1">
      <alignment horizontal="center" vertical="center" wrapText="1"/>
    </xf>
    <xf numFmtId="0" fontId="8" fillId="2" borderId="0" xfId="0" applyFont="1" applyFill="1" applyAlignment="1">
      <alignment horizontal="left" vertical="center" wrapText="1"/>
    </xf>
    <xf numFmtId="0" fontId="0" fillId="0" borderId="6" xfId="0" applyBorder="1"/>
    <xf numFmtId="3" fontId="0" fillId="0" borderId="0" xfId="0" applyNumberFormat="1"/>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1" xfId="0" applyFont="1" applyBorder="1" applyAlignment="1">
      <alignment horizontal="left" vertical="top" wrapText="1"/>
    </xf>
    <xf numFmtId="0" fontId="6" fillId="2" borderId="11" xfId="0" applyFont="1" applyFill="1" applyBorder="1" applyAlignment="1">
      <alignment horizontal="left" vertical="top" wrapText="1"/>
    </xf>
    <xf numFmtId="49" fontId="25" fillId="2" borderId="11" xfId="0" applyNumberFormat="1" applyFont="1" applyFill="1" applyBorder="1" applyAlignment="1">
      <alignment vertical="top" wrapText="1"/>
    </xf>
    <xf numFmtId="49" fontId="25" fillId="0" borderId="11" xfId="0" applyNumberFormat="1" applyFont="1" applyBorder="1" applyAlignment="1">
      <alignment vertical="top" wrapText="1"/>
    </xf>
    <xf numFmtId="0" fontId="14" fillId="8" borderId="1" xfId="0" applyFont="1" applyFill="1" applyBorder="1" applyAlignment="1">
      <alignment horizontal="left" vertical="top"/>
    </xf>
    <xf numFmtId="168" fontId="13" fillId="0" borderId="1" xfId="7" applyNumberFormat="1" applyFont="1" applyBorder="1" applyAlignment="1">
      <alignment vertical="center"/>
    </xf>
    <xf numFmtId="168" fontId="12" fillId="7" borderId="1" xfId="7" applyNumberFormat="1" applyFont="1" applyFill="1" applyBorder="1" applyAlignment="1">
      <alignment vertical="center"/>
    </xf>
    <xf numFmtId="0" fontId="22" fillId="3" borderId="16" xfId="0" applyFont="1" applyFill="1" applyBorder="1" applyAlignment="1">
      <alignment horizontal="center" vertical="center" wrapText="1"/>
    </xf>
    <xf numFmtId="0" fontId="23" fillId="4" borderId="16" xfId="0" applyFont="1" applyFill="1" applyBorder="1"/>
    <xf numFmtId="41" fontId="24" fillId="4" borderId="16" xfId="0" applyNumberFormat="1" applyFont="1" applyFill="1" applyBorder="1" applyAlignment="1">
      <alignment horizontal="center"/>
    </xf>
    <xf numFmtId="166" fontId="24" fillId="4" borderId="16" xfId="0" applyNumberFormat="1" applyFont="1" applyFill="1" applyBorder="1" applyAlignment="1">
      <alignment horizontal="center"/>
    </xf>
    <xf numFmtId="0" fontId="6" fillId="0" borderId="16" xfId="0" applyFont="1" applyBorder="1" applyAlignment="1">
      <alignment horizontal="left" indent="1"/>
    </xf>
    <xf numFmtId="3" fontId="6" fillId="0" borderId="16" xfId="0" applyNumberFormat="1" applyFont="1" applyBorder="1"/>
    <xf numFmtId="167" fontId="6" fillId="0" borderId="16" xfId="0" applyNumberFormat="1" applyFont="1" applyBorder="1"/>
    <xf numFmtId="0" fontId="23" fillId="9" borderId="16" xfId="0" applyFont="1" applyFill="1" applyBorder="1" applyAlignment="1">
      <alignment vertical="center"/>
    </xf>
    <xf numFmtId="3" fontId="23" fillId="9" borderId="16" xfId="0" applyNumberFormat="1" applyFont="1" applyFill="1" applyBorder="1" applyAlignment="1">
      <alignment vertical="center"/>
    </xf>
    <xf numFmtId="167" fontId="23" fillId="9" borderId="16" xfId="0" applyNumberFormat="1" applyFont="1" applyFill="1" applyBorder="1" applyAlignment="1">
      <alignment vertical="center"/>
    </xf>
    <xf numFmtId="169" fontId="0" fillId="0" borderId="1" xfId="5" applyNumberFormat="1" applyFont="1" applyBorder="1" applyAlignment="1">
      <alignment horizontal="right"/>
    </xf>
    <xf numFmtId="0" fontId="27"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27"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2" fillId="7" borderId="1" xfId="1" applyNumberFormat="1" applyFont="1" applyFill="1" applyBorder="1" applyAlignment="1">
      <alignment vertical="center"/>
    </xf>
    <xf numFmtId="164" fontId="27" fillId="8" borderId="1" xfId="1" applyNumberFormat="1" applyFont="1" applyFill="1" applyBorder="1" applyAlignment="1">
      <alignment horizontal="right"/>
    </xf>
    <xf numFmtId="164" fontId="18"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27" fillId="8" borderId="1" xfId="5" applyNumberFormat="1" applyFont="1" applyFill="1" applyBorder="1" applyAlignment="1">
      <alignment horizontal="left"/>
    </xf>
    <xf numFmtId="169" fontId="12" fillId="7" borderId="1" xfId="5" applyNumberFormat="1" applyFont="1" applyFill="1" applyBorder="1" applyAlignment="1">
      <alignment vertical="center"/>
    </xf>
    <xf numFmtId="169" fontId="27"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20" fillId="5" borderId="0" xfId="2" applyFont="1" applyFill="1" applyAlignment="1">
      <alignment horizontal="left" vertical="top"/>
    </xf>
    <xf numFmtId="0" fontId="5" fillId="2" borderId="0" xfId="3" applyFont="1" applyFill="1" applyAlignment="1">
      <alignment vertical="center" wrapText="1"/>
    </xf>
    <xf numFmtId="0" fontId="18" fillId="2" borderId="0" xfId="0" applyFont="1" applyFill="1" applyAlignment="1">
      <alignment horizontal="left" vertical="center" wrapText="1"/>
    </xf>
    <xf numFmtId="0" fontId="17" fillId="6" borderId="0" xfId="3" applyFont="1" applyFill="1" applyAlignment="1">
      <alignment vertical="center" wrapText="1"/>
    </xf>
    <xf numFmtId="0" fontId="29" fillId="0" borderId="0" xfId="0" applyFont="1" applyAlignment="1">
      <alignment horizontal="left"/>
    </xf>
    <xf numFmtId="0" fontId="19" fillId="2" borderId="0" xfId="0" applyFont="1" applyFill="1" applyAlignment="1">
      <alignment horizontal="left" vertical="center" wrapText="1"/>
    </xf>
    <xf numFmtId="2" fontId="0" fillId="0" borderId="0" xfId="0" applyNumberFormat="1"/>
    <xf numFmtId="167" fontId="13" fillId="0" borderId="1" xfId="0" applyNumberFormat="1" applyFont="1" applyBorder="1" applyAlignment="1">
      <alignment vertical="center"/>
    </xf>
    <xf numFmtId="167" fontId="0" fillId="0" borderId="1" xfId="0" applyNumberFormat="1" applyBorder="1"/>
    <xf numFmtId="167" fontId="12" fillId="7" borderId="1" xfId="0" applyNumberFormat="1" applyFont="1" applyFill="1" applyBorder="1" applyAlignment="1">
      <alignment vertical="center"/>
    </xf>
    <xf numFmtId="3" fontId="5" fillId="6" borderId="0" xfId="3" applyNumberFormat="1" applyFont="1" applyFill="1" applyAlignment="1">
      <alignment vertical="center" wrapText="1"/>
    </xf>
    <xf numFmtId="0" fontId="31" fillId="0" borderId="16" xfId="0" applyFont="1" applyBorder="1"/>
    <xf numFmtId="2" fontId="31" fillId="0" borderId="16" xfId="0" applyNumberFormat="1" applyFont="1" applyBorder="1"/>
    <xf numFmtId="3" fontId="6" fillId="0" borderId="16" xfId="0" applyNumberFormat="1" applyFont="1" applyBorder="1" applyAlignment="1">
      <alignment vertical="center"/>
    </xf>
    <xf numFmtId="167" fontId="6" fillId="0" borderId="16" xfId="0" applyNumberFormat="1" applyFont="1" applyBorder="1" applyAlignment="1">
      <alignment vertical="center"/>
    </xf>
    <xf numFmtId="3" fontId="23" fillId="9" borderId="16" xfId="0" applyNumberFormat="1" applyFont="1" applyFill="1" applyBorder="1"/>
    <xf numFmtId="167" fontId="23" fillId="9" borderId="16" xfId="0" applyNumberFormat="1" applyFont="1" applyFill="1" applyBorder="1"/>
    <xf numFmtId="0" fontId="31" fillId="0" borderId="16" xfId="0" applyFont="1" applyBorder="1" applyAlignment="1">
      <alignment horizontal="left" indent="1"/>
    </xf>
    <xf numFmtId="0" fontId="6" fillId="0" borderId="0" xfId="0" applyFont="1"/>
    <xf numFmtId="14" fontId="6" fillId="0" borderId="0" xfId="0" applyNumberFormat="1" applyFont="1"/>
    <xf numFmtId="165" fontId="6" fillId="0" borderId="0" xfId="0" applyNumberFormat="1" applyFont="1"/>
    <xf numFmtId="0" fontId="11" fillId="0" borderId="0" xfId="0" applyFont="1" applyAlignment="1">
      <alignment vertical="center"/>
    </xf>
    <xf numFmtId="14" fontId="11" fillId="0" borderId="0" xfId="0" applyNumberFormat="1" applyFont="1" applyAlignment="1">
      <alignment vertical="center"/>
    </xf>
    <xf numFmtId="3" fontId="6" fillId="0" borderId="0" xfId="0" applyNumberFormat="1" applyFont="1" applyAlignment="1">
      <alignment horizontal="right" vertical="center"/>
    </xf>
    <xf numFmtId="3" fontId="11" fillId="0" borderId="0" xfId="0" applyNumberFormat="1" applyFont="1" applyAlignment="1">
      <alignment horizontal="right" vertical="center"/>
    </xf>
    <xf numFmtId="3" fontId="11" fillId="0" borderId="0" xfId="1" applyNumberFormat="1" applyFont="1" applyFill="1" applyBorder="1" applyAlignment="1">
      <alignment vertical="center"/>
    </xf>
    <xf numFmtId="165" fontId="11" fillId="0" borderId="0" xfId="0" applyNumberFormat="1" applyFont="1" applyAlignment="1">
      <alignment vertical="center"/>
    </xf>
    <xf numFmtId="165" fontId="33" fillId="0" borderId="0" xfId="0" applyNumberFormat="1" applyFont="1"/>
    <xf numFmtId="0" fontId="33" fillId="0" borderId="0" xfId="0" applyFont="1"/>
    <xf numFmtId="14" fontId="6" fillId="0" borderId="0" xfId="0" applyNumberFormat="1" applyFont="1" applyAlignment="1">
      <alignment horizontal="right"/>
    </xf>
    <xf numFmtId="165" fontId="25" fillId="0" borderId="0" xfId="0" applyNumberFormat="1" applyFont="1" applyAlignment="1">
      <alignment horizontal="left" wrapText="1"/>
    </xf>
    <xf numFmtId="0" fontId="25" fillId="0" borderId="0" xfId="0" applyFont="1" applyAlignment="1">
      <alignment horizontal="left" wrapText="1"/>
    </xf>
    <xf numFmtId="0" fontId="6" fillId="0" borderId="0" xfId="0" applyFont="1" applyAlignment="1">
      <alignment wrapText="1"/>
    </xf>
    <xf numFmtId="0" fontId="25" fillId="0" borderId="0" xfId="0" applyFont="1" applyAlignment="1">
      <alignment horizontal="left"/>
    </xf>
    <xf numFmtId="14" fontId="25" fillId="0" borderId="0" xfId="0" applyNumberFormat="1" applyFont="1" applyAlignment="1">
      <alignment horizontal="right"/>
    </xf>
    <xf numFmtId="0" fontId="34" fillId="0" borderId="0" xfId="0" applyFont="1" applyAlignment="1">
      <alignment vertical="center"/>
    </xf>
    <xf numFmtId="3" fontId="35" fillId="0" borderId="0" xfId="0" applyNumberFormat="1" applyFont="1" applyAlignment="1">
      <alignment horizontal="right" vertical="center"/>
    </xf>
    <xf numFmtId="3" fontId="34" fillId="0" borderId="0" xfId="0" applyNumberFormat="1" applyFont="1" applyAlignment="1">
      <alignment horizontal="right" vertical="center"/>
    </xf>
    <xf numFmtId="3" fontId="34" fillId="0" borderId="0" xfId="1" applyNumberFormat="1" applyFont="1" applyFill="1" applyBorder="1" applyAlignment="1">
      <alignment vertical="center"/>
    </xf>
    <xf numFmtId="14" fontId="4" fillId="0" borderId="1" xfId="0" applyNumberFormat="1" applyFont="1" applyBorder="1" applyAlignment="1">
      <alignment horizontal="right"/>
    </xf>
    <xf numFmtId="0" fontId="34" fillId="0" borderId="1" xfId="0" applyFont="1" applyBorder="1" applyAlignment="1">
      <alignment vertical="center"/>
    </xf>
    <xf numFmtId="3" fontId="4" fillId="0" borderId="1" xfId="0" applyNumberFormat="1" applyFont="1" applyBorder="1" applyAlignment="1">
      <alignment horizontal="right" vertical="center"/>
    </xf>
    <xf numFmtId="3" fontId="34" fillId="0" borderId="1" xfId="0" applyNumberFormat="1" applyFont="1" applyBorder="1" applyAlignment="1">
      <alignment horizontal="right" vertical="center"/>
    </xf>
    <xf numFmtId="3" fontId="34" fillId="0" borderId="1" xfId="1" applyNumberFormat="1" applyFont="1" applyFill="1" applyBorder="1" applyAlignment="1">
      <alignment vertical="center"/>
    </xf>
    <xf numFmtId="165" fontId="34" fillId="0" borderId="1" xfId="0" applyNumberFormat="1" applyFont="1" applyBorder="1" applyAlignment="1">
      <alignment vertical="center"/>
    </xf>
    <xf numFmtId="3" fontId="35" fillId="0" borderId="1" xfId="0" applyNumberFormat="1" applyFont="1" applyBorder="1" applyAlignment="1">
      <alignment horizontal="right" vertical="center"/>
    </xf>
    <xf numFmtId="1" fontId="4" fillId="0" borderId="1" xfId="0" applyNumberFormat="1" applyFont="1" applyBorder="1" applyAlignment="1">
      <alignment horizontal="right"/>
    </xf>
    <xf numFmtId="0" fontId="34" fillId="0" borderId="1" xfId="0" applyFont="1" applyBorder="1" applyAlignment="1">
      <alignment horizontal="right"/>
    </xf>
    <xf numFmtId="14" fontId="10" fillId="4" borderId="8" xfId="0" applyNumberFormat="1" applyFont="1" applyFill="1" applyBorder="1" applyAlignment="1">
      <alignment vertical="top" wrapText="1"/>
    </xf>
    <xf numFmtId="1" fontId="10" fillId="4" borderId="8" xfId="0" applyNumberFormat="1" applyFont="1" applyFill="1" applyBorder="1" applyAlignment="1">
      <alignment horizontal="left" vertical="top" wrapText="1"/>
    </xf>
    <xf numFmtId="1" fontId="10" fillId="4" borderId="8" xfId="0" applyNumberFormat="1" applyFont="1" applyFill="1" applyBorder="1" applyAlignment="1">
      <alignment horizontal="left" wrapText="1"/>
    </xf>
    <xf numFmtId="1" fontId="10" fillId="4" borderId="8" xfId="4" applyNumberFormat="1" applyFont="1" applyFill="1" applyBorder="1" applyAlignment="1">
      <alignment horizontal="left" wrapText="1"/>
    </xf>
    <xf numFmtId="3" fontId="22" fillId="3" borderId="5" xfId="1" applyNumberFormat="1" applyFont="1" applyFill="1" applyBorder="1" applyAlignment="1">
      <alignment horizontal="right" wrapText="1"/>
    </xf>
    <xf numFmtId="3" fontId="22" fillId="3" borderId="5" xfId="1" applyNumberFormat="1" applyFont="1" applyFill="1" applyBorder="1" applyAlignment="1">
      <alignment horizontal="left" vertical="top" wrapText="1"/>
    </xf>
    <xf numFmtId="1" fontId="22" fillId="3" borderId="5" xfId="1" applyNumberFormat="1" applyFont="1" applyFill="1" applyBorder="1" applyAlignment="1">
      <alignment horizontal="left" vertical="top" wrapText="1"/>
    </xf>
    <xf numFmtId="3" fontId="22" fillId="3" borderId="5" xfId="1" applyNumberFormat="1" applyFont="1" applyFill="1" applyBorder="1" applyAlignment="1">
      <alignment vertical="top" wrapText="1"/>
    </xf>
    <xf numFmtId="0" fontId="22" fillId="3" borderId="5" xfId="4" applyFont="1" applyFill="1" applyBorder="1" applyAlignment="1">
      <alignment horizontal="left" vertical="top" wrapText="1"/>
    </xf>
    <xf numFmtId="0" fontId="22" fillId="3" borderId="5" xfId="4" applyFont="1" applyFill="1" applyBorder="1" applyAlignment="1">
      <alignment vertical="top" wrapText="1"/>
    </xf>
    <xf numFmtId="165" fontId="22" fillId="3" borderId="5" xfId="4" applyNumberFormat="1" applyFont="1" applyFill="1" applyBorder="1" applyAlignment="1">
      <alignment horizontal="left" vertical="top" wrapText="1"/>
    </xf>
    <xf numFmtId="3" fontId="22" fillId="3" borderId="1" xfId="1" applyNumberFormat="1" applyFont="1" applyFill="1" applyBorder="1" applyAlignment="1">
      <alignment vertical="top" wrapText="1"/>
    </xf>
    <xf numFmtId="0" fontId="22" fillId="3" borderId="1" xfId="4" applyFont="1" applyFill="1" applyBorder="1" applyAlignment="1">
      <alignment vertical="top" wrapText="1"/>
    </xf>
    <xf numFmtId="165" fontId="22" fillId="3" borderId="1" xfId="4" applyNumberFormat="1" applyFont="1" applyFill="1" applyBorder="1" applyAlignment="1">
      <alignment vertical="top" wrapText="1"/>
    </xf>
    <xf numFmtId="0" fontId="36" fillId="2" borderId="0" xfId="0" applyFont="1" applyFill="1" applyAlignment="1">
      <alignment vertical="center"/>
    </xf>
    <xf numFmtId="165" fontId="36" fillId="2" borderId="0" xfId="0" applyNumberFormat="1" applyFont="1" applyFill="1" applyAlignment="1">
      <alignment vertical="center"/>
    </xf>
    <xf numFmtId="0" fontId="36" fillId="2" borderId="17" xfId="0" applyFont="1" applyFill="1" applyBorder="1" applyAlignment="1">
      <alignment vertical="center"/>
    </xf>
    <xf numFmtId="0" fontId="5" fillId="0" borderId="0" xfId="3" applyFont="1" applyAlignment="1">
      <alignment vertical="center" wrapText="1"/>
    </xf>
    <xf numFmtId="14" fontId="5" fillId="0" borderId="0" xfId="3" applyNumberFormat="1" applyFont="1" applyAlignment="1">
      <alignment vertical="center" wrapText="1"/>
    </xf>
    <xf numFmtId="1" fontId="5" fillId="6" borderId="0" xfId="3" applyNumberFormat="1" applyFont="1" applyFill="1" applyAlignment="1">
      <alignment vertical="center" wrapText="1"/>
    </xf>
    <xf numFmtId="165" fontId="5" fillId="6" borderId="0" xfId="3" applyNumberFormat="1" applyFont="1" applyFill="1" applyAlignment="1">
      <alignment vertical="center" wrapText="1"/>
    </xf>
    <xf numFmtId="0" fontId="0" fillId="0" borderId="18" xfId="0" applyBorder="1"/>
    <xf numFmtId="0" fontId="38" fillId="0" borderId="18" xfId="0" applyFont="1" applyBorder="1" applyAlignment="1">
      <alignment horizontal="left"/>
    </xf>
    <xf numFmtId="164" fontId="1" fillId="5" borderId="1" xfId="1" applyNumberFormat="1" applyFont="1" applyFill="1" applyBorder="1" applyAlignment="1">
      <alignment horizontal="left"/>
    </xf>
    <xf numFmtId="164" fontId="0" fillId="2" borderId="1" xfId="1" applyNumberFormat="1" applyFont="1" applyFill="1" applyBorder="1" applyAlignment="1">
      <alignment horizontal="left"/>
    </xf>
    <xf numFmtId="164" fontId="38" fillId="2" borderId="1" xfId="1" applyNumberFormat="1" applyFont="1" applyFill="1" applyBorder="1" applyAlignment="1">
      <alignment horizontal="right"/>
    </xf>
    <xf numFmtId="164" fontId="0" fillId="0" borderId="3" xfId="1" applyNumberFormat="1" applyFont="1" applyFill="1" applyBorder="1"/>
    <xf numFmtId="0" fontId="0" fillId="0" borderId="1" xfId="0" applyBorder="1"/>
    <xf numFmtId="0" fontId="39" fillId="0" borderId="0" xfId="0" applyFont="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38" fillId="0" borderId="0" xfId="0" applyFont="1"/>
    <xf numFmtId="2" fontId="40" fillId="10" borderId="19" xfId="0" applyNumberFormat="1" applyFont="1" applyFill="1" applyBorder="1" applyAlignment="1">
      <alignment horizontal="right" vertical="center"/>
    </xf>
    <xf numFmtId="0" fontId="40" fillId="10" borderId="19" xfId="0" applyFont="1" applyFill="1" applyBorder="1" applyAlignment="1">
      <alignment horizontal="right" vertical="center"/>
    </xf>
    <xf numFmtId="0" fontId="40" fillId="10" borderId="20" xfId="0" applyFont="1" applyFill="1" applyBorder="1" applyAlignment="1">
      <alignment vertical="center"/>
    </xf>
    <xf numFmtId="2" fontId="41" fillId="0" borderId="19" xfId="0" applyNumberFormat="1" applyFont="1" applyBorder="1" applyAlignment="1">
      <alignment horizontal="right" vertical="center"/>
    </xf>
    <xf numFmtId="0" fontId="41" fillId="0" borderId="19" xfId="0" applyFont="1" applyBorder="1" applyAlignment="1">
      <alignment horizontal="right" vertical="center"/>
    </xf>
    <xf numFmtId="0" fontId="41" fillId="0" borderId="20" xfId="0" applyFont="1" applyBorder="1" applyAlignment="1">
      <alignment vertical="center"/>
    </xf>
    <xf numFmtId="0" fontId="41" fillId="0" borderId="20" xfId="0" applyFont="1" applyBorder="1" applyAlignment="1">
      <alignment vertical="center" wrapText="1"/>
    </xf>
    <xf numFmtId="0" fontId="40" fillId="10" borderId="21" xfId="0" applyFont="1" applyFill="1" applyBorder="1" applyAlignment="1">
      <alignment vertical="center" wrapText="1"/>
    </xf>
    <xf numFmtId="0" fontId="40" fillId="10" borderId="16" xfId="0" applyFont="1" applyFill="1" applyBorder="1" applyAlignment="1">
      <alignment vertical="center"/>
    </xf>
    <xf numFmtId="0" fontId="38" fillId="0" borderId="0" xfId="0" applyFont="1" applyAlignment="1">
      <alignment horizontal="left" vertical="center"/>
    </xf>
    <xf numFmtId="0" fontId="40" fillId="0" borderId="0" xfId="0" applyFont="1" applyAlignment="1">
      <alignment horizontal="left" vertical="center"/>
    </xf>
    <xf numFmtId="0" fontId="40" fillId="0" borderId="6" xfId="0" applyFont="1" applyBorder="1" applyAlignment="1">
      <alignment horizontal="left" vertical="center"/>
    </xf>
    <xf numFmtId="0" fontId="0" fillId="0" borderId="0" xfId="0" applyAlignment="1">
      <alignment vertical="center"/>
    </xf>
    <xf numFmtId="0" fontId="40" fillId="10" borderId="21" xfId="0" applyFont="1" applyFill="1" applyBorder="1" applyAlignment="1">
      <alignment vertical="center"/>
    </xf>
    <xf numFmtId="0" fontId="40" fillId="10" borderId="22" xfId="0" applyFont="1" applyFill="1" applyBorder="1" applyAlignment="1">
      <alignment vertical="center"/>
    </xf>
    <xf numFmtId="0" fontId="40" fillId="10" borderId="23" xfId="0" applyFont="1" applyFill="1" applyBorder="1" applyAlignment="1">
      <alignment vertical="center"/>
    </xf>
    <xf numFmtId="0" fontId="2" fillId="2" borderId="0" xfId="0" applyFont="1" applyFill="1"/>
    <xf numFmtId="0" fontId="16"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8" fillId="2" borderId="6"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27" xfId="0" applyFont="1" applyFill="1" applyBorder="1" applyAlignment="1">
      <alignment horizontal="center" vertical="center"/>
    </xf>
    <xf numFmtId="0" fontId="8" fillId="2" borderId="0" xfId="0" applyFont="1" applyFill="1" applyAlignment="1">
      <alignment horizontal="center"/>
    </xf>
    <xf numFmtId="0" fontId="2" fillId="2" borderId="0" xfId="0" applyFont="1" applyFill="1" applyAlignment="1">
      <alignment horizontal="left"/>
    </xf>
    <xf numFmtId="0" fontId="8" fillId="2" borderId="0" xfId="0" applyFont="1" applyFill="1" applyAlignment="1">
      <alignment horizontal="left" vertical="center"/>
    </xf>
    <xf numFmtId="0" fontId="8" fillId="2" borderId="27" xfId="0" applyFont="1" applyFill="1" applyBorder="1" applyAlignment="1">
      <alignment horizontal="left" vertical="center"/>
    </xf>
    <xf numFmtId="0" fontId="8" fillId="2" borderId="0" xfId="0" applyFont="1" applyFill="1" applyAlignment="1">
      <alignment horizontal="left"/>
    </xf>
    <xf numFmtId="3" fontId="2" fillId="2" borderId="0" xfId="0" applyNumberFormat="1" applyFont="1" applyFill="1" applyAlignment="1">
      <alignment horizontal="left"/>
    </xf>
    <xf numFmtId="0" fontId="15" fillId="3" borderId="7" xfId="0" applyFont="1" applyFill="1" applyBorder="1" applyAlignment="1">
      <alignment horizontal="center" vertical="center" wrapText="1"/>
    </xf>
    <xf numFmtId="170" fontId="15" fillId="3" borderId="1" xfId="0" applyNumberFormat="1" applyFont="1" applyFill="1" applyBorder="1" applyAlignment="1">
      <alignment horizontal="center" vertical="center" wrapText="1"/>
    </xf>
    <xf numFmtId="170" fontId="15" fillId="0" borderId="0" xfId="0" applyNumberFormat="1" applyFont="1" applyAlignment="1">
      <alignment horizontal="center" vertical="center" wrapText="1"/>
    </xf>
    <xf numFmtId="0" fontId="15" fillId="3" borderId="1" xfId="0" applyFont="1" applyFill="1" applyBorder="1" applyAlignment="1">
      <alignment vertical="center" wrapText="1"/>
    </xf>
    <xf numFmtId="3" fontId="2" fillId="2" borderId="0" xfId="0" applyNumberFormat="1" applyFont="1" applyFill="1"/>
    <xf numFmtId="0" fontId="2" fillId="5" borderId="30" xfId="0" applyFont="1" applyFill="1" applyBorder="1"/>
    <xf numFmtId="164" fontId="2" fillId="5" borderId="3" xfId="1" applyNumberFormat="1" applyFont="1" applyFill="1" applyBorder="1"/>
    <xf numFmtId="170" fontId="2" fillId="0" borderId="1" xfId="1" applyNumberFormat="1" applyFont="1" applyFill="1" applyBorder="1"/>
    <xf numFmtId="170" fontId="2" fillId="0" borderId="0" xfId="1" applyNumberFormat="1" applyFont="1" applyFill="1" applyBorder="1"/>
    <xf numFmtId="41" fontId="2" fillId="5" borderId="25" xfId="0" applyNumberFormat="1" applyFont="1" applyFill="1" applyBorder="1"/>
    <xf numFmtId="3" fontId="8" fillId="2" borderId="0" xfId="0" applyNumberFormat="1" applyFont="1" applyFill="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2" borderId="1" xfId="1" applyNumberFormat="1" applyFont="1" applyFill="1" applyBorder="1" applyAlignment="1">
      <alignment horizontal="left"/>
    </xf>
    <xf numFmtId="164" fontId="2" fillId="0" borderId="1" xfId="1" applyNumberFormat="1" applyFont="1" applyFill="1" applyBorder="1" applyAlignment="1"/>
    <xf numFmtId="164" fontId="2" fillId="2" borderId="4" xfId="1" applyNumberFormat="1" applyFont="1" applyFill="1" applyBorder="1" applyAlignment="1">
      <alignment horizontal="left"/>
    </xf>
    <xf numFmtId="164" fontId="2" fillId="2" borderId="0" xfId="1" applyNumberFormat="1" applyFont="1" applyFill="1" applyBorder="1" applyAlignment="1">
      <alignment horizontal="left"/>
    </xf>
    <xf numFmtId="164" fontId="2" fillId="0" borderId="0" xfId="1" applyNumberFormat="1" applyFont="1" applyFill="1" applyBorder="1" applyAlignment="1"/>
    <xf numFmtId="3" fontId="8" fillId="2" borderId="17" xfId="0" applyNumberFormat="1" applyFont="1" applyFill="1" applyBorder="1" applyAlignment="1">
      <alignment horizontal="center"/>
    </xf>
    <xf numFmtId="0" fontId="8" fillId="2" borderId="17" xfId="0" applyFont="1" applyFill="1" applyBorder="1" applyAlignment="1">
      <alignment horizontal="center"/>
    </xf>
    <xf numFmtId="164" fontId="2" fillId="2" borderId="6" xfId="1" applyNumberFormat="1" applyFont="1" applyFill="1" applyBorder="1" applyAlignment="1">
      <alignment horizontal="left"/>
    </xf>
    <xf numFmtId="0" fontId="2" fillId="2" borderId="0" xfId="0" applyFont="1" applyFill="1" applyAlignment="1">
      <alignment wrapText="1"/>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 xfId="5" applyFont="1" applyFill="1" applyBorder="1"/>
    <xf numFmtId="0" fontId="2" fillId="5" borderId="3" xfId="0" applyFont="1" applyFill="1" applyBorder="1"/>
    <xf numFmtId="41" fontId="2" fillId="5" borderId="3" xfId="1" applyNumberFormat="1" applyFont="1" applyFill="1" applyBorder="1"/>
    <xf numFmtId="41" fontId="2" fillId="5" borderId="3" xfId="0" applyNumberFormat="1" applyFont="1" applyFill="1" applyBorder="1"/>
    <xf numFmtId="41" fontId="2" fillId="5" borderId="33" xfId="1" applyNumberFormat="1" applyFont="1" applyFill="1" applyBorder="1"/>
    <xf numFmtId="164" fontId="2" fillId="0" borderId="34" xfId="1" applyNumberFormat="1" applyFont="1" applyFill="1" applyBorder="1" applyAlignment="1">
      <alignment horizontal="left"/>
    </xf>
    <xf numFmtId="9" fontId="2" fillId="2" borderId="34" xfId="5" applyFont="1" applyFill="1" applyBorder="1" applyAlignment="1">
      <alignment horizontal="right"/>
    </xf>
    <xf numFmtId="164" fontId="2" fillId="2" borderId="34" xfId="1" applyNumberFormat="1" applyFont="1" applyFill="1" applyBorder="1" applyAlignment="1">
      <alignment horizontal="left"/>
    </xf>
    <xf numFmtId="41" fontId="2" fillId="0" borderId="34" xfId="1" applyNumberFormat="1" applyFont="1" applyFill="1" applyBorder="1" applyAlignment="1">
      <alignment horizontal="left"/>
    </xf>
    <xf numFmtId="41" fontId="2" fillId="2" borderId="35"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1" xfId="1" applyNumberFormat="1" applyFont="1" applyFill="1" applyBorder="1" applyAlignment="1">
      <alignment horizontal="left"/>
    </xf>
    <xf numFmtId="0" fontId="8" fillId="2" borderId="27" xfId="0" applyFont="1" applyFill="1" applyBorder="1" applyAlignment="1">
      <alignment horizontal="center"/>
    </xf>
    <xf numFmtId="0" fontId="2" fillId="0" borderId="6" xfId="0" applyFont="1" applyBorder="1"/>
    <xf numFmtId="0" fontId="8" fillId="2" borderId="0" xfId="0" applyFont="1" applyFill="1" applyAlignment="1">
      <alignment vertical="center" wrapText="1"/>
    </xf>
    <xf numFmtId="0" fontId="8" fillId="2" borderId="27"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5" fillId="3" borderId="39" xfId="0" applyFont="1" applyFill="1" applyBorder="1" applyAlignment="1">
      <alignment vertical="center" wrapText="1"/>
    </xf>
    <xf numFmtId="0" fontId="8" fillId="0" borderId="27" xfId="0" applyFont="1" applyBorder="1" applyAlignment="1">
      <alignment horizontal="center"/>
    </xf>
    <xf numFmtId="164" fontId="2" fillId="4" borderId="40" xfId="1" applyNumberFormat="1" applyFont="1" applyFill="1" applyBorder="1" applyAlignment="1"/>
    <xf numFmtId="164" fontId="2" fillId="0" borderId="40" xfId="1" applyNumberFormat="1" applyFont="1" applyFill="1" applyBorder="1" applyAlignment="1"/>
    <xf numFmtId="3" fontId="8" fillId="0" borderId="27" xfId="0" applyNumberFormat="1" applyFont="1" applyBorder="1" applyAlignment="1">
      <alignment horizontal="center"/>
    </xf>
    <xf numFmtId="164" fontId="2" fillId="0" borderId="29" xfId="1" applyNumberFormat="1" applyFont="1" applyFill="1" applyBorder="1" applyAlignment="1"/>
    <xf numFmtId="0" fontId="8" fillId="2" borderId="42" xfId="0" applyFont="1" applyFill="1" applyBorder="1" applyAlignment="1">
      <alignment horizontal="center"/>
    </xf>
    <xf numFmtId="16" fontId="8" fillId="2" borderId="0" xfId="0" applyNumberFormat="1" applyFont="1" applyFill="1" applyAlignment="1">
      <alignment horizontal="center"/>
    </xf>
    <xf numFmtId="0" fontId="2" fillId="2" borderId="27" xfId="0" applyFont="1" applyFill="1" applyBorder="1"/>
    <xf numFmtId="0" fontId="15" fillId="3" borderId="4" xfId="0" applyFont="1" applyFill="1" applyBorder="1" applyAlignment="1">
      <alignment horizontal="center" vertical="center" wrapText="1"/>
    </xf>
    <xf numFmtId="0" fontId="8" fillId="5" borderId="30" xfId="0" applyFont="1" applyFill="1" applyBorder="1"/>
    <xf numFmtId="41" fontId="2" fillId="5" borderId="3" xfId="0" applyNumberFormat="1" applyFont="1" applyFill="1" applyBorder="1" applyAlignment="1">
      <alignment horizontal="right"/>
    </xf>
    <xf numFmtId="164" fontId="2" fillId="5" borderId="3" xfId="1" applyNumberFormat="1" applyFont="1" applyFill="1" applyBorder="1" applyAlignment="1">
      <alignment horizontal="right"/>
    </xf>
    <xf numFmtId="3" fontId="2" fillId="2" borderId="27" xfId="0" applyNumberFormat="1" applyFont="1" applyFill="1" applyBorder="1"/>
    <xf numFmtId="164" fontId="8" fillId="11" borderId="34" xfId="1" applyNumberFormat="1" applyFont="1" applyFill="1" applyBorder="1" applyAlignment="1">
      <alignment horizontal="left"/>
    </xf>
    <xf numFmtId="164" fontId="2" fillId="11" borderId="34" xfId="1" applyNumberFormat="1" applyFont="1" applyFill="1" applyBorder="1" applyAlignment="1">
      <alignment horizontal="right"/>
    </xf>
    <xf numFmtId="164" fontId="2" fillId="2" borderId="0" xfId="0" applyNumberFormat="1" applyFont="1" applyFill="1"/>
    <xf numFmtId="164" fontId="2" fillId="0" borderId="34"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4" xfId="1" applyNumberFormat="1" applyFont="1" applyFill="1" applyBorder="1" applyAlignment="1">
      <alignment horizontal="right"/>
    </xf>
    <xf numFmtId="164" fontId="46" fillId="11" borderId="1" xfId="1" applyNumberFormat="1" applyFont="1" applyFill="1" applyBorder="1" applyAlignment="1">
      <alignment horizontal="right"/>
    </xf>
    <xf numFmtId="164" fontId="8" fillId="11" borderId="1" xfId="1" applyNumberFormat="1" applyFont="1" applyFill="1" applyBorder="1" applyAlignment="1">
      <alignment horizontal="left"/>
    </xf>
    <xf numFmtId="164" fontId="2" fillId="11" borderId="1" xfId="1" applyNumberFormat="1" applyFont="1" applyFill="1" applyBorder="1" applyAlignment="1">
      <alignment horizontal="right"/>
    </xf>
    <xf numFmtId="164" fontId="47" fillId="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43" xfId="0" applyFont="1" applyFill="1" applyBorder="1" applyAlignment="1">
      <alignment horizontal="center"/>
    </xf>
    <xf numFmtId="16" fontId="8" fillId="2" borderId="27" xfId="0" applyNumberFormat="1" applyFont="1" applyFill="1" applyBorder="1" applyAlignment="1">
      <alignment horizontal="center"/>
    </xf>
    <xf numFmtId="0" fontId="2" fillId="5" borderId="4"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27"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4" xfId="1" applyNumberFormat="1" applyFont="1" applyFill="1" applyBorder="1" applyAlignment="1">
      <alignment horizontal="right"/>
    </xf>
    <xf numFmtId="4" fontId="8" fillId="0" borderId="0" xfId="0" applyNumberFormat="1" applyFont="1"/>
    <xf numFmtId="0" fontId="8"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7" xfId="0" applyNumberFormat="1" applyFont="1" applyFill="1" applyBorder="1"/>
    <xf numFmtId="4" fontId="2" fillId="2" borderId="0" xfId="0" applyNumberFormat="1" applyFont="1" applyFill="1"/>
    <xf numFmtId="16" fontId="2" fillId="0" borderId="27" xfId="0" applyNumberFormat="1" applyFont="1" applyBorder="1"/>
    <xf numFmtId="166" fontId="2" fillId="2" borderId="0" xfId="1" applyNumberFormat="1" applyFont="1" applyFill="1" applyBorder="1" applyAlignment="1">
      <alignment horizontal="left"/>
    </xf>
    <xf numFmtId="0" fontId="2" fillId="0" borderId="27" xfId="0" applyFont="1" applyBorder="1"/>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5" fillId="3" borderId="5" xfId="0" applyFont="1" applyFill="1" applyBorder="1" applyAlignment="1">
      <alignment horizontal="center" vertical="center" wrapText="1"/>
    </xf>
    <xf numFmtId="164" fontId="2" fillId="2" borderId="5"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4" xfId="0" applyFont="1" applyFill="1" applyBorder="1" applyAlignment="1">
      <alignment horizontal="center" vertical="center"/>
    </xf>
    <xf numFmtId="0" fontId="2" fillId="4" borderId="45" xfId="0" applyFont="1" applyFill="1" applyBorder="1" applyAlignment="1">
      <alignment horizontal="center" vertical="center"/>
    </xf>
    <xf numFmtId="4" fontId="0" fillId="0" borderId="0" xfId="0" applyNumberFormat="1"/>
    <xf numFmtId="0" fontId="15" fillId="0" borderId="0" xfId="0" applyFont="1" applyAlignment="1">
      <alignment horizontal="center" vertical="center" wrapText="1"/>
    </xf>
    <xf numFmtId="16" fontId="15"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3" fillId="0" borderId="0" xfId="0" applyFont="1"/>
    <xf numFmtId="0" fontId="49" fillId="12" borderId="28" xfId="0" applyFont="1" applyFill="1" applyBorder="1"/>
    <xf numFmtId="0" fontId="49" fillId="12" borderId="32" xfId="0" applyFont="1" applyFill="1" applyBorder="1"/>
    <xf numFmtId="0" fontId="49" fillId="12" borderId="29" xfId="0" applyFont="1" applyFill="1" applyBorder="1"/>
    <xf numFmtId="0" fontId="49" fillId="12" borderId="1" xfId="0" applyFont="1" applyFill="1" applyBorder="1" applyAlignment="1">
      <alignment horizontal="center"/>
    </xf>
    <xf numFmtId="0" fontId="49" fillId="0" borderId="1" xfId="0" applyFont="1" applyBorder="1"/>
    <xf numFmtId="171" fontId="50" fillId="2" borderId="1" xfId="1" applyNumberFormat="1" applyFont="1" applyFill="1" applyBorder="1" applyAlignment="1">
      <alignment horizontal="left"/>
    </xf>
    <xf numFmtId="0" fontId="48" fillId="5" borderId="34" xfId="0" applyFont="1" applyFill="1" applyBorder="1"/>
    <xf numFmtId="171" fontId="50" fillId="2" borderId="34" xfId="1" applyNumberFormat="1" applyFont="1" applyFill="1" applyBorder="1" applyAlignment="1">
      <alignment horizontal="left"/>
    </xf>
    <xf numFmtId="0" fontId="28" fillId="0" borderId="0" xfId="0" applyFont="1"/>
    <xf numFmtId="0" fontId="48" fillId="5" borderId="0" xfId="0" applyFont="1" applyFill="1"/>
    <xf numFmtId="0" fontId="49" fillId="5" borderId="0" xfId="0" applyFont="1" applyFill="1"/>
    <xf numFmtId="164" fontId="50" fillId="2" borderId="1" xfId="1" applyNumberFormat="1" applyFont="1" applyFill="1" applyBorder="1" applyAlignment="1">
      <alignment horizontal="left"/>
    </xf>
    <xf numFmtId="164" fontId="50" fillId="2" borderId="46" xfId="1" applyNumberFormat="1" applyFont="1" applyFill="1" applyBorder="1" applyAlignment="1">
      <alignment horizontal="left"/>
    </xf>
    <xf numFmtId="164" fontId="50" fillId="2" borderId="34" xfId="1" applyNumberFormat="1" applyFont="1" applyFill="1" applyBorder="1" applyAlignment="1">
      <alignment horizontal="left"/>
    </xf>
    <xf numFmtId="0" fontId="22" fillId="3" borderId="9" xfId="0" applyFont="1" applyFill="1" applyBorder="1" applyAlignment="1">
      <alignment horizontal="center" vertical="center" wrapText="1"/>
    </xf>
    <xf numFmtId="172" fontId="22" fillId="3" borderId="26" xfId="0" applyNumberFormat="1" applyFont="1" applyFill="1" applyBorder="1" applyAlignment="1">
      <alignment horizontal="center" vertical="center" wrapText="1"/>
    </xf>
    <xf numFmtId="172" fontId="22" fillId="3" borderId="47" xfId="0" applyNumberFormat="1" applyFont="1" applyFill="1" applyBorder="1" applyAlignment="1">
      <alignment horizontal="center" vertical="center" wrapText="1"/>
    </xf>
    <xf numFmtId="172" fontId="22" fillId="13" borderId="9" xfId="0" applyNumberFormat="1" applyFont="1" applyFill="1" applyBorder="1" applyAlignment="1">
      <alignment horizontal="center" vertical="center" wrapText="1"/>
    </xf>
    <xf numFmtId="172" fontId="22" fillId="13" borderId="47" xfId="0" applyNumberFormat="1" applyFont="1" applyFill="1" applyBorder="1" applyAlignment="1">
      <alignment horizontal="center" vertical="center" wrapText="1"/>
    </xf>
    <xf numFmtId="172" fontId="22" fillId="13" borderId="10" xfId="0" applyNumberFormat="1" applyFont="1" applyFill="1" applyBorder="1" applyAlignment="1">
      <alignment horizontal="center" vertical="center" wrapText="1"/>
    </xf>
    <xf numFmtId="164" fontId="23" fillId="11" borderId="4"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28" xfId="1" applyNumberFormat="1" applyFont="1" applyFill="1" applyBorder="1" applyAlignment="1">
      <alignment horizontal="right"/>
    </xf>
    <xf numFmtId="41" fontId="6" fillId="2" borderId="4" xfId="1" applyNumberFormat="1" applyFont="1" applyFill="1" applyBorder="1" applyAlignment="1">
      <alignment horizontal="right"/>
    </xf>
    <xf numFmtId="41" fontId="6" fillId="2" borderId="11"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28" xfId="1" applyNumberFormat="1" applyFont="1" applyFill="1" applyBorder="1" applyAlignment="1">
      <alignment horizontal="right"/>
    </xf>
    <xf numFmtId="169" fontId="6" fillId="2" borderId="4" xfId="1" applyNumberFormat="1" applyFont="1" applyFill="1" applyBorder="1" applyAlignment="1">
      <alignment horizontal="right"/>
    </xf>
    <xf numFmtId="169" fontId="6" fillId="2" borderId="11" xfId="1" applyNumberFormat="1" applyFont="1" applyFill="1" applyBorder="1" applyAlignment="1">
      <alignment horizontal="right"/>
    </xf>
    <xf numFmtId="173" fontId="6" fillId="2" borderId="1" xfId="1" applyNumberFormat="1" applyFont="1" applyFill="1" applyBorder="1" applyAlignment="1">
      <alignment horizontal="right"/>
    </xf>
    <xf numFmtId="173" fontId="6" fillId="2" borderId="28" xfId="1" applyNumberFormat="1" applyFont="1" applyFill="1" applyBorder="1" applyAlignment="1">
      <alignment horizontal="right"/>
    </xf>
    <xf numFmtId="173" fontId="6" fillId="2" borderId="4" xfId="1" applyNumberFormat="1" applyFont="1" applyFill="1" applyBorder="1" applyAlignment="1">
      <alignment horizontal="right"/>
    </xf>
    <xf numFmtId="173" fontId="6" fillId="2" borderId="11" xfId="1" applyNumberFormat="1" applyFont="1" applyFill="1" applyBorder="1" applyAlignment="1">
      <alignment horizontal="right"/>
    </xf>
    <xf numFmtId="164" fontId="23" fillId="11" borderId="48" xfId="1" applyNumberFormat="1" applyFont="1" applyFill="1" applyBorder="1" applyAlignment="1">
      <alignment horizontal="left"/>
    </xf>
    <xf numFmtId="171" fontId="6" fillId="2" borderId="46" xfId="1" applyNumberFormat="1" applyFont="1" applyFill="1" applyBorder="1" applyAlignment="1">
      <alignment horizontal="right"/>
    </xf>
    <xf numFmtId="171" fontId="6" fillId="2" borderId="49" xfId="1" applyNumberFormat="1" applyFont="1" applyFill="1" applyBorder="1" applyAlignment="1">
      <alignment horizontal="right"/>
    </xf>
    <xf numFmtId="171" fontId="6" fillId="2" borderId="48" xfId="1" applyNumberFormat="1" applyFont="1" applyFill="1" applyBorder="1" applyAlignment="1">
      <alignment horizontal="right"/>
    </xf>
    <xf numFmtId="171" fontId="6" fillId="2" borderId="15" xfId="1" applyNumberFormat="1" applyFont="1" applyFill="1" applyBorder="1" applyAlignment="1">
      <alignment horizontal="right"/>
    </xf>
    <xf numFmtId="172" fontId="22" fillId="3" borderId="10" xfId="0" applyNumberFormat="1" applyFont="1" applyFill="1" applyBorder="1" applyAlignment="1">
      <alignment horizontal="center" vertical="center" wrapText="1"/>
    </xf>
    <xf numFmtId="3" fontId="6" fillId="2" borderId="11" xfId="1" applyNumberFormat="1" applyFont="1" applyFill="1" applyBorder="1" applyAlignment="1">
      <alignment horizontal="right"/>
    </xf>
    <xf numFmtId="3" fontId="6" fillId="2" borderId="15"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5" xfId="1" applyNumberFormat="1" applyFont="1" applyFill="1" applyBorder="1" applyAlignment="1">
      <alignment horizontal="right"/>
    </xf>
    <xf numFmtId="1" fontId="6" fillId="2" borderId="11" xfId="1" applyNumberFormat="1" applyFont="1" applyFill="1" applyBorder="1" applyAlignment="1"/>
    <xf numFmtId="1" fontId="6" fillId="2" borderId="15" xfId="1" applyNumberFormat="1" applyFont="1" applyFill="1" applyBorder="1" applyAlignment="1"/>
    <xf numFmtId="41" fontId="6" fillId="14" borderId="1" xfId="1" applyNumberFormat="1" applyFont="1" applyFill="1" applyBorder="1" applyAlignment="1">
      <alignment horizontal="right"/>
    </xf>
    <xf numFmtId="41" fontId="6" fillId="2" borderId="46" xfId="1" applyNumberFormat="1" applyFont="1" applyFill="1" applyBorder="1" applyAlignment="1">
      <alignment horizontal="right"/>
    </xf>
    <xf numFmtId="164" fontId="23"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0" fillId="5" borderId="50" xfId="2" applyFont="1" applyFill="1" applyBorder="1" applyAlignment="1">
      <alignment horizontal="center" vertical="top"/>
    </xf>
    <xf numFmtId="0" fontId="6" fillId="0" borderId="27" xfId="0" applyFont="1" applyBorder="1" applyAlignment="1">
      <alignment vertical="center"/>
    </xf>
    <xf numFmtId="0" fontId="6" fillId="0" borderId="27" xfId="0" applyFont="1" applyBorder="1" applyAlignment="1">
      <alignment vertical="center" wrapText="1"/>
    </xf>
    <xf numFmtId="0" fontId="6" fillId="0" borderId="11" xfId="0" applyFont="1" applyBorder="1" applyAlignment="1">
      <alignment vertical="center"/>
    </xf>
    <xf numFmtId="49" fontId="25" fillId="0" borderId="11" xfId="0" applyNumberFormat="1" applyFont="1" applyBorder="1" applyAlignment="1">
      <alignment horizontal="left" vertical="top" wrapText="1"/>
    </xf>
    <xf numFmtId="0" fontId="6" fillId="0" borderId="11" xfId="0" applyFont="1" applyBorder="1" applyAlignment="1">
      <alignment wrapText="1"/>
    </xf>
    <xf numFmtId="0" fontId="6" fillId="0" borderId="11" xfId="0" applyFont="1" applyBorder="1" applyAlignment="1">
      <alignment vertical="center" wrapText="1"/>
    </xf>
    <xf numFmtId="0" fontId="6" fillId="2" borderId="51" xfId="0" applyFont="1" applyFill="1" applyBorder="1" applyAlignment="1">
      <alignment horizontal="left" vertical="top" wrapText="1"/>
    </xf>
    <xf numFmtId="0" fontId="6" fillId="2" borderId="15" xfId="0" applyFont="1" applyFill="1" applyBorder="1" applyAlignment="1">
      <alignment horizontal="left" vertical="top" wrapText="1"/>
    </xf>
    <xf numFmtId="0" fontId="19" fillId="2" borderId="0" xfId="0" applyFont="1" applyFill="1" applyAlignment="1">
      <alignment horizontal="left" vertical="center" wrapText="1"/>
    </xf>
    <xf numFmtId="0" fontId="18" fillId="2" borderId="0" xfId="0" applyFont="1" applyFill="1" applyAlignment="1">
      <alignment horizontal="left" wrapText="1"/>
    </xf>
    <xf numFmtId="0" fontId="28" fillId="0" borderId="0" xfId="0" applyFont="1" applyAlignment="1">
      <alignment horizontal="center" wrapText="1"/>
    </xf>
    <xf numFmtId="0" fontId="28" fillId="0" borderId="0" xfId="0" applyFont="1" applyAlignment="1">
      <alignment horizontal="center"/>
    </xf>
    <xf numFmtId="0" fontId="29" fillId="0" borderId="0" xfId="0" applyFont="1" applyAlignment="1">
      <alignment horizontal="left"/>
    </xf>
    <xf numFmtId="0" fontId="18" fillId="2" borderId="0" xfId="0" applyFont="1" applyFill="1" applyAlignment="1">
      <alignment horizontal="left" vertical="center" wrapText="1"/>
    </xf>
    <xf numFmtId="0" fontId="20" fillId="0" borderId="0" xfId="2" applyFont="1" applyAlignment="1">
      <alignment horizontal="center" vertical="top"/>
    </xf>
    <xf numFmtId="0" fontId="16" fillId="6" borderId="0" xfId="3" applyFont="1" applyFill="1" applyAlignment="1">
      <alignment horizontal="center" vertical="center" wrapText="1"/>
    </xf>
    <xf numFmtId="0" fontId="20" fillId="5" borderId="0" xfId="2" applyFont="1" applyFill="1" applyAlignment="1">
      <alignment horizontal="center" vertical="top"/>
    </xf>
    <xf numFmtId="0" fontId="32" fillId="0" borderId="0" xfId="0" applyFont="1" applyAlignment="1">
      <alignment horizontal="center"/>
    </xf>
    <xf numFmtId="0" fontId="20" fillId="5" borderId="0" xfId="2" applyFont="1" applyFill="1" applyAlignment="1">
      <alignment horizontal="left" vertical="top"/>
    </xf>
    <xf numFmtId="0" fontId="20" fillId="0" borderId="0" xfId="2" applyFont="1" applyAlignment="1">
      <alignment horizontal="left" vertical="top"/>
    </xf>
    <xf numFmtId="0" fontId="16" fillId="6" borderId="0" xfId="3" applyFont="1" applyFill="1" applyAlignment="1">
      <alignment horizontal="left" vertical="center" wrapText="1"/>
    </xf>
    <xf numFmtId="0" fontId="8" fillId="4" borderId="31" xfId="0" applyFont="1" applyFill="1" applyBorder="1" applyAlignment="1">
      <alignment horizontal="center" vertical="center"/>
    </xf>
    <xf numFmtId="0" fontId="8" fillId="4" borderId="32" xfId="0" applyFont="1" applyFill="1" applyBorder="1" applyAlignment="1">
      <alignment horizontal="center" vertical="center"/>
    </xf>
    <xf numFmtId="0" fontId="42" fillId="2" borderId="0" xfId="0" applyFont="1" applyFill="1" applyAlignment="1">
      <alignment horizontal="left" vertical="center"/>
    </xf>
    <xf numFmtId="0" fontId="44" fillId="4" borderId="9" xfId="0" applyFont="1" applyFill="1" applyBorder="1" applyAlignment="1">
      <alignment horizontal="center" vertical="center"/>
    </xf>
    <xf numFmtId="0" fontId="44" fillId="4" borderId="26" xfId="0" applyFont="1" applyFill="1" applyBorder="1" applyAlignment="1">
      <alignment horizontal="center" vertical="center"/>
    </xf>
    <xf numFmtId="0" fontId="44" fillId="4" borderId="10" xfId="0" applyFont="1" applyFill="1" applyBorder="1" applyAlignment="1">
      <alignment horizontal="center" vertical="center"/>
    </xf>
    <xf numFmtId="0" fontId="8" fillId="2" borderId="6" xfId="0" applyFont="1" applyFill="1" applyBorder="1" applyAlignment="1">
      <alignment horizontal="left" vertical="center" wrapText="1"/>
    </xf>
    <xf numFmtId="0" fontId="8" fillId="2" borderId="0" xfId="0" applyFont="1" applyFill="1" applyAlignment="1">
      <alignment horizontal="left" vertical="center" wrapText="1"/>
    </xf>
    <xf numFmtId="0" fontId="15" fillId="3" borderId="28" xfId="0" applyFont="1" applyFill="1" applyBorder="1" applyAlignment="1">
      <alignment horizontal="center" vertical="center" wrapText="1"/>
    </xf>
    <xf numFmtId="0" fontId="15" fillId="3" borderId="29"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2" fillId="2" borderId="1" xfId="0" applyFont="1" applyFill="1" applyBorder="1"/>
    <xf numFmtId="0" fontId="2" fillId="5" borderId="5" xfId="0" applyFont="1" applyFill="1" applyBorder="1" applyAlignment="1">
      <alignment horizontal="left"/>
    </xf>
    <xf numFmtId="0" fontId="2" fillId="2" borderId="0" xfId="0" applyFont="1" applyFill="1"/>
    <xf numFmtId="0" fontId="2" fillId="2" borderId="24" xfId="0" applyFont="1" applyFill="1" applyBorder="1"/>
    <xf numFmtId="164" fontId="2" fillId="2" borderId="1" xfId="1" applyNumberFormat="1" applyFont="1" applyFill="1" applyBorder="1" applyAlignment="1">
      <alignment horizontal="left"/>
    </xf>
    <xf numFmtId="164" fontId="2" fillId="2" borderId="0" xfId="1" applyNumberFormat="1" applyFont="1" applyFill="1" applyBorder="1" applyAlignment="1">
      <alignment horizontal="left"/>
    </xf>
    <xf numFmtId="0" fontId="8" fillId="0" borderId="6" xfId="0" applyFont="1" applyBorder="1" applyAlignment="1">
      <alignment horizontal="left" vertical="center" wrapText="1"/>
    </xf>
    <xf numFmtId="0" fontId="8" fillId="0" borderId="0" xfId="0" applyFont="1" applyAlignment="1">
      <alignment horizontal="left" vertical="center" wrapText="1"/>
    </xf>
    <xf numFmtId="0" fontId="8" fillId="2" borderId="0" xfId="0" applyFont="1" applyFill="1" applyAlignment="1">
      <alignment horizontal="left" vertical="center"/>
    </xf>
    <xf numFmtId="0" fontId="8" fillId="2" borderId="27" xfId="0" applyFont="1" applyFill="1" applyBorder="1" applyAlignment="1">
      <alignment horizontal="left" vertical="center"/>
    </xf>
    <xf numFmtId="0" fontId="8" fillId="4" borderId="36" xfId="0" applyFont="1" applyFill="1" applyBorder="1" applyAlignment="1">
      <alignment horizontal="center" vertical="center"/>
    </xf>
    <xf numFmtId="0" fontId="8" fillId="2" borderId="6" xfId="0" applyFont="1" applyFill="1" applyBorder="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8" fillId="0" borderId="13" xfId="0" applyFont="1" applyBorder="1" applyAlignment="1">
      <alignment horizontal="left" vertical="center"/>
    </xf>
    <xf numFmtId="0" fontId="8" fillId="0" borderId="38" xfId="0" applyFont="1" applyBorder="1" applyAlignment="1">
      <alignment horizontal="left" vertical="center"/>
    </xf>
    <xf numFmtId="0" fontId="15" fillId="3" borderId="37"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2" fillId="5" borderId="3" xfId="0" applyFont="1" applyFill="1" applyBorder="1" applyAlignment="1">
      <alignment horizontal="left"/>
    </xf>
    <xf numFmtId="0" fontId="2" fillId="5" borderId="41" xfId="0" applyFont="1" applyFill="1" applyBorder="1" applyAlignment="1">
      <alignment horizontal="center"/>
    </xf>
    <xf numFmtId="0" fontId="2" fillId="5" borderId="40" xfId="0" applyFont="1" applyFill="1" applyBorder="1" applyAlignment="1">
      <alignment horizontal="center"/>
    </xf>
    <xf numFmtId="0" fontId="2" fillId="4" borderId="28"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29" xfId="0" applyFont="1" applyFill="1" applyBorder="1" applyAlignment="1">
      <alignment horizontal="center" vertical="center"/>
    </xf>
    <xf numFmtId="0" fontId="2" fillId="4" borderId="31" xfId="0" applyFont="1" applyFill="1" applyBorder="1" applyAlignment="1">
      <alignment horizontal="center" vertical="center"/>
    </xf>
    <xf numFmtId="0" fontId="2" fillId="4" borderId="36" xfId="0" applyFont="1" applyFill="1" applyBorder="1" applyAlignment="1">
      <alignment horizontal="center" vertical="center"/>
    </xf>
    <xf numFmtId="164" fontId="2" fillId="2" borderId="5" xfId="1" applyNumberFormat="1" applyFont="1" applyFill="1" applyBorder="1" applyAlignment="1">
      <alignment horizontal="left" vertical="center"/>
    </xf>
    <xf numFmtId="164" fontId="2" fillId="2" borderId="34" xfId="1" applyNumberFormat="1" applyFont="1" applyFill="1" applyBorder="1" applyAlignment="1">
      <alignment horizontal="left" vertical="center"/>
    </xf>
    <xf numFmtId="0" fontId="8" fillId="0" borderId="0" xfId="0" applyFont="1" applyAlignment="1">
      <alignment horizontal="left" vertical="center"/>
    </xf>
    <xf numFmtId="0" fontId="8" fillId="2" borderId="6" xfId="0" applyFont="1" applyFill="1" applyBorder="1" applyAlignment="1">
      <alignment horizontal="left" vertical="center"/>
    </xf>
    <xf numFmtId="0" fontId="49" fillId="12" borderId="37" xfId="0" applyFont="1" applyFill="1" applyBorder="1" applyAlignment="1">
      <alignment horizontal="center"/>
    </xf>
    <xf numFmtId="0" fontId="49" fillId="12" borderId="39" xfId="0" applyFont="1" applyFill="1" applyBorder="1" applyAlignment="1">
      <alignment horizontal="center"/>
    </xf>
    <xf numFmtId="0" fontId="48" fillId="4" borderId="1" xfId="0" applyFont="1" applyFill="1" applyBorder="1" applyAlignment="1">
      <alignment horizontal="center" vertical="center"/>
    </xf>
    <xf numFmtId="0" fontId="48" fillId="5" borderId="1" xfId="0" applyFont="1" applyFill="1" applyBorder="1" applyAlignment="1">
      <alignment horizontal="center" vertical="center"/>
    </xf>
    <xf numFmtId="0" fontId="51" fillId="0" borderId="0" xfId="0" applyFont="1" applyAlignment="1">
      <alignment wrapText="1"/>
    </xf>
    <xf numFmtId="0" fontId="23" fillId="0" borderId="0" xfId="0" applyFont="1" applyAlignment="1">
      <alignment wrapText="1"/>
    </xf>
    <xf numFmtId="0" fontId="37" fillId="5" borderId="0" xfId="2" applyFont="1" applyFill="1" applyAlignment="1">
      <alignment horizontal="left" vertical="top"/>
    </xf>
    <xf numFmtId="0" fontId="22" fillId="3" borderId="1" xfId="4" applyFont="1" applyFill="1" applyBorder="1" applyAlignment="1">
      <alignment horizontal="left" vertical="top" wrapText="1"/>
    </xf>
    <xf numFmtId="3" fontId="22" fillId="3" borderId="1" xfId="1" applyNumberFormat="1" applyFont="1" applyFill="1" applyBorder="1" applyAlignment="1">
      <alignment horizontal="left" vertical="top" wrapText="1"/>
    </xf>
    <xf numFmtId="0" fontId="37" fillId="0" borderId="0" xfId="2" applyFont="1" applyAlignment="1">
      <alignment horizontal="left" vertical="top"/>
    </xf>
    <xf numFmtId="0" fontId="37" fillId="6" borderId="0" xfId="3" applyFont="1" applyFill="1" applyAlignment="1">
      <alignment horizontal="left" vertical="center" wrapText="1"/>
    </xf>
    <xf numFmtId="0" fontId="2" fillId="0" borderId="0" xfId="0" applyFont="1" applyAlignment="1">
      <alignment vertical="top" wrapText="1"/>
    </xf>
    <xf numFmtId="0" fontId="39" fillId="0" borderId="6" xfId="0" applyFont="1" applyBorder="1" applyAlignment="1">
      <alignment horizontal="left" vertical="top" wrapText="1"/>
    </xf>
    <xf numFmtId="0" fontId="39" fillId="0" borderId="0" xfId="0" applyFont="1" applyAlignment="1">
      <alignment horizontal="left" vertical="top" wrapText="1"/>
    </xf>
    <xf numFmtId="0" fontId="40" fillId="10" borderId="23" xfId="0" applyFont="1" applyFill="1" applyBorder="1" applyAlignment="1">
      <alignment horizontal="center" vertical="center"/>
    </xf>
    <xf numFmtId="0" fontId="40" fillId="10" borderId="22" xfId="0" applyFont="1" applyFill="1" applyBorder="1" applyAlignment="1">
      <alignment horizontal="center" vertical="center"/>
    </xf>
    <xf numFmtId="0" fontId="40" fillId="10" borderId="21" xfId="0" applyFont="1" applyFill="1" applyBorder="1" applyAlignment="1">
      <alignment horizontal="center" vertical="center"/>
    </xf>
    <xf numFmtId="0" fontId="40" fillId="10" borderId="6" xfId="0" applyFont="1" applyFill="1" applyBorder="1" applyAlignment="1">
      <alignment horizontal="center" vertical="center"/>
    </xf>
    <xf numFmtId="0" fontId="40" fillId="10" borderId="0" xfId="0" applyFont="1" applyFill="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0" fillId="0" borderId="22" xfId="0" applyBorder="1" applyAlignment="1">
      <alignment horizontal="left" vertical="top" wrapText="1"/>
    </xf>
    <xf numFmtId="0" fontId="0" fillId="0" borderId="21" xfId="0" applyBorder="1" applyAlignment="1">
      <alignment horizontal="left" vertical="top" wrapText="1"/>
    </xf>
    <xf numFmtId="0" fontId="38" fillId="0" borderId="0" xfId="0" applyFont="1" applyAlignment="1">
      <alignment horizontal="left" vertical="center"/>
    </xf>
    <xf numFmtId="0" fontId="6" fillId="2" borderId="4" xfId="0" applyFont="1" applyFill="1" applyBorder="1" applyAlignment="1">
      <alignment horizontal="center" vertical="top" wrapText="1"/>
    </xf>
    <xf numFmtId="0" fontId="6" fillId="0" borderId="4" xfId="0" applyFont="1" applyBorder="1" applyAlignment="1">
      <alignment horizontal="left" vertical="top" wrapText="1"/>
    </xf>
    <xf numFmtId="0" fontId="6" fillId="0" borderId="4" xfId="0" applyFont="1" applyBorder="1" applyAlignment="1">
      <alignment horizontal="center" vertical="top" wrapText="1"/>
    </xf>
    <xf numFmtId="0" fontId="6" fillId="0" borderId="4" xfId="0" applyFont="1" applyBorder="1" applyAlignment="1">
      <alignment horizontal="center" vertical="top"/>
    </xf>
    <xf numFmtId="0" fontId="49" fillId="0" borderId="12" xfId="0" applyFont="1" applyBorder="1" applyAlignment="1">
      <alignment horizontal="center" vertical="top" wrapText="1"/>
    </xf>
    <xf numFmtId="0" fontId="49" fillId="0" borderId="7" xfId="0" applyFont="1" applyBorder="1" applyAlignment="1">
      <alignment horizontal="center" vertical="top" wrapText="1"/>
    </xf>
    <xf numFmtId="0" fontId="49" fillId="0" borderId="2" xfId="0" applyFont="1" applyBorder="1" applyAlignment="1">
      <alignment horizontal="center" vertical="top" wrapText="1"/>
    </xf>
    <xf numFmtId="0" fontId="49" fillId="0" borderId="12" xfId="0" applyFont="1" applyBorder="1" applyAlignment="1">
      <alignment vertical="top" wrapText="1"/>
    </xf>
    <xf numFmtId="0" fontId="49" fillId="0" borderId="7" xfId="0" applyFont="1" applyBorder="1" applyAlignment="1">
      <alignment vertical="top" wrapText="1"/>
    </xf>
    <xf numFmtId="0" fontId="49" fillId="0" borderId="14" xfId="0" applyFont="1" applyBorder="1" applyAlignment="1">
      <alignment vertical="top" wrapText="1"/>
    </xf>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58">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auto="1"/>
        <name val="Arial"/>
        <family val="2"/>
        <scheme val="none"/>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60930-33D2-4452-9572-9BBDD2593922}" name="Table_Facility_List_Staging_8_26_2013.accdb_11432" displayName="Table_Facility_List_Staging_8_26_2013.accdb_11432" ref="A7:AA127" headerRowDxfId="57" dataDxfId="55" totalsRowDxfId="53" headerRowBorderDxfId="56" tableBorderDxfId="54">
  <autoFilter ref="A7:AA127" xr:uid="{61BD7780-12DE-4870-B406-61B4C7C077E2}"/>
  <tableColumns count="27">
    <tableColumn id="2" xr3:uid="{48A3640F-ABF4-4BF4-A246-43DA41CA0027}" name="Name" dataDxfId="52" totalsRowDxfId="51"/>
    <tableColumn id="3" xr3:uid="{FDA65017-4350-469E-A90B-2877359ADF98}" name="Address" dataDxfId="50" totalsRowDxfId="49"/>
    <tableColumn id="4" xr3:uid="{41BDE193-F2F4-4044-882D-F0F6EEEF3131}" name="City" dataDxfId="48" totalsRowDxfId="47"/>
    <tableColumn id="6" xr3:uid="{7D5ABE1C-F48C-4615-A79F-561156595747}" name="State" dataDxfId="46"/>
    <tableColumn id="7" xr3:uid="{6A760C6A-167B-4C8F-9322-3BFA954CF86B}" name="Zip" dataDxfId="45" totalsRowDxfId="44"/>
    <tableColumn id="9" xr3:uid="{A387F29F-96E2-47C0-A808-9448EEA32847}" name="AOR" dataDxfId="43" totalsRowDxfId="42"/>
    <tableColumn id="12" xr3:uid="{B8F9460B-D8DE-4640-9108-9D9BECDBC735}" name="Type Detailed" dataDxfId="41" totalsRowDxfId="40"/>
    <tableColumn id="81" xr3:uid="{97541B3C-AE67-4A41-B359-72A892F944C6}" name="Male/Female" dataDxfId="39" totalsRowDxfId="38"/>
    <tableColumn id="43" xr3:uid="{A8BC0DB1-A080-428E-866F-623EEE7BD02E}" name="FY23 ALOS" dataDxfId="37" totalsRowDxfId="36"/>
    <tableColumn id="67" xr3:uid="{1F7A4E65-4378-4966-B271-6F4ED145E262}" name="Level A" dataDxfId="35" totalsRowDxfId="34"/>
    <tableColumn id="68" xr3:uid="{52EE7C13-025E-4625-AFA4-1158C0DB94E6}" name="Level B" dataDxfId="33" totalsRowDxfId="32"/>
    <tableColumn id="69" xr3:uid="{2B04F58D-4123-4085-AD57-D6E8D9D97410}" name="Level C" dataDxfId="31" totalsRowDxfId="30"/>
    <tableColumn id="70" xr3:uid="{1170D75F-C572-49F7-BD59-3A68195C5227}" name="Level D" dataDxfId="29" totalsRowDxfId="28"/>
    <tableColumn id="71" xr3:uid="{4B2F9C0C-96DA-4B4D-91F5-5384AA508DD1}" name="Male Crim" dataDxfId="27" totalsRowDxfId="26"/>
    <tableColumn id="72" xr3:uid="{51CF5899-C5D9-458E-A298-BA0BFB67B846}" name="Male Non-Crim" dataDxfId="25" totalsRowDxfId="24"/>
    <tableColumn id="73" xr3:uid="{B2B98D2A-566F-48B5-829F-C36B850BDB67}" name="Female Crim" dataDxfId="23" totalsRowDxfId="22"/>
    <tableColumn id="74" xr3:uid="{D0AB0065-3C79-4671-B179-0F1B17709555}" name="Female Non-Crim" dataDxfId="21" totalsRowDxfId="20"/>
    <tableColumn id="75" xr3:uid="{4031E6C0-BE5A-43CD-92CC-19DE2C19035C}" name="ICE Threat Level 1" dataDxfId="19" totalsRowDxfId="18"/>
    <tableColumn id="76" xr3:uid="{F6504371-4FD9-49B0-AA2F-E4A47CFEFF1F}" name="ICE Threat Level 2" dataDxfId="17" totalsRowDxfId="16"/>
    <tableColumn id="77" xr3:uid="{9C96DD39-38CA-422C-9A94-450886651401}" name="ICE Threat Level 3" dataDxfId="15" totalsRowDxfId="14"/>
    <tableColumn id="78" xr3:uid="{B7A19F13-ED1A-47BE-96FB-82D04F4B4B58}" name="No ICE Threat Level" dataDxfId="13" totalsRowDxfId="12"/>
    <tableColumn id="79" xr3:uid="{BE9FAEA1-342B-4B0B-A7C9-BA2FB9922CF5}" name="Mandatory" dataDxfId="11" totalsRowDxfId="10"/>
    <tableColumn id="86" xr3:uid="{F7426D64-FFFD-440F-8EF1-5EBF6F3F6AF1}" name="Guaranteed Minimum" dataDxfId="9" totalsRowDxfId="8"/>
    <tableColumn id="124" xr3:uid="{005BDF95-830B-4D24-B43F-5CC0F1572D4A}" name="Last Inspection Type" dataDxfId="7" totalsRowDxfId="6"/>
    <tableColumn id="10" xr3:uid="{8BA4033E-39FE-4A1E-B08B-447612A800B4}" name="ODO Inspection End Date" dataDxfId="5" totalsRowDxfId="4"/>
    <tableColumn id="1" xr3:uid="{E36BB348-8CDF-49F6-9615-84BB34B24056}" name="ODO Last Inspection Standard" dataDxfId="3" totalsRowDxfId="2"/>
    <tableColumn id="8" xr3:uid="{FB1C9613-EC4B-4BA7-A34E-2E6FB6CE6B9A}" name="ODO Final Rating"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5" zeroHeight="1" x14ac:dyDescent="0.25"/>
  <cols>
    <col min="1" max="1" width="110.42578125" customWidth="1"/>
    <col min="2" max="16384" width="8.7109375" hidden="1"/>
  </cols>
  <sheetData>
    <row r="1" spans="1:1" ht="119.1" customHeight="1" x14ac:dyDescent="0.25">
      <c r="A1" s="9" t="s">
        <v>205</v>
      </c>
    </row>
    <row r="2" spans="1:1" ht="51.75" customHeight="1" x14ac:dyDescent="0.25">
      <c r="A2" s="8" t="s">
        <v>12</v>
      </c>
    </row>
    <row r="3" spans="1:1" ht="76.349999999999994" customHeight="1" x14ac:dyDescent="0.25">
      <c r="A3" s="8" t="s">
        <v>238</v>
      </c>
    </row>
    <row r="4" spans="1:1" ht="22.5" customHeight="1" x14ac:dyDescent="0.25">
      <c r="A4" s="8" t="s">
        <v>204</v>
      </c>
    </row>
    <row r="5" spans="1:1" ht="36.75" customHeight="1" x14ac:dyDescent="0.25">
      <c r="A5" s="8" t="s">
        <v>177</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70"/>
  <sheetViews>
    <sheetView showGridLines="0" topLeftCell="A146" zoomScaleNormal="100" zoomScalePageLayoutView="110" workbookViewId="0">
      <selection sqref="A1:G1"/>
    </sheetView>
  </sheetViews>
  <sheetFormatPr defaultRowHeight="15.75" x14ac:dyDescent="0.25"/>
  <cols>
    <col min="1" max="1" width="17.5703125" bestFit="1" customWidth="1"/>
    <col min="2" max="2" width="9.7109375" bestFit="1" customWidth="1"/>
    <col min="3" max="3" width="16.5703125" bestFit="1" customWidth="1"/>
    <col min="4" max="4" width="11.7109375" customWidth="1"/>
    <col min="5" max="5" width="20.5703125" customWidth="1"/>
    <col min="6" max="6" width="13.28515625" style="49" customWidth="1"/>
    <col min="7" max="7" width="15.7109375" style="55" customWidth="1"/>
    <col min="8" max="8" width="19.5703125" customWidth="1"/>
    <col min="9" max="9" width="15" customWidth="1"/>
    <col min="12" max="12" width="8.7109375" style="3"/>
  </cols>
  <sheetData>
    <row r="1" spans="1:55" ht="38.65" customHeight="1" x14ac:dyDescent="0.25">
      <c r="A1" s="356" t="s">
        <v>11</v>
      </c>
      <c r="B1" s="356"/>
      <c r="C1" s="356"/>
      <c r="D1" s="356"/>
      <c r="E1" s="356"/>
      <c r="F1" s="356"/>
      <c r="G1" s="35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57" t="s">
        <v>12</v>
      </c>
      <c r="B2" s="357"/>
      <c r="C2" s="357"/>
      <c r="D2" s="357"/>
      <c r="E2" s="357"/>
      <c r="F2" s="357"/>
      <c r="G2" s="35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57"/>
      <c r="B3" s="357"/>
      <c r="C3" s="357"/>
      <c r="D3" s="357"/>
      <c r="E3" s="357"/>
      <c r="F3" s="357"/>
      <c r="G3" s="35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58" t="s">
        <v>258</v>
      </c>
      <c r="B4" s="358"/>
      <c r="C4" s="358"/>
      <c r="D4" s="358"/>
      <c r="E4" s="358"/>
      <c r="F4" s="358"/>
      <c r="G4" s="358"/>
      <c r="H4" s="57"/>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6"/>
      <c r="B5" s="56"/>
      <c r="C5" s="56"/>
      <c r="D5" s="56"/>
      <c r="E5" s="56"/>
      <c r="F5" s="56"/>
      <c r="G5" s="56"/>
      <c r="H5" s="57"/>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8"/>
      <c r="B6" s="58"/>
      <c r="C6" s="58"/>
      <c r="D6" s="3"/>
      <c r="E6" s="3"/>
      <c r="F6" s="41"/>
      <c r="G6" s="5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51" t="s">
        <v>242</v>
      </c>
      <c r="B7" s="351"/>
      <c r="C7" s="351"/>
      <c r="D7" s="59"/>
      <c r="E7" s="3"/>
      <c r="F7" s="41"/>
      <c r="G7" s="5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2" t="s">
        <v>240</v>
      </c>
      <c r="B8" s="22" t="s">
        <v>179</v>
      </c>
      <c r="C8" s="22" t="s">
        <v>241</v>
      </c>
      <c r="D8" s="3"/>
      <c r="E8" s="359" t="s">
        <v>267</v>
      </c>
      <c r="F8" s="359"/>
      <c r="G8" s="359"/>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38</v>
      </c>
      <c r="B9" s="38">
        <v>15994</v>
      </c>
      <c r="C9" s="39">
        <v>43823.560000000216</v>
      </c>
      <c r="D9" s="3"/>
      <c r="E9" s="36" t="s">
        <v>246</v>
      </c>
      <c r="F9" s="42" t="s">
        <v>179</v>
      </c>
      <c r="G9" s="51" t="s">
        <v>247</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181</v>
      </c>
      <c r="B10" s="6">
        <v>167156</v>
      </c>
      <c r="C10" s="23">
        <v>160469.76000013569</v>
      </c>
      <c r="D10" s="3"/>
      <c r="E10" s="37" t="s">
        <v>248</v>
      </c>
      <c r="F10" s="43">
        <v>5913</v>
      </c>
      <c r="G10" s="35">
        <v>0.99</v>
      </c>
      <c r="H10" s="3"/>
      <c r="I10" s="66"/>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244</v>
      </c>
      <c r="B11" s="38">
        <v>6292</v>
      </c>
      <c r="C11" s="39">
        <v>1132.5599999999131</v>
      </c>
      <c r="D11" s="3"/>
      <c r="E11" s="37" t="s">
        <v>249</v>
      </c>
      <c r="F11" s="44">
        <v>60</v>
      </c>
      <c r="G11" s="40">
        <v>0.01</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253</v>
      </c>
      <c r="B12" s="38">
        <v>224</v>
      </c>
      <c r="C12" s="39">
        <v>1008</v>
      </c>
      <c r="D12" s="3"/>
      <c r="E12" s="5" t="s">
        <v>1</v>
      </c>
      <c r="F12" s="45">
        <v>5973</v>
      </c>
      <c r="G12" s="52">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243</v>
      </c>
      <c r="B13" s="38">
        <v>266</v>
      </c>
      <c r="C13" s="39">
        <v>0</v>
      </c>
      <c r="D13" s="59"/>
      <c r="E13" s="60" t="s">
        <v>268</v>
      </c>
      <c r="F13" s="60"/>
      <c r="G13" s="60"/>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255</v>
      </c>
      <c r="B14" s="6">
        <v>1280</v>
      </c>
      <c r="C14" s="23">
        <v>4735.9999999998854</v>
      </c>
      <c r="D14" s="3"/>
      <c r="E14" s="354" t="s">
        <v>250</v>
      </c>
      <c r="F14" s="354"/>
      <c r="G14" s="35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1</v>
      </c>
      <c r="B15" s="7">
        <v>191212</v>
      </c>
      <c r="C15" s="24">
        <v>211169.87999976697</v>
      </c>
      <c r="D15" s="3"/>
      <c r="E15" s="60"/>
      <c r="F15" s="60"/>
      <c r="G15" s="60"/>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19.899999999999999" customHeight="1" x14ac:dyDescent="0.25">
      <c r="A16" s="350" t="s">
        <v>271</v>
      </c>
      <c r="B16" s="350"/>
      <c r="C16" s="350"/>
      <c r="D16" s="3"/>
      <c r="E16" s="60"/>
      <c r="F16" s="60"/>
      <c r="G16" s="60"/>
      <c r="H16" s="3"/>
      <c r="I16" s="66"/>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4" customHeight="1" x14ac:dyDescent="0.25">
      <c r="A17" s="350" t="s">
        <v>252</v>
      </c>
      <c r="B17" s="350"/>
      <c r="C17" s="350"/>
      <c r="D17" s="3"/>
      <c r="E17" s="60"/>
      <c r="F17" s="60"/>
      <c r="G17" s="60"/>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1"/>
      <c r="B18" s="61"/>
      <c r="C18" s="61"/>
      <c r="D18" s="3"/>
      <c r="E18" s="354"/>
      <c r="F18" s="354"/>
      <c r="G18" s="35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51" t="s">
        <v>259</v>
      </c>
      <c r="B19" s="351"/>
      <c r="C19" s="351"/>
      <c r="D19" s="3"/>
      <c r="E19" s="352" t="s">
        <v>269</v>
      </c>
      <c r="F19" s="353"/>
      <c r="G19" s="353"/>
      <c r="H19" s="66"/>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2" t="s">
        <v>178</v>
      </c>
      <c r="B20" s="22" t="s">
        <v>179</v>
      </c>
      <c r="C20" s="22" t="s">
        <v>15</v>
      </c>
      <c r="D20" s="3"/>
      <c r="E20" s="36" t="s">
        <v>246</v>
      </c>
      <c r="F20" s="46" t="s">
        <v>179</v>
      </c>
      <c r="G20" s="53" t="s">
        <v>247</v>
      </c>
      <c r="H20" s="3"/>
      <c r="I20" s="66"/>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180</v>
      </c>
      <c r="B21" s="6">
        <v>82762</v>
      </c>
      <c r="C21" s="63">
        <v>581.74160846765426</v>
      </c>
      <c r="D21" s="3"/>
      <c r="E21" s="37" t="s">
        <v>248</v>
      </c>
      <c r="F21" s="43">
        <v>638</v>
      </c>
      <c r="G21" s="35">
        <v>0.91400000000000003</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207</v>
      </c>
      <c r="B22" s="6">
        <v>46</v>
      </c>
      <c r="C22" s="63">
        <v>883.695652173913</v>
      </c>
      <c r="D22" s="3"/>
      <c r="E22" s="37" t="s">
        <v>249</v>
      </c>
      <c r="F22" s="43">
        <v>60</v>
      </c>
      <c r="G22" s="35">
        <v>8.5999999999999993E-2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206</v>
      </c>
      <c r="B23" s="38">
        <v>108354</v>
      </c>
      <c r="C23" s="64">
        <v>503.91491776953319</v>
      </c>
      <c r="D23" s="3"/>
      <c r="E23" s="5" t="s">
        <v>1</v>
      </c>
      <c r="F23" s="45">
        <v>698</v>
      </c>
      <c r="G23" s="52">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208</v>
      </c>
      <c r="B24">
        <v>50</v>
      </c>
      <c r="C24" s="64">
        <v>1093.72</v>
      </c>
      <c r="D24" s="3"/>
      <c r="E24" s="354" t="s">
        <v>270</v>
      </c>
      <c r="F24" s="354"/>
      <c r="G24" s="354"/>
      <c r="H24" s="3"/>
      <c r="I24" s="66"/>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4" customHeight="1" x14ac:dyDescent="0.25">
      <c r="A25" s="5" t="s">
        <v>1</v>
      </c>
      <c r="B25" s="7">
        <v>191212</v>
      </c>
      <c r="C25" s="65">
        <v>537.84611844444908</v>
      </c>
      <c r="D25" s="3"/>
      <c r="E25" s="354" t="s">
        <v>250</v>
      </c>
      <c r="F25" s="354"/>
      <c r="G25" s="35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0" t="str">
        <f>A16</f>
        <v>Data from BI Inc. Participants Report, 12.02.2023</v>
      </c>
      <c r="B26" s="350"/>
      <c r="C26" s="350"/>
      <c r="D26" s="66"/>
      <c r="E26" s="58"/>
      <c r="F26" s="47"/>
      <c r="G26" s="5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0" t="s">
        <v>273</v>
      </c>
      <c r="B27" s="350"/>
      <c r="C27" s="350"/>
      <c r="D27" s="66"/>
      <c r="F27" s="48"/>
      <c r="G27" s="54"/>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55"/>
      <c r="B28" s="355"/>
      <c r="C28" s="355"/>
      <c r="D28" s="3"/>
      <c r="E28" s="3"/>
      <c r="F28" s="41"/>
      <c r="G28" s="5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55"/>
      <c r="B29" s="355"/>
      <c r="C29" s="355"/>
      <c r="D29" s="3"/>
      <c r="E29" s="3"/>
      <c r="F29" s="41"/>
      <c r="G29" s="5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4" customHeight="1" thickBot="1" x14ac:dyDescent="0.3">
      <c r="A30" s="355" t="s">
        <v>272</v>
      </c>
      <c r="B30" s="355"/>
      <c r="C30" s="355"/>
      <c r="D30" s="3"/>
      <c r="E30" s="3"/>
      <c r="F30" s="41"/>
      <c r="G30" s="5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25" t="s">
        <v>210</v>
      </c>
      <c r="B31" s="25" t="s">
        <v>179</v>
      </c>
      <c r="C31" s="25" t="s">
        <v>211</v>
      </c>
      <c r="D31" s="3"/>
      <c r="E31" s="3"/>
      <c r="F31" s="41"/>
      <c r="G31" s="5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6" t="s">
        <v>1</v>
      </c>
      <c r="B32" s="27">
        <v>191212</v>
      </c>
      <c r="C32" s="28">
        <v>537.84611844444908</v>
      </c>
      <c r="D32" s="14"/>
      <c r="E32" s="3"/>
      <c r="F32" s="41"/>
      <c r="G32" s="5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2" t="s">
        <v>182</v>
      </c>
      <c r="B33" s="33">
        <v>5092</v>
      </c>
      <c r="C33" s="34">
        <v>635.32403770620579</v>
      </c>
      <c r="E33" s="3"/>
      <c r="F33" s="41"/>
      <c r="G33" s="5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9" t="s">
        <v>38</v>
      </c>
      <c r="B34" s="30">
        <v>327</v>
      </c>
      <c r="C34" s="31">
        <v>410.50764525993884</v>
      </c>
      <c r="E34" s="62"/>
      <c r="F34" s="41"/>
      <c r="G34" s="5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9" t="s">
        <v>181</v>
      </c>
      <c r="B35" s="30">
        <v>4490</v>
      </c>
      <c r="C35" s="31">
        <v>569.33318485523387</v>
      </c>
      <c r="E35" s="62"/>
      <c r="F35" s="41"/>
      <c r="G35" s="5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9" t="s">
        <v>245</v>
      </c>
      <c r="B36" s="30">
        <v>1</v>
      </c>
      <c r="C36" s="31">
        <v>16</v>
      </c>
      <c r="E36" s="62"/>
      <c r="F36" s="41"/>
      <c r="G36" s="5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9" t="s">
        <v>244</v>
      </c>
      <c r="B37" s="30">
        <v>247</v>
      </c>
      <c r="C37" s="31">
        <v>2203.8987854251013</v>
      </c>
      <c r="E37" s="62"/>
      <c r="F37" s="41"/>
      <c r="G37" s="5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29" t="s">
        <v>256</v>
      </c>
      <c r="B38" s="30">
        <v>27</v>
      </c>
      <c r="C38" s="31">
        <v>5.5185185185185182</v>
      </c>
      <c r="E38" s="62"/>
      <c r="F38" s="41"/>
      <c r="G38" s="5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32" t="s">
        <v>183</v>
      </c>
      <c r="B39" s="33">
        <v>3965</v>
      </c>
      <c r="C39" s="34">
        <v>512.16872635561162</v>
      </c>
      <c r="E39" s="62"/>
      <c r="F39" s="41"/>
      <c r="G39" s="5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9" t="s">
        <v>38</v>
      </c>
      <c r="B40" s="30">
        <v>240</v>
      </c>
      <c r="C40" s="31">
        <v>186.38749999999999</v>
      </c>
      <c r="E40" s="62"/>
      <c r="F40" s="41"/>
      <c r="G40" s="5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9" t="s">
        <v>181</v>
      </c>
      <c r="B41" s="30">
        <v>3618</v>
      </c>
      <c r="C41" s="31">
        <v>540.04671088999453</v>
      </c>
      <c r="D41" s="14"/>
      <c r="E41" s="62"/>
      <c r="F41" s="41"/>
      <c r="G41" s="5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9" t="s">
        <v>244</v>
      </c>
      <c r="B42" s="30">
        <v>20</v>
      </c>
      <c r="C42" s="31">
        <v>1528.35</v>
      </c>
      <c r="E42" s="62"/>
      <c r="F42" s="41"/>
      <c r="G42" s="5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29" t="s">
        <v>256</v>
      </c>
      <c r="B43" s="30">
        <v>87</v>
      </c>
      <c r="C43" s="31">
        <v>17.931034482758619</v>
      </c>
      <c r="E43" s="62"/>
      <c r="F43" s="41"/>
      <c r="G43" s="5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32" t="s">
        <v>184</v>
      </c>
      <c r="B44" s="33">
        <v>7041</v>
      </c>
      <c r="C44" s="34">
        <v>502.36259054111633</v>
      </c>
      <c r="E44" s="62"/>
      <c r="F44" s="41"/>
      <c r="G44" s="5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29" t="s">
        <v>38</v>
      </c>
      <c r="B45" s="30">
        <v>116</v>
      </c>
      <c r="C45" s="31">
        <v>505.16379310344826</v>
      </c>
      <c r="E45" s="62"/>
      <c r="F45" s="41"/>
      <c r="G45" s="5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9" t="s">
        <v>181</v>
      </c>
      <c r="B46" s="30">
        <v>6855</v>
      </c>
      <c r="C46" s="31">
        <v>506.95973741794313</v>
      </c>
      <c r="E46" s="62"/>
      <c r="F46" s="41"/>
      <c r="G46" s="5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9" t="s">
        <v>244</v>
      </c>
      <c r="B47" s="30">
        <v>3</v>
      </c>
      <c r="C47" s="31">
        <v>909.33333333333337</v>
      </c>
      <c r="E47" s="62"/>
      <c r="F47" s="41"/>
      <c r="G47" s="5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29" t="s">
        <v>256</v>
      </c>
      <c r="B48" s="30">
        <v>67</v>
      </c>
      <c r="C48" s="31">
        <v>8.9402985074626873</v>
      </c>
      <c r="E48" s="62"/>
      <c r="F48" s="41"/>
      <c r="G48" s="5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32" t="s">
        <v>185</v>
      </c>
      <c r="B49" s="33">
        <v>586</v>
      </c>
      <c r="C49" s="34">
        <v>969.38054607508536</v>
      </c>
      <c r="E49" s="62"/>
      <c r="F49" s="41"/>
      <c r="G49" s="5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9" t="s">
        <v>38</v>
      </c>
      <c r="B50" s="30">
        <v>10</v>
      </c>
      <c r="C50" s="31">
        <v>132.69999999999999</v>
      </c>
      <c r="E50" s="62"/>
      <c r="F50" s="41"/>
      <c r="G50" s="5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29" t="s">
        <v>181</v>
      </c>
      <c r="B51" s="30">
        <v>342</v>
      </c>
      <c r="C51" s="31">
        <v>396.08771929824559</v>
      </c>
      <c r="E51" s="62"/>
      <c r="F51" s="41"/>
      <c r="G51" s="5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29" t="s">
        <v>244</v>
      </c>
      <c r="B52" s="30">
        <v>234</v>
      </c>
      <c r="C52" s="31">
        <v>1843.0256410256411</v>
      </c>
      <c r="E52" s="62"/>
      <c r="F52" s="41"/>
      <c r="G52" s="5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32" t="s">
        <v>186</v>
      </c>
      <c r="B53" s="33">
        <v>14891</v>
      </c>
      <c r="C53" s="34">
        <v>661.17701967631456</v>
      </c>
      <c r="E53" s="62"/>
      <c r="F53" s="41"/>
      <c r="G53" s="5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9" t="s">
        <v>38</v>
      </c>
      <c r="B54" s="30">
        <v>945</v>
      </c>
      <c r="C54" s="31">
        <v>183.36084656084657</v>
      </c>
      <c r="D54" s="14"/>
      <c r="E54" s="62"/>
      <c r="F54" s="41"/>
      <c r="G54" s="5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9" t="s">
        <v>181</v>
      </c>
      <c r="B55" s="30">
        <v>13267</v>
      </c>
      <c r="C55" s="31">
        <v>617.58573905178264</v>
      </c>
      <c r="E55" s="62"/>
      <c r="F55" s="41"/>
      <c r="G55" s="5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29" t="s">
        <v>245</v>
      </c>
      <c r="B56" s="30">
        <v>4</v>
      </c>
      <c r="C56" s="31">
        <v>-7</v>
      </c>
      <c r="E56" s="62"/>
      <c r="F56" s="41"/>
      <c r="G56" s="5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29" t="s">
        <v>244</v>
      </c>
      <c r="B57" s="30">
        <v>621</v>
      </c>
      <c r="C57" s="31">
        <v>2380.855072463768</v>
      </c>
      <c r="E57" s="62"/>
      <c r="F57" s="41"/>
      <c r="G57" s="5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9" t="s">
        <v>256</v>
      </c>
      <c r="B58" s="30">
        <v>54</v>
      </c>
      <c r="C58" s="31">
        <v>5.8888888888888893</v>
      </c>
      <c r="E58" s="62"/>
      <c r="F58" s="41"/>
      <c r="G58" s="5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32" t="s">
        <v>187</v>
      </c>
      <c r="B59" s="33">
        <v>3047</v>
      </c>
      <c r="C59" s="34">
        <v>326.68066951099445</v>
      </c>
      <c r="E59" s="62"/>
      <c r="F59" s="41"/>
      <c r="G59" s="5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9" t="s">
        <v>38</v>
      </c>
      <c r="B60" s="30">
        <v>596</v>
      </c>
      <c r="C60" s="31">
        <v>70.345637583892611</v>
      </c>
      <c r="E60" s="62"/>
      <c r="F60" s="41"/>
      <c r="G60" s="5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9" t="s">
        <v>181</v>
      </c>
      <c r="B61" s="30">
        <v>2357</v>
      </c>
      <c r="C61" s="31">
        <v>399.12346202800171</v>
      </c>
      <c r="E61" s="62"/>
      <c r="F61" s="41"/>
      <c r="G61" s="5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9" t="s">
        <v>245</v>
      </c>
      <c r="B62" s="30">
        <v>2</v>
      </c>
      <c r="C62" s="31">
        <v>13.5</v>
      </c>
      <c r="E62" s="62"/>
      <c r="F62" s="41"/>
      <c r="G62" s="5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29" t="s">
        <v>254</v>
      </c>
      <c r="B63" s="30">
        <v>39</v>
      </c>
      <c r="C63" s="31">
        <v>232.89743589743588</v>
      </c>
      <c r="E63" s="62"/>
      <c r="F63" s="41"/>
      <c r="G63" s="5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29" t="s">
        <v>244</v>
      </c>
      <c r="B64" s="30">
        <v>2</v>
      </c>
      <c r="C64" s="31">
        <v>1729</v>
      </c>
      <c r="E64" s="62"/>
      <c r="F64" s="41"/>
      <c r="G64" s="5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29" t="s">
        <v>256</v>
      </c>
      <c r="B65" s="30">
        <v>51</v>
      </c>
      <c r="C65" s="31">
        <v>3.2941176470588234</v>
      </c>
      <c r="E65" s="62"/>
      <c r="F65" s="41"/>
      <c r="G65" s="5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32" t="s">
        <v>188</v>
      </c>
      <c r="B66" s="33">
        <v>3096</v>
      </c>
      <c r="C66" s="34">
        <v>500.28585271317831</v>
      </c>
      <c r="E66" s="62"/>
      <c r="F66" s="41"/>
      <c r="G66" s="5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9" t="s">
        <v>38</v>
      </c>
      <c r="B67" s="30">
        <v>28</v>
      </c>
      <c r="C67" s="31">
        <v>426.75</v>
      </c>
      <c r="E67" s="62"/>
      <c r="F67" s="41"/>
      <c r="G67" s="5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649999999999999" customHeight="1" thickBot="1" x14ac:dyDescent="0.3">
      <c r="A68" s="29" t="s">
        <v>181</v>
      </c>
      <c r="B68" s="30">
        <v>2945</v>
      </c>
      <c r="C68" s="31">
        <v>490.25534804753818</v>
      </c>
      <c r="E68" s="62"/>
      <c r="F68" s="41"/>
      <c r="G68" s="5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29" t="s">
        <v>245</v>
      </c>
      <c r="B69" s="30">
        <v>1</v>
      </c>
      <c r="C69" s="31">
        <v>188</v>
      </c>
      <c r="E69" s="62"/>
      <c r="F69" s="41"/>
      <c r="G69" s="5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29" t="s">
        <v>254</v>
      </c>
      <c r="B70" s="30">
        <v>39</v>
      </c>
      <c r="C70" s="31">
        <v>244.74358974358975</v>
      </c>
      <c r="E70" s="62"/>
      <c r="F70" s="41"/>
      <c r="G70" s="5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29" t="s">
        <v>244</v>
      </c>
      <c r="B71" s="30">
        <v>39</v>
      </c>
      <c r="C71" s="31">
        <v>2105.1282051282051</v>
      </c>
      <c r="E71" s="62"/>
      <c r="F71" s="41"/>
      <c r="G71" s="5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9" t="s">
        <v>256</v>
      </c>
      <c r="B72" s="69">
        <v>44</v>
      </c>
      <c r="C72" s="70">
        <v>29.568181818181817</v>
      </c>
      <c r="E72" s="62"/>
      <c r="F72" s="41"/>
      <c r="G72" s="5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32" t="s">
        <v>251</v>
      </c>
      <c r="B73" s="71">
        <v>9974</v>
      </c>
      <c r="C73" s="72">
        <v>831.73721676358537</v>
      </c>
      <c r="E73" s="62"/>
      <c r="F73" s="41"/>
      <c r="G73" s="5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9" t="s">
        <v>38</v>
      </c>
      <c r="B74" s="30">
        <v>163</v>
      </c>
      <c r="C74" s="31">
        <v>345.69325153374234</v>
      </c>
      <c r="E74" s="62"/>
      <c r="F74" s="41"/>
      <c r="G74" s="5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29" t="s">
        <v>181</v>
      </c>
      <c r="B75" s="30">
        <v>9258</v>
      </c>
      <c r="C75" s="31">
        <v>739.63847483257723</v>
      </c>
      <c r="E75" s="62"/>
      <c r="F75" s="41"/>
      <c r="G75" s="5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9" t="s">
        <v>245</v>
      </c>
      <c r="B76" s="30">
        <v>1</v>
      </c>
      <c r="C76" s="31">
        <v>-2</v>
      </c>
      <c r="E76" s="62"/>
      <c r="F76" s="41"/>
      <c r="G76" s="5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9" t="s">
        <v>244</v>
      </c>
      <c r="B77" s="30">
        <v>539</v>
      </c>
      <c r="C77" s="31">
        <v>2582.0964749536179</v>
      </c>
      <c r="E77" s="62"/>
      <c r="F77" s="41"/>
      <c r="G77" s="5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9" t="s">
        <v>256</v>
      </c>
      <c r="B78" s="30">
        <v>13</v>
      </c>
      <c r="C78" s="31">
        <v>6</v>
      </c>
      <c r="D78" s="14"/>
      <c r="E78" s="62"/>
      <c r="F78" s="41"/>
      <c r="G78" s="5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32" t="s">
        <v>189</v>
      </c>
      <c r="B79" s="33">
        <v>4172</v>
      </c>
      <c r="C79" s="34">
        <v>157.04745925215724</v>
      </c>
      <c r="E79" s="62"/>
      <c r="F79" s="41"/>
      <c r="G79" s="5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29" t="s">
        <v>38</v>
      </c>
      <c r="B80" s="30">
        <v>1863</v>
      </c>
      <c r="C80" s="31">
        <v>18.197530864197532</v>
      </c>
      <c r="E80" s="62"/>
      <c r="F80" s="41"/>
      <c r="G80" s="5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29" t="s">
        <v>181</v>
      </c>
      <c r="B81" s="30">
        <v>2076</v>
      </c>
      <c r="C81" s="31">
        <v>180.76059730250481</v>
      </c>
      <c r="E81" s="62"/>
      <c r="F81" s="41"/>
      <c r="G81" s="5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9" t="s">
        <v>254</v>
      </c>
      <c r="B82" s="30">
        <v>45</v>
      </c>
      <c r="C82" s="31">
        <v>168.66666666666666</v>
      </c>
      <c r="E82" s="62"/>
      <c r="F82" s="41"/>
      <c r="G82" s="5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9" t="s">
        <v>244</v>
      </c>
      <c r="B83" s="30">
        <v>162</v>
      </c>
      <c r="C83" s="31">
        <v>1472.7901234567901</v>
      </c>
      <c r="E83" s="62"/>
      <c r="F83" s="41"/>
      <c r="G83" s="5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9" t="s">
        <v>256</v>
      </c>
      <c r="B84" s="30">
        <v>26</v>
      </c>
      <c r="C84" s="31">
        <v>-5.4230769230769234</v>
      </c>
      <c r="E84" s="62"/>
      <c r="F84" s="41"/>
      <c r="G84" s="5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32" t="s">
        <v>239</v>
      </c>
      <c r="B85" s="33">
        <v>12608</v>
      </c>
      <c r="C85" s="34">
        <v>218.50785215736042</v>
      </c>
      <c r="E85" s="62"/>
      <c r="F85" s="41"/>
      <c r="G85" s="5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29" t="s">
        <v>38</v>
      </c>
      <c r="B86" s="30">
        <v>2200</v>
      </c>
      <c r="C86" s="31">
        <v>47.154090909090911</v>
      </c>
      <c r="E86" s="62"/>
      <c r="F86" s="41"/>
      <c r="G86" s="5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29" t="s">
        <v>181</v>
      </c>
      <c r="B87" s="30">
        <v>10140</v>
      </c>
      <c r="C87" s="31">
        <v>259.30650887573967</v>
      </c>
      <c r="E87" s="62"/>
      <c r="F87" s="41"/>
      <c r="G87" s="5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29" t="s">
        <v>245</v>
      </c>
      <c r="B88" s="30">
        <v>59</v>
      </c>
      <c r="C88" s="31">
        <v>394.25423728813558</v>
      </c>
      <c r="E88" s="62"/>
      <c r="F88" s="41"/>
      <c r="G88" s="5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9" t="s">
        <v>256</v>
      </c>
      <c r="B89" s="30">
        <v>209</v>
      </c>
      <c r="C89" s="31">
        <v>-6.7990430622009566</v>
      </c>
      <c r="E89" s="62"/>
      <c r="F89" s="41"/>
      <c r="G89" s="5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32" t="s">
        <v>190</v>
      </c>
      <c r="B90" s="33">
        <v>2786</v>
      </c>
      <c r="C90" s="34">
        <v>321.78248384781045</v>
      </c>
      <c r="E90" s="62"/>
      <c r="F90" s="41"/>
      <c r="G90" s="5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9" t="s">
        <v>38</v>
      </c>
      <c r="B91" s="30">
        <v>403</v>
      </c>
      <c r="C91" s="31">
        <v>345.16377171215879</v>
      </c>
      <c r="E91" s="62"/>
      <c r="F91" s="41"/>
      <c r="G91" s="5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29" t="s">
        <v>181</v>
      </c>
      <c r="B92" s="30">
        <v>2284</v>
      </c>
      <c r="C92" s="31">
        <v>331.09544658493871</v>
      </c>
      <c r="E92" s="62"/>
      <c r="F92" s="41"/>
      <c r="G92" s="5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29" t="s">
        <v>256</v>
      </c>
      <c r="B93" s="30">
        <v>99</v>
      </c>
      <c r="C93" s="31">
        <v>11.747474747474747</v>
      </c>
      <c r="E93" s="62"/>
      <c r="F93" s="41"/>
      <c r="G93" s="5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32" t="s">
        <v>191</v>
      </c>
      <c r="B94" s="33">
        <v>12042</v>
      </c>
      <c r="C94" s="34">
        <v>477.12456402590931</v>
      </c>
      <c r="E94" s="62"/>
      <c r="F94" s="41"/>
      <c r="G94" s="5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9" t="s">
        <v>38</v>
      </c>
      <c r="B95" s="30">
        <v>635</v>
      </c>
      <c r="C95" s="31">
        <v>259.89606299212596</v>
      </c>
      <c r="E95" s="62"/>
      <c r="F95" s="41"/>
      <c r="G95" s="5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29" t="s">
        <v>181</v>
      </c>
      <c r="B96" s="30">
        <v>10429</v>
      </c>
      <c r="C96" s="31">
        <v>403.19829322082654</v>
      </c>
      <c r="E96" s="62"/>
      <c r="F96" s="41"/>
      <c r="G96" s="5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9" t="s">
        <v>254</v>
      </c>
      <c r="B97" s="30">
        <v>101</v>
      </c>
      <c r="C97" s="31">
        <v>435.44554455445547</v>
      </c>
      <c r="E97" s="62"/>
      <c r="F97" s="41"/>
      <c r="G97" s="5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29" t="s">
        <v>244</v>
      </c>
      <c r="B98" s="30">
        <v>781</v>
      </c>
      <c r="C98" s="31">
        <v>1704.6133162612036</v>
      </c>
      <c r="E98" s="62"/>
      <c r="F98" s="41"/>
      <c r="G98" s="5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29" t="s">
        <v>256</v>
      </c>
      <c r="B99" s="30">
        <v>96</v>
      </c>
      <c r="C99" s="31">
        <v>2.7291666666666665</v>
      </c>
      <c r="E99" s="62"/>
      <c r="F99" s="41"/>
      <c r="G99" s="5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32" t="s">
        <v>192</v>
      </c>
      <c r="B100" s="33">
        <v>13588</v>
      </c>
      <c r="C100" s="34">
        <v>441.95407712687665</v>
      </c>
      <c r="E100" s="62"/>
      <c r="F100" s="41"/>
      <c r="G100" s="5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9" t="s">
        <v>38</v>
      </c>
      <c r="B101" s="30">
        <v>608</v>
      </c>
      <c r="C101" s="31">
        <v>308.53782894736844</v>
      </c>
      <c r="E101" s="62"/>
      <c r="F101" s="41"/>
      <c r="G101" s="5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29" t="s">
        <v>181</v>
      </c>
      <c r="B102" s="30">
        <v>12924</v>
      </c>
      <c r="C102" s="31">
        <v>448.76562983596409</v>
      </c>
      <c r="E102" s="62"/>
      <c r="F102" s="41"/>
      <c r="G102" s="5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9" t="s">
        <v>244</v>
      </c>
      <c r="B103" s="30">
        <v>12</v>
      </c>
      <c r="C103" s="31">
        <v>1425.5</v>
      </c>
      <c r="E103" s="62"/>
      <c r="F103" s="41"/>
      <c r="G103" s="5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29" t="s">
        <v>256</v>
      </c>
      <c r="B104" s="30">
        <v>44</v>
      </c>
      <c r="C104" s="31">
        <v>16.545454545454547</v>
      </c>
      <c r="E104" s="62"/>
      <c r="F104" s="41"/>
      <c r="G104" s="5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32" t="s">
        <v>193</v>
      </c>
      <c r="B105" s="33">
        <v>5287</v>
      </c>
      <c r="C105" s="34">
        <v>512.47399281255912</v>
      </c>
      <c r="E105" s="62"/>
      <c r="F105" s="41"/>
      <c r="G105" s="5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9" t="s">
        <v>38</v>
      </c>
      <c r="B106" s="30">
        <v>474</v>
      </c>
      <c r="C106" s="31">
        <v>175.29957805907173</v>
      </c>
      <c r="E106" s="62"/>
      <c r="F106" s="41"/>
      <c r="G106" s="5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29" t="s">
        <v>181</v>
      </c>
      <c r="B107" s="30">
        <v>4737</v>
      </c>
      <c r="C107" s="31">
        <v>541.66919991555835</v>
      </c>
      <c r="E107" s="62"/>
      <c r="F107" s="41"/>
      <c r="G107" s="5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9" t="s">
        <v>244</v>
      </c>
      <c r="B108" s="30">
        <v>32</v>
      </c>
      <c r="C108" s="31">
        <v>1863.6875</v>
      </c>
      <c r="E108" s="62"/>
      <c r="F108" s="41"/>
      <c r="G108" s="5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9" t="s">
        <v>256</v>
      </c>
      <c r="B109" s="30">
        <v>44</v>
      </c>
      <c r="C109" s="31">
        <v>18.931818181818183</v>
      </c>
      <c r="E109" s="62"/>
      <c r="F109" s="41"/>
      <c r="G109" s="5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32" t="s">
        <v>194</v>
      </c>
      <c r="B110" s="33">
        <v>8349</v>
      </c>
      <c r="C110" s="34">
        <v>572.1201341478021</v>
      </c>
      <c r="E110" s="62"/>
      <c r="F110" s="41"/>
      <c r="G110" s="5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29" t="s">
        <v>38</v>
      </c>
      <c r="B111" s="30">
        <v>468</v>
      </c>
      <c r="C111" s="31">
        <v>432.64529914529913</v>
      </c>
      <c r="E111" s="62"/>
      <c r="F111" s="41"/>
      <c r="G111" s="5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29" t="s">
        <v>181</v>
      </c>
      <c r="B112" s="30">
        <v>7717</v>
      </c>
      <c r="C112" s="31">
        <v>546.85357004017101</v>
      </c>
      <c r="E112" s="62"/>
      <c r="F112" s="41"/>
      <c r="G112" s="5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9" t="s">
        <v>245</v>
      </c>
      <c r="B113" s="30">
        <v>3</v>
      </c>
      <c r="C113" s="31">
        <v>643.66666666666663</v>
      </c>
      <c r="E113" s="62"/>
      <c r="F113" s="41"/>
      <c r="G113" s="5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9" t="s">
        <v>244</v>
      </c>
      <c r="B114" s="30">
        <v>161</v>
      </c>
      <c r="C114" s="31">
        <v>2187.2857142857142</v>
      </c>
      <c r="E114" s="62"/>
      <c r="F114" s="41"/>
      <c r="G114" s="5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32" t="s">
        <v>195</v>
      </c>
      <c r="B115" s="33">
        <v>14024</v>
      </c>
      <c r="C115" s="34">
        <v>829.44174272675411</v>
      </c>
      <c r="E115" s="62"/>
      <c r="F115" s="41"/>
      <c r="G115" s="5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29" t="s">
        <v>38</v>
      </c>
      <c r="B116" s="30">
        <v>249</v>
      </c>
      <c r="C116" s="31">
        <v>410.81927710843371</v>
      </c>
      <c r="E116" s="62"/>
      <c r="F116" s="41"/>
      <c r="G116" s="5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29" t="s">
        <v>181</v>
      </c>
      <c r="B117" s="30">
        <v>12561</v>
      </c>
      <c r="C117" s="31">
        <v>689.0444232147122</v>
      </c>
      <c r="E117" s="62"/>
      <c r="F117" s="41"/>
      <c r="G117" s="5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29" t="s">
        <v>244</v>
      </c>
      <c r="B118" s="30">
        <v>1139</v>
      </c>
      <c r="C118" s="31">
        <v>2523.3546971027217</v>
      </c>
      <c r="E118" s="62"/>
      <c r="F118" s="41"/>
      <c r="G118" s="5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9" t="s">
        <v>256</v>
      </c>
      <c r="B119" s="30">
        <v>75</v>
      </c>
      <c r="C119" s="31">
        <v>8.1199999999999992</v>
      </c>
      <c r="E119" s="62"/>
      <c r="F119" s="41"/>
      <c r="G119" s="5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32" t="s">
        <v>196</v>
      </c>
      <c r="B120" s="33">
        <v>7843</v>
      </c>
      <c r="C120" s="34">
        <v>520.35726125207191</v>
      </c>
      <c r="E120" s="62"/>
      <c r="F120" s="41"/>
      <c r="G120" s="50"/>
      <c r="L120"/>
    </row>
    <row r="121" spans="1:55" ht="16.5" thickBot="1" x14ac:dyDescent="0.3">
      <c r="A121" s="29" t="s">
        <v>38</v>
      </c>
      <c r="B121" s="30">
        <v>26</v>
      </c>
      <c r="C121" s="31">
        <v>530.53846153846155</v>
      </c>
      <c r="E121" s="62"/>
      <c r="F121" s="41"/>
      <c r="G121" s="50"/>
    </row>
    <row r="122" spans="1:55" ht="16.5" thickBot="1" x14ac:dyDescent="0.3">
      <c r="A122" s="29" t="s">
        <v>181</v>
      </c>
      <c r="B122" s="30">
        <v>7796</v>
      </c>
      <c r="C122" s="31">
        <v>519.713442791175</v>
      </c>
      <c r="E122" s="62"/>
      <c r="F122" s="41"/>
    </row>
    <row r="123" spans="1:55" ht="16.5" thickBot="1" x14ac:dyDescent="0.3">
      <c r="A123" s="29" t="s">
        <v>244</v>
      </c>
      <c r="B123" s="30">
        <v>9</v>
      </c>
      <c r="C123" s="31">
        <v>1741.6666666666667</v>
      </c>
      <c r="E123" s="62"/>
      <c r="F123" s="41"/>
    </row>
    <row r="124" spans="1:55" ht="16.5" thickBot="1" x14ac:dyDescent="0.3">
      <c r="A124" s="29" t="s">
        <v>256</v>
      </c>
      <c r="B124" s="30">
        <v>12</v>
      </c>
      <c r="C124" s="31">
        <v>0.58333333333333337</v>
      </c>
      <c r="E124" s="62"/>
      <c r="F124" s="41"/>
    </row>
    <row r="125" spans="1:55" ht="16.5" thickBot="1" x14ac:dyDescent="0.3">
      <c r="A125" s="32" t="s">
        <v>197</v>
      </c>
      <c r="B125" s="33">
        <v>5512</v>
      </c>
      <c r="C125" s="34">
        <v>177.34379535558782</v>
      </c>
      <c r="E125" s="62"/>
      <c r="F125" s="41"/>
    </row>
    <row r="126" spans="1:55" ht="16.5" thickBot="1" x14ac:dyDescent="0.3">
      <c r="A126" s="29" t="s">
        <v>38</v>
      </c>
      <c r="B126" s="30">
        <v>130</v>
      </c>
      <c r="C126" s="31">
        <v>151.1846153846154</v>
      </c>
      <c r="E126" s="62"/>
      <c r="F126" s="41"/>
    </row>
    <row r="127" spans="1:55" ht="16.5" thickBot="1" x14ac:dyDescent="0.3">
      <c r="A127" s="29" t="s">
        <v>181</v>
      </c>
      <c r="B127" s="30">
        <v>5233</v>
      </c>
      <c r="C127" s="31">
        <v>181.92833938467419</v>
      </c>
      <c r="E127" s="62"/>
      <c r="F127" s="41"/>
    </row>
    <row r="128" spans="1:55" ht="16.5" thickBot="1" x14ac:dyDescent="0.3">
      <c r="A128" s="29" t="s">
        <v>245</v>
      </c>
      <c r="B128" s="30">
        <v>19</v>
      </c>
      <c r="C128" s="31">
        <v>346.05263157894734</v>
      </c>
      <c r="E128" s="62"/>
      <c r="F128" s="41"/>
    </row>
    <row r="129" spans="1:12" ht="16.5" thickBot="1" x14ac:dyDescent="0.3">
      <c r="A129" s="29" t="s">
        <v>256</v>
      </c>
      <c r="B129" s="30">
        <v>130</v>
      </c>
      <c r="C129" s="31">
        <v>-5.7</v>
      </c>
      <c r="E129" s="62"/>
      <c r="F129" s="41"/>
    </row>
    <row r="130" spans="1:12" ht="16.5" thickBot="1" x14ac:dyDescent="0.3">
      <c r="A130" s="32" t="s">
        <v>198</v>
      </c>
      <c r="B130" s="33">
        <v>7275</v>
      </c>
      <c r="C130" s="34">
        <v>629.54556701030924</v>
      </c>
      <c r="E130" s="62"/>
      <c r="F130" s="41"/>
    </row>
    <row r="131" spans="1:12" ht="16.5" thickBot="1" x14ac:dyDescent="0.3">
      <c r="A131" s="29" t="s">
        <v>38</v>
      </c>
      <c r="B131" s="30">
        <v>84</v>
      </c>
      <c r="C131" s="31">
        <v>404.8095238095238</v>
      </c>
      <c r="E131" s="62"/>
      <c r="F131" s="41"/>
    </row>
    <row r="132" spans="1:12" ht="16.5" thickBot="1" x14ac:dyDescent="0.3">
      <c r="A132" s="29" t="s">
        <v>181</v>
      </c>
      <c r="B132" s="30">
        <v>7102</v>
      </c>
      <c r="C132" s="31">
        <v>618.00563221627715</v>
      </c>
      <c r="E132" s="62"/>
      <c r="F132" s="41"/>
    </row>
    <row r="133" spans="1:12" ht="16.5" thickBot="1" x14ac:dyDescent="0.3">
      <c r="A133" s="29" t="s">
        <v>244</v>
      </c>
      <c r="B133" s="30">
        <v>69</v>
      </c>
      <c r="C133" s="31">
        <v>2271.231884057971</v>
      </c>
      <c r="E133" s="62"/>
      <c r="F133" s="41"/>
    </row>
    <row r="134" spans="1:12" ht="16.5" thickBot="1" x14ac:dyDescent="0.3">
      <c r="A134" s="29" t="s">
        <v>256</v>
      </c>
      <c r="B134" s="30">
        <v>20</v>
      </c>
      <c r="C134" s="31">
        <v>7.45</v>
      </c>
      <c r="E134" s="62"/>
      <c r="F134" s="41"/>
    </row>
    <row r="135" spans="1:12" ht="16.5" thickBot="1" x14ac:dyDescent="0.3">
      <c r="A135" s="32" t="s">
        <v>199</v>
      </c>
      <c r="B135" s="33">
        <v>13064</v>
      </c>
      <c r="C135" s="34">
        <v>161.69748928352726</v>
      </c>
      <c r="E135" s="62"/>
      <c r="F135" s="41"/>
    </row>
    <row r="136" spans="1:12" ht="16.5" thickBot="1" x14ac:dyDescent="0.3">
      <c r="A136" s="29" t="s">
        <v>38</v>
      </c>
      <c r="B136" s="30">
        <v>4825</v>
      </c>
      <c r="C136" s="31">
        <v>26.287875647668393</v>
      </c>
      <c r="E136" s="62"/>
      <c r="F136" s="41"/>
    </row>
    <row r="137" spans="1:12" ht="16.5" thickBot="1" x14ac:dyDescent="0.3">
      <c r="A137" s="29" t="s">
        <v>181</v>
      </c>
      <c r="B137" s="30">
        <v>8016</v>
      </c>
      <c r="C137" s="31">
        <v>238.62774451097803</v>
      </c>
      <c r="E137" s="62"/>
      <c r="F137" s="41"/>
    </row>
    <row r="138" spans="1:12" ht="16.5" thickBot="1" x14ac:dyDescent="0.3">
      <c r="A138" s="29" t="s">
        <v>245</v>
      </c>
      <c r="B138" s="30">
        <v>170</v>
      </c>
      <c r="C138" s="31">
        <v>396.85294117647061</v>
      </c>
      <c r="E138" s="62"/>
    </row>
    <row r="139" spans="1:12" ht="16.5" thickBot="1" x14ac:dyDescent="0.3">
      <c r="A139" s="29" t="s">
        <v>244</v>
      </c>
      <c r="B139" s="30">
        <v>8</v>
      </c>
      <c r="C139" s="31">
        <v>609.5</v>
      </c>
      <c r="E139" s="62"/>
    </row>
    <row r="140" spans="1:12" ht="16.5" thickBot="1" x14ac:dyDescent="0.3">
      <c r="A140" s="29" t="s">
        <v>256</v>
      </c>
      <c r="B140" s="30">
        <v>45</v>
      </c>
      <c r="C140" s="31">
        <v>8.8000000000000007</v>
      </c>
      <c r="E140" s="62"/>
    </row>
    <row r="141" spans="1:12" ht="16.5" thickBot="1" x14ac:dyDescent="0.3">
      <c r="A141" s="32" t="s">
        <v>200</v>
      </c>
      <c r="B141" s="33">
        <v>2893</v>
      </c>
      <c r="C141" s="34">
        <v>514.28344279294845</v>
      </c>
      <c r="E141" s="62"/>
      <c r="J141" s="3"/>
      <c r="L141"/>
    </row>
    <row r="142" spans="1:12" ht="16.5" thickBot="1" x14ac:dyDescent="0.3">
      <c r="A142" s="29" t="s">
        <v>38</v>
      </c>
      <c r="B142" s="30">
        <v>166</v>
      </c>
      <c r="C142" s="31">
        <v>530.06626506024099</v>
      </c>
      <c r="E142" s="62"/>
      <c r="J142" s="3"/>
      <c r="L142"/>
    </row>
    <row r="143" spans="1:12" ht="16.5" thickBot="1" x14ac:dyDescent="0.3">
      <c r="A143" s="29" t="s">
        <v>181</v>
      </c>
      <c r="B143" s="30">
        <v>2645</v>
      </c>
      <c r="C143" s="31">
        <v>468.1765595463138</v>
      </c>
      <c r="E143" s="62"/>
      <c r="G143"/>
      <c r="J143" s="3"/>
      <c r="L143"/>
    </row>
    <row r="144" spans="1:12" ht="16.5" thickBot="1" x14ac:dyDescent="0.3">
      <c r="A144" s="29" t="s">
        <v>245</v>
      </c>
      <c r="B144" s="30">
        <v>4</v>
      </c>
      <c r="C144" s="31">
        <v>2190.75</v>
      </c>
      <c r="E144" s="62"/>
      <c r="G144"/>
      <c r="J144" s="3"/>
      <c r="L144"/>
    </row>
    <row r="145" spans="1:7" ht="16.5" thickBot="1" x14ac:dyDescent="0.3">
      <c r="A145" s="29" t="s">
        <v>244</v>
      </c>
      <c r="B145" s="30">
        <v>69</v>
      </c>
      <c r="C145" s="31">
        <v>2213</v>
      </c>
      <c r="E145" s="62"/>
      <c r="G145"/>
    </row>
    <row r="146" spans="1:7" ht="16.5" thickBot="1" x14ac:dyDescent="0.3">
      <c r="A146" s="29" t="s">
        <v>256</v>
      </c>
      <c r="B146" s="30">
        <v>9</v>
      </c>
      <c r="C146" s="31">
        <v>4.8888888888888893</v>
      </c>
      <c r="E146" s="62"/>
      <c r="G146"/>
    </row>
    <row r="147" spans="1:7" ht="16.5" thickBot="1" x14ac:dyDescent="0.3">
      <c r="A147" s="32" t="s">
        <v>201</v>
      </c>
      <c r="B147" s="33">
        <v>18875</v>
      </c>
      <c r="C147" s="34">
        <v>722.17785430463573</v>
      </c>
      <c r="E147" s="62"/>
    </row>
    <row r="148" spans="1:7" ht="16.5" thickBot="1" x14ac:dyDescent="0.3">
      <c r="A148" s="29" t="s">
        <v>38</v>
      </c>
      <c r="B148" s="30">
        <v>630</v>
      </c>
      <c r="C148" s="31">
        <v>446.78253968253966</v>
      </c>
      <c r="E148" s="62"/>
    </row>
    <row r="149" spans="1:7" ht="16.5" thickBot="1" x14ac:dyDescent="0.3">
      <c r="A149" s="29" t="s">
        <v>181</v>
      </c>
      <c r="B149" s="30">
        <v>16512</v>
      </c>
      <c r="C149" s="31">
        <v>581.33829941860461</v>
      </c>
      <c r="E149" s="62"/>
    </row>
    <row r="150" spans="1:7" ht="16.5" thickBot="1" x14ac:dyDescent="0.3">
      <c r="A150" s="29" t="s">
        <v>244</v>
      </c>
      <c r="B150" s="30">
        <v>1686</v>
      </c>
      <c r="C150" s="31">
        <v>2224.5468564650059</v>
      </c>
      <c r="D150" s="49"/>
      <c r="E150" s="62"/>
    </row>
    <row r="151" spans="1:7" ht="16.5" thickBot="1" x14ac:dyDescent="0.3">
      <c r="A151" s="29" t="s">
        <v>256</v>
      </c>
      <c r="B151" s="30">
        <v>47</v>
      </c>
      <c r="C151" s="31">
        <v>-0.21276595744680851</v>
      </c>
      <c r="D151" s="49"/>
      <c r="E151" s="62"/>
    </row>
    <row r="152" spans="1:7" ht="16.5" thickBot="1" x14ac:dyDescent="0.3">
      <c r="A152" s="32" t="s">
        <v>202</v>
      </c>
      <c r="B152" s="33">
        <v>7538</v>
      </c>
      <c r="C152" s="34">
        <v>712.71411514990712</v>
      </c>
      <c r="D152" s="49"/>
      <c r="E152" s="55"/>
      <c r="F152"/>
    </row>
    <row r="153" spans="1:7" ht="16.5" thickBot="1" x14ac:dyDescent="0.3">
      <c r="A153" s="29" t="s">
        <v>38</v>
      </c>
      <c r="B153" s="30">
        <v>215</v>
      </c>
      <c r="C153" s="31">
        <v>267.49302325581397</v>
      </c>
      <c r="D153" s="49"/>
      <c r="E153" s="55"/>
      <c r="F153"/>
    </row>
    <row r="154" spans="1:7" ht="16.5" thickBot="1" x14ac:dyDescent="0.3">
      <c r="A154" s="29" t="s">
        <v>181</v>
      </c>
      <c r="B154" s="30">
        <v>7049</v>
      </c>
      <c r="C154" s="31">
        <v>668.10356078876441</v>
      </c>
      <c r="E154" s="55"/>
      <c r="F154"/>
    </row>
    <row r="155" spans="1:7" ht="16.5" thickBot="1" x14ac:dyDescent="0.3">
      <c r="A155" s="29" t="s">
        <v>244</v>
      </c>
      <c r="B155" s="30">
        <v>259</v>
      </c>
      <c r="C155" s="31">
        <v>2337.7374517374519</v>
      </c>
      <c r="E155" s="55"/>
      <c r="F155"/>
    </row>
    <row r="156" spans="1:7" ht="16.5" thickBot="1" x14ac:dyDescent="0.3">
      <c r="A156" s="29" t="s">
        <v>256</v>
      </c>
      <c r="B156" s="30">
        <v>15</v>
      </c>
      <c r="C156" s="31">
        <v>-0.53333333333333333</v>
      </c>
    </row>
    <row r="157" spans="1:7" ht="16.5" thickBot="1" x14ac:dyDescent="0.3">
      <c r="A157" s="32" t="s">
        <v>203</v>
      </c>
      <c r="B157" s="33">
        <v>3758</v>
      </c>
      <c r="C157" s="34">
        <v>844.59020755721133</v>
      </c>
    </row>
    <row r="158" spans="1:7" ht="16.5" thickBot="1" x14ac:dyDescent="0.3">
      <c r="A158" s="29" t="s">
        <v>38</v>
      </c>
      <c r="B158" s="30">
        <v>225</v>
      </c>
      <c r="C158" s="31">
        <v>380.20888888888891</v>
      </c>
    </row>
    <row r="159" spans="1:7" ht="16.5" thickBot="1" x14ac:dyDescent="0.3">
      <c r="A159" s="29" t="s">
        <v>181</v>
      </c>
      <c r="B159" s="30">
        <v>3327</v>
      </c>
      <c r="C159" s="31">
        <v>777.0234445446348</v>
      </c>
    </row>
    <row r="160" spans="1:7" ht="16.5" thickBot="1" x14ac:dyDescent="0.3">
      <c r="A160" s="29" t="s">
        <v>244</v>
      </c>
      <c r="B160" s="30">
        <v>194</v>
      </c>
      <c r="C160" s="31">
        <v>2593.7216494845361</v>
      </c>
    </row>
    <row r="161" spans="1:3" ht="16.5" thickBot="1" x14ac:dyDescent="0.3">
      <c r="A161" s="29" t="s">
        <v>256</v>
      </c>
      <c r="B161" s="30">
        <v>12</v>
      </c>
      <c r="C161" s="31">
        <v>7</v>
      </c>
    </row>
    <row r="162" spans="1:3" ht="16.5" thickBot="1" x14ac:dyDescent="0.3">
      <c r="A162" s="32" t="s">
        <v>237</v>
      </c>
      <c r="B162" s="33">
        <v>3906</v>
      </c>
      <c r="C162" s="34">
        <v>561.70353302611363</v>
      </c>
    </row>
    <row r="163" spans="1:3" ht="16.5" thickBot="1" x14ac:dyDescent="0.3">
      <c r="A163" s="29" t="s">
        <v>38</v>
      </c>
      <c r="B163" s="30">
        <v>368</v>
      </c>
      <c r="C163" s="31">
        <v>482.1603260869565</v>
      </c>
    </row>
    <row r="164" spans="1:3" ht="16.5" thickBot="1" x14ac:dyDescent="0.3">
      <c r="A164" s="29" t="s">
        <v>181</v>
      </c>
      <c r="B164" s="30">
        <v>3476</v>
      </c>
      <c r="C164" s="31">
        <v>576.10040276179518</v>
      </c>
    </row>
    <row r="165" spans="1:3" ht="16.5" thickBot="1" x14ac:dyDescent="0.3">
      <c r="A165" s="29" t="s">
        <v>245</v>
      </c>
      <c r="B165" s="30">
        <v>2</v>
      </c>
      <c r="C165" s="31">
        <v>1852</v>
      </c>
    </row>
    <row r="166" spans="1:3" ht="16.5" thickBot="1" x14ac:dyDescent="0.3">
      <c r="A166" s="29" t="s">
        <v>244</v>
      </c>
      <c r="B166" s="30">
        <v>6</v>
      </c>
      <c r="C166" s="31">
        <v>1536.6666666666667</v>
      </c>
    </row>
    <row r="167" spans="1:3" ht="16.5" thickBot="1" x14ac:dyDescent="0.3">
      <c r="A167" s="73" t="s">
        <v>256</v>
      </c>
      <c r="B167" s="67">
        <v>54</v>
      </c>
      <c r="C167" s="68">
        <v>20.925925925925927</v>
      </c>
    </row>
    <row r="168" spans="1:3" x14ac:dyDescent="0.25">
      <c r="C168" s="62"/>
    </row>
    <row r="169" spans="1:3" x14ac:dyDescent="0.25">
      <c r="C169" s="62"/>
    </row>
    <row r="170" spans="1:3" x14ac:dyDescent="0.25">
      <c r="C170" s="62"/>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topLeftCell="A40" zoomScale="115" zoomScaleNormal="115" zoomScalePageLayoutView="110" workbookViewId="0">
      <selection activeCell="A4" sqref="A4:G4"/>
    </sheetView>
  </sheetViews>
  <sheetFormatPr defaultRowHeight="15.75" x14ac:dyDescent="0.25"/>
  <cols>
    <col min="1" max="1" width="17.5703125" bestFit="1" customWidth="1"/>
    <col min="2" max="2" width="9.7109375" bestFit="1" customWidth="1"/>
    <col min="3" max="3" width="16.5703125" bestFit="1" customWidth="1"/>
    <col min="4" max="4" width="11.7109375" customWidth="1"/>
    <col min="5" max="5" width="20.5703125" customWidth="1"/>
    <col min="6" max="6" width="13.28515625" style="49" customWidth="1"/>
    <col min="7" max="7" width="15.7109375" style="55" customWidth="1"/>
    <col min="8" max="8" width="19.5703125" customWidth="1"/>
    <col min="9" max="9" width="15" customWidth="1"/>
    <col min="12" max="12" width="8.7109375" style="3"/>
  </cols>
  <sheetData>
    <row r="1" spans="1:55" ht="38.65" customHeight="1" x14ac:dyDescent="0.25">
      <c r="A1" s="356" t="s">
        <v>11</v>
      </c>
      <c r="B1" s="356"/>
      <c r="C1" s="356"/>
      <c r="D1" s="356"/>
      <c r="E1" s="356"/>
      <c r="F1" s="356"/>
      <c r="G1" s="35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57" t="s">
        <v>12</v>
      </c>
      <c r="B2" s="357"/>
      <c r="C2" s="357"/>
      <c r="D2" s="357"/>
      <c r="E2" s="357"/>
      <c r="F2" s="357"/>
      <c r="G2" s="35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57"/>
      <c r="B3" s="357"/>
      <c r="C3" s="357"/>
      <c r="D3" s="357"/>
      <c r="E3" s="357"/>
      <c r="F3" s="357"/>
      <c r="G3" s="35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58" t="s">
        <v>264</v>
      </c>
      <c r="B4" s="358"/>
      <c r="C4" s="358"/>
      <c r="D4" s="358"/>
      <c r="E4" s="358"/>
      <c r="F4" s="358"/>
      <c r="G4" s="358"/>
      <c r="H4" s="57"/>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6"/>
      <c r="B5" s="56"/>
      <c r="C5" s="56"/>
      <c r="D5" s="56"/>
      <c r="E5" s="56"/>
      <c r="F5" s="56"/>
      <c r="G5" s="56"/>
      <c r="H5" s="57"/>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8"/>
      <c r="B6" s="58"/>
      <c r="C6" s="58"/>
      <c r="D6" s="3"/>
      <c r="E6" s="3"/>
      <c r="F6" s="41"/>
      <c r="G6" s="50"/>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51" t="s">
        <v>242</v>
      </c>
      <c r="B7" s="351"/>
      <c r="C7" s="351"/>
      <c r="D7" s="59"/>
      <c r="E7" s="3"/>
      <c r="F7" s="41"/>
      <c r="G7" s="50"/>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2" t="s">
        <v>240</v>
      </c>
      <c r="B8" s="22" t="s">
        <v>179</v>
      </c>
      <c r="C8" s="22" t="s">
        <v>241</v>
      </c>
      <c r="D8" s="3"/>
      <c r="E8" s="353" t="s">
        <v>266</v>
      </c>
      <c r="F8" s="353"/>
      <c r="G8" s="353"/>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38</v>
      </c>
      <c r="B9" s="38">
        <v>12576</v>
      </c>
      <c r="C9" s="39">
        <v>34458.240000007179</v>
      </c>
      <c r="D9" s="3"/>
      <c r="E9" s="36" t="s">
        <v>246</v>
      </c>
      <c r="F9" s="42" t="s">
        <v>179</v>
      </c>
      <c r="G9" s="51" t="s">
        <v>247</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181</v>
      </c>
      <c r="B10" s="6">
        <v>173590</v>
      </c>
      <c r="C10" s="23">
        <v>166646.40000008326</v>
      </c>
      <c r="D10" s="3"/>
      <c r="E10" s="37" t="s">
        <v>248</v>
      </c>
      <c r="F10" s="43">
        <v>78716</v>
      </c>
      <c r="G10" s="35">
        <v>0.99099999999999999</v>
      </c>
      <c r="H10" s="3"/>
      <c r="I10" s="66"/>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244</v>
      </c>
      <c r="B11" s="38">
        <v>7320</v>
      </c>
      <c r="C11" s="39">
        <v>1317.5999999999785</v>
      </c>
      <c r="D11" s="3"/>
      <c r="E11" s="37" t="s">
        <v>249</v>
      </c>
      <c r="F11" s="44">
        <v>736</v>
      </c>
      <c r="G11" s="40">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253</v>
      </c>
      <c r="B12" s="38">
        <v>42</v>
      </c>
      <c r="C12" s="39">
        <v>189</v>
      </c>
      <c r="D12" s="3"/>
      <c r="E12" s="5" t="s">
        <v>1</v>
      </c>
      <c r="F12" s="45">
        <v>79452</v>
      </c>
      <c r="G12" s="52">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243</v>
      </c>
      <c r="B13" s="38">
        <v>386</v>
      </c>
      <c r="C13" s="39">
        <v>0</v>
      </c>
      <c r="D13" s="59"/>
      <c r="E13" s="60" t="s">
        <v>257</v>
      </c>
      <c r="F13" s="60"/>
      <c r="G13" s="60"/>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255</v>
      </c>
      <c r="B14" s="6">
        <v>513</v>
      </c>
      <c r="C14" s="23">
        <v>1898.1000000000158</v>
      </c>
      <c r="D14" s="3"/>
      <c r="E14" s="354" t="s">
        <v>250</v>
      </c>
      <c r="F14" s="354"/>
      <c r="G14" s="35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1</v>
      </c>
      <c r="B15" s="7">
        <v>194427</v>
      </c>
      <c r="C15" s="24">
        <v>204509.33999977639</v>
      </c>
      <c r="D15" s="3"/>
      <c r="E15" s="60"/>
      <c r="F15" s="60"/>
      <c r="G15" s="60"/>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19.899999999999999" customHeight="1" x14ac:dyDescent="0.25">
      <c r="A16" s="350" t="s">
        <v>263</v>
      </c>
      <c r="B16" s="350"/>
      <c r="C16" s="350"/>
      <c r="D16" s="3"/>
      <c r="E16" s="60"/>
      <c r="F16" s="60"/>
      <c r="G16" s="60"/>
      <c r="H16" s="3"/>
      <c r="I16" s="66"/>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4" customHeight="1" x14ac:dyDescent="0.25">
      <c r="A17" s="350" t="s">
        <v>252</v>
      </c>
      <c r="B17" s="350"/>
      <c r="C17" s="350"/>
      <c r="D17" s="3"/>
      <c r="E17" s="60"/>
      <c r="F17" s="60"/>
      <c r="G17" s="60"/>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1"/>
      <c r="B18" s="61"/>
      <c r="C18" s="61"/>
      <c r="D18" s="3"/>
      <c r="E18" s="354"/>
      <c r="F18" s="354"/>
      <c r="G18" s="35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51" t="s">
        <v>262</v>
      </c>
      <c r="B19" s="351"/>
      <c r="C19" s="351"/>
      <c r="D19" s="3"/>
      <c r="E19" s="353" t="s">
        <v>265</v>
      </c>
      <c r="F19" s="353"/>
      <c r="G19" s="353"/>
      <c r="H19" s="66"/>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2" t="s">
        <v>178</v>
      </c>
      <c r="B20" s="22" t="s">
        <v>179</v>
      </c>
      <c r="C20" s="22" t="s">
        <v>15</v>
      </c>
      <c r="D20" s="3"/>
      <c r="E20" s="36" t="s">
        <v>246</v>
      </c>
      <c r="F20" s="46" t="s">
        <v>179</v>
      </c>
      <c r="G20" s="53" t="s">
        <v>247</v>
      </c>
      <c r="H20" s="3"/>
      <c r="I20" s="66"/>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180</v>
      </c>
      <c r="B21" s="6">
        <v>85009</v>
      </c>
      <c r="C21" s="63">
        <v>568.94445294027696</v>
      </c>
      <c r="D21" s="3"/>
      <c r="E21" s="37" t="s">
        <v>248</v>
      </c>
      <c r="F21" s="43">
        <v>10679</v>
      </c>
      <c r="G21" s="35">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207</v>
      </c>
      <c r="B22" s="6">
        <v>57</v>
      </c>
      <c r="C22" s="63">
        <v>970.15789473684208</v>
      </c>
      <c r="D22" s="3"/>
      <c r="E22" s="37" t="s">
        <v>249</v>
      </c>
      <c r="F22" s="43">
        <v>736</v>
      </c>
      <c r="G22" s="35">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206</v>
      </c>
      <c r="B23" s="38">
        <v>109297</v>
      </c>
      <c r="C23" s="64">
        <v>532.26144358948557</v>
      </c>
      <c r="D23" s="3"/>
      <c r="E23" s="5" t="s">
        <v>1</v>
      </c>
      <c r="F23" s="45">
        <v>11415</v>
      </c>
      <c r="G23" s="52">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208</v>
      </c>
      <c r="B24">
        <v>64</v>
      </c>
      <c r="C24" s="64">
        <v>1006.453125</v>
      </c>
      <c r="D24" s="3"/>
      <c r="E24" s="354" t="s">
        <v>257</v>
      </c>
      <c r="F24" s="354"/>
      <c r="G24" s="354"/>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4" customHeight="1" x14ac:dyDescent="0.25">
      <c r="A25" s="5" t="s">
        <v>1</v>
      </c>
      <c r="B25" s="7">
        <v>194427</v>
      </c>
      <c r="C25" s="65">
        <v>548.58476446172597</v>
      </c>
      <c r="D25" s="3"/>
      <c r="E25" s="354" t="s">
        <v>250</v>
      </c>
      <c r="F25" s="354"/>
      <c r="G25" s="35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0" t="str">
        <f>A16</f>
        <v>Data from BI Inc. Participants Report, 9.30.2023</v>
      </c>
      <c r="B26" s="350"/>
      <c r="C26" s="350"/>
      <c r="D26" s="66"/>
      <c r="E26" s="58"/>
      <c r="F26" s="47"/>
      <c r="G26" s="50"/>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0" t="s">
        <v>261</v>
      </c>
      <c r="B27" s="350"/>
      <c r="C27" s="350"/>
      <c r="D27" s="66"/>
      <c r="F27" s="48"/>
      <c r="G27" s="54"/>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55"/>
      <c r="B28" s="355"/>
      <c r="C28" s="355"/>
      <c r="D28" s="3"/>
      <c r="E28" s="3"/>
      <c r="F28" s="41"/>
      <c r="G28" s="50"/>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55"/>
      <c r="B29" s="355"/>
      <c r="C29" s="355"/>
      <c r="D29" s="3"/>
      <c r="E29" s="3"/>
      <c r="F29" s="41"/>
      <c r="G29" s="50"/>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4" customHeight="1" thickBot="1" x14ac:dyDescent="0.3">
      <c r="A30" s="355" t="s">
        <v>260</v>
      </c>
      <c r="B30" s="355"/>
      <c r="C30" s="355"/>
      <c r="D30" s="3"/>
      <c r="E30" s="3"/>
      <c r="F30" s="41"/>
      <c r="G30" s="50"/>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25" t="s">
        <v>210</v>
      </c>
      <c r="B31" s="25" t="s">
        <v>179</v>
      </c>
      <c r="C31" s="25" t="s">
        <v>211</v>
      </c>
      <c r="D31" s="3"/>
      <c r="E31" s="3"/>
      <c r="F31" s="41"/>
      <c r="G31" s="50"/>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6" t="s">
        <v>1</v>
      </c>
      <c r="B32" s="27">
        <v>194427</v>
      </c>
      <c r="C32" s="28">
        <v>548.58476446172597</v>
      </c>
      <c r="D32" s="14"/>
      <c r="E32" s="3"/>
      <c r="F32" s="41"/>
      <c r="G32" s="50"/>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2" t="s">
        <v>182</v>
      </c>
      <c r="B33" s="33">
        <v>5244</v>
      </c>
      <c r="C33" s="34">
        <v>654.05949656750568</v>
      </c>
      <c r="E33" s="3"/>
      <c r="F33" s="41"/>
      <c r="G33" s="50"/>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9" t="s">
        <v>38</v>
      </c>
      <c r="B34" s="30">
        <v>309</v>
      </c>
      <c r="C34" s="31">
        <v>485.43042071197414</v>
      </c>
      <c r="E34" s="3"/>
      <c r="F34" s="41"/>
      <c r="G34" s="50"/>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9" t="s">
        <v>181</v>
      </c>
      <c r="B35" s="30">
        <v>4633</v>
      </c>
      <c r="C35" s="31">
        <v>575.50960500755446</v>
      </c>
      <c r="E35" s="62"/>
      <c r="F35" s="41"/>
      <c r="G35" s="50"/>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9" t="s">
        <v>244</v>
      </c>
      <c r="B36" s="30">
        <v>285</v>
      </c>
      <c r="C36" s="31">
        <v>2151.6666666666665</v>
      </c>
      <c r="E36" s="62"/>
      <c r="F36" s="41"/>
      <c r="G36" s="50"/>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9" t="s">
        <v>256</v>
      </c>
      <c r="B37" s="30">
        <v>17</v>
      </c>
      <c r="C37" s="31">
        <v>19.352941176470587</v>
      </c>
      <c r="E37" s="62"/>
      <c r="F37" s="41"/>
      <c r="G37" s="50"/>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32" t="s">
        <v>183</v>
      </c>
      <c r="B38" s="33">
        <v>3551</v>
      </c>
      <c r="C38" s="34">
        <v>564.00478738383549</v>
      </c>
      <c r="E38" s="62"/>
      <c r="F38" s="41"/>
      <c r="G38" s="50"/>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29" t="s">
        <v>38</v>
      </c>
      <c r="B39" s="30">
        <v>124</v>
      </c>
      <c r="C39" s="31">
        <v>292.16935483870969</v>
      </c>
      <c r="E39" s="62"/>
      <c r="F39" s="41"/>
      <c r="G39" s="50"/>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9" t="s">
        <v>181</v>
      </c>
      <c r="B40" s="30">
        <v>3361</v>
      </c>
      <c r="C40" s="31">
        <v>571.9485272240405</v>
      </c>
      <c r="E40" s="62"/>
      <c r="F40" s="41"/>
      <c r="G40" s="50"/>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9" t="s">
        <v>245</v>
      </c>
      <c r="B41" s="30">
        <v>1</v>
      </c>
      <c r="C41" s="31">
        <v>35</v>
      </c>
      <c r="D41" s="14"/>
      <c r="E41" s="62"/>
      <c r="F41" s="41"/>
      <c r="G41" s="50"/>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9" t="s">
        <v>244</v>
      </c>
      <c r="B42" s="30">
        <v>27</v>
      </c>
      <c r="C42" s="31">
        <v>1595.4814814814815</v>
      </c>
      <c r="E42" s="62"/>
      <c r="F42" s="41"/>
      <c r="G42" s="50"/>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29" t="s">
        <v>256</v>
      </c>
      <c r="B43" s="30">
        <v>38</v>
      </c>
      <c r="C43" s="31">
        <v>29.473684210526315</v>
      </c>
      <c r="E43" s="62"/>
      <c r="F43" s="41"/>
      <c r="G43" s="50"/>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32" t="s">
        <v>184</v>
      </c>
      <c r="B44" s="33">
        <v>7048</v>
      </c>
      <c r="C44" s="34">
        <v>482.88351305334845</v>
      </c>
      <c r="E44" s="62"/>
      <c r="F44" s="41"/>
      <c r="G44" s="50"/>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29" t="s">
        <v>38</v>
      </c>
      <c r="B45" s="30">
        <v>113</v>
      </c>
      <c r="C45" s="31">
        <v>409.69026548672565</v>
      </c>
      <c r="E45" s="62"/>
      <c r="F45" s="41"/>
      <c r="G45" s="50"/>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9" t="s">
        <v>181</v>
      </c>
      <c r="B46" s="30">
        <v>6905</v>
      </c>
      <c r="C46" s="31">
        <v>485.80318609703113</v>
      </c>
      <c r="E46" s="62"/>
      <c r="F46" s="41"/>
      <c r="G46" s="50"/>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9" t="s">
        <v>244</v>
      </c>
      <c r="B47" s="30">
        <v>2</v>
      </c>
      <c r="C47" s="31">
        <v>967</v>
      </c>
      <c r="E47" s="62"/>
      <c r="F47" s="41"/>
      <c r="G47" s="50"/>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29" t="s">
        <v>256</v>
      </c>
      <c r="B48" s="30">
        <v>28</v>
      </c>
      <c r="C48" s="31">
        <v>23.678571428571427</v>
      </c>
      <c r="E48" s="62"/>
      <c r="F48" s="41"/>
      <c r="G48" s="50"/>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32" t="s">
        <v>185</v>
      </c>
      <c r="B49" s="33">
        <v>602</v>
      </c>
      <c r="C49" s="34">
        <v>947.98172757475083</v>
      </c>
      <c r="E49" s="62"/>
      <c r="F49" s="41"/>
      <c r="G49" s="50"/>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9" t="s">
        <v>38</v>
      </c>
      <c r="B50" s="30">
        <v>9</v>
      </c>
      <c r="C50" s="31">
        <v>147</v>
      </c>
      <c r="E50" s="62"/>
      <c r="F50" s="41"/>
      <c r="G50" s="50"/>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29" t="s">
        <v>181</v>
      </c>
      <c r="B51" s="30">
        <v>340</v>
      </c>
      <c r="C51" s="31">
        <v>355.90588235294115</v>
      </c>
      <c r="E51" s="62"/>
      <c r="F51" s="41"/>
      <c r="G51" s="50"/>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29" t="s">
        <v>244</v>
      </c>
      <c r="B52" s="30">
        <v>253</v>
      </c>
      <c r="C52" s="31">
        <v>1772.1501976284585</v>
      </c>
      <c r="E52" s="62"/>
      <c r="F52" s="41"/>
      <c r="G52" s="50"/>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32" t="s">
        <v>186</v>
      </c>
      <c r="B53" s="33">
        <v>13882</v>
      </c>
      <c r="C53" s="34">
        <v>695.04372568794122</v>
      </c>
      <c r="E53" s="62"/>
      <c r="F53" s="41"/>
      <c r="G53" s="50"/>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9" t="s">
        <v>38</v>
      </c>
      <c r="B54" s="30">
        <v>430</v>
      </c>
      <c r="C54" s="31">
        <v>306.57674418604654</v>
      </c>
      <c r="D54" s="14"/>
      <c r="E54" s="62"/>
      <c r="F54" s="41"/>
      <c r="G54" s="50"/>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9" t="s">
        <v>181</v>
      </c>
      <c r="B55" s="30">
        <v>12698</v>
      </c>
      <c r="C55" s="31">
        <v>620.19459757442121</v>
      </c>
      <c r="E55" s="62"/>
      <c r="F55" s="41"/>
      <c r="G55" s="50"/>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29" t="s">
        <v>245</v>
      </c>
      <c r="B56" s="30">
        <v>3</v>
      </c>
      <c r="C56" s="31">
        <v>277</v>
      </c>
      <c r="E56" s="62"/>
      <c r="F56" s="41"/>
      <c r="G56" s="50"/>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29" t="s">
        <v>244</v>
      </c>
      <c r="B57" s="30">
        <v>708</v>
      </c>
      <c r="C57" s="31">
        <v>2316.0395480225989</v>
      </c>
      <c r="E57" s="62"/>
      <c r="F57" s="41"/>
      <c r="G57" s="50"/>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9" t="s">
        <v>256</v>
      </c>
      <c r="B58" s="30">
        <v>43</v>
      </c>
      <c r="C58" s="31">
        <v>22.11627906976744</v>
      </c>
      <c r="E58" s="62"/>
      <c r="F58" s="41"/>
      <c r="G58" s="50"/>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32" t="s">
        <v>187</v>
      </c>
      <c r="B59" s="33">
        <v>2358</v>
      </c>
      <c r="C59" s="34">
        <v>471.02417302798983</v>
      </c>
      <c r="E59" s="62"/>
      <c r="F59" s="41"/>
      <c r="G59" s="50"/>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9" t="s">
        <v>38</v>
      </c>
      <c r="B60" s="30">
        <v>156</v>
      </c>
      <c r="C60" s="31">
        <v>192.23717948717947</v>
      </c>
      <c r="E60" s="62"/>
      <c r="F60" s="41"/>
      <c r="G60" s="50"/>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9" t="s">
        <v>181</v>
      </c>
      <c r="B61" s="30">
        <v>2191</v>
      </c>
      <c r="C61" s="31">
        <v>491.06298493838432</v>
      </c>
      <c r="E61" s="62"/>
      <c r="F61" s="41"/>
      <c r="G61" s="50"/>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9" t="s">
        <v>245</v>
      </c>
      <c r="B62" s="30">
        <v>1</v>
      </c>
      <c r="C62" s="31">
        <v>59</v>
      </c>
      <c r="E62" s="62"/>
      <c r="F62" s="41"/>
      <c r="G62" s="50"/>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29" t="s">
        <v>244</v>
      </c>
      <c r="B63" s="30">
        <v>3</v>
      </c>
      <c r="C63" s="31">
        <v>1554.3333333333333</v>
      </c>
      <c r="E63" s="62"/>
      <c r="F63" s="41"/>
      <c r="G63" s="50"/>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29" t="s">
        <v>256</v>
      </c>
      <c r="B64" s="30">
        <v>7</v>
      </c>
      <c r="C64" s="31">
        <v>6.4285714285714288</v>
      </c>
      <c r="E64" s="62"/>
      <c r="F64" s="41"/>
      <c r="G64" s="50"/>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32" t="s">
        <v>188</v>
      </c>
      <c r="B65" s="33">
        <v>2924</v>
      </c>
      <c r="C65" s="34">
        <v>511.68125854993161</v>
      </c>
      <c r="E65" s="62"/>
      <c r="F65" s="41"/>
      <c r="G65" s="50"/>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29" t="s">
        <v>38</v>
      </c>
      <c r="B66" s="30">
        <v>26</v>
      </c>
      <c r="C66" s="31">
        <v>306.07692307692309</v>
      </c>
      <c r="E66" s="62"/>
      <c r="F66" s="41"/>
      <c r="G66" s="50"/>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9" t="s">
        <v>181</v>
      </c>
      <c r="B67" s="30">
        <v>2797</v>
      </c>
      <c r="C67" s="31">
        <v>478.07293528780838</v>
      </c>
      <c r="E67" s="62"/>
      <c r="F67" s="41"/>
      <c r="G67" s="50"/>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649999999999999" customHeight="1" thickBot="1" x14ac:dyDescent="0.3">
      <c r="A68" s="29" t="s">
        <v>254</v>
      </c>
      <c r="B68" s="30">
        <v>17</v>
      </c>
      <c r="C68" s="31">
        <v>920.76470588235293</v>
      </c>
      <c r="E68" s="62"/>
      <c r="F68" s="41"/>
      <c r="G68" s="50"/>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29" t="s">
        <v>244</v>
      </c>
      <c r="B69" s="30">
        <v>61</v>
      </c>
      <c r="C69" s="31">
        <v>2204.7213114754099</v>
      </c>
      <c r="E69" s="62"/>
      <c r="F69" s="41"/>
      <c r="G69" s="50"/>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29" t="s">
        <v>256</v>
      </c>
      <c r="B70" s="69">
        <v>23</v>
      </c>
      <c r="C70" s="70">
        <v>38.565217391304351</v>
      </c>
      <c r="E70" s="62"/>
      <c r="F70" s="41"/>
      <c r="G70" s="50"/>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32" t="s">
        <v>251</v>
      </c>
      <c r="B71" s="71">
        <v>10017</v>
      </c>
      <c r="C71" s="72">
        <v>833.78147149845267</v>
      </c>
      <c r="E71" s="62"/>
      <c r="F71" s="41"/>
      <c r="G71" s="50"/>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9" t="s">
        <v>38</v>
      </c>
      <c r="B72" s="30">
        <v>94</v>
      </c>
      <c r="C72" s="31">
        <v>487.39361702127661</v>
      </c>
      <c r="E72" s="62"/>
      <c r="F72" s="41"/>
      <c r="G72" s="50"/>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29" t="s">
        <v>181</v>
      </c>
      <c r="B73" s="30">
        <v>9343</v>
      </c>
      <c r="C73" s="31">
        <v>732.12126725891039</v>
      </c>
      <c r="E73" s="62"/>
      <c r="F73" s="41"/>
      <c r="G73" s="50"/>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9" t="s">
        <v>244</v>
      </c>
      <c r="B74" s="30">
        <v>580</v>
      </c>
      <c r="C74" s="31">
        <v>2527.5258620689656</v>
      </c>
      <c r="E74" s="62"/>
      <c r="F74" s="41"/>
      <c r="G74" s="50"/>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32" t="s">
        <v>189</v>
      </c>
      <c r="B75" s="33">
        <v>2935</v>
      </c>
      <c r="C75" s="34">
        <v>263.14344122657582</v>
      </c>
      <c r="E75" s="62"/>
      <c r="F75" s="41"/>
      <c r="G75" s="50"/>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9" t="s">
        <v>38</v>
      </c>
      <c r="B76" s="30">
        <v>1183</v>
      </c>
      <c r="C76" s="31">
        <v>51.449704142011832</v>
      </c>
      <c r="E76" s="62"/>
      <c r="F76" s="41"/>
      <c r="G76" s="50"/>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9" t="s">
        <v>181</v>
      </c>
      <c r="B77" s="30">
        <v>1558</v>
      </c>
      <c r="C77" s="31">
        <v>280.13414634146341</v>
      </c>
      <c r="E77" s="62"/>
      <c r="F77" s="41"/>
      <c r="G77" s="50"/>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9" t="s">
        <v>244</v>
      </c>
      <c r="B78" s="30">
        <v>192</v>
      </c>
      <c r="C78" s="31">
        <v>1431.8072916666667</v>
      </c>
      <c r="D78" s="14"/>
      <c r="E78" s="62"/>
      <c r="F78" s="41"/>
      <c r="G78" s="50"/>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29" t="s">
        <v>256</v>
      </c>
      <c r="B79" s="30">
        <v>2</v>
      </c>
      <c r="C79" s="31">
        <v>52.5</v>
      </c>
      <c r="E79" s="62"/>
      <c r="F79" s="41"/>
      <c r="G79" s="50"/>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32" t="s">
        <v>239</v>
      </c>
      <c r="B80" s="33">
        <v>13995</v>
      </c>
      <c r="C80" s="34">
        <v>212.84194355126832</v>
      </c>
      <c r="E80" s="62"/>
      <c r="F80" s="41"/>
      <c r="G80" s="50"/>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29" t="s">
        <v>38</v>
      </c>
      <c r="B81" s="30">
        <v>2814</v>
      </c>
      <c r="C81" s="31">
        <v>33.760483297796732</v>
      </c>
      <c r="E81" s="62"/>
      <c r="F81" s="41"/>
      <c r="G81" s="50"/>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9" t="s">
        <v>181</v>
      </c>
      <c r="B82" s="30">
        <v>11025</v>
      </c>
      <c r="C82" s="31">
        <v>257.81396825396826</v>
      </c>
      <c r="E82" s="62"/>
      <c r="F82" s="41"/>
      <c r="G82" s="50"/>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9" t="s">
        <v>245</v>
      </c>
      <c r="B83" s="30">
        <v>122</v>
      </c>
      <c r="C83" s="31">
        <v>331.13934426229508</v>
      </c>
      <c r="E83" s="62"/>
      <c r="F83" s="41"/>
      <c r="G83" s="50"/>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9" t="s">
        <v>244</v>
      </c>
      <c r="B84" s="30">
        <v>1</v>
      </c>
      <c r="C84" s="31">
        <v>638</v>
      </c>
      <c r="E84" s="62"/>
      <c r="F84" s="41"/>
      <c r="G84" s="50"/>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29" t="s">
        <v>256</v>
      </c>
      <c r="B85" s="30">
        <v>33</v>
      </c>
      <c r="C85" s="31">
        <v>8.6363636363636367</v>
      </c>
      <c r="E85" s="62"/>
      <c r="F85" s="41"/>
      <c r="G85" s="50"/>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32" t="s">
        <v>190</v>
      </c>
      <c r="B86" s="33">
        <v>2727</v>
      </c>
      <c r="C86" s="34">
        <v>363.58635863586358</v>
      </c>
      <c r="E86" s="62"/>
      <c r="F86" s="41"/>
      <c r="G86" s="50"/>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29" t="s">
        <v>38</v>
      </c>
      <c r="B87" s="30">
        <v>354</v>
      </c>
      <c r="C87" s="31">
        <v>389.16101694915255</v>
      </c>
      <c r="E87" s="62"/>
      <c r="F87" s="41"/>
      <c r="G87" s="50"/>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29" t="s">
        <v>181</v>
      </c>
      <c r="B88" s="30">
        <v>2365</v>
      </c>
      <c r="C88" s="31">
        <v>360.93023255813955</v>
      </c>
      <c r="E88" s="62"/>
      <c r="F88" s="41"/>
      <c r="G88" s="50"/>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9" t="s">
        <v>256</v>
      </c>
      <c r="B89" s="30">
        <v>8</v>
      </c>
      <c r="C89" s="31">
        <v>17.125</v>
      </c>
      <c r="E89" s="62"/>
      <c r="F89" s="41"/>
      <c r="G89" s="50"/>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32" t="s">
        <v>191</v>
      </c>
      <c r="B90" s="33">
        <v>11440</v>
      </c>
      <c r="C90" s="34">
        <v>509.98505244755245</v>
      </c>
      <c r="E90" s="62"/>
      <c r="F90" s="41"/>
      <c r="G90" s="50"/>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9" t="s">
        <v>38</v>
      </c>
      <c r="B91" s="30">
        <v>605</v>
      </c>
      <c r="C91" s="31">
        <v>262.33719008264461</v>
      </c>
      <c r="E91" s="62"/>
      <c r="F91" s="41"/>
      <c r="G91" s="50"/>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29" t="s">
        <v>181</v>
      </c>
      <c r="B92" s="30">
        <v>9834</v>
      </c>
      <c r="C92" s="31">
        <v>414.74577994712223</v>
      </c>
      <c r="E92" s="62"/>
      <c r="F92" s="41"/>
      <c r="G92" s="50"/>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29" t="s">
        <v>254</v>
      </c>
      <c r="B93" s="30">
        <v>25</v>
      </c>
      <c r="C93" s="31">
        <v>584.44000000000005</v>
      </c>
      <c r="E93" s="62"/>
      <c r="F93" s="41"/>
      <c r="G93" s="50"/>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29" t="s">
        <v>244</v>
      </c>
      <c r="B94" s="30">
        <v>935</v>
      </c>
      <c r="C94" s="31">
        <v>1691.614973262032</v>
      </c>
      <c r="E94" s="62"/>
      <c r="F94" s="41"/>
      <c r="G94" s="50"/>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9" t="s">
        <v>256</v>
      </c>
      <c r="B95" s="30">
        <v>41</v>
      </c>
      <c r="C95" s="31">
        <v>15.463414634146341</v>
      </c>
      <c r="E95" s="62"/>
      <c r="F95" s="41"/>
      <c r="G95" s="50"/>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32" t="s">
        <v>192</v>
      </c>
      <c r="B96" s="33">
        <v>18321</v>
      </c>
      <c r="C96" s="34">
        <v>437.57595109437256</v>
      </c>
      <c r="E96" s="62"/>
      <c r="F96" s="41"/>
      <c r="G96" s="50"/>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9" t="s">
        <v>38</v>
      </c>
      <c r="B97" s="30">
        <v>433</v>
      </c>
      <c r="C97" s="31">
        <v>325.32332563510391</v>
      </c>
      <c r="E97" s="62"/>
      <c r="F97" s="41"/>
      <c r="G97" s="50"/>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29" t="s">
        <v>181</v>
      </c>
      <c r="B98" s="30">
        <v>17856</v>
      </c>
      <c r="C98" s="31">
        <v>439.99036738351253</v>
      </c>
      <c r="E98" s="62"/>
      <c r="F98" s="41"/>
      <c r="G98" s="50"/>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29" t="s">
        <v>245</v>
      </c>
      <c r="B99" s="30">
        <v>1</v>
      </c>
      <c r="C99" s="31">
        <v>297</v>
      </c>
      <c r="E99" s="62"/>
      <c r="F99" s="41"/>
      <c r="G99" s="50"/>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29" t="s">
        <v>244</v>
      </c>
      <c r="B100" s="30">
        <v>15</v>
      </c>
      <c r="C100" s="31">
        <v>1270.0666666666666</v>
      </c>
      <c r="E100" s="62"/>
      <c r="F100" s="41"/>
      <c r="G100" s="50"/>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9" t="s">
        <v>256</v>
      </c>
      <c r="B101" s="30">
        <v>16</v>
      </c>
      <c r="C101" s="31">
        <v>9.25</v>
      </c>
      <c r="E101" s="62"/>
      <c r="F101" s="41"/>
      <c r="G101" s="50"/>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32" t="s">
        <v>193</v>
      </c>
      <c r="B102" s="33">
        <v>4817</v>
      </c>
      <c r="C102" s="34">
        <v>553.03383848868589</v>
      </c>
      <c r="E102" s="62"/>
      <c r="F102" s="41"/>
      <c r="G102" s="50"/>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9" t="s">
        <v>38</v>
      </c>
      <c r="B103" s="30">
        <v>215</v>
      </c>
      <c r="C103" s="31">
        <v>263.2</v>
      </c>
      <c r="E103" s="62"/>
      <c r="F103" s="41"/>
      <c r="G103" s="50"/>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29" t="s">
        <v>181</v>
      </c>
      <c r="B104" s="30">
        <v>4532</v>
      </c>
      <c r="C104" s="31">
        <v>561.24183583406887</v>
      </c>
      <c r="E104" s="62"/>
      <c r="F104" s="41"/>
      <c r="G104" s="50"/>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29" t="s">
        <v>244</v>
      </c>
      <c r="B105" s="30">
        <v>35</v>
      </c>
      <c r="C105" s="31">
        <v>1799.9428571428571</v>
      </c>
      <c r="E105" s="62"/>
      <c r="F105" s="41"/>
      <c r="G105" s="50"/>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9" t="s">
        <v>256</v>
      </c>
      <c r="B106" s="30">
        <v>35</v>
      </c>
      <c r="C106" s="31">
        <v>23.714285714285715</v>
      </c>
      <c r="E106" s="62"/>
      <c r="F106" s="41"/>
      <c r="G106" s="50"/>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32" t="s">
        <v>194</v>
      </c>
      <c r="B107" s="33">
        <v>8818</v>
      </c>
      <c r="C107" s="34">
        <v>557.04184622363346</v>
      </c>
      <c r="E107" s="62"/>
      <c r="F107" s="41"/>
      <c r="G107" s="50"/>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9" t="s">
        <v>38</v>
      </c>
      <c r="B108" s="30">
        <v>362</v>
      </c>
      <c r="C108" s="31">
        <v>525.07182320441984</v>
      </c>
      <c r="E108" s="62"/>
      <c r="F108" s="41"/>
      <c r="G108" s="50"/>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9" t="s">
        <v>181</v>
      </c>
      <c r="B109" s="30">
        <v>8279</v>
      </c>
      <c r="C109" s="31">
        <v>525.00555622659738</v>
      </c>
      <c r="E109" s="62"/>
      <c r="F109" s="41"/>
      <c r="G109" s="50"/>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29" t="s">
        <v>245</v>
      </c>
      <c r="B110" s="30">
        <v>2</v>
      </c>
      <c r="C110" s="31">
        <v>483.5</v>
      </c>
      <c r="E110" s="62"/>
      <c r="F110" s="41"/>
      <c r="G110" s="50"/>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29" t="s">
        <v>244</v>
      </c>
      <c r="B111" s="30">
        <v>175</v>
      </c>
      <c r="C111" s="31">
        <v>2139.6057142857144</v>
      </c>
      <c r="E111" s="62"/>
      <c r="F111" s="41"/>
      <c r="G111" s="50"/>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32" t="s">
        <v>195</v>
      </c>
      <c r="B112" s="33">
        <v>14081</v>
      </c>
      <c r="C112" s="34">
        <v>813.29365812087212</v>
      </c>
      <c r="E112" s="62"/>
      <c r="F112" s="41"/>
      <c r="G112" s="50"/>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9" t="s">
        <v>38</v>
      </c>
      <c r="B113" s="30">
        <v>244</v>
      </c>
      <c r="C113" s="31">
        <v>422.28278688524591</v>
      </c>
      <c r="E113" s="62"/>
      <c r="F113" s="41"/>
      <c r="G113" s="50"/>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9" t="s">
        <v>181</v>
      </c>
      <c r="B114" s="30">
        <v>12587</v>
      </c>
      <c r="C114" s="31">
        <v>669.79820449670297</v>
      </c>
      <c r="E114" s="62"/>
      <c r="F114" s="41"/>
      <c r="G114" s="50"/>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29" t="s">
        <v>245</v>
      </c>
      <c r="B115" s="30">
        <v>6</v>
      </c>
      <c r="C115" s="31">
        <v>1111.8333333333333</v>
      </c>
      <c r="E115" s="62"/>
      <c r="F115" s="41"/>
      <c r="G115" s="50"/>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29" t="s">
        <v>244</v>
      </c>
      <c r="B116" s="30">
        <v>1177</v>
      </c>
      <c r="C116" s="31">
        <v>2472.1971112999149</v>
      </c>
      <c r="E116" s="62"/>
      <c r="F116" s="41"/>
      <c r="G116" s="50"/>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29" t="s">
        <v>256</v>
      </c>
      <c r="B117" s="30">
        <v>67</v>
      </c>
      <c r="C117" s="31">
        <v>26.17910447761194</v>
      </c>
      <c r="E117" s="62"/>
      <c r="F117" s="41"/>
      <c r="G117" s="50"/>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32" t="s">
        <v>196</v>
      </c>
      <c r="B118" s="33">
        <v>8413</v>
      </c>
      <c r="C118" s="34">
        <v>499.55877808154048</v>
      </c>
      <c r="E118" s="62"/>
      <c r="F118" s="41"/>
      <c r="G118" s="50"/>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9" t="s">
        <v>38</v>
      </c>
      <c r="B119" s="30">
        <v>22</v>
      </c>
      <c r="C119" s="31">
        <v>507.54545454545456</v>
      </c>
      <c r="E119" s="62"/>
      <c r="F119" s="41"/>
      <c r="G119" s="50"/>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29" t="s">
        <v>181</v>
      </c>
      <c r="B120" s="30">
        <v>8370</v>
      </c>
      <c r="C120" s="31">
        <v>496.88972520908004</v>
      </c>
      <c r="E120" s="62"/>
      <c r="F120" s="41"/>
      <c r="G120" s="50"/>
      <c r="L120"/>
    </row>
    <row r="121" spans="1:55" ht="16.5" thickBot="1" x14ac:dyDescent="0.3">
      <c r="A121" s="29" t="s">
        <v>244</v>
      </c>
      <c r="B121" s="30">
        <v>18</v>
      </c>
      <c r="C121" s="31">
        <v>1811.6111111111111</v>
      </c>
      <c r="E121" s="62"/>
      <c r="F121" s="41"/>
      <c r="G121" s="50"/>
    </row>
    <row r="122" spans="1:55" ht="16.5" thickBot="1" x14ac:dyDescent="0.3">
      <c r="A122" s="29" t="s">
        <v>256</v>
      </c>
      <c r="B122" s="30">
        <v>3</v>
      </c>
      <c r="C122" s="31">
        <v>15.333333333333334</v>
      </c>
      <c r="E122" s="62"/>
      <c r="F122" s="41"/>
      <c r="G122" s="50"/>
    </row>
    <row r="123" spans="1:55" ht="16.5" thickBot="1" x14ac:dyDescent="0.3">
      <c r="A123" s="32" t="s">
        <v>197</v>
      </c>
      <c r="B123" s="33">
        <v>6172</v>
      </c>
      <c r="C123" s="34">
        <v>163.50826312378484</v>
      </c>
      <c r="E123" s="62"/>
      <c r="F123" s="41"/>
    </row>
    <row r="124" spans="1:55" ht="16.5" thickBot="1" x14ac:dyDescent="0.3">
      <c r="A124" s="29" t="s">
        <v>38</v>
      </c>
      <c r="B124" s="30">
        <v>112</v>
      </c>
      <c r="C124" s="31">
        <v>138.26785714285714</v>
      </c>
      <c r="E124" s="62"/>
      <c r="F124" s="41"/>
    </row>
    <row r="125" spans="1:55" ht="16.5" thickBot="1" x14ac:dyDescent="0.3">
      <c r="A125" s="29" t="s">
        <v>181</v>
      </c>
      <c r="B125" s="30">
        <v>5957</v>
      </c>
      <c r="C125" s="31">
        <v>165.27060600973644</v>
      </c>
      <c r="E125" s="62"/>
      <c r="F125" s="41"/>
    </row>
    <row r="126" spans="1:55" ht="16.5" thickBot="1" x14ac:dyDescent="0.3">
      <c r="A126" s="29" t="s">
        <v>245</v>
      </c>
      <c r="B126" s="30">
        <v>28</v>
      </c>
      <c r="C126" s="31">
        <v>309.10714285714283</v>
      </c>
      <c r="E126" s="62"/>
      <c r="F126" s="41"/>
    </row>
    <row r="127" spans="1:55" ht="16.5" thickBot="1" x14ac:dyDescent="0.3">
      <c r="A127" s="29" t="s">
        <v>256</v>
      </c>
      <c r="B127" s="30">
        <v>75</v>
      </c>
      <c r="C127" s="31">
        <v>6.8666666666666663</v>
      </c>
      <c r="E127" s="62"/>
      <c r="F127" s="41"/>
    </row>
    <row r="128" spans="1:55" ht="16.5" thickBot="1" x14ac:dyDescent="0.3">
      <c r="A128" s="32" t="s">
        <v>198</v>
      </c>
      <c r="B128" s="33">
        <v>7152</v>
      </c>
      <c r="C128" s="34">
        <v>623.78159955257274</v>
      </c>
      <c r="E128" s="62"/>
      <c r="F128" s="41"/>
    </row>
    <row r="129" spans="1:12" ht="16.5" thickBot="1" x14ac:dyDescent="0.3">
      <c r="A129" s="29" t="s">
        <v>38</v>
      </c>
      <c r="B129" s="30">
        <v>76</v>
      </c>
      <c r="C129" s="31">
        <v>591.77631578947364</v>
      </c>
      <c r="E129" s="62"/>
      <c r="F129" s="41"/>
    </row>
    <row r="130" spans="1:12" ht="16.5" thickBot="1" x14ac:dyDescent="0.3">
      <c r="A130" s="29" t="s">
        <v>181</v>
      </c>
      <c r="B130" s="30">
        <v>6975</v>
      </c>
      <c r="C130" s="31">
        <v>606.56888888888886</v>
      </c>
      <c r="E130" s="62"/>
      <c r="F130" s="41"/>
    </row>
    <row r="131" spans="1:12" ht="16.5" thickBot="1" x14ac:dyDescent="0.3">
      <c r="A131" s="29" t="s">
        <v>244</v>
      </c>
      <c r="B131" s="30">
        <v>94</v>
      </c>
      <c r="C131" s="31">
        <v>1972.1914893617022</v>
      </c>
      <c r="E131" s="62"/>
      <c r="F131" s="41"/>
    </row>
    <row r="132" spans="1:12" ht="16.5" thickBot="1" x14ac:dyDescent="0.3">
      <c r="A132" s="29" t="s">
        <v>256</v>
      </c>
      <c r="B132" s="30">
        <v>7</v>
      </c>
      <c r="C132" s="31">
        <v>15.285714285714286</v>
      </c>
      <c r="E132" s="62"/>
      <c r="F132" s="41"/>
    </row>
    <row r="133" spans="1:12" ht="16.5" thickBot="1" x14ac:dyDescent="0.3">
      <c r="A133" s="32" t="s">
        <v>199</v>
      </c>
      <c r="B133" s="33">
        <v>13088</v>
      </c>
      <c r="C133" s="34">
        <v>183.99258863080684</v>
      </c>
      <c r="E133" s="62"/>
      <c r="F133" s="41"/>
    </row>
    <row r="134" spans="1:12" ht="16.5" thickBot="1" x14ac:dyDescent="0.3">
      <c r="A134" s="29" t="s">
        <v>38</v>
      </c>
      <c r="B134" s="30">
        <v>3417</v>
      </c>
      <c r="C134" s="31">
        <v>29.441322797775825</v>
      </c>
      <c r="E134" s="62"/>
      <c r="F134" s="41"/>
    </row>
    <row r="135" spans="1:12" ht="16.5" thickBot="1" x14ac:dyDescent="0.3">
      <c r="A135" s="29" t="s">
        <v>181</v>
      </c>
      <c r="B135" s="30">
        <v>9412</v>
      </c>
      <c r="C135" s="31">
        <v>234.84360390990224</v>
      </c>
      <c r="E135" s="62"/>
      <c r="F135" s="41"/>
    </row>
    <row r="136" spans="1:12" ht="16.5" thickBot="1" x14ac:dyDescent="0.3">
      <c r="A136" s="29" t="s">
        <v>245</v>
      </c>
      <c r="B136" s="30">
        <v>214</v>
      </c>
      <c r="C136" s="31">
        <v>350.24299065420558</v>
      </c>
      <c r="E136" s="62"/>
      <c r="F136" s="41"/>
    </row>
    <row r="137" spans="1:12" ht="16.5" thickBot="1" x14ac:dyDescent="0.3">
      <c r="A137" s="29" t="s">
        <v>244</v>
      </c>
      <c r="B137" s="30">
        <v>33</v>
      </c>
      <c r="C137" s="31">
        <v>663.78787878787875</v>
      </c>
      <c r="E137" s="62"/>
      <c r="F137" s="41"/>
    </row>
    <row r="138" spans="1:12" ht="16.5" thickBot="1" x14ac:dyDescent="0.3">
      <c r="A138" s="29" t="s">
        <v>256</v>
      </c>
      <c r="B138" s="30">
        <v>12</v>
      </c>
      <c r="C138" s="31">
        <v>24.083333333333332</v>
      </c>
      <c r="E138" s="62"/>
      <c r="F138" s="41"/>
    </row>
    <row r="139" spans="1:12" ht="16.5" thickBot="1" x14ac:dyDescent="0.3">
      <c r="A139" s="32" t="s">
        <v>200</v>
      </c>
      <c r="B139" s="33">
        <v>3314</v>
      </c>
      <c r="C139" s="34">
        <v>515.30687990343995</v>
      </c>
      <c r="E139" s="62"/>
    </row>
    <row r="140" spans="1:12" ht="16.5" thickBot="1" x14ac:dyDescent="0.3">
      <c r="A140" s="29" t="s">
        <v>38</v>
      </c>
      <c r="B140" s="30">
        <v>227</v>
      </c>
      <c r="C140" s="31">
        <v>540.75770925110135</v>
      </c>
      <c r="E140" s="62"/>
    </row>
    <row r="141" spans="1:12" ht="16.5" thickBot="1" x14ac:dyDescent="0.3">
      <c r="A141" s="29" t="s">
        <v>181</v>
      </c>
      <c r="B141" s="30">
        <v>2997</v>
      </c>
      <c r="C141" s="31">
        <v>466.96162829496166</v>
      </c>
      <c r="E141" s="62"/>
      <c r="J141" s="3"/>
      <c r="L141"/>
    </row>
    <row r="142" spans="1:12" ht="16.5" thickBot="1" x14ac:dyDescent="0.3">
      <c r="A142" s="29" t="s">
        <v>245</v>
      </c>
      <c r="B142" s="30">
        <v>5</v>
      </c>
      <c r="C142" s="31">
        <v>2113</v>
      </c>
      <c r="E142" s="62"/>
      <c r="J142" s="3"/>
      <c r="L142"/>
    </row>
    <row r="143" spans="1:12" ht="16.5" thickBot="1" x14ac:dyDescent="0.3">
      <c r="A143" s="29" t="s">
        <v>244</v>
      </c>
      <c r="B143" s="30">
        <v>80</v>
      </c>
      <c r="C143" s="31">
        <v>2185.4499999999998</v>
      </c>
      <c r="E143" s="62"/>
      <c r="J143" s="3"/>
      <c r="L143"/>
    </row>
    <row r="144" spans="1:12" ht="16.5" thickBot="1" x14ac:dyDescent="0.3">
      <c r="A144" s="29" t="s">
        <v>256</v>
      </c>
      <c r="B144" s="30">
        <v>5</v>
      </c>
      <c r="C144" s="31">
        <v>18</v>
      </c>
      <c r="E144" s="62"/>
      <c r="G144"/>
      <c r="J144" s="3"/>
      <c r="L144"/>
    </row>
    <row r="145" spans="1:7" ht="16.5" thickBot="1" x14ac:dyDescent="0.3">
      <c r="A145" s="32" t="s">
        <v>201</v>
      </c>
      <c r="B145" s="33">
        <v>18765</v>
      </c>
      <c r="C145" s="34">
        <v>762.87370103916862</v>
      </c>
      <c r="E145" s="62"/>
      <c r="G145"/>
    </row>
    <row r="146" spans="1:7" ht="16.5" thickBot="1" x14ac:dyDescent="0.3">
      <c r="A146" s="29" t="s">
        <v>38</v>
      </c>
      <c r="B146" s="30">
        <v>670</v>
      </c>
      <c r="C146" s="31">
        <v>465.14477611940299</v>
      </c>
      <c r="E146" s="62"/>
      <c r="G146"/>
    </row>
    <row r="147" spans="1:7" ht="16.5" thickBot="1" x14ac:dyDescent="0.3">
      <c r="A147" s="29" t="s">
        <v>181</v>
      </c>
      <c r="B147" s="30">
        <v>16005</v>
      </c>
      <c r="C147" s="31">
        <v>591.54364261168382</v>
      </c>
      <c r="E147" s="62"/>
      <c r="G147"/>
    </row>
    <row r="148" spans="1:7" ht="16.5" thickBot="1" x14ac:dyDescent="0.3">
      <c r="A148" s="29" t="s">
        <v>245</v>
      </c>
      <c r="B148" s="30">
        <v>1</v>
      </c>
      <c r="C148" s="31">
        <v>298</v>
      </c>
      <c r="E148" s="62"/>
    </row>
    <row r="149" spans="1:7" ht="16.5" thickBot="1" x14ac:dyDescent="0.3">
      <c r="A149" s="29" t="s">
        <v>244</v>
      </c>
      <c r="B149" s="30">
        <v>2074</v>
      </c>
      <c r="C149" s="31">
        <v>2186.8297974927677</v>
      </c>
      <c r="E149" s="62"/>
    </row>
    <row r="150" spans="1:7" ht="16.5" thickBot="1" x14ac:dyDescent="0.3">
      <c r="A150" s="29" t="s">
        <v>256</v>
      </c>
      <c r="B150" s="30">
        <v>15</v>
      </c>
      <c r="C150" s="31">
        <v>15.933333333333334</v>
      </c>
      <c r="D150" s="49"/>
      <c r="E150" s="62"/>
    </row>
    <row r="151" spans="1:7" ht="16.5" thickBot="1" x14ac:dyDescent="0.3">
      <c r="A151" s="32" t="s">
        <v>202</v>
      </c>
      <c r="B151" s="33">
        <v>7216</v>
      </c>
      <c r="C151" s="34">
        <v>739.68472838137473</v>
      </c>
      <c r="D151" s="49"/>
      <c r="E151" s="62"/>
    </row>
    <row r="152" spans="1:7" ht="16.5" thickBot="1" x14ac:dyDescent="0.3">
      <c r="A152" s="29" t="s">
        <v>38</v>
      </c>
      <c r="B152" s="30">
        <v>129</v>
      </c>
      <c r="C152" s="31">
        <v>279.82945736434107</v>
      </c>
      <c r="D152" s="49"/>
      <c r="E152" s="62"/>
    </row>
    <row r="153" spans="1:7" ht="16.5" thickBot="1" x14ac:dyDescent="0.3">
      <c r="A153" s="29" t="s">
        <v>181</v>
      </c>
      <c r="B153" s="30">
        <v>6756</v>
      </c>
      <c r="C153" s="31">
        <v>672.70293072824154</v>
      </c>
      <c r="D153" s="49"/>
      <c r="E153" s="55"/>
      <c r="F153"/>
    </row>
    <row r="154" spans="1:7" ht="16.5" thickBot="1" x14ac:dyDescent="0.3">
      <c r="A154" s="29" t="s">
        <v>244</v>
      </c>
      <c r="B154" s="30">
        <v>322</v>
      </c>
      <c r="C154" s="31">
        <v>2349.6863354037268</v>
      </c>
      <c r="E154" s="55"/>
      <c r="F154"/>
    </row>
    <row r="155" spans="1:7" ht="16.5" thickBot="1" x14ac:dyDescent="0.3">
      <c r="A155" s="29" t="s">
        <v>256</v>
      </c>
      <c r="B155" s="30">
        <v>9</v>
      </c>
      <c r="C155" s="31">
        <v>9.6666666666666661</v>
      </c>
      <c r="E155" s="55"/>
      <c r="F155"/>
    </row>
    <row r="156" spans="1:7" ht="16.5" thickBot="1" x14ac:dyDescent="0.3">
      <c r="A156" s="32" t="s">
        <v>203</v>
      </c>
      <c r="B156" s="33">
        <v>3467</v>
      </c>
      <c r="C156" s="34">
        <v>926.72050764349581</v>
      </c>
      <c r="E156" s="55"/>
      <c r="F156"/>
    </row>
    <row r="157" spans="1:7" ht="16.5" thickBot="1" x14ac:dyDescent="0.3">
      <c r="A157" s="29" t="s">
        <v>38</v>
      </c>
      <c r="B157" s="30">
        <v>124</v>
      </c>
      <c r="C157" s="31">
        <v>638.04032258064512</v>
      </c>
    </row>
    <row r="158" spans="1:7" ht="16.5" thickBot="1" x14ac:dyDescent="0.3">
      <c r="A158" s="29" t="s">
        <v>181</v>
      </c>
      <c r="B158" s="30">
        <v>3094</v>
      </c>
      <c r="C158" s="31">
        <v>813.13510019392368</v>
      </c>
    </row>
    <row r="159" spans="1:7" ht="16.5" thickBot="1" x14ac:dyDescent="0.3">
      <c r="A159" s="29" t="s">
        <v>244</v>
      </c>
      <c r="B159" s="30">
        <v>242</v>
      </c>
      <c r="C159" s="31">
        <v>2552.7190082644629</v>
      </c>
    </row>
    <row r="160" spans="1:7" ht="16.5" thickBot="1" x14ac:dyDescent="0.3">
      <c r="A160" s="29" t="s">
        <v>256</v>
      </c>
      <c r="B160" s="30">
        <v>7</v>
      </c>
      <c r="C160" s="31">
        <v>32.142857142857146</v>
      </c>
    </row>
    <row r="161" spans="1:3" ht="16.5" thickBot="1" x14ac:dyDescent="0.3">
      <c r="A161" s="32" t="s">
        <v>237</v>
      </c>
      <c r="B161" s="33">
        <v>4080</v>
      </c>
      <c r="C161" s="34">
        <v>580.66250000000002</v>
      </c>
    </row>
    <row r="162" spans="1:3" ht="16.5" thickBot="1" x14ac:dyDescent="0.3">
      <c r="A162" s="29" t="s">
        <v>38</v>
      </c>
      <c r="B162" s="30">
        <v>328</v>
      </c>
      <c r="C162" s="31">
        <v>516.29878048780483</v>
      </c>
    </row>
    <row r="163" spans="1:3" ht="16.5" thickBot="1" x14ac:dyDescent="0.3">
      <c r="A163" s="29" t="s">
        <v>181</v>
      </c>
      <c r="B163" s="30">
        <v>3720</v>
      </c>
      <c r="C163" s="31">
        <v>586.78655913978491</v>
      </c>
    </row>
    <row r="164" spans="1:3" ht="16.5" thickBot="1" x14ac:dyDescent="0.3">
      <c r="A164" s="29" t="s">
        <v>245</v>
      </c>
      <c r="B164" s="30">
        <v>2</v>
      </c>
      <c r="C164" s="31">
        <v>1803</v>
      </c>
    </row>
    <row r="165" spans="1:3" ht="16.5" thickBot="1" x14ac:dyDescent="0.3">
      <c r="A165" s="29" t="s">
        <v>244</v>
      </c>
      <c r="B165" s="30">
        <v>8</v>
      </c>
      <c r="C165" s="31">
        <v>1584.75</v>
      </c>
    </row>
    <row r="166" spans="1:3" ht="16.5" thickBot="1" x14ac:dyDescent="0.3">
      <c r="A166" s="73" t="s">
        <v>256</v>
      </c>
      <c r="B166" s="67">
        <v>22</v>
      </c>
      <c r="C166" s="68">
        <v>28.5</v>
      </c>
    </row>
    <row r="167" spans="1:3" x14ac:dyDescent="0.25">
      <c r="C167" s="62"/>
    </row>
    <row r="168" spans="1:3" x14ac:dyDescent="0.25">
      <c r="C168" s="62"/>
    </row>
    <row r="169" spans="1:3" x14ac:dyDescent="0.25">
      <c r="C169" s="62"/>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1EB6-4687-4B45-92C4-9DE219576DFC}">
  <dimension ref="A1:AX137"/>
  <sheetViews>
    <sheetView showGridLines="0" topLeftCell="A110" zoomScaleNormal="100" zoomScaleSheetLayoutView="70" zoomScalePageLayoutView="90" workbookViewId="0">
      <selection sqref="A1:D1"/>
    </sheetView>
  </sheetViews>
  <sheetFormatPr defaultRowHeight="15" x14ac:dyDescent="0.25"/>
  <cols>
    <col min="1" max="1" width="36.42578125" customWidth="1"/>
    <col min="2" max="2" width="23.7109375" bestFit="1" customWidth="1"/>
    <col min="3" max="3" width="11.42578125" customWidth="1"/>
    <col min="4" max="4" width="14.42578125" customWidth="1"/>
    <col min="5" max="5" width="13.28515625" customWidth="1"/>
    <col min="6" max="6" width="12.7109375" customWidth="1"/>
    <col min="7" max="8" width="10.42578125" customWidth="1"/>
    <col min="9" max="9" width="13.42578125" customWidth="1"/>
    <col min="10" max="10" width="11.5703125" customWidth="1"/>
    <col min="12" max="12" width="8.7109375" bestFit="1" customWidth="1"/>
    <col min="13" max="13" width="9" bestFit="1" customWidth="1"/>
    <col min="14" max="14" width="13.5703125" customWidth="1"/>
    <col min="15" max="15" width="17.28515625" customWidth="1"/>
    <col min="16" max="16" width="10.42578125" customWidth="1"/>
    <col min="25" max="25" width="8.7109375" customWidth="1"/>
    <col min="27" max="27" width="10.5703125" bestFit="1" customWidth="1"/>
  </cols>
  <sheetData>
    <row r="1" spans="1:50" s="152" customFormat="1" ht="27.75" customHeight="1" x14ac:dyDescent="0.2">
      <c r="A1" s="361" t="s">
        <v>11</v>
      </c>
      <c r="B1" s="361"/>
      <c r="C1" s="361"/>
      <c r="D1" s="361"/>
    </row>
    <row r="2" spans="1:50" s="154" customFormat="1" ht="45.75" customHeight="1" x14ac:dyDescent="0.2">
      <c r="A2" s="362" t="s">
        <v>12</v>
      </c>
      <c r="B2" s="362"/>
      <c r="C2" s="362"/>
      <c r="D2" s="362"/>
      <c r="E2" s="362"/>
      <c r="F2" s="362"/>
      <c r="G2" s="362"/>
      <c r="H2" s="362"/>
      <c r="I2" s="362"/>
      <c r="J2" s="362"/>
      <c r="K2" s="362"/>
      <c r="L2" s="362"/>
      <c r="M2" s="362"/>
      <c r="N2" s="362"/>
      <c r="O2" s="362"/>
      <c r="P2" s="362"/>
      <c r="Q2" s="153"/>
      <c r="R2" s="153"/>
      <c r="S2" s="153"/>
      <c r="T2" s="153"/>
      <c r="U2" s="153"/>
      <c r="V2" s="153"/>
    </row>
    <row r="3" spans="1:50" ht="31.5" customHeight="1" x14ac:dyDescent="0.25">
      <c r="A3" s="360" t="s">
        <v>699</v>
      </c>
      <c r="B3" s="360"/>
      <c r="C3" s="360"/>
      <c r="D3" s="360"/>
      <c r="E3" s="155"/>
      <c r="F3" s="155"/>
      <c r="G3" s="155"/>
      <c r="H3" s="155"/>
      <c r="I3" s="155"/>
      <c r="J3" s="155"/>
      <c r="K3" s="155"/>
      <c r="L3" s="155"/>
      <c r="M3" s="155"/>
      <c r="N3" s="155"/>
      <c r="O3" s="155"/>
      <c r="P3" s="155"/>
      <c r="Q3" s="155"/>
      <c r="R3" s="155"/>
      <c r="S3" s="155"/>
      <c r="T3" s="155"/>
      <c r="U3" s="155"/>
      <c r="V3" s="155"/>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2" customFormat="1" ht="30.75" customHeight="1" x14ac:dyDescent="0.2">
      <c r="A4" s="365"/>
      <c r="B4" s="365"/>
      <c r="C4" s="365"/>
      <c r="D4" s="365"/>
      <c r="E4" s="365"/>
      <c r="F4" s="365"/>
      <c r="G4" s="365"/>
      <c r="H4" s="365"/>
      <c r="I4" s="365"/>
      <c r="J4" s="365"/>
      <c r="K4" s="365"/>
      <c r="L4" s="365"/>
      <c r="M4" s="365"/>
      <c r="N4" s="365"/>
      <c r="O4" s="365"/>
      <c r="P4" s="365"/>
      <c r="Q4" s="365"/>
      <c r="R4" s="365"/>
      <c r="S4" s="365"/>
      <c r="T4" s="365"/>
      <c r="U4" s="365"/>
      <c r="V4" s="365"/>
      <c r="W4" s="156"/>
      <c r="X4" s="156"/>
      <c r="Y4" s="156"/>
      <c r="Z4" s="156"/>
    </row>
    <row r="5" spans="1:50" s="154" customFormat="1" ht="7.5" customHeight="1" thickBot="1" x14ac:dyDescent="0.25">
      <c r="A5" s="157"/>
      <c r="B5" s="157"/>
      <c r="C5" s="157"/>
      <c r="D5" s="157"/>
      <c r="E5" s="157"/>
      <c r="F5" s="157"/>
      <c r="G5" s="157"/>
      <c r="H5" s="157"/>
      <c r="I5" s="157"/>
      <c r="J5" s="157"/>
      <c r="K5" s="157"/>
      <c r="L5" s="157"/>
      <c r="M5" s="157"/>
      <c r="N5" s="157"/>
      <c r="O5" s="157"/>
      <c r="P5" s="157"/>
      <c r="Q5" s="157"/>
      <c r="R5" s="157"/>
      <c r="S5" s="157"/>
      <c r="T5" s="157"/>
      <c r="U5" s="157"/>
      <c r="V5" s="157"/>
      <c r="W5" s="158"/>
      <c r="X5" s="158"/>
      <c r="Y5" s="158"/>
      <c r="Z5" s="158"/>
    </row>
    <row r="6" spans="1:50" s="154" customFormat="1" ht="16.5" customHeight="1" x14ac:dyDescent="0.2">
      <c r="A6" s="366"/>
      <c r="B6" s="367"/>
      <c r="C6" s="367"/>
      <c r="D6" s="367"/>
      <c r="E6" s="367"/>
      <c r="F6" s="367"/>
      <c r="G6" s="367"/>
      <c r="H6" s="367"/>
      <c r="I6" s="367"/>
      <c r="J6" s="367"/>
      <c r="K6" s="367"/>
      <c r="L6" s="367"/>
      <c r="M6" s="367"/>
      <c r="N6" s="367"/>
      <c r="O6" s="367"/>
      <c r="P6" s="367"/>
      <c r="Q6" s="367"/>
      <c r="R6" s="367"/>
      <c r="S6" s="367"/>
      <c r="T6" s="367"/>
      <c r="U6" s="367"/>
      <c r="V6" s="368"/>
      <c r="W6" s="158"/>
      <c r="X6" s="158"/>
      <c r="Y6" s="158"/>
      <c r="Z6" s="158"/>
    </row>
    <row r="7" spans="1:50" s="152" customFormat="1" ht="16.5" customHeight="1" x14ac:dyDescent="0.2">
      <c r="A7" s="159"/>
      <c r="B7" s="160"/>
      <c r="C7" s="160"/>
      <c r="D7" s="160"/>
      <c r="E7" s="160"/>
      <c r="F7" s="160"/>
      <c r="G7" s="160"/>
      <c r="H7" s="160"/>
      <c r="J7" s="161"/>
      <c r="K7" s="161"/>
      <c r="L7" s="161"/>
      <c r="N7" s="160"/>
      <c r="O7" s="160"/>
      <c r="P7" s="160"/>
      <c r="Q7" s="160"/>
      <c r="R7" s="160"/>
      <c r="S7" s="160"/>
      <c r="T7" s="160"/>
      <c r="U7" s="160"/>
      <c r="V7" s="162"/>
      <c r="W7" s="163"/>
      <c r="X7" s="163"/>
      <c r="Y7" s="163"/>
      <c r="Z7" s="163"/>
    </row>
    <row r="8" spans="1:50" s="164" customFormat="1" ht="30.6" customHeight="1" x14ac:dyDescent="0.2">
      <c r="A8" s="369" t="s">
        <v>700</v>
      </c>
      <c r="B8" s="370"/>
      <c r="C8" s="370"/>
      <c r="D8" s="370"/>
      <c r="E8" s="12"/>
      <c r="F8" s="12"/>
      <c r="G8" s="370" t="s">
        <v>701</v>
      </c>
      <c r="H8" s="370"/>
      <c r="I8" s="370"/>
      <c r="J8" s="370"/>
      <c r="K8" s="370"/>
      <c r="M8" s="370" t="s">
        <v>702</v>
      </c>
      <c r="N8" s="370"/>
      <c r="O8" s="370"/>
      <c r="P8" s="370"/>
      <c r="Q8" s="370"/>
      <c r="T8" s="165"/>
      <c r="U8" s="165"/>
      <c r="V8" s="166"/>
      <c r="W8" s="167"/>
      <c r="X8" s="167"/>
      <c r="Y8" s="167"/>
      <c r="Z8" s="167"/>
      <c r="AB8" s="168"/>
      <c r="AC8" s="168"/>
    </row>
    <row r="9" spans="1:50" s="152" customFormat="1" ht="28.35" customHeight="1" x14ac:dyDescent="0.2">
      <c r="A9" s="169" t="s">
        <v>703</v>
      </c>
      <c r="B9" s="11" t="s">
        <v>704</v>
      </c>
      <c r="C9" s="11" t="s">
        <v>1</v>
      </c>
      <c r="D9" s="160"/>
      <c r="E9" s="160"/>
      <c r="F9" s="160"/>
      <c r="G9" s="371" t="s">
        <v>705</v>
      </c>
      <c r="H9" s="372"/>
      <c r="I9" s="170" t="s">
        <v>704</v>
      </c>
      <c r="J9" s="170" t="s">
        <v>1</v>
      </c>
      <c r="K9" s="171"/>
      <c r="L9" s="171"/>
      <c r="M9" s="373" t="s">
        <v>706</v>
      </c>
      <c r="N9" s="373"/>
      <c r="O9" s="172" t="s">
        <v>707</v>
      </c>
      <c r="P9" s="160"/>
      <c r="Q9" s="160"/>
      <c r="R9" s="160"/>
      <c r="S9" s="160"/>
      <c r="T9" s="160"/>
      <c r="U9" s="163"/>
      <c r="V9" s="166"/>
      <c r="W9" s="163"/>
      <c r="X9" s="163"/>
      <c r="Y9" s="163"/>
      <c r="Z9" s="163"/>
      <c r="AA9" s="163"/>
      <c r="AB9" s="173"/>
      <c r="AC9" s="173"/>
    </row>
    <row r="10" spans="1:50" s="152" customFormat="1" ht="16.5" customHeight="1" thickBot="1" x14ac:dyDescent="0.25">
      <c r="A10" s="174" t="s">
        <v>1</v>
      </c>
      <c r="B10" s="175">
        <f>SUM(B11:B14)</f>
        <v>36755</v>
      </c>
      <c r="C10" s="175">
        <f>SUM(C11:C14)</f>
        <v>36755</v>
      </c>
      <c r="D10" s="160"/>
      <c r="E10" s="160"/>
      <c r="F10" s="160"/>
      <c r="G10" s="374" t="s">
        <v>708</v>
      </c>
      <c r="H10" s="374"/>
      <c r="I10" s="176">
        <v>47.7762461402735</v>
      </c>
      <c r="J10" s="176">
        <v>47.7762461402735</v>
      </c>
      <c r="K10" s="177"/>
      <c r="L10" s="177"/>
      <c r="M10" s="375" t="s">
        <v>1</v>
      </c>
      <c r="N10" s="375"/>
      <c r="O10" s="178">
        <f>SUM(O11)</f>
        <v>1793</v>
      </c>
      <c r="P10" s="160"/>
      <c r="Q10" s="160"/>
      <c r="R10" s="160"/>
      <c r="S10" s="160"/>
      <c r="T10" s="160"/>
      <c r="U10" s="179"/>
      <c r="V10" s="166"/>
      <c r="W10" s="163"/>
      <c r="X10" s="163"/>
      <c r="Y10" s="163"/>
      <c r="Z10" s="163"/>
      <c r="AA10" s="163"/>
      <c r="AB10" s="173"/>
      <c r="AC10" s="173"/>
    </row>
    <row r="11" spans="1:50" s="152" customFormat="1" ht="13.35" customHeight="1" thickTop="1" x14ac:dyDescent="0.2">
      <c r="A11" s="180" t="s">
        <v>709</v>
      </c>
      <c r="B11" s="181">
        <v>20963</v>
      </c>
      <c r="C11" s="182">
        <f>SUM(B11:B11)</f>
        <v>20963</v>
      </c>
      <c r="D11" s="160"/>
      <c r="E11" s="160"/>
      <c r="F11" s="376"/>
      <c r="G11" s="377"/>
      <c r="H11" s="183"/>
      <c r="I11" s="183"/>
      <c r="J11" s="183"/>
      <c r="K11" s="183"/>
      <c r="M11" s="378" t="s">
        <v>704</v>
      </c>
      <c r="N11" s="378"/>
      <c r="O11" s="185">
        <v>1793</v>
      </c>
      <c r="P11" s="160"/>
      <c r="Q11" s="160"/>
      <c r="R11" s="179"/>
      <c r="S11" s="179"/>
      <c r="T11" s="179"/>
      <c r="U11" s="163"/>
      <c r="V11" s="166"/>
      <c r="W11" s="163"/>
      <c r="X11" s="163"/>
      <c r="Y11" s="173"/>
      <c r="Z11" s="173"/>
    </row>
    <row r="12" spans="1:50" s="152" customFormat="1" ht="13.35" customHeight="1" x14ac:dyDescent="0.2">
      <c r="A12" s="186" t="s">
        <v>710</v>
      </c>
      <c r="B12" s="181">
        <v>9119</v>
      </c>
      <c r="C12" s="182">
        <f>SUM(B12:B12)</f>
        <v>9119</v>
      </c>
      <c r="D12" s="160"/>
      <c r="E12" s="160"/>
      <c r="M12" s="379"/>
      <c r="N12" s="379"/>
      <c r="O12" s="188"/>
      <c r="P12" s="160"/>
      <c r="Q12" s="160"/>
      <c r="R12" s="160"/>
      <c r="S12" s="160"/>
      <c r="T12" s="160"/>
      <c r="U12" s="179"/>
      <c r="V12" s="166"/>
      <c r="W12" s="189"/>
      <c r="X12" s="163"/>
      <c r="Y12" s="163"/>
      <c r="Z12" s="163"/>
      <c r="AA12" s="163"/>
      <c r="AB12" s="173"/>
      <c r="AC12" s="173"/>
    </row>
    <row r="13" spans="1:50" s="152" customFormat="1" ht="13.35" customHeight="1" x14ac:dyDescent="0.2">
      <c r="A13" s="186" t="s">
        <v>711</v>
      </c>
      <c r="B13" s="181">
        <v>5366</v>
      </c>
      <c r="C13" s="182">
        <f>SUM(B13:B13)</f>
        <v>5366</v>
      </c>
      <c r="D13" s="160"/>
      <c r="E13" s="160"/>
      <c r="F13" s="160"/>
      <c r="G13" s="160"/>
      <c r="H13" s="160"/>
      <c r="I13" s="160"/>
      <c r="J13" s="160"/>
      <c r="Q13" s="160"/>
      <c r="R13" s="160"/>
      <c r="S13" s="160"/>
      <c r="T13" s="179"/>
      <c r="U13" s="160"/>
      <c r="V13" s="166"/>
      <c r="W13" s="190"/>
      <c r="X13" s="163"/>
      <c r="Y13" s="163"/>
      <c r="Z13" s="163"/>
      <c r="AA13" s="173"/>
      <c r="AB13" s="173"/>
    </row>
    <row r="14" spans="1:50" s="152" customFormat="1" ht="13.35" customHeight="1" x14ac:dyDescent="0.2">
      <c r="A14" s="186" t="s">
        <v>0</v>
      </c>
      <c r="B14" s="181">
        <v>1307</v>
      </c>
      <c r="C14" s="182">
        <f>SUM(B14:B14)</f>
        <v>1307</v>
      </c>
      <c r="D14" s="160"/>
      <c r="E14" s="160"/>
      <c r="F14" s="160"/>
      <c r="G14" s="160"/>
      <c r="H14" s="160"/>
      <c r="I14" s="160"/>
      <c r="J14" s="160"/>
      <c r="K14" s="160"/>
      <c r="L14" s="160"/>
      <c r="M14" s="160"/>
      <c r="N14" s="160"/>
      <c r="O14" s="160"/>
      <c r="P14" s="160"/>
      <c r="Q14" s="160"/>
      <c r="R14" s="160"/>
      <c r="S14" s="160"/>
      <c r="T14" s="179"/>
      <c r="U14" s="160"/>
      <c r="V14" s="166"/>
      <c r="W14" s="190"/>
      <c r="X14" s="163"/>
      <c r="Y14" s="163"/>
      <c r="Z14" s="163"/>
      <c r="AA14" s="173"/>
      <c r="AB14" s="173"/>
    </row>
    <row r="15" spans="1:50" s="152" customFormat="1" ht="16.5" customHeight="1" x14ac:dyDescent="0.2">
      <c r="A15" s="191"/>
      <c r="B15" s="187"/>
      <c r="C15" s="187"/>
      <c r="D15" s="187"/>
      <c r="E15" s="187"/>
      <c r="F15" s="187"/>
      <c r="G15" s="160"/>
      <c r="H15" s="160"/>
      <c r="I15" s="160"/>
      <c r="J15" s="160"/>
      <c r="K15" s="160"/>
      <c r="L15" s="160"/>
      <c r="M15" s="160"/>
      <c r="N15" s="160"/>
      <c r="O15" s="160"/>
      <c r="P15" s="160"/>
      <c r="Q15" s="160"/>
      <c r="R15" s="160"/>
      <c r="S15" s="160"/>
      <c r="T15" s="160"/>
      <c r="U15" s="160"/>
      <c r="V15" s="166"/>
      <c r="W15" s="190"/>
      <c r="X15" s="163"/>
      <c r="Y15" s="163"/>
      <c r="Z15" s="163"/>
      <c r="AA15" s="163"/>
      <c r="AB15" s="173"/>
      <c r="AC15" s="173"/>
      <c r="AK15" s="173"/>
      <c r="AL15" s="173"/>
    </row>
    <row r="16" spans="1:50" s="152" customFormat="1" ht="16.5" customHeight="1" x14ac:dyDescent="0.2">
      <c r="A16" s="363"/>
      <c r="B16" s="364"/>
      <c r="C16" s="364"/>
      <c r="D16" s="364"/>
      <c r="E16" s="364"/>
      <c r="F16" s="364"/>
      <c r="G16" s="364"/>
      <c r="H16" s="364"/>
      <c r="I16" s="364"/>
      <c r="J16" s="364"/>
      <c r="K16" s="364"/>
      <c r="L16" s="364"/>
      <c r="M16" s="364"/>
      <c r="N16" s="364"/>
      <c r="O16" s="364"/>
      <c r="P16" s="364"/>
      <c r="Q16" s="364"/>
      <c r="R16" s="364"/>
      <c r="S16" s="364"/>
      <c r="T16" s="364"/>
      <c r="U16" s="364"/>
      <c r="V16" s="364"/>
      <c r="W16" s="190"/>
      <c r="X16" s="173"/>
      <c r="Y16" s="163"/>
      <c r="Z16" s="163"/>
      <c r="AK16" s="173"/>
    </row>
    <row r="17" spans="1:38" s="152" customFormat="1" ht="16.5" customHeight="1" x14ac:dyDescent="0.2">
      <c r="A17" s="159"/>
      <c r="B17" s="160"/>
      <c r="C17" s="160"/>
      <c r="D17" s="160"/>
      <c r="E17" s="160"/>
      <c r="F17" s="160"/>
      <c r="G17" s="160"/>
      <c r="H17" s="160"/>
      <c r="I17" s="160"/>
      <c r="J17" s="160"/>
      <c r="K17" s="160"/>
      <c r="L17" s="160"/>
      <c r="M17" s="160"/>
      <c r="N17" s="160"/>
      <c r="O17" s="160"/>
      <c r="P17" s="160"/>
      <c r="Q17" s="160"/>
      <c r="R17" s="160"/>
      <c r="S17" s="160"/>
      <c r="T17" s="160"/>
      <c r="U17" s="160"/>
      <c r="V17" s="162"/>
      <c r="W17" s="163"/>
      <c r="X17" s="163"/>
      <c r="Y17" s="163"/>
      <c r="Z17" s="163"/>
      <c r="AF17" s="173"/>
      <c r="AK17" s="173"/>
    </row>
    <row r="18" spans="1:38" s="192" customFormat="1" ht="27.6" customHeight="1" x14ac:dyDescent="0.2">
      <c r="A18" s="380" t="s">
        <v>712</v>
      </c>
      <c r="B18" s="381"/>
      <c r="C18" s="381"/>
      <c r="D18" s="381"/>
      <c r="E18" s="381"/>
      <c r="F18" s="381"/>
      <c r="I18" s="382" t="s">
        <v>713</v>
      </c>
      <c r="J18" s="382"/>
      <c r="K18" s="382"/>
      <c r="L18" s="382"/>
      <c r="M18" s="382"/>
      <c r="N18" s="382"/>
      <c r="O18" s="382"/>
      <c r="P18" s="382"/>
      <c r="Q18" s="382"/>
      <c r="R18" s="382"/>
      <c r="S18" s="382"/>
      <c r="T18" s="382"/>
      <c r="U18" s="382"/>
      <c r="V18" s="383"/>
      <c r="W18" s="193"/>
      <c r="X18" s="193"/>
      <c r="Y18" s="193"/>
      <c r="AE18" s="152"/>
      <c r="AF18" s="173"/>
      <c r="AG18" s="152"/>
      <c r="AH18" s="152"/>
      <c r="AI18" s="152"/>
      <c r="AJ18" s="152"/>
      <c r="AK18" s="152"/>
      <c r="AL18" s="173"/>
    </row>
    <row r="19" spans="1:38" s="154" customFormat="1" ht="28.9" customHeight="1" x14ac:dyDescent="0.2">
      <c r="A19" s="11" t="s">
        <v>714</v>
      </c>
      <c r="B19" s="11" t="s">
        <v>42</v>
      </c>
      <c r="C19" s="11" t="s">
        <v>715</v>
      </c>
      <c r="D19" s="11" t="s">
        <v>26</v>
      </c>
      <c r="E19" s="11" t="s">
        <v>716</v>
      </c>
      <c r="F19" s="11" t="s">
        <v>1</v>
      </c>
      <c r="I19" s="11" t="s">
        <v>717</v>
      </c>
      <c r="J19" s="11" t="s">
        <v>718</v>
      </c>
      <c r="K19" s="11" t="s">
        <v>719</v>
      </c>
      <c r="L19" s="11" t="s">
        <v>720</v>
      </c>
      <c r="M19" s="11" t="s">
        <v>721</v>
      </c>
      <c r="N19" s="11" t="s">
        <v>722</v>
      </c>
      <c r="O19" s="11" t="s">
        <v>723</v>
      </c>
      <c r="P19" s="11" t="s">
        <v>724</v>
      </c>
      <c r="Q19" s="11" t="s">
        <v>725</v>
      </c>
      <c r="R19" s="11" t="s">
        <v>726</v>
      </c>
      <c r="S19" s="11" t="s">
        <v>727</v>
      </c>
      <c r="T19" s="11" t="s">
        <v>728</v>
      </c>
      <c r="U19" s="11" t="s">
        <v>729</v>
      </c>
      <c r="V19" s="11" t="s">
        <v>1</v>
      </c>
      <c r="W19" s="194"/>
      <c r="X19" s="195"/>
      <c r="Y19" s="195"/>
      <c r="Z19" s="196"/>
      <c r="AA19" s="197"/>
      <c r="AB19" s="198"/>
      <c r="AC19" s="198"/>
      <c r="AD19" s="198"/>
      <c r="AE19" s="199"/>
      <c r="AF19" s="198"/>
      <c r="AG19" s="198"/>
      <c r="AH19" s="198"/>
      <c r="AI19" s="198"/>
      <c r="AJ19" s="198"/>
      <c r="AK19" s="198"/>
    </row>
    <row r="20" spans="1:38" s="154" customFormat="1" ht="18" customHeight="1" thickBot="1" x14ac:dyDescent="0.25">
      <c r="A20" s="174" t="s">
        <v>1</v>
      </c>
      <c r="B20" s="175">
        <f>SUM(B21:B23)</f>
        <v>10270</v>
      </c>
      <c r="C20" s="200">
        <f>IF(ISERROR(B20/F20),0,B20/F20)</f>
        <v>0.27941776629030063</v>
      </c>
      <c r="D20" s="175">
        <f>SUM(D21:D23)</f>
        <v>26485</v>
      </c>
      <c r="E20" s="200">
        <f>IF(ISERROR(D20/F20),0,D20/F20)</f>
        <v>0.72058223370969932</v>
      </c>
      <c r="F20" s="175">
        <f>B20+D20</f>
        <v>36755</v>
      </c>
      <c r="I20" s="201" t="s">
        <v>1</v>
      </c>
      <c r="J20" s="202">
        <f t="shared" ref="J20:U20" si="0">SUM(J21:J22)</f>
        <v>24107</v>
      </c>
      <c r="K20" s="203">
        <f t="shared" si="0"/>
        <v>17642</v>
      </c>
      <c r="L20" s="202">
        <f t="shared" si="0"/>
        <v>1130</v>
      </c>
      <c r="M20" s="202">
        <f t="shared" si="0"/>
        <v>0</v>
      </c>
      <c r="N20" s="202">
        <f t="shared" si="0"/>
        <v>0</v>
      </c>
      <c r="O20" s="202">
        <f t="shared" si="0"/>
        <v>0</v>
      </c>
      <c r="P20" s="202">
        <f t="shared" si="0"/>
        <v>0</v>
      </c>
      <c r="Q20" s="202">
        <f t="shared" si="0"/>
        <v>0</v>
      </c>
      <c r="R20" s="202">
        <f t="shared" si="0"/>
        <v>0</v>
      </c>
      <c r="S20" s="202">
        <f t="shared" si="0"/>
        <v>0</v>
      </c>
      <c r="T20" s="202">
        <f t="shared" si="0"/>
        <v>0</v>
      </c>
      <c r="U20" s="202">
        <f t="shared" si="0"/>
        <v>0</v>
      </c>
      <c r="V20" s="204">
        <f>SUM(J20:U20)</f>
        <v>42879</v>
      </c>
      <c r="W20" s="194"/>
      <c r="X20" s="194"/>
      <c r="Y20" s="195"/>
      <c r="Z20" s="195"/>
      <c r="AA20" s="198"/>
      <c r="AB20" s="198"/>
      <c r="AC20" s="198"/>
      <c r="AD20" s="198"/>
      <c r="AE20" s="199"/>
      <c r="AF20" s="198"/>
      <c r="AG20" s="198"/>
    </row>
    <row r="21" spans="1:38" s="154" customFormat="1" ht="15" customHeight="1" thickTop="1" x14ac:dyDescent="0.2">
      <c r="A21" s="180" t="s">
        <v>730</v>
      </c>
      <c r="B21" s="205">
        <v>6961</v>
      </c>
      <c r="C21" s="206">
        <f>IF(ISERROR(B21/F21),0,B21/F21)</f>
        <v>0.78762163385381312</v>
      </c>
      <c r="D21" s="205">
        <v>1877</v>
      </c>
      <c r="E21" s="206">
        <f>IF(ISERROR(D21/F21),0,D21/F21)</f>
        <v>0.21237836614618691</v>
      </c>
      <c r="F21" s="207">
        <f>B21+D21</f>
        <v>8838</v>
      </c>
      <c r="I21" s="207" t="s">
        <v>26</v>
      </c>
      <c r="J21" s="208">
        <v>17285</v>
      </c>
      <c r="K21" s="208">
        <v>10910</v>
      </c>
      <c r="L21" s="208">
        <v>734</v>
      </c>
      <c r="M21" s="208">
        <v>0</v>
      </c>
      <c r="N21" s="208">
        <v>0</v>
      </c>
      <c r="O21" s="208">
        <v>0</v>
      </c>
      <c r="P21" s="208">
        <v>0</v>
      </c>
      <c r="Q21" s="208">
        <v>0</v>
      </c>
      <c r="R21" s="208">
        <v>0</v>
      </c>
      <c r="S21" s="208">
        <v>0</v>
      </c>
      <c r="T21" s="208">
        <v>0</v>
      </c>
      <c r="U21" s="208">
        <v>0</v>
      </c>
      <c r="V21" s="209">
        <f>SUM(J21:U21)</f>
        <v>28929</v>
      </c>
      <c r="W21" s="194"/>
      <c r="X21" s="210"/>
      <c r="Y21" s="210"/>
      <c r="Z21" s="195"/>
      <c r="AA21" s="198"/>
      <c r="AB21" s="199"/>
      <c r="AC21" s="199"/>
      <c r="AD21" s="199"/>
      <c r="AE21" s="199"/>
      <c r="AF21" s="199"/>
      <c r="AG21" s="199"/>
      <c r="AH21" s="199"/>
      <c r="AI21" s="199"/>
      <c r="AJ21" s="199"/>
      <c r="AK21" s="199"/>
      <c r="AL21" s="199"/>
    </row>
    <row r="22" spans="1:38" s="154" customFormat="1" ht="15" customHeight="1" x14ac:dyDescent="0.2">
      <c r="A22" s="186" t="s">
        <v>731</v>
      </c>
      <c r="B22" s="211">
        <v>2397</v>
      </c>
      <c r="C22" s="212">
        <f>IF(ISERROR(B22/F22),0,B22/F22)</f>
        <v>0.7797657774886142</v>
      </c>
      <c r="D22" s="211">
        <v>677</v>
      </c>
      <c r="E22" s="212">
        <f>IF(ISERROR(D22/F22),0,D22/F22)</f>
        <v>0.22023422251138583</v>
      </c>
      <c r="F22" s="184">
        <f>B22+D22</f>
        <v>3074</v>
      </c>
      <c r="I22" s="184" t="s">
        <v>732</v>
      </c>
      <c r="J22" s="213">
        <v>6822</v>
      </c>
      <c r="K22" s="208">
        <v>6732</v>
      </c>
      <c r="L22" s="208">
        <v>396</v>
      </c>
      <c r="M22" s="208">
        <v>0</v>
      </c>
      <c r="N22" s="208">
        <v>0</v>
      </c>
      <c r="O22" s="208">
        <v>0</v>
      </c>
      <c r="P22" s="208">
        <v>0</v>
      </c>
      <c r="Q22" s="208">
        <v>0</v>
      </c>
      <c r="R22" s="208">
        <v>0</v>
      </c>
      <c r="S22" s="208">
        <v>0</v>
      </c>
      <c r="T22" s="208">
        <v>0</v>
      </c>
      <c r="U22" s="208">
        <v>0</v>
      </c>
      <c r="V22" s="214">
        <f>SUM(J22:U22)</f>
        <v>13950</v>
      </c>
      <c r="W22" s="194"/>
      <c r="X22" s="210"/>
      <c r="Y22" s="210"/>
      <c r="Z22" s="210"/>
      <c r="AA22" s="199"/>
      <c r="AB22" s="199"/>
      <c r="AC22" s="199"/>
      <c r="AD22" s="199"/>
      <c r="AE22" s="199"/>
      <c r="AF22" s="199"/>
      <c r="AG22" s="199"/>
      <c r="AH22" s="199"/>
      <c r="AI22" s="199"/>
      <c r="AJ22" s="199"/>
      <c r="AK22" s="199"/>
      <c r="AL22" s="199"/>
    </row>
    <row r="23" spans="1:38" s="154" customFormat="1" ht="15" customHeight="1" x14ac:dyDescent="0.2">
      <c r="A23" s="186" t="s">
        <v>733</v>
      </c>
      <c r="B23" s="211">
        <v>912</v>
      </c>
      <c r="C23" s="212">
        <f>IF(ISERROR(B23/F23),0,B23/F23)</f>
        <v>3.67105422050477E-2</v>
      </c>
      <c r="D23" s="211">
        <v>23931</v>
      </c>
      <c r="E23" s="212">
        <f>IF(ISERROR(D23/F23),0,D23/F23)</f>
        <v>0.96328945779495234</v>
      </c>
      <c r="F23" s="184">
        <f>B23+D23</f>
        <v>24843</v>
      </c>
      <c r="T23" s="163"/>
      <c r="U23" s="163"/>
      <c r="V23" s="215"/>
      <c r="W23" s="194"/>
      <c r="X23" s="210"/>
      <c r="Y23" s="210"/>
      <c r="Z23" s="210"/>
      <c r="AA23" s="199"/>
      <c r="AB23" s="199"/>
      <c r="AC23" s="199"/>
      <c r="AD23" s="199"/>
      <c r="AE23" s="199"/>
      <c r="AF23" s="199"/>
      <c r="AG23" s="199"/>
      <c r="AH23" s="199"/>
      <c r="AI23" s="199"/>
      <c r="AJ23" s="199"/>
      <c r="AK23" s="199"/>
      <c r="AL23" s="199"/>
    </row>
    <row r="24" spans="1:38" s="154" customFormat="1" ht="12" x14ac:dyDescent="0.2">
      <c r="A24" s="216"/>
      <c r="T24" s="163"/>
      <c r="U24" s="163"/>
      <c r="V24" s="215"/>
      <c r="W24" s="194"/>
      <c r="X24" s="194"/>
      <c r="Y24" s="210"/>
      <c r="Z24" s="210"/>
      <c r="AA24" s="199"/>
      <c r="AB24" s="199"/>
      <c r="AC24" s="199"/>
      <c r="AD24" s="199"/>
      <c r="AE24" s="199"/>
      <c r="AF24" s="199"/>
      <c r="AG24" s="199"/>
      <c r="AH24" s="199"/>
      <c r="AK24" s="199"/>
      <c r="AL24" s="199"/>
    </row>
    <row r="25" spans="1:38" s="152" customFormat="1" ht="16.5" customHeight="1" x14ac:dyDescent="0.2">
      <c r="A25" s="363"/>
      <c r="B25" s="364"/>
      <c r="C25" s="364"/>
      <c r="D25" s="364"/>
      <c r="E25" s="364"/>
      <c r="F25" s="364"/>
      <c r="G25" s="364"/>
      <c r="H25" s="364"/>
      <c r="I25" s="364"/>
      <c r="J25" s="364"/>
      <c r="K25" s="364"/>
      <c r="L25" s="364"/>
      <c r="M25" s="364"/>
      <c r="N25" s="364"/>
      <c r="O25" s="364"/>
      <c r="P25" s="364"/>
      <c r="Q25" s="364"/>
      <c r="R25" s="364"/>
      <c r="S25" s="364"/>
      <c r="T25" s="364"/>
      <c r="U25" s="364"/>
      <c r="V25" s="384"/>
      <c r="W25" s="163"/>
      <c r="X25" s="163"/>
      <c r="Y25" s="163"/>
      <c r="Z25" s="179"/>
      <c r="AA25" s="173"/>
      <c r="AB25" s="173"/>
      <c r="AC25" s="173"/>
      <c r="AD25" s="173"/>
      <c r="AE25" s="173"/>
      <c r="AF25" s="173"/>
      <c r="AG25" s="173"/>
    </row>
    <row r="26" spans="1:38" s="154" customFormat="1" ht="12" x14ac:dyDescent="0.2">
      <c r="A26" s="216"/>
      <c r="T26" s="163"/>
      <c r="U26" s="163"/>
      <c r="V26" s="215"/>
      <c r="W26" s="194"/>
      <c r="X26" s="194"/>
      <c r="Y26" s="194"/>
      <c r="Z26" s="210"/>
      <c r="AA26" s="199"/>
      <c r="AB26" s="199"/>
      <c r="AC26" s="199"/>
      <c r="AG26" s="199"/>
    </row>
    <row r="27" spans="1:38" s="152" customFormat="1" ht="21.6" customHeight="1" x14ac:dyDescent="0.2">
      <c r="A27" s="385" t="s">
        <v>734</v>
      </c>
      <c r="B27" s="386"/>
      <c r="C27" s="386"/>
      <c r="D27" s="386"/>
      <c r="E27" s="386"/>
      <c r="F27" s="217"/>
      <c r="H27" s="386" t="s">
        <v>735</v>
      </c>
      <c r="I27" s="386"/>
      <c r="J27" s="386"/>
      <c r="K27" s="386"/>
      <c r="L27" s="386"/>
      <c r="M27" s="217"/>
      <c r="N27" s="387" t="s">
        <v>736</v>
      </c>
      <c r="O27" s="387"/>
      <c r="P27" s="387"/>
      <c r="Q27" s="387"/>
      <c r="R27" s="387"/>
      <c r="S27" s="217"/>
      <c r="V27" s="218"/>
      <c r="W27" s="219"/>
      <c r="X27" s="220"/>
      <c r="Y27" s="220"/>
      <c r="Z27" s="220"/>
      <c r="AA27" s="221"/>
      <c r="AB27" s="221"/>
      <c r="AC27" s="221"/>
      <c r="AD27" s="221"/>
      <c r="AE27" s="173"/>
      <c r="AF27" s="173"/>
      <c r="AG27" s="173"/>
      <c r="AH27" s="221"/>
      <c r="AI27" s="221"/>
    </row>
    <row r="28" spans="1:38" s="154" customFormat="1" ht="37.5" customHeight="1" x14ac:dyDescent="0.2">
      <c r="A28" s="11" t="s">
        <v>737</v>
      </c>
      <c r="B28" s="11" t="s">
        <v>730</v>
      </c>
      <c r="C28" s="11" t="s">
        <v>731</v>
      </c>
      <c r="D28" s="11" t="s">
        <v>733</v>
      </c>
      <c r="E28" s="11" t="s">
        <v>1</v>
      </c>
      <c r="H28" s="373" t="s">
        <v>737</v>
      </c>
      <c r="I28" s="373"/>
      <c r="J28" s="172" t="s">
        <v>1</v>
      </c>
      <c r="K28" s="163"/>
      <c r="L28" s="163"/>
      <c r="M28" s="163"/>
      <c r="N28" s="390" t="s">
        <v>738</v>
      </c>
      <c r="O28" s="391"/>
      <c r="P28" s="222" t="s">
        <v>1</v>
      </c>
      <c r="U28" s="163"/>
      <c r="V28" s="223"/>
      <c r="W28" s="194"/>
      <c r="X28" s="194"/>
      <c r="Y28" s="194"/>
      <c r="Z28" s="199"/>
      <c r="AD28" s="199"/>
      <c r="AE28" s="199"/>
      <c r="AF28" s="199"/>
      <c r="AG28" s="199"/>
    </row>
    <row r="29" spans="1:38" s="154" customFormat="1" ht="15" customHeight="1" thickBot="1" x14ac:dyDescent="0.25">
      <c r="A29" s="174" t="s">
        <v>1</v>
      </c>
      <c r="B29" s="175">
        <f>SUM(B30:B30)</f>
        <v>10841</v>
      </c>
      <c r="C29" s="175">
        <f>SUM(C30:C30)</f>
        <v>3684</v>
      </c>
      <c r="D29" s="175">
        <f>SUM(D30:D30)</f>
        <v>28354</v>
      </c>
      <c r="E29" s="203">
        <f>SUM(B29:D29)</f>
        <v>42879</v>
      </c>
      <c r="H29" s="392" t="s">
        <v>1</v>
      </c>
      <c r="I29" s="392"/>
      <c r="J29" s="224">
        <f>SUM(J30:J30)</f>
        <v>20878</v>
      </c>
      <c r="K29" s="163"/>
      <c r="L29" s="163"/>
      <c r="M29" s="163"/>
      <c r="N29" s="393" t="s">
        <v>1</v>
      </c>
      <c r="O29" s="394"/>
      <c r="P29" s="225">
        <v>38079</v>
      </c>
      <c r="U29" s="179"/>
      <c r="V29" s="226"/>
      <c r="W29" s="194"/>
      <c r="X29" s="210"/>
      <c r="Y29" s="210"/>
      <c r="Z29" s="199"/>
      <c r="AA29" s="199"/>
      <c r="AB29" s="199"/>
      <c r="AC29" s="199"/>
      <c r="AD29" s="199"/>
      <c r="AE29" s="199"/>
      <c r="AF29" s="199"/>
      <c r="AG29" s="199"/>
      <c r="AH29" s="199"/>
      <c r="AI29" s="199"/>
      <c r="AJ29" s="199"/>
    </row>
    <row r="30" spans="1:38" s="154" customFormat="1" ht="14.65" customHeight="1" thickTop="1" x14ac:dyDescent="0.2">
      <c r="A30" s="186" t="s">
        <v>704</v>
      </c>
      <c r="B30" s="211">
        <v>10841</v>
      </c>
      <c r="C30" s="211">
        <v>3684</v>
      </c>
      <c r="D30" s="211">
        <v>28354</v>
      </c>
      <c r="E30" s="207">
        <f>SUM(B30:D30)</f>
        <v>42879</v>
      </c>
      <c r="F30" s="152"/>
      <c r="G30" s="152"/>
      <c r="H30" s="378" t="s">
        <v>704</v>
      </c>
      <c r="I30" s="378"/>
      <c r="J30" s="227">
        <v>20878</v>
      </c>
      <c r="K30" s="163"/>
      <c r="L30" s="163"/>
      <c r="M30" s="163"/>
      <c r="N30" s="378" t="s">
        <v>739</v>
      </c>
      <c r="O30" s="378"/>
      <c r="P30" s="227">
        <v>11897</v>
      </c>
      <c r="Q30" s="163"/>
      <c r="R30" s="163"/>
      <c r="U30" s="179"/>
      <c r="V30" s="226"/>
      <c r="W30" s="194"/>
      <c r="X30" s="210"/>
      <c r="Y30" s="210"/>
      <c r="Z30" s="199"/>
      <c r="AA30" s="199"/>
      <c r="AB30" s="199"/>
      <c r="AC30" s="199"/>
      <c r="AD30" s="199"/>
      <c r="AE30" s="199"/>
      <c r="AF30" s="199"/>
      <c r="AG30" s="199"/>
      <c r="AH30" s="199"/>
      <c r="AI30" s="199"/>
      <c r="AJ30" s="199"/>
    </row>
    <row r="31" spans="1:38" s="154" customFormat="1" ht="12" x14ac:dyDescent="0.2">
      <c r="A31" s="216"/>
      <c r="F31" s="152"/>
      <c r="G31" s="152"/>
      <c r="H31" s="152"/>
      <c r="K31" s="152"/>
      <c r="L31" s="163"/>
      <c r="M31" s="163"/>
      <c r="N31" s="163"/>
      <c r="O31" s="163"/>
      <c r="P31" s="163"/>
      <c r="Q31" s="163"/>
      <c r="R31" s="163"/>
      <c r="S31" s="163"/>
      <c r="T31" s="163"/>
      <c r="U31" s="179"/>
      <c r="V31" s="215"/>
      <c r="W31" s="194"/>
      <c r="X31" s="210"/>
      <c r="Y31" s="210"/>
      <c r="Z31" s="210"/>
      <c r="AA31" s="199"/>
      <c r="AB31" s="199"/>
      <c r="AC31" s="199"/>
      <c r="AD31" s="199"/>
      <c r="AE31" s="199"/>
      <c r="AF31" s="199"/>
      <c r="AG31" s="199"/>
    </row>
    <row r="32" spans="1:38" s="152" customFormat="1" ht="16.5" customHeight="1" x14ac:dyDescent="0.2">
      <c r="A32" s="363"/>
      <c r="B32" s="364"/>
      <c r="C32" s="364"/>
      <c r="D32" s="364"/>
      <c r="E32" s="364"/>
      <c r="F32" s="364"/>
      <c r="G32" s="364"/>
      <c r="H32" s="364"/>
      <c r="I32" s="364"/>
      <c r="J32" s="364"/>
      <c r="K32" s="364"/>
      <c r="L32" s="364"/>
      <c r="M32" s="364"/>
      <c r="N32" s="364"/>
      <c r="O32" s="364"/>
      <c r="P32" s="364"/>
      <c r="Q32" s="364"/>
      <c r="R32" s="364"/>
      <c r="S32" s="364"/>
      <c r="T32" s="364"/>
      <c r="U32" s="364"/>
      <c r="V32" s="384"/>
      <c r="W32" s="163"/>
      <c r="X32" s="163"/>
      <c r="Y32" s="163"/>
      <c r="Z32" s="179"/>
      <c r="AA32" s="173"/>
      <c r="AB32" s="173"/>
      <c r="AC32" s="173"/>
      <c r="AD32" s="173"/>
      <c r="AE32" s="173"/>
      <c r="AF32" s="173"/>
      <c r="AG32" s="173"/>
    </row>
    <row r="33" spans="1:45" s="154" customFormat="1" ht="12" x14ac:dyDescent="0.2">
      <c r="A33" s="216"/>
      <c r="F33" s="152"/>
      <c r="G33" s="152"/>
      <c r="H33" s="152"/>
      <c r="I33" s="199"/>
      <c r="K33" s="152"/>
      <c r="L33" s="163"/>
      <c r="M33" s="163"/>
      <c r="N33" s="163"/>
      <c r="O33" s="163"/>
      <c r="P33" s="163"/>
      <c r="Q33" s="163"/>
      <c r="R33" s="163"/>
      <c r="S33" s="163"/>
      <c r="T33" s="163"/>
      <c r="U33" s="163"/>
      <c r="V33" s="228"/>
      <c r="W33" s="194"/>
      <c r="X33" s="194"/>
      <c r="Y33" s="194"/>
      <c r="Z33" s="210"/>
      <c r="AA33" s="199"/>
      <c r="AB33" s="199"/>
      <c r="AC33" s="199"/>
      <c r="AD33" s="199"/>
      <c r="AE33" s="199"/>
    </row>
    <row r="34" spans="1:45" s="154" customFormat="1" ht="12" x14ac:dyDescent="0.2">
      <c r="A34" s="216"/>
      <c r="F34" s="152"/>
      <c r="G34" s="152"/>
      <c r="H34" s="152"/>
      <c r="I34" s="198"/>
      <c r="J34" s="198"/>
      <c r="K34" s="221"/>
      <c r="L34" s="229"/>
      <c r="M34" s="229"/>
      <c r="N34" s="229"/>
      <c r="O34" s="229"/>
      <c r="P34" s="229"/>
      <c r="Q34" s="229"/>
      <c r="R34" s="229"/>
      <c r="S34" s="229"/>
      <c r="T34" s="163"/>
      <c r="U34" s="163"/>
      <c r="V34" s="215"/>
      <c r="W34" s="194"/>
      <c r="X34" s="194"/>
      <c r="Y34" s="194"/>
      <c r="Z34" s="210"/>
      <c r="AB34" s="199"/>
      <c r="AC34" s="199"/>
      <c r="AE34" s="199"/>
    </row>
    <row r="35" spans="1:45" s="154" customFormat="1" ht="22.5" customHeight="1" x14ac:dyDescent="0.2">
      <c r="A35" s="369" t="s">
        <v>740</v>
      </c>
      <c r="B35" s="370"/>
      <c r="C35" s="370"/>
      <c r="D35" s="370"/>
      <c r="E35" s="370"/>
      <c r="F35" s="217"/>
      <c r="G35" s="152"/>
      <c r="H35" s="152"/>
      <c r="I35" s="152"/>
      <c r="J35" s="152"/>
      <c r="K35" s="152"/>
      <c r="L35" s="152"/>
      <c r="M35" s="152"/>
      <c r="N35" s="152"/>
      <c r="O35" s="152"/>
      <c r="P35" s="152"/>
      <c r="Q35" s="152"/>
      <c r="R35" s="173"/>
      <c r="S35" s="152"/>
      <c r="T35" s="152"/>
      <c r="U35" s="152"/>
      <c r="V35" s="230"/>
      <c r="W35" s="194"/>
      <c r="X35" s="194"/>
      <c r="Y35" s="194"/>
      <c r="Z35" s="210"/>
      <c r="AB35" s="199"/>
      <c r="AC35" s="199"/>
      <c r="AE35" s="199"/>
    </row>
    <row r="36" spans="1:45" s="154" customFormat="1" ht="38.65" customHeight="1" x14ac:dyDescent="0.2">
      <c r="A36" s="231" t="s">
        <v>741</v>
      </c>
      <c r="B36" s="11" t="s">
        <v>714</v>
      </c>
      <c r="C36" s="11" t="s">
        <v>718</v>
      </c>
      <c r="D36" s="11" t="s">
        <v>719</v>
      </c>
      <c r="E36" s="11" t="s">
        <v>720</v>
      </c>
      <c r="F36" s="11" t="s">
        <v>721</v>
      </c>
      <c r="G36" s="11" t="s">
        <v>722</v>
      </c>
      <c r="H36" s="11" t="s">
        <v>723</v>
      </c>
      <c r="I36" s="11" t="s">
        <v>724</v>
      </c>
      <c r="J36" s="11" t="s">
        <v>725</v>
      </c>
      <c r="K36" s="11" t="s">
        <v>726</v>
      </c>
      <c r="L36" s="11" t="s">
        <v>727</v>
      </c>
      <c r="M36" s="11" t="s">
        <v>728</v>
      </c>
      <c r="N36" s="11" t="s">
        <v>729</v>
      </c>
      <c r="O36" s="11" t="s">
        <v>1</v>
      </c>
      <c r="P36" s="152"/>
      <c r="Q36" s="152"/>
      <c r="R36" s="173"/>
      <c r="S36" s="152"/>
      <c r="T36" s="152"/>
      <c r="U36" s="152"/>
      <c r="V36" s="230"/>
      <c r="W36" s="152"/>
      <c r="X36" s="152"/>
      <c r="Y36" s="152"/>
      <c r="Z36" s="152"/>
      <c r="AA36" s="152"/>
      <c r="AB36" s="152"/>
      <c r="AC36" s="152"/>
      <c r="AD36" s="194"/>
      <c r="AE36" s="194"/>
      <c r="AI36" s="199"/>
      <c r="AJ36" s="199"/>
      <c r="AL36" s="199"/>
    </row>
    <row r="37" spans="1:45" s="154" customFormat="1" ht="15.75" customHeight="1" thickBot="1" x14ac:dyDescent="0.25">
      <c r="A37" s="232" t="s">
        <v>1</v>
      </c>
      <c r="B37" s="175"/>
      <c r="C37" s="233">
        <f t="shared" ref="C37:N37" si="1">SUM(C38,C50,C54,C58)</f>
        <v>10028</v>
      </c>
      <c r="D37" s="233">
        <f t="shared" si="1"/>
        <v>9983</v>
      </c>
      <c r="E37" s="233">
        <f t="shared" si="1"/>
        <v>867</v>
      </c>
      <c r="F37" s="233">
        <f t="shared" si="1"/>
        <v>0</v>
      </c>
      <c r="G37" s="233">
        <f t="shared" si="1"/>
        <v>0</v>
      </c>
      <c r="H37" s="233">
        <f t="shared" si="1"/>
        <v>0</v>
      </c>
      <c r="I37" s="233">
        <f t="shared" si="1"/>
        <v>0</v>
      </c>
      <c r="J37" s="233">
        <f t="shared" si="1"/>
        <v>0</v>
      </c>
      <c r="K37" s="233">
        <f t="shared" si="1"/>
        <v>0</v>
      </c>
      <c r="L37" s="233">
        <f t="shared" si="1"/>
        <v>0</v>
      </c>
      <c r="M37" s="233">
        <f t="shared" si="1"/>
        <v>0</v>
      </c>
      <c r="N37" s="233">
        <f t="shared" si="1"/>
        <v>0</v>
      </c>
      <c r="O37" s="234">
        <f>SUM(C37:N37)</f>
        <v>20878</v>
      </c>
      <c r="P37" s="152"/>
      <c r="Q37" s="152"/>
      <c r="R37" s="173"/>
      <c r="S37" s="152"/>
      <c r="T37" s="152"/>
      <c r="U37" s="173"/>
      <c r="V37" s="235"/>
      <c r="W37" s="173"/>
      <c r="X37" s="173"/>
      <c r="Y37" s="173"/>
      <c r="Z37" s="173"/>
      <c r="AA37" s="173"/>
      <c r="AB37" s="173"/>
      <c r="AC37" s="173"/>
      <c r="AD37" s="210"/>
      <c r="AE37" s="210"/>
      <c r="AF37" s="199"/>
      <c r="AG37" s="199"/>
      <c r="AH37" s="199"/>
      <c r="AI37" s="199"/>
      <c r="AJ37" s="199"/>
      <c r="AL37" s="199"/>
      <c r="AP37" s="199"/>
      <c r="AQ37" s="199"/>
      <c r="AR37" s="199"/>
      <c r="AS37" s="199"/>
    </row>
    <row r="38" spans="1:45" s="154" customFormat="1" ht="15" customHeight="1" thickTop="1" x14ac:dyDescent="0.2">
      <c r="A38" s="236" t="s">
        <v>742</v>
      </c>
      <c r="B38" s="236" t="s">
        <v>1</v>
      </c>
      <c r="C38" s="237">
        <f t="shared" ref="C38:N38" si="2">SUM(C39:C41)</f>
        <v>941</v>
      </c>
      <c r="D38" s="237">
        <f t="shared" si="2"/>
        <v>934</v>
      </c>
      <c r="E38" s="237">
        <f t="shared" si="2"/>
        <v>47</v>
      </c>
      <c r="F38" s="237">
        <f t="shared" si="2"/>
        <v>0</v>
      </c>
      <c r="G38" s="237">
        <f t="shared" si="2"/>
        <v>0</v>
      </c>
      <c r="H38" s="237">
        <f t="shared" si="2"/>
        <v>0</v>
      </c>
      <c r="I38" s="237">
        <f t="shared" si="2"/>
        <v>0</v>
      </c>
      <c r="J38" s="237">
        <f t="shared" si="2"/>
        <v>0</v>
      </c>
      <c r="K38" s="237">
        <f t="shared" si="2"/>
        <v>0</v>
      </c>
      <c r="L38" s="237">
        <f t="shared" si="2"/>
        <v>0</v>
      </c>
      <c r="M38" s="237">
        <f t="shared" si="2"/>
        <v>0</v>
      </c>
      <c r="N38" s="237">
        <f t="shared" si="2"/>
        <v>0</v>
      </c>
      <c r="O38" s="237">
        <f>SUM(C38:N38)</f>
        <v>1922</v>
      </c>
      <c r="P38" s="238"/>
      <c r="Q38" s="238"/>
      <c r="R38" s="173"/>
      <c r="S38" s="173"/>
      <c r="T38" s="173"/>
      <c r="U38" s="173"/>
      <c r="V38" s="235"/>
      <c r="W38" s="173"/>
      <c r="X38" s="173"/>
      <c r="Y38" s="173"/>
      <c r="Z38" s="173"/>
      <c r="AA38" s="173"/>
      <c r="AB38" s="173"/>
      <c r="AC38" s="173"/>
      <c r="AD38" s="210"/>
      <c r="AE38" s="210"/>
      <c r="AF38" s="199"/>
      <c r="AG38" s="199"/>
      <c r="AH38" s="199"/>
      <c r="AI38" s="199"/>
      <c r="AS38" s="199"/>
    </row>
    <row r="39" spans="1:45" s="154" customFormat="1" ht="15" customHeight="1" x14ac:dyDescent="0.2">
      <c r="A39" s="184"/>
      <c r="B39" s="184" t="s">
        <v>730</v>
      </c>
      <c r="C39" s="239">
        <v>181</v>
      </c>
      <c r="D39" s="239">
        <v>165</v>
      </c>
      <c r="E39" s="239">
        <v>9</v>
      </c>
      <c r="F39" s="239">
        <v>0</v>
      </c>
      <c r="G39" s="239">
        <v>0</v>
      </c>
      <c r="H39" s="239">
        <v>0</v>
      </c>
      <c r="I39" s="239">
        <v>0</v>
      </c>
      <c r="J39" s="239">
        <v>0</v>
      </c>
      <c r="K39" s="239">
        <v>0</v>
      </c>
      <c r="L39" s="240">
        <v>0</v>
      </c>
      <c r="M39" s="240">
        <v>0</v>
      </c>
      <c r="N39" s="240">
        <v>0</v>
      </c>
      <c r="O39" s="241">
        <f>O43+O47</f>
        <v>355</v>
      </c>
      <c r="P39" s="152"/>
      <c r="Q39" s="152"/>
      <c r="R39" s="173"/>
      <c r="S39" s="152"/>
      <c r="T39" s="152"/>
      <c r="U39" s="173"/>
      <c r="V39" s="235"/>
      <c r="W39" s="152"/>
      <c r="X39" s="152"/>
      <c r="Y39" s="152"/>
      <c r="Z39" s="152"/>
      <c r="AA39" s="173"/>
      <c r="AB39" s="173"/>
      <c r="AC39" s="173"/>
      <c r="AD39" s="210"/>
      <c r="AE39" s="210"/>
      <c r="AF39" s="199"/>
      <c r="AG39" s="199"/>
      <c r="AH39" s="199"/>
      <c r="AI39" s="199"/>
      <c r="AS39" s="199"/>
    </row>
    <row r="40" spans="1:45" s="154" customFormat="1" ht="15" customHeight="1" x14ac:dyDescent="0.2">
      <c r="A40" s="184"/>
      <c r="B40" s="184" t="s">
        <v>731</v>
      </c>
      <c r="C40" s="239">
        <v>228</v>
      </c>
      <c r="D40" s="239">
        <v>218</v>
      </c>
      <c r="E40" s="239">
        <v>6</v>
      </c>
      <c r="F40" s="239">
        <v>0</v>
      </c>
      <c r="G40" s="239">
        <v>0</v>
      </c>
      <c r="H40" s="239">
        <v>0</v>
      </c>
      <c r="I40" s="239">
        <v>0</v>
      </c>
      <c r="J40" s="239">
        <v>0</v>
      </c>
      <c r="K40" s="239">
        <v>0</v>
      </c>
      <c r="L40" s="240">
        <v>0</v>
      </c>
      <c r="M40" s="240">
        <v>0</v>
      </c>
      <c r="N40" s="240">
        <v>0</v>
      </c>
      <c r="O40" s="241">
        <f>O44+O48</f>
        <v>452</v>
      </c>
      <c r="P40" s="152"/>
      <c r="Q40" s="152"/>
      <c r="R40" s="152"/>
      <c r="S40" s="173"/>
      <c r="T40" s="173"/>
      <c r="U40" s="173"/>
      <c r="V40" s="235"/>
      <c r="W40" s="152"/>
      <c r="X40" s="152"/>
      <c r="Y40" s="152"/>
      <c r="Z40" s="152"/>
      <c r="AA40" s="152"/>
      <c r="AB40" s="173"/>
      <c r="AC40" s="152"/>
      <c r="AD40" s="210"/>
      <c r="AE40" s="194"/>
      <c r="AF40" s="199"/>
      <c r="AH40" s="199"/>
      <c r="AS40" s="199"/>
    </row>
    <row r="41" spans="1:45" s="154" customFormat="1" ht="15" customHeight="1" x14ac:dyDescent="0.2">
      <c r="A41" s="184"/>
      <c r="B41" s="184" t="s">
        <v>733</v>
      </c>
      <c r="C41" s="239">
        <v>532</v>
      </c>
      <c r="D41" s="239">
        <v>551</v>
      </c>
      <c r="E41" s="239">
        <v>32</v>
      </c>
      <c r="F41" s="239">
        <v>0</v>
      </c>
      <c r="G41" s="239">
        <v>0</v>
      </c>
      <c r="H41" s="239">
        <v>0</v>
      </c>
      <c r="I41" s="239">
        <v>0</v>
      </c>
      <c r="J41" s="239">
        <v>0</v>
      </c>
      <c r="K41" s="239">
        <v>0</v>
      </c>
      <c r="L41" s="240">
        <v>0</v>
      </c>
      <c r="M41" s="240">
        <v>0</v>
      </c>
      <c r="N41" s="240">
        <v>0</v>
      </c>
      <c r="O41" s="241">
        <f>O45+O49</f>
        <v>1115</v>
      </c>
      <c r="P41" s="152"/>
      <c r="Q41" s="152"/>
      <c r="R41" s="152"/>
      <c r="S41" s="152"/>
      <c r="T41" s="152"/>
      <c r="U41" s="173"/>
      <c r="V41" s="230"/>
      <c r="W41" s="152"/>
      <c r="X41" s="152"/>
      <c r="Y41" s="152"/>
      <c r="Z41" s="152"/>
      <c r="AA41" s="152"/>
      <c r="AB41" s="173"/>
      <c r="AC41" s="152"/>
      <c r="AD41" s="194"/>
      <c r="AE41" s="194"/>
      <c r="AS41" s="199"/>
    </row>
    <row r="42" spans="1:45" s="154" customFormat="1" ht="14.65" customHeight="1" x14ac:dyDescent="0.2">
      <c r="A42" s="242" t="s">
        <v>743</v>
      </c>
      <c r="B42" s="243" t="s">
        <v>1</v>
      </c>
      <c r="C42" s="244">
        <f t="shared" ref="C42:N42" si="3">SUM(C43:C45)</f>
        <v>296</v>
      </c>
      <c r="D42" s="244">
        <f t="shared" si="3"/>
        <v>362</v>
      </c>
      <c r="E42" s="244">
        <f t="shared" si="3"/>
        <v>18</v>
      </c>
      <c r="F42" s="244">
        <f t="shared" si="3"/>
        <v>0</v>
      </c>
      <c r="G42" s="244">
        <f t="shared" si="3"/>
        <v>0</v>
      </c>
      <c r="H42" s="244">
        <f t="shared" si="3"/>
        <v>0</v>
      </c>
      <c r="I42" s="244">
        <f t="shared" si="3"/>
        <v>0</v>
      </c>
      <c r="J42" s="244">
        <f t="shared" si="3"/>
        <v>0</v>
      </c>
      <c r="K42" s="244">
        <f t="shared" si="3"/>
        <v>0</v>
      </c>
      <c r="L42" s="244">
        <f t="shared" si="3"/>
        <v>0</v>
      </c>
      <c r="M42" s="244">
        <f t="shared" si="3"/>
        <v>0</v>
      </c>
      <c r="N42" s="244">
        <f t="shared" si="3"/>
        <v>0</v>
      </c>
      <c r="O42" s="244">
        <f t="shared" ref="O42:O61" si="4">SUM(C42:N42)</f>
        <v>676</v>
      </c>
      <c r="P42" s="238"/>
      <c r="Q42" s="152"/>
      <c r="R42" s="152"/>
      <c r="S42" s="152"/>
      <c r="T42" s="152"/>
      <c r="U42" s="152"/>
      <c r="V42" s="230"/>
      <c r="W42" s="152"/>
      <c r="X42" s="152"/>
      <c r="Y42" s="152"/>
      <c r="Z42" s="152"/>
      <c r="AA42" s="152"/>
      <c r="AB42" s="173"/>
      <c r="AC42" s="152"/>
      <c r="AD42" s="194"/>
      <c r="AE42" s="194"/>
      <c r="AF42" s="199"/>
      <c r="AG42" s="199"/>
      <c r="AH42" s="199"/>
      <c r="AQ42" s="199"/>
      <c r="AR42" s="199"/>
      <c r="AS42" s="199"/>
    </row>
    <row r="43" spans="1:45" s="154" customFormat="1" ht="14.65" customHeight="1" x14ac:dyDescent="0.2">
      <c r="A43" s="245"/>
      <c r="B43" s="184" t="s">
        <v>730</v>
      </c>
      <c r="C43" s="239">
        <v>40</v>
      </c>
      <c r="D43" s="239">
        <v>41</v>
      </c>
      <c r="E43" s="239">
        <v>1</v>
      </c>
      <c r="F43" s="239">
        <v>0</v>
      </c>
      <c r="G43" s="239">
        <v>0</v>
      </c>
      <c r="H43" s="239">
        <v>0</v>
      </c>
      <c r="I43" s="239">
        <v>0</v>
      </c>
      <c r="J43" s="239">
        <v>0</v>
      </c>
      <c r="K43" s="239">
        <v>0</v>
      </c>
      <c r="L43" s="240">
        <v>0</v>
      </c>
      <c r="M43" s="240">
        <v>0</v>
      </c>
      <c r="N43" s="240">
        <v>0</v>
      </c>
      <c r="O43" s="246">
        <f t="shared" si="4"/>
        <v>82</v>
      </c>
      <c r="P43" s="238"/>
      <c r="Q43" s="152"/>
      <c r="R43" s="152"/>
      <c r="S43" s="152"/>
      <c r="T43" s="152"/>
      <c r="U43" s="152"/>
      <c r="V43" s="230"/>
      <c r="W43" s="152"/>
      <c r="X43" s="152"/>
      <c r="Y43" s="152"/>
      <c r="Z43" s="152"/>
      <c r="AA43" s="152"/>
      <c r="AB43" s="173"/>
      <c r="AC43" s="173"/>
      <c r="AD43" s="194"/>
      <c r="AE43" s="210"/>
      <c r="AF43" s="199"/>
      <c r="AG43" s="199"/>
      <c r="AH43" s="199"/>
      <c r="AI43" s="199"/>
      <c r="AQ43" s="199"/>
      <c r="AR43" s="199"/>
      <c r="AS43" s="199"/>
    </row>
    <row r="44" spans="1:45" s="154" customFormat="1" ht="14.65" customHeight="1" x14ac:dyDescent="0.2">
      <c r="A44" s="245"/>
      <c r="B44" s="184" t="s">
        <v>731</v>
      </c>
      <c r="C44" s="239">
        <v>55</v>
      </c>
      <c r="D44" s="239">
        <v>39</v>
      </c>
      <c r="E44" s="239">
        <v>0</v>
      </c>
      <c r="F44" s="239">
        <v>0</v>
      </c>
      <c r="G44" s="239">
        <v>0</v>
      </c>
      <c r="H44" s="239">
        <v>0</v>
      </c>
      <c r="I44" s="239">
        <v>0</v>
      </c>
      <c r="J44" s="239">
        <v>0</v>
      </c>
      <c r="K44" s="239">
        <v>0</v>
      </c>
      <c r="L44" s="240">
        <v>0</v>
      </c>
      <c r="M44" s="240">
        <v>0</v>
      </c>
      <c r="N44" s="240">
        <v>0</v>
      </c>
      <c r="O44" s="246">
        <f t="shared" si="4"/>
        <v>94</v>
      </c>
      <c r="P44" s="152"/>
      <c r="Q44" s="152"/>
      <c r="R44" s="152"/>
      <c r="S44" s="152"/>
      <c r="T44" s="152"/>
      <c r="U44" s="152"/>
      <c r="V44" s="230"/>
      <c r="W44" s="152"/>
      <c r="X44" s="152"/>
      <c r="Y44" s="152"/>
      <c r="Z44" s="152"/>
      <c r="AA44" s="152"/>
      <c r="AB44" s="173"/>
      <c r="AC44" s="152"/>
      <c r="AD44" s="210"/>
      <c r="AE44" s="194"/>
      <c r="AF44" s="199"/>
      <c r="AG44" s="199"/>
      <c r="AH44" s="199"/>
      <c r="AI44" s="199"/>
      <c r="AQ44" s="199"/>
      <c r="AR44" s="199"/>
      <c r="AS44" s="199"/>
    </row>
    <row r="45" spans="1:45" s="154" customFormat="1" ht="14.65" customHeight="1" x14ac:dyDescent="0.2">
      <c r="A45" s="245"/>
      <c r="B45" s="184" t="s">
        <v>733</v>
      </c>
      <c r="C45" s="239">
        <v>201</v>
      </c>
      <c r="D45" s="239">
        <v>282</v>
      </c>
      <c r="E45" s="239">
        <v>17</v>
      </c>
      <c r="F45" s="239">
        <v>0</v>
      </c>
      <c r="G45" s="239">
        <v>0</v>
      </c>
      <c r="H45" s="239">
        <v>0</v>
      </c>
      <c r="I45" s="239">
        <v>0</v>
      </c>
      <c r="J45" s="239">
        <v>0</v>
      </c>
      <c r="K45" s="239">
        <v>0</v>
      </c>
      <c r="L45" s="240">
        <v>0</v>
      </c>
      <c r="M45" s="240">
        <v>0</v>
      </c>
      <c r="N45" s="240">
        <v>0</v>
      </c>
      <c r="O45" s="246">
        <f t="shared" si="4"/>
        <v>500</v>
      </c>
      <c r="P45" s="152"/>
      <c r="Q45" s="152"/>
      <c r="R45" s="152"/>
      <c r="S45" s="152"/>
      <c r="T45" s="152"/>
      <c r="U45" s="152"/>
      <c r="V45" s="230"/>
      <c r="W45" s="152"/>
      <c r="X45" s="152"/>
      <c r="Y45" s="152"/>
      <c r="Z45" s="152"/>
      <c r="AA45" s="152"/>
      <c r="AB45" s="173"/>
      <c r="AC45" s="152"/>
      <c r="AD45" s="210"/>
      <c r="AE45" s="194"/>
      <c r="AF45" s="199"/>
      <c r="AG45" s="199"/>
      <c r="AH45" s="199"/>
      <c r="AI45" s="199"/>
      <c r="AQ45" s="199"/>
      <c r="AR45" s="199"/>
      <c r="AS45" s="199"/>
    </row>
    <row r="46" spans="1:45" s="154" customFormat="1" ht="14.65" customHeight="1" x14ac:dyDescent="0.2">
      <c r="A46" s="242" t="s">
        <v>744</v>
      </c>
      <c r="B46" s="243" t="s">
        <v>1</v>
      </c>
      <c r="C46" s="244">
        <f t="shared" ref="C46:N46" si="5">SUM(C47:C49)</f>
        <v>645</v>
      </c>
      <c r="D46" s="244">
        <f t="shared" si="5"/>
        <v>572</v>
      </c>
      <c r="E46" s="244">
        <f t="shared" si="5"/>
        <v>29</v>
      </c>
      <c r="F46" s="244">
        <f t="shared" si="5"/>
        <v>0</v>
      </c>
      <c r="G46" s="244">
        <f t="shared" si="5"/>
        <v>0</v>
      </c>
      <c r="H46" s="244">
        <f t="shared" si="5"/>
        <v>0</v>
      </c>
      <c r="I46" s="244">
        <f t="shared" si="5"/>
        <v>0</v>
      </c>
      <c r="J46" s="244">
        <f t="shared" si="5"/>
        <v>0</v>
      </c>
      <c r="K46" s="244">
        <f t="shared" si="5"/>
        <v>0</v>
      </c>
      <c r="L46" s="244">
        <f t="shared" si="5"/>
        <v>0</v>
      </c>
      <c r="M46" s="244">
        <f t="shared" si="5"/>
        <v>0</v>
      </c>
      <c r="N46" s="244">
        <f t="shared" si="5"/>
        <v>0</v>
      </c>
      <c r="O46" s="244">
        <f t="shared" si="4"/>
        <v>1246</v>
      </c>
      <c r="P46" s="152"/>
      <c r="Q46" s="152"/>
      <c r="R46" s="152"/>
      <c r="S46" s="152"/>
      <c r="T46" s="152"/>
      <c r="U46" s="152"/>
      <c r="V46" s="230"/>
      <c r="W46" s="152"/>
      <c r="X46" s="152"/>
      <c r="Y46" s="152"/>
      <c r="Z46" s="152"/>
      <c r="AA46" s="152"/>
      <c r="AB46" s="173"/>
      <c r="AC46" s="152"/>
      <c r="AD46" s="210"/>
      <c r="AE46" s="194"/>
      <c r="AF46" s="199"/>
      <c r="AG46" s="199"/>
      <c r="AH46" s="199"/>
      <c r="AI46" s="199"/>
      <c r="AP46" s="199"/>
      <c r="AQ46" s="199"/>
      <c r="AR46" s="199"/>
      <c r="AS46" s="199"/>
    </row>
    <row r="47" spans="1:45" s="154" customFormat="1" ht="14.65" customHeight="1" x14ac:dyDescent="0.2">
      <c r="A47" s="245"/>
      <c r="B47" s="184" t="s">
        <v>730</v>
      </c>
      <c r="C47" s="239">
        <v>141</v>
      </c>
      <c r="D47" s="239">
        <v>124</v>
      </c>
      <c r="E47" s="239">
        <v>8</v>
      </c>
      <c r="F47" s="239">
        <v>0</v>
      </c>
      <c r="G47" s="239">
        <v>0</v>
      </c>
      <c r="H47" s="239">
        <v>0</v>
      </c>
      <c r="I47" s="239">
        <v>0</v>
      </c>
      <c r="J47" s="239">
        <v>0</v>
      </c>
      <c r="K47" s="239">
        <v>0</v>
      </c>
      <c r="L47" s="240">
        <v>0</v>
      </c>
      <c r="M47" s="240">
        <v>0</v>
      </c>
      <c r="N47" s="240">
        <v>0</v>
      </c>
      <c r="O47" s="246">
        <f t="shared" si="4"/>
        <v>273</v>
      </c>
      <c r="P47" s="152"/>
      <c r="Q47" s="152"/>
      <c r="R47" s="152"/>
      <c r="S47" s="152"/>
      <c r="T47" s="152"/>
      <c r="U47" s="152"/>
      <c r="V47" s="235"/>
      <c r="W47" s="173"/>
      <c r="X47" s="173"/>
      <c r="Y47" s="173"/>
      <c r="Z47" s="173"/>
      <c r="AA47" s="173"/>
      <c r="AB47" s="173"/>
      <c r="AC47" s="173"/>
      <c r="AD47" s="210"/>
      <c r="AE47" s="210"/>
      <c r="AF47" s="199"/>
      <c r="AG47" s="199"/>
      <c r="AH47" s="199"/>
      <c r="AI47" s="199"/>
      <c r="AP47" s="199"/>
      <c r="AQ47" s="199"/>
      <c r="AR47" s="199"/>
      <c r="AS47" s="199"/>
    </row>
    <row r="48" spans="1:45" s="154" customFormat="1" ht="14.65" customHeight="1" x14ac:dyDescent="0.2">
      <c r="A48" s="245"/>
      <c r="B48" s="184" t="s">
        <v>731</v>
      </c>
      <c r="C48" s="239">
        <v>173</v>
      </c>
      <c r="D48" s="239">
        <v>179</v>
      </c>
      <c r="E48" s="239">
        <v>6</v>
      </c>
      <c r="F48" s="239">
        <v>0</v>
      </c>
      <c r="G48" s="239">
        <v>0</v>
      </c>
      <c r="H48" s="239">
        <v>0</v>
      </c>
      <c r="I48" s="239">
        <v>0</v>
      </c>
      <c r="J48" s="239">
        <v>0</v>
      </c>
      <c r="K48" s="239">
        <v>0</v>
      </c>
      <c r="L48" s="240">
        <v>0</v>
      </c>
      <c r="M48" s="240">
        <v>0</v>
      </c>
      <c r="N48" s="240">
        <v>0</v>
      </c>
      <c r="O48" s="246">
        <f t="shared" si="4"/>
        <v>358</v>
      </c>
      <c r="P48" s="152"/>
      <c r="Q48" s="152"/>
      <c r="R48" s="152"/>
      <c r="S48" s="152"/>
      <c r="T48" s="152"/>
      <c r="U48" s="173"/>
      <c r="V48" s="235"/>
      <c r="W48" s="173"/>
      <c r="X48" s="173"/>
      <c r="Y48" s="173"/>
      <c r="Z48" s="173"/>
      <c r="AA48" s="173"/>
      <c r="AB48" s="173"/>
      <c r="AC48" s="173"/>
      <c r="AD48" s="210"/>
      <c r="AE48" s="210"/>
      <c r="AF48" s="199"/>
      <c r="AG48" s="199"/>
      <c r="AH48" s="199"/>
      <c r="AI48" s="199"/>
      <c r="AL48" s="199"/>
      <c r="AM48" s="199"/>
      <c r="AN48" s="199"/>
      <c r="AO48" s="199"/>
      <c r="AP48" s="199"/>
      <c r="AQ48" s="199"/>
      <c r="AR48" s="199"/>
      <c r="AS48" s="199"/>
    </row>
    <row r="49" spans="1:45" s="154" customFormat="1" ht="14.65" customHeight="1" x14ac:dyDescent="0.2">
      <c r="A49" s="245"/>
      <c r="B49" s="184" t="s">
        <v>733</v>
      </c>
      <c r="C49" s="239">
        <v>331</v>
      </c>
      <c r="D49" s="239">
        <v>269</v>
      </c>
      <c r="E49" s="239">
        <v>15</v>
      </c>
      <c r="F49" s="239">
        <v>0</v>
      </c>
      <c r="G49" s="239">
        <v>0</v>
      </c>
      <c r="H49" s="239">
        <v>0</v>
      </c>
      <c r="I49" s="239">
        <v>0</v>
      </c>
      <c r="J49" s="239">
        <v>0</v>
      </c>
      <c r="K49" s="239">
        <v>0</v>
      </c>
      <c r="L49" s="240">
        <v>0</v>
      </c>
      <c r="M49" s="240">
        <v>0</v>
      </c>
      <c r="N49" s="240">
        <v>0</v>
      </c>
      <c r="O49" s="246">
        <f t="shared" si="4"/>
        <v>615</v>
      </c>
      <c r="P49" s="152"/>
      <c r="Q49" s="152"/>
      <c r="R49" s="152"/>
      <c r="S49" s="152"/>
      <c r="T49" s="152"/>
      <c r="U49" s="152"/>
      <c r="V49" s="230"/>
      <c r="W49" s="152"/>
      <c r="X49" s="152"/>
      <c r="Y49" s="152"/>
      <c r="Z49" s="152"/>
      <c r="AA49" s="152"/>
      <c r="AB49" s="152"/>
      <c r="AC49" s="152"/>
      <c r="AD49" s="210"/>
      <c r="AE49" s="194"/>
      <c r="AF49" s="199"/>
      <c r="AG49" s="199"/>
      <c r="AH49" s="199"/>
      <c r="AI49" s="199"/>
      <c r="AP49" s="199"/>
      <c r="AQ49" s="199"/>
      <c r="AR49" s="199"/>
      <c r="AS49" s="199"/>
    </row>
    <row r="50" spans="1:45" s="154" customFormat="1" ht="14.65" customHeight="1" x14ac:dyDescent="0.2">
      <c r="A50" s="243" t="s">
        <v>2</v>
      </c>
      <c r="B50" s="243" t="s">
        <v>1</v>
      </c>
      <c r="C50" s="244">
        <f t="shared" ref="C50:N50" si="6">SUM(C51:C53)</f>
        <v>2908</v>
      </c>
      <c r="D50" s="244">
        <f t="shared" si="6"/>
        <v>3036</v>
      </c>
      <c r="E50" s="244">
        <f t="shared" si="6"/>
        <v>280</v>
      </c>
      <c r="F50" s="244">
        <f t="shared" si="6"/>
        <v>0</v>
      </c>
      <c r="G50" s="244">
        <f t="shared" si="6"/>
        <v>0</v>
      </c>
      <c r="H50" s="244">
        <f t="shared" si="6"/>
        <v>0</v>
      </c>
      <c r="I50" s="244">
        <f t="shared" si="6"/>
        <v>0</v>
      </c>
      <c r="J50" s="244">
        <f t="shared" si="6"/>
        <v>0</v>
      </c>
      <c r="K50" s="244">
        <f t="shared" si="6"/>
        <v>0</v>
      </c>
      <c r="L50" s="244">
        <f t="shared" si="6"/>
        <v>0</v>
      </c>
      <c r="M50" s="244">
        <f t="shared" si="6"/>
        <v>0</v>
      </c>
      <c r="N50" s="244">
        <f t="shared" si="6"/>
        <v>0</v>
      </c>
      <c r="O50" s="244">
        <f t="shared" si="4"/>
        <v>6224</v>
      </c>
      <c r="P50" s="152"/>
      <c r="Q50" s="152"/>
      <c r="R50" s="152"/>
      <c r="S50" s="152"/>
      <c r="T50" s="152"/>
      <c r="U50" s="173"/>
      <c r="V50" s="235"/>
      <c r="W50" s="173"/>
      <c r="X50" s="173"/>
      <c r="Y50" s="173"/>
      <c r="Z50" s="173"/>
      <c r="AA50" s="173"/>
      <c r="AB50" s="173"/>
      <c r="AC50" s="173"/>
      <c r="AD50" s="210"/>
      <c r="AE50" s="210"/>
      <c r="AF50" s="199"/>
      <c r="AG50" s="199"/>
      <c r="AH50" s="199"/>
      <c r="AI50" s="199"/>
      <c r="AP50" s="199"/>
      <c r="AQ50" s="199"/>
      <c r="AR50" s="199"/>
      <c r="AS50" s="199"/>
    </row>
    <row r="51" spans="1:45" s="154" customFormat="1" ht="14.65" customHeight="1" x14ac:dyDescent="0.2">
      <c r="A51" s="184"/>
      <c r="B51" s="184" t="s">
        <v>730</v>
      </c>
      <c r="C51" s="239">
        <v>184</v>
      </c>
      <c r="D51" s="239">
        <v>179</v>
      </c>
      <c r="E51" s="239">
        <v>14</v>
      </c>
      <c r="F51" s="239">
        <v>0</v>
      </c>
      <c r="G51" s="239">
        <v>0</v>
      </c>
      <c r="H51" s="239">
        <v>0</v>
      </c>
      <c r="I51" s="239">
        <v>0</v>
      </c>
      <c r="J51" s="239">
        <v>0</v>
      </c>
      <c r="K51" s="239">
        <v>0</v>
      </c>
      <c r="L51" s="240">
        <v>0</v>
      </c>
      <c r="M51" s="240">
        <v>0</v>
      </c>
      <c r="N51" s="240">
        <v>0</v>
      </c>
      <c r="O51" s="246">
        <f t="shared" si="4"/>
        <v>377</v>
      </c>
      <c r="P51" s="152"/>
      <c r="Q51" s="152"/>
      <c r="R51" s="152"/>
      <c r="S51" s="152"/>
      <c r="T51" s="152"/>
      <c r="U51" s="152"/>
      <c r="V51" s="230"/>
      <c r="W51" s="152"/>
      <c r="X51" s="173"/>
      <c r="Y51" s="173"/>
      <c r="Z51" s="173"/>
      <c r="AA51" s="173"/>
      <c r="AB51" s="173"/>
      <c r="AC51" s="173"/>
      <c r="AD51" s="210"/>
      <c r="AE51" s="210"/>
      <c r="AF51" s="199"/>
      <c r="AG51" s="199"/>
      <c r="AH51" s="199"/>
      <c r="AI51" s="199"/>
      <c r="AO51" s="199"/>
      <c r="AP51" s="199"/>
      <c r="AQ51" s="199"/>
      <c r="AR51" s="199"/>
      <c r="AS51" s="199"/>
    </row>
    <row r="52" spans="1:45" s="154" customFormat="1" ht="14.65" customHeight="1" x14ac:dyDescent="0.2">
      <c r="A52" s="184"/>
      <c r="B52" s="184" t="s">
        <v>731</v>
      </c>
      <c r="C52" s="239">
        <v>239</v>
      </c>
      <c r="D52" s="239">
        <v>213</v>
      </c>
      <c r="E52" s="239">
        <v>19</v>
      </c>
      <c r="F52" s="239">
        <v>0</v>
      </c>
      <c r="G52" s="239">
        <v>0</v>
      </c>
      <c r="H52" s="239">
        <v>0</v>
      </c>
      <c r="I52" s="239">
        <v>0</v>
      </c>
      <c r="J52" s="239">
        <v>0</v>
      </c>
      <c r="K52" s="239">
        <v>0</v>
      </c>
      <c r="L52" s="240">
        <v>0</v>
      </c>
      <c r="M52" s="240">
        <v>0</v>
      </c>
      <c r="N52" s="240">
        <v>0</v>
      </c>
      <c r="O52" s="246">
        <f t="shared" si="4"/>
        <v>471</v>
      </c>
      <c r="P52" s="152"/>
      <c r="Q52" s="152"/>
      <c r="R52" s="152"/>
      <c r="S52" s="152"/>
      <c r="T52" s="152"/>
      <c r="U52" s="152"/>
      <c r="V52" s="230"/>
      <c r="W52" s="152"/>
      <c r="X52" s="152"/>
      <c r="Y52" s="173"/>
      <c r="Z52" s="173"/>
      <c r="AA52" s="173"/>
      <c r="AB52" s="173"/>
      <c r="AC52" s="152"/>
      <c r="AD52" s="210"/>
      <c r="AE52" s="194"/>
      <c r="AF52" s="199"/>
      <c r="AG52" s="199"/>
      <c r="AH52" s="199"/>
      <c r="AI52" s="199"/>
      <c r="AP52" s="199"/>
      <c r="AQ52" s="199"/>
      <c r="AR52" s="199"/>
      <c r="AS52" s="199"/>
    </row>
    <row r="53" spans="1:45" s="154" customFormat="1" ht="14.65" customHeight="1" x14ac:dyDescent="0.2">
      <c r="A53" s="184"/>
      <c r="B53" s="184" t="s">
        <v>733</v>
      </c>
      <c r="C53" s="239">
        <v>2485</v>
      </c>
      <c r="D53" s="239">
        <v>2644</v>
      </c>
      <c r="E53" s="239">
        <v>247</v>
      </c>
      <c r="F53" s="239">
        <v>0</v>
      </c>
      <c r="G53" s="239">
        <v>0</v>
      </c>
      <c r="H53" s="239">
        <v>0</v>
      </c>
      <c r="I53" s="239">
        <v>0</v>
      </c>
      <c r="J53" s="239">
        <v>0</v>
      </c>
      <c r="K53" s="239">
        <v>0</v>
      </c>
      <c r="L53" s="240">
        <v>0</v>
      </c>
      <c r="M53" s="240">
        <v>0</v>
      </c>
      <c r="N53" s="240">
        <v>0</v>
      </c>
      <c r="O53" s="246">
        <f t="shared" si="4"/>
        <v>5376</v>
      </c>
      <c r="P53" s="152"/>
      <c r="Q53" s="152"/>
      <c r="R53" s="152"/>
      <c r="S53" s="152"/>
      <c r="T53" s="152"/>
      <c r="U53" s="152"/>
      <c r="V53" s="230"/>
      <c r="W53" s="152"/>
      <c r="X53" s="173"/>
      <c r="Y53" s="173"/>
      <c r="Z53" s="173"/>
      <c r="AA53" s="173"/>
      <c r="AB53" s="173"/>
      <c r="AC53" s="173"/>
      <c r="AD53" s="210"/>
      <c r="AE53" s="210"/>
      <c r="AF53" s="199"/>
      <c r="AG53" s="199"/>
      <c r="AH53" s="199"/>
      <c r="AI53" s="199"/>
      <c r="AP53" s="199"/>
      <c r="AQ53" s="199"/>
      <c r="AR53" s="199"/>
      <c r="AS53" s="199"/>
    </row>
    <row r="54" spans="1:45" s="154" customFormat="1" ht="14.65" customHeight="1" x14ac:dyDescent="0.2">
      <c r="A54" s="243" t="s">
        <v>3</v>
      </c>
      <c r="B54" s="243" t="s">
        <v>1</v>
      </c>
      <c r="C54" s="244">
        <f t="shared" ref="C54:N54" si="7">SUM(C55:C57)</f>
        <v>554</v>
      </c>
      <c r="D54" s="244">
        <f t="shared" si="7"/>
        <v>393</v>
      </c>
      <c r="E54" s="244">
        <f t="shared" si="7"/>
        <v>39</v>
      </c>
      <c r="F54" s="244">
        <f t="shared" si="7"/>
        <v>0</v>
      </c>
      <c r="G54" s="244">
        <f t="shared" si="7"/>
        <v>0</v>
      </c>
      <c r="H54" s="244">
        <f t="shared" si="7"/>
        <v>0</v>
      </c>
      <c r="I54" s="244">
        <f t="shared" si="7"/>
        <v>0</v>
      </c>
      <c r="J54" s="244">
        <f t="shared" si="7"/>
        <v>0</v>
      </c>
      <c r="K54" s="244">
        <f t="shared" si="7"/>
        <v>0</v>
      </c>
      <c r="L54" s="244">
        <f t="shared" si="7"/>
        <v>0</v>
      </c>
      <c r="M54" s="244">
        <f t="shared" si="7"/>
        <v>0</v>
      </c>
      <c r="N54" s="244">
        <f t="shared" si="7"/>
        <v>0</v>
      </c>
      <c r="O54" s="244">
        <f t="shared" si="4"/>
        <v>986</v>
      </c>
      <c r="P54" s="152"/>
      <c r="Q54" s="152"/>
      <c r="R54" s="152"/>
      <c r="S54" s="152"/>
      <c r="T54" s="152"/>
      <c r="U54" s="152"/>
      <c r="V54" s="230"/>
      <c r="W54" s="152"/>
      <c r="X54" s="152"/>
      <c r="Y54" s="173"/>
      <c r="Z54" s="173"/>
      <c r="AA54" s="152"/>
      <c r="AB54" s="173"/>
      <c r="AC54" s="152"/>
      <c r="AD54" s="194"/>
      <c r="AE54" s="194"/>
      <c r="AF54" s="199"/>
      <c r="AG54" s="199"/>
      <c r="AH54" s="199"/>
      <c r="AI54" s="199"/>
      <c r="AP54" s="199"/>
      <c r="AQ54" s="199"/>
      <c r="AR54" s="199"/>
      <c r="AS54" s="199"/>
    </row>
    <row r="55" spans="1:45" s="154" customFormat="1" ht="14.65" customHeight="1" x14ac:dyDescent="0.2">
      <c r="A55" s="184"/>
      <c r="B55" s="184" t="s">
        <v>730</v>
      </c>
      <c r="C55" s="239">
        <v>161</v>
      </c>
      <c r="D55" s="239">
        <v>168</v>
      </c>
      <c r="E55" s="239">
        <v>12</v>
      </c>
      <c r="F55" s="239">
        <v>0</v>
      </c>
      <c r="G55" s="239">
        <v>0</v>
      </c>
      <c r="H55" s="239">
        <v>0</v>
      </c>
      <c r="I55" s="239">
        <v>0</v>
      </c>
      <c r="J55" s="239">
        <v>0</v>
      </c>
      <c r="K55" s="239">
        <v>0</v>
      </c>
      <c r="L55" s="240">
        <v>0</v>
      </c>
      <c r="M55" s="240">
        <v>0</v>
      </c>
      <c r="N55" s="240">
        <v>0</v>
      </c>
      <c r="O55" s="246">
        <f t="shared" si="4"/>
        <v>341</v>
      </c>
      <c r="P55" s="152"/>
      <c r="Q55" s="152"/>
      <c r="R55" s="152"/>
      <c r="S55" s="152"/>
      <c r="T55" s="152"/>
      <c r="U55" s="152"/>
      <c r="V55" s="230"/>
      <c r="W55" s="152"/>
      <c r="X55" s="152"/>
      <c r="Y55" s="152"/>
      <c r="Z55" s="173"/>
      <c r="AA55" s="173"/>
      <c r="AB55" s="173"/>
      <c r="AC55" s="173"/>
      <c r="AD55" s="210"/>
      <c r="AE55" s="210"/>
      <c r="AF55" s="199"/>
      <c r="AG55" s="199"/>
      <c r="AH55" s="199"/>
      <c r="AP55" s="199"/>
      <c r="AQ55" s="199"/>
      <c r="AR55" s="199"/>
      <c r="AS55" s="199"/>
    </row>
    <row r="56" spans="1:45" s="154" customFormat="1" ht="14.65" customHeight="1" x14ac:dyDescent="0.2">
      <c r="A56" s="184"/>
      <c r="B56" s="184" t="s">
        <v>731</v>
      </c>
      <c r="C56" s="239">
        <v>54</v>
      </c>
      <c r="D56" s="239">
        <v>50</v>
      </c>
      <c r="E56" s="239">
        <v>2</v>
      </c>
      <c r="F56" s="239">
        <v>0</v>
      </c>
      <c r="G56" s="239">
        <v>0</v>
      </c>
      <c r="H56" s="239">
        <v>0</v>
      </c>
      <c r="I56" s="239">
        <v>0</v>
      </c>
      <c r="J56" s="239">
        <v>0</v>
      </c>
      <c r="K56" s="239">
        <v>0</v>
      </c>
      <c r="L56" s="240">
        <v>0</v>
      </c>
      <c r="M56" s="240">
        <v>0</v>
      </c>
      <c r="N56" s="240">
        <v>0</v>
      </c>
      <c r="O56" s="246">
        <f t="shared" si="4"/>
        <v>106</v>
      </c>
      <c r="P56" s="152"/>
      <c r="Q56" s="152"/>
      <c r="R56" s="152"/>
      <c r="S56" s="152"/>
      <c r="T56" s="152"/>
      <c r="U56" s="152"/>
      <c r="V56" s="235"/>
      <c r="W56" s="173"/>
      <c r="X56" s="173"/>
      <c r="Y56" s="173"/>
      <c r="Z56" s="173"/>
      <c r="AA56" s="173"/>
      <c r="AB56" s="173"/>
      <c r="AC56" s="173"/>
      <c r="AD56" s="210"/>
      <c r="AE56" s="210"/>
      <c r="AF56" s="199"/>
      <c r="AG56" s="199"/>
      <c r="AH56" s="199"/>
      <c r="AI56" s="199"/>
      <c r="AP56" s="199"/>
      <c r="AQ56" s="199"/>
      <c r="AR56" s="199"/>
      <c r="AS56" s="199"/>
    </row>
    <row r="57" spans="1:45" s="154" customFormat="1" ht="14.65" customHeight="1" x14ac:dyDescent="0.2">
      <c r="A57" s="184"/>
      <c r="B57" s="184" t="s">
        <v>733</v>
      </c>
      <c r="C57" s="239">
        <v>339</v>
      </c>
      <c r="D57" s="239">
        <v>175</v>
      </c>
      <c r="E57" s="239">
        <v>25</v>
      </c>
      <c r="F57" s="239">
        <v>0</v>
      </c>
      <c r="G57" s="239">
        <v>0</v>
      </c>
      <c r="H57" s="239">
        <v>0</v>
      </c>
      <c r="I57" s="239">
        <v>0</v>
      </c>
      <c r="J57" s="239">
        <v>0</v>
      </c>
      <c r="K57" s="239">
        <v>0</v>
      </c>
      <c r="L57" s="240">
        <v>0</v>
      </c>
      <c r="M57" s="240">
        <v>0</v>
      </c>
      <c r="N57" s="240">
        <v>0</v>
      </c>
      <c r="O57" s="246">
        <f t="shared" si="4"/>
        <v>539</v>
      </c>
      <c r="P57" s="152"/>
      <c r="Q57" s="152"/>
      <c r="R57" s="152"/>
      <c r="S57" s="152"/>
      <c r="T57" s="152"/>
      <c r="U57" s="152"/>
      <c r="V57" s="235"/>
      <c r="W57" s="173"/>
      <c r="X57" s="173"/>
      <c r="Y57" s="173"/>
      <c r="Z57" s="173"/>
      <c r="AA57" s="173"/>
      <c r="AB57" s="173"/>
      <c r="AC57" s="152"/>
      <c r="AD57" s="194"/>
      <c r="AE57" s="194"/>
      <c r="AF57" s="199"/>
      <c r="AG57" s="199"/>
      <c r="AI57" s="199"/>
      <c r="AP57" s="199"/>
      <c r="AQ57" s="199"/>
      <c r="AR57" s="199"/>
      <c r="AS57" s="199"/>
    </row>
    <row r="58" spans="1:45" s="154" customFormat="1" ht="14.65" customHeight="1" x14ac:dyDescent="0.2">
      <c r="A58" s="243" t="s">
        <v>745</v>
      </c>
      <c r="B58" s="243" t="s">
        <v>1</v>
      </c>
      <c r="C58" s="244">
        <f t="shared" ref="C58:N58" si="8">SUM(C59:C61)</f>
        <v>5625</v>
      </c>
      <c r="D58" s="244">
        <f t="shared" si="8"/>
        <v>5620</v>
      </c>
      <c r="E58" s="244">
        <f t="shared" si="8"/>
        <v>501</v>
      </c>
      <c r="F58" s="244">
        <f t="shared" si="8"/>
        <v>0</v>
      </c>
      <c r="G58" s="244">
        <f t="shared" si="8"/>
        <v>0</v>
      </c>
      <c r="H58" s="244">
        <f t="shared" si="8"/>
        <v>0</v>
      </c>
      <c r="I58" s="244">
        <f t="shared" si="8"/>
        <v>0</v>
      </c>
      <c r="J58" s="244">
        <f t="shared" si="8"/>
        <v>0</v>
      </c>
      <c r="K58" s="244">
        <f t="shared" si="8"/>
        <v>0</v>
      </c>
      <c r="L58" s="244">
        <f t="shared" si="8"/>
        <v>0</v>
      </c>
      <c r="M58" s="244">
        <f t="shared" si="8"/>
        <v>0</v>
      </c>
      <c r="N58" s="244">
        <f t="shared" si="8"/>
        <v>0</v>
      </c>
      <c r="O58" s="244">
        <f t="shared" si="4"/>
        <v>11746</v>
      </c>
      <c r="P58" s="152"/>
      <c r="Q58" s="152"/>
      <c r="R58" s="152"/>
      <c r="S58" s="152"/>
      <c r="T58" s="152"/>
      <c r="U58" s="152"/>
      <c r="V58" s="230"/>
      <c r="W58" s="152"/>
      <c r="X58" s="152"/>
      <c r="Y58" s="173"/>
      <c r="Z58" s="173"/>
      <c r="AA58" s="173"/>
      <c r="AB58" s="173"/>
      <c r="AC58" s="173"/>
      <c r="AD58" s="210"/>
      <c r="AE58" s="210"/>
      <c r="AF58" s="199"/>
      <c r="AG58" s="199"/>
      <c r="AH58" s="199"/>
      <c r="AI58" s="199"/>
      <c r="AP58" s="199"/>
      <c r="AQ58" s="199"/>
      <c r="AR58" s="199"/>
      <c r="AS58" s="199"/>
    </row>
    <row r="59" spans="1:45" s="154" customFormat="1" ht="14.65" customHeight="1" x14ac:dyDescent="0.2">
      <c r="A59" s="184"/>
      <c r="B59" s="184" t="s">
        <v>730</v>
      </c>
      <c r="C59" s="239">
        <v>102</v>
      </c>
      <c r="D59" s="239">
        <v>54</v>
      </c>
      <c r="E59" s="239">
        <v>7</v>
      </c>
      <c r="F59" s="239">
        <v>0</v>
      </c>
      <c r="G59" s="239">
        <v>0</v>
      </c>
      <c r="H59" s="239">
        <v>0</v>
      </c>
      <c r="I59" s="239">
        <v>0</v>
      </c>
      <c r="J59" s="239">
        <v>0</v>
      </c>
      <c r="K59" s="239">
        <v>0</v>
      </c>
      <c r="L59" s="240">
        <v>0</v>
      </c>
      <c r="M59" s="240">
        <v>0</v>
      </c>
      <c r="N59" s="240">
        <v>0</v>
      </c>
      <c r="O59" s="246">
        <f t="shared" si="4"/>
        <v>163</v>
      </c>
      <c r="P59" s="152"/>
      <c r="Q59" s="152"/>
      <c r="R59" s="152"/>
      <c r="S59" s="152"/>
      <c r="T59" s="152"/>
      <c r="U59" s="152"/>
      <c r="V59" s="230"/>
      <c r="W59" s="152"/>
      <c r="X59" s="152"/>
      <c r="Y59" s="173"/>
      <c r="Z59" s="173"/>
      <c r="AA59" s="173"/>
      <c r="AB59" s="173"/>
      <c r="AC59" s="173"/>
      <c r="AD59" s="210"/>
      <c r="AE59" s="210"/>
      <c r="AF59" s="199"/>
      <c r="AG59" s="199"/>
      <c r="AH59" s="199"/>
      <c r="AP59" s="199"/>
      <c r="AQ59" s="199"/>
      <c r="AR59" s="199"/>
      <c r="AS59" s="199"/>
    </row>
    <row r="60" spans="1:45" s="154" customFormat="1" ht="14.65" customHeight="1" x14ac:dyDescent="0.2">
      <c r="A60" s="184"/>
      <c r="B60" s="184" t="s">
        <v>731</v>
      </c>
      <c r="C60" s="239">
        <v>92</v>
      </c>
      <c r="D60" s="239">
        <v>74</v>
      </c>
      <c r="E60" s="239">
        <v>3</v>
      </c>
      <c r="F60" s="239">
        <v>0</v>
      </c>
      <c r="G60" s="239">
        <v>0</v>
      </c>
      <c r="H60" s="239">
        <v>0</v>
      </c>
      <c r="I60" s="239">
        <v>0</v>
      </c>
      <c r="J60" s="239">
        <v>0</v>
      </c>
      <c r="K60" s="239">
        <v>0</v>
      </c>
      <c r="L60" s="240">
        <v>0</v>
      </c>
      <c r="M60" s="240">
        <v>0</v>
      </c>
      <c r="N60" s="240">
        <v>0</v>
      </c>
      <c r="O60" s="246">
        <f t="shared" si="4"/>
        <v>169</v>
      </c>
      <c r="P60" s="152"/>
      <c r="Q60" s="152"/>
      <c r="R60" s="152"/>
      <c r="S60" s="152"/>
      <c r="T60" s="152"/>
      <c r="U60" s="152"/>
      <c r="V60" s="230"/>
      <c r="W60" s="152"/>
      <c r="X60" s="152"/>
      <c r="Y60" s="173"/>
      <c r="Z60" s="173"/>
      <c r="AA60" s="173"/>
      <c r="AB60" s="173"/>
      <c r="AC60" s="173"/>
      <c r="AD60" s="210"/>
      <c r="AE60" s="210"/>
      <c r="AF60" s="199"/>
      <c r="AG60" s="199"/>
      <c r="AH60" s="199"/>
      <c r="AK60" s="199"/>
      <c r="AL60" s="199"/>
      <c r="AM60" s="199"/>
      <c r="AN60" s="199"/>
      <c r="AO60" s="199"/>
      <c r="AP60" s="199"/>
      <c r="AQ60" s="199"/>
      <c r="AR60" s="199"/>
      <c r="AS60" s="199"/>
    </row>
    <row r="61" spans="1:45" s="154" customFormat="1" ht="14.65" customHeight="1" x14ac:dyDescent="0.2">
      <c r="A61" s="184"/>
      <c r="B61" s="184" t="s">
        <v>733</v>
      </c>
      <c r="C61" s="239">
        <v>5431</v>
      </c>
      <c r="D61" s="239">
        <v>5492</v>
      </c>
      <c r="E61" s="239">
        <v>491</v>
      </c>
      <c r="F61" s="239">
        <v>0</v>
      </c>
      <c r="G61" s="239">
        <v>0</v>
      </c>
      <c r="H61" s="239">
        <v>0</v>
      </c>
      <c r="I61" s="239">
        <v>0</v>
      </c>
      <c r="J61" s="239">
        <v>0</v>
      </c>
      <c r="K61" s="239">
        <v>0</v>
      </c>
      <c r="L61" s="240">
        <v>0</v>
      </c>
      <c r="M61" s="240">
        <v>0</v>
      </c>
      <c r="N61" s="240">
        <v>0</v>
      </c>
      <c r="O61" s="246">
        <f t="shared" si="4"/>
        <v>11414</v>
      </c>
      <c r="P61" s="152"/>
      <c r="Q61" s="152"/>
      <c r="R61" s="152"/>
      <c r="S61" s="152"/>
      <c r="T61" s="152"/>
      <c r="U61" s="152"/>
      <c r="V61" s="230"/>
      <c r="W61" s="152"/>
      <c r="X61" s="152"/>
      <c r="Y61" s="173"/>
      <c r="Z61" s="173"/>
      <c r="AA61" s="173"/>
      <c r="AB61" s="173"/>
      <c r="AC61" s="173"/>
      <c r="AD61" s="210"/>
      <c r="AE61" s="210"/>
      <c r="AF61" s="199"/>
      <c r="AG61" s="199"/>
      <c r="AI61" s="199"/>
      <c r="AP61" s="199"/>
      <c r="AQ61" s="199"/>
      <c r="AR61" s="199"/>
      <c r="AS61" s="199"/>
    </row>
    <row r="62" spans="1:45" s="154" customFormat="1" ht="12" x14ac:dyDescent="0.2">
      <c r="A62" s="216"/>
      <c r="E62" s="152"/>
      <c r="F62" s="152"/>
      <c r="G62" s="152"/>
      <c r="Q62" s="152"/>
      <c r="R62" s="163"/>
      <c r="S62" s="163"/>
      <c r="T62" s="179"/>
      <c r="U62" s="179"/>
      <c r="V62" s="247"/>
      <c r="W62" s="163"/>
      <c r="X62" s="179"/>
      <c r="Y62" s="179"/>
      <c r="Z62" s="163"/>
      <c r="AA62" s="163"/>
      <c r="AB62" s="163"/>
      <c r="AC62" s="194"/>
      <c r="AD62" s="194"/>
      <c r="AE62" s="194"/>
      <c r="AF62" s="194"/>
      <c r="AQ62" s="199"/>
      <c r="AS62" s="199"/>
    </row>
    <row r="63" spans="1:45" s="152" customFormat="1" ht="18" customHeight="1" x14ac:dyDescent="0.2">
      <c r="A63" s="395"/>
      <c r="B63" s="396"/>
      <c r="C63" s="396"/>
      <c r="D63" s="396"/>
      <c r="E63" s="396"/>
      <c r="F63" s="396"/>
      <c r="G63" s="396"/>
      <c r="H63" s="396"/>
      <c r="I63" s="396"/>
      <c r="J63" s="396"/>
      <c r="K63" s="396"/>
      <c r="L63" s="396"/>
      <c r="M63" s="396"/>
      <c r="N63" s="396"/>
      <c r="O63" s="396"/>
      <c r="P63" s="396"/>
      <c r="Q63" s="396"/>
      <c r="R63" s="396"/>
      <c r="S63" s="396"/>
      <c r="T63" s="396"/>
      <c r="U63" s="396"/>
      <c r="V63" s="397"/>
      <c r="W63" s="163"/>
      <c r="X63" s="163"/>
      <c r="Y63" s="163"/>
      <c r="Z63" s="163"/>
    </row>
    <row r="64" spans="1:45" s="154" customFormat="1" ht="12" x14ac:dyDescent="0.2">
      <c r="A64" s="216"/>
      <c r="F64" s="152"/>
      <c r="G64" s="152"/>
      <c r="H64" s="152"/>
      <c r="K64" s="152"/>
      <c r="L64" s="163"/>
      <c r="M64" s="163"/>
      <c r="N64" s="163"/>
      <c r="O64" s="163"/>
      <c r="P64" s="163"/>
      <c r="Q64" s="163"/>
      <c r="R64" s="163"/>
      <c r="S64" s="163"/>
      <c r="T64" s="163"/>
      <c r="U64" s="163"/>
      <c r="V64" s="215"/>
      <c r="W64" s="194"/>
      <c r="X64" s="194"/>
      <c r="Y64" s="194"/>
      <c r="Z64" s="194"/>
    </row>
    <row r="65" spans="1:33" s="154" customFormat="1" ht="23.25" customHeight="1" x14ac:dyDescent="0.2">
      <c r="A65" s="388" t="s">
        <v>746</v>
      </c>
      <c r="B65" s="389"/>
      <c r="C65" s="389"/>
      <c r="D65" s="389"/>
      <c r="E65" s="389"/>
      <c r="F65" s="389"/>
      <c r="G65" s="389"/>
      <c r="H65" s="389"/>
      <c r="I65" s="389"/>
      <c r="J65" s="389"/>
      <c r="K65" s="389"/>
      <c r="L65" s="389"/>
      <c r="M65" s="389"/>
      <c r="N65" s="389"/>
      <c r="O65" s="163"/>
      <c r="P65" s="163"/>
      <c r="Q65" s="229"/>
      <c r="R65" s="229"/>
      <c r="S65" s="229"/>
      <c r="T65" s="229"/>
      <c r="U65" s="229"/>
      <c r="V65" s="248"/>
      <c r="W65" s="195"/>
      <c r="X65" s="195"/>
      <c r="Y65" s="195"/>
      <c r="Z65" s="195"/>
      <c r="AA65" s="198"/>
      <c r="AB65" s="198"/>
    </row>
    <row r="66" spans="1:33" s="154" customFormat="1" ht="22.5" customHeight="1" x14ac:dyDescent="0.2">
      <c r="A66" s="11" t="s">
        <v>717</v>
      </c>
      <c r="B66" s="11" t="s">
        <v>718</v>
      </c>
      <c r="C66" s="11" t="s">
        <v>719</v>
      </c>
      <c r="D66" s="11" t="s">
        <v>720</v>
      </c>
      <c r="E66" s="11" t="s">
        <v>721</v>
      </c>
      <c r="F66" s="11" t="s">
        <v>722</v>
      </c>
      <c r="G66" s="11" t="s">
        <v>723</v>
      </c>
      <c r="H66" s="11" t="s">
        <v>724</v>
      </c>
      <c r="I66" s="11" t="s">
        <v>725</v>
      </c>
      <c r="J66" s="11" t="s">
        <v>726</v>
      </c>
      <c r="K66" s="11" t="s">
        <v>727</v>
      </c>
      <c r="L66" s="11" t="s">
        <v>728</v>
      </c>
      <c r="M66" s="11" t="s">
        <v>729</v>
      </c>
      <c r="N66" s="11" t="s">
        <v>747</v>
      </c>
      <c r="O66" s="163"/>
      <c r="P66" s="229"/>
      <c r="Q66" s="229"/>
      <c r="R66" s="229"/>
      <c r="S66" s="229"/>
      <c r="T66" s="229"/>
      <c r="U66" s="229"/>
      <c r="V66" s="248"/>
      <c r="W66" s="195"/>
      <c r="X66" s="195"/>
      <c r="Y66" s="195"/>
      <c r="Z66" s="195"/>
      <c r="AA66" s="198"/>
      <c r="AB66" s="198"/>
      <c r="AC66" s="198"/>
      <c r="AD66" s="198"/>
      <c r="AE66" s="198"/>
      <c r="AF66" s="198"/>
    </row>
    <row r="67" spans="1:33" s="154" customFormat="1" ht="12" x14ac:dyDescent="0.2">
      <c r="A67" s="249" t="s">
        <v>748</v>
      </c>
      <c r="B67" s="250">
        <v>28311.548387096798</v>
      </c>
      <c r="C67" s="251">
        <v>28824.1</v>
      </c>
      <c r="D67" s="252">
        <v>26331.5</v>
      </c>
      <c r="E67" s="251">
        <v>0</v>
      </c>
      <c r="F67" s="252">
        <v>0</v>
      </c>
      <c r="G67" s="251">
        <v>0</v>
      </c>
      <c r="H67" s="251">
        <v>0</v>
      </c>
      <c r="I67" s="252">
        <v>0</v>
      </c>
      <c r="J67" s="251">
        <v>0</v>
      </c>
      <c r="K67" s="252">
        <v>0</v>
      </c>
      <c r="L67" s="252">
        <v>0</v>
      </c>
      <c r="M67" s="251">
        <v>0</v>
      </c>
      <c r="N67" s="252">
        <v>28492.761904761901</v>
      </c>
      <c r="O67" s="253"/>
      <c r="P67" s="254"/>
      <c r="Q67" s="254"/>
      <c r="R67" s="254"/>
      <c r="S67" s="254"/>
      <c r="T67" s="254"/>
      <c r="U67" s="254"/>
      <c r="V67" s="255"/>
      <c r="W67" s="256"/>
      <c r="X67" s="256"/>
      <c r="Y67" s="256"/>
      <c r="Z67" s="256"/>
      <c r="AA67" s="257"/>
      <c r="AB67" s="257"/>
    </row>
    <row r="68" spans="1:33" s="154" customFormat="1" ht="12" x14ac:dyDescent="0.2">
      <c r="A68" s="258" t="s">
        <v>730</v>
      </c>
      <c r="B68" s="213">
        <v>1587.3548387096801</v>
      </c>
      <c r="C68" s="259">
        <v>1703.56666666667</v>
      </c>
      <c r="D68" s="259">
        <v>1777</v>
      </c>
      <c r="E68" s="259">
        <v>0</v>
      </c>
      <c r="F68" s="259">
        <v>0</v>
      </c>
      <c r="G68" s="259">
        <v>0</v>
      </c>
      <c r="H68" s="259">
        <v>0</v>
      </c>
      <c r="I68" s="259">
        <v>0</v>
      </c>
      <c r="J68" s="259">
        <v>0</v>
      </c>
      <c r="K68" s="259">
        <v>0</v>
      </c>
      <c r="L68" s="259">
        <v>0</v>
      </c>
      <c r="M68" s="259">
        <v>0</v>
      </c>
      <c r="N68" s="259">
        <v>1648.7142857142901</v>
      </c>
      <c r="O68" s="163"/>
      <c r="P68" s="254"/>
      <c r="Q68" s="254"/>
      <c r="R68" s="254"/>
      <c r="S68" s="254"/>
      <c r="T68" s="254"/>
      <c r="U68" s="179"/>
      <c r="V68" s="255"/>
      <c r="W68" s="256"/>
      <c r="X68" s="256"/>
      <c r="Y68" s="256"/>
      <c r="Z68" s="256"/>
      <c r="AA68" s="257"/>
      <c r="AB68" s="257"/>
      <c r="AC68" s="257"/>
      <c r="AD68" s="257"/>
      <c r="AE68" s="257"/>
      <c r="AF68" s="257"/>
      <c r="AG68" s="257"/>
    </row>
    <row r="69" spans="1:33" s="154" customFormat="1" ht="12" x14ac:dyDescent="0.2">
      <c r="A69" s="260" t="s">
        <v>731</v>
      </c>
      <c r="B69" s="213">
        <v>681.41935483870998</v>
      </c>
      <c r="C69" s="259">
        <v>643.23333333333301</v>
      </c>
      <c r="D69" s="259">
        <v>615</v>
      </c>
      <c r="E69" s="259">
        <v>0</v>
      </c>
      <c r="F69" s="259">
        <v>0</v>
      </c>
      <c r="G69" s="259">
        <v>0</v>
      </c>
      <c r="H69" s="259">
        <v>0</v>
      </c>
      <c r="I69" s="259">
        <v>0</v>
      </c>
      <c r="J69" s="259">
        <v>0</v>
      </c>
      <c r="K69" s="259">
        <v>0</v>
      </c>
      <c r="L69" s="259">
        <v>0</v>
      </c>
      <c r="M69" s="259">
        <v>0</v>
      </c>
      <c r="N69" s="259">
        <v>661.12698412698398</v>
      </c>
      <c r="O69" s="163"/>
      <c r="P69" s="229"/>
      <c r="Q69" s="229"/>
      <c r="R69" s="229"/>
      <c r="S69" s="229"/>
      <c r="T69" s="229"/>
      <c r="U69" s="229"/>
      <c r="V69" s="248"/>
      <c r="W69" s="195"/>
      <c r="X69" s="195"/>
      <c r="Y69" s="195"/>
      <c r="Z69" s="195"/>
      <c r="AA69" s="257"/>
      <c r="AB69" s="257"/>
      <c r="AC69" s="257"/>
      <c r="AG69" s="257"/>
    </row>
    <row r="70" spans="1:33" s="262" customFormat="1" ht="12" x14ac:dyDescent="0.2">
      <c r="A70" s="260" t="s">
        <v>733</v>
      </c>
      <c r="B70" s="213">
        <v>26042.774193548401</v>
      </c>
      <c r="C70" s="259">
        <v>26477.3</v>
      </c>
      <c r="D70" s="259">
        <v>23939.5</v>
      </c>
      <c r="E70" s="259">
        <v>0</v>
      </c>
      <c r="F70" s="259">
        <v>0</v>
      </c>
      <c r="G70" s="259">
        <v>0</v>
      </c>
      <c r="H70" s="259">
        <v>0</v>
      </c>
      <c r="I70" s="259">
        <v>0</v>
      </c>
      <c r="J70" s="259">
        <v>0</v>
      </c>
      <c r="K70" s="259">
        <v>0</v>
      </c>
      <c r="L70" s="259">
        <v>0</v>
      </c>
      <c r="M70" s="259">
        <v>0</v>
      </c>
      <c r="N70" s="259">
        <v>26182.9206349206</v>
      </c>
      <c r="O70" s="254"/>
      <c r="P70" s="254"/>
      <c r="Q70" s="254"/>
      <c r="R70" s="254"/>
      <c r="S70" s="254"/>
      <c r="T70" s="254"/>
      <c r="U70" s="254"/>
      <c r="V70" s="255"/>
      <c r="W70" s="261"/>
      <c r="X70" s="261"/>
      <c r="Y70" s="261"/>
      <c r="Z70" s="261"/>
      <c r="AA70" s="261"/>
      <c r="AB70" s="261"/>
      <c r="AC70" s="261"/>
      <c r="AD70" s="261"/>
      <c r="AE70" s="261"/>
      <c r="AF70" s="261"/>
      <c r="AG70" s="261"/>
    </row>
    <row r="71" spans="1:33" s="154" customFormat="1" ht="12" x14ac:dyDescent="0.2">
      <c r="A71" s="249" t="s">
        <v>749</v>
      </c>
      <c r="B71" s="250">
        <v>10205.580645161301</v>
      </c>
      <c r="C71" s="251">
        <v>10367.0666666667</v>
      </c>
      <c r="D71" s="252">
        <v>10570.5</v>
      </c>
      <c r="E71" s="251">
        <v>0</v>
      </c>
      <c r="F71" s="252">
        <v>0</v>
      </c>
      <c r="G71" s="251">
        <v>0</v>
      </c>
      <c r="H71" s="251">
        <v>0</v>
      </c>
      <c r="I71" s="252">
        <v>0</v>
      </c>
      <c r="J71" s="251">
        <v>0</v>
      </c>
      <c r="K71" s="252">
        <v>0</v>
      </c>
      <c r="L71" s="252">
        <v>0</v>
      </c>
      <c r="M71" s="251">
        <v>0</v>
      </c>
      <c r="N71" s="252">
        <v>10294.0634920635</v>
      </c>
      <c r="O71" s="163"/>
      <c r="P71" s="254"/>
      <c r="Q71" s="254"/>
      <c r="R71" s="254"/>
      <c r="S71" s="254"/>
      <c r="T71" s="254"/>
      <c r="U71" s="254"/>
      <c r="V71" s="255"/>
      <c r="W71" s="257"/>
      <c r="X71" s="257"/>
      <c r="Y71" s="257"/>
      <c r="Z71" s="257"/>
      <c r="AA71" s="257"/>
      <c r="AB71" s="257"/>
      <c r="AC71" s="257"/>
      <c r="AD71" s="257"/>
      <c r="AE71" s="257"/>
      <c r="AF71" s="257"/>
      <c r="AG71" s="257"/>
    </row>
    <row r="72" spans="1:33" s="154" customFormat="1" ht="12" x14ac:dyDescent="0.2">
      <c r="A72" s="258" t="s">
        <v>730</v>
      </c>
      <c r="B72" s="213">
        <v>6871.1612903225796</v>
      </c>
      <c r="C72" s="259">
        <v>7024.9333333333298</v>
      </c>
      <c r="D72" s="259">
        <v>7159.5</v>
      </c>
      <c r="E72" s="259">
        <v>0</v>
      </c>
      <c r="F72" s="259">
        <v>0</v>
      </c>
      <c r="G72" s="259">
        <v>0</v>
      </c>
      <c r="H72" s="259">
        <v>0</v>
      </c>
      <c r="I72" s="259">
        <v>0</v>
      </c>
      <c r="J72" s="259">
        <v>0</v>
      </c>
      <c r="K72" s="259">
        <v>0</v>
      </c>
      <c r="L72" s="259">
        <v>0</v>
      </c>
      <c r="M72" s="259">
        <v>0</v>
      </c>
      <c r="N72" s="259">
        <v>6953.5396825396801</v>
      </c>
      <c r="O72" s="163"/>
      <c r="P72" s="254"/>
      <c r="Q72" s="254"/>
      <c r="R72" s="254"/>
      <c r="S72" s="254"/>
      <c r="T72" s="254"/>
      <c r="U72" s="254"/>
      <c r="V72" s="255"/>
      <c r="W72" s="257"/>
      <c r="X72" s="257"/>
      <c r="Y72" s="257"/>
      <c r="Z72" s="257"/>
      <c r="AA72" s="257"/>
      <c r="AB72" s="257"/>
      <c r="AC72" s="199"/>
      <c r="AD72" s="257"/>
      <c r="AE72" s="257"/>
      <c r="AF72" s="257"/>
      <c r="AG72" s="257"/>
    </row>
    <row r="73" spans="1:33" s="154" customFormat="1" ht="12" x14ac:dyDescent="0.2">
      <c r="A73" s="260" t="s">
        <v>731</v>
      </c>
      <c r="B73" s="213">
        <v>2353.3225806451601</v>
      </c>
      <c r="C73" s="259">
        <v>2399.1999999999998</v>
      </c>
      <c r="D73" s="259">
        <v>2480</v>
      </c>
      <c r="E73" s="259">
        <v>0</v>
      </c>
      <c r="F73" s="259">
        <v>0</v>
      </c>
      <c r="G73" s="259">
        <v>0</v>
      </c>
      <c r="H73" s="259">
        <v>0</v>
      </c>
      <c r="I73" s="259">
        <v>0</v>
      </c>
      <c r="J73" s="259">
        <v>0</v>
      </c>
      <c r="K73" s="259">
        <v>0</v>
      </c>
      <c r="L73" s="259">
        <v>0</v>
      </c>
      <c r="M73" s="259">
        <v>0</v>
      </c>
      <c r="N73" s="259">
        <v>2379.1904761904798</v>
      </c>
      <c r="O73" s="163"/>
      <c r="P73" s="254"/>
      <c r="Q73" s="254"/>
      <c r="R73" s="254"/>
      <c r="S73" s="254"/>
      <c r="T73" s="179"/>
      <c r="U73" s="254"/>
      <c r="V73" s="255"/>
      <c r="W73" s="257"/>
      <c r="X73" s="257"/>
      <c r="Y73" s="257"/>
      <c r="Z73" s="257"/>
      <c r="AA73" s="257"/>
      <c r="AB73" s="257"/>
      <c r="AC73" s="257"/>
      <c r="AD73" s="257"/>
      <c r="AE73" s="257"/>
      <c r="AF73" s="257"/>
      <c r="AG73" s="257"/>
    </row>
    <row r="74" spans="1:33" s="154" customFormat="1" ht="12" x14ac:dyDescent="0.2">
      <c r="A74" s="260" t="s">
        <v>733</v>
      </c>
      <c r="B74" s="259">
        <v>981.09677419354796</v>
      </c>
      <c r="C74" s="259">
        <v>942.93333333333305</v>
      </c>
      <c r="D74" s="259">
        <v>931</v>
      </c>
      <c r="E74" s="259">
        <v>0</v>
      </c>
      <c r="F74" s="259">
        <v>0</v>
      </c>
      <c r="G74" s="259">
        <v>0</v>
      </c>
      <c r="H74" s="259">
        <v>0</v>
      </c>
      <c r="I74" s="259">
        <v>0</v>
      </c>
      <c r="J74" s="259">
        <v>0</v>
      </c>
      <c r="K74" s="259">
        <v>0</v>
      </c>
      <c r="L74" s="259">
        <v>0</v>
      </c>
      <c r="M74" s="259">
        <v>0</v>
      </c>
      <c r="N74" s="259">
        <v>961.33333333333303</v>
      </c>
      <c r="O74" s="163"/>
      <c r="P74" s="254"/>
      <c r="Q74" s="254"/>
      <c r="R74" s="254"/>
      <c r="S74" s="254"/>
      <c r="T74" s="254"/>
      <c r="U74" s="254"/>
      <c r="V74" s="255"/>
      <c r="W74" s="257"/>
      <c r="X74" s="257"/>
      <c r="Y74" s="257"/>
      <c r="Z74" s="199"/>
      <c r="AA74" s="257"/>
      <c r="AB74" s="257"/>
      <c r="AC74" s="257"/>
      <c r="AD74" s="257"/>
      <c r="AG74" s="257"/>
    </row>
    <row r="75" spans="1:33" s="154" customFormat="1" ht="12" x14ac:dyDescent="0.2">
      <c r="A75" s="249" t="s">
        <v>750</v>
      </c>
      <c r="B75" s="250">
        <v>38517.129032258097</v>
      </c>
      <c r="C75" s="251">
        <v>39191.166666666701</v>
      </c>
      <c r="D75" s="252">
        <v>36902</v>
      </c>
      <c r="E75" s="251">
        <v>0</v>
      </c>
      <c r="F75" s="252">
        <v>0</v>
      </c>
      <c r="G75" s="251">
        <v>0</v>
      </c>
      <c r="H75" s="251">
        <v>0</v>
      </c>
      <c r="I75" s="252">
        <v>0</v>
      </c>
      <c r="J75" s="251">
        <v>0</v>
      </c>
      <c r="K75" s="252">
        <v>0</v>
      </c>
      <c r="L75" s="252">
        <v>0</v>
      </c>
      <c r="M75" s="251">
        <v>0</v>
      </c>
      <c r="N75" s="252">
        <v>38786.825396825399</v>
      </c>
      <c r="O75" s="163"/>
      <c r="P75" s="254"/>
      <c r="Q75" s="254"/>
      <c r="R75" s="254"/>
      <c r="S75" s="254"/>
      <c r="T75" s="254"/>
      <c r="U75" s="254"/>
      <c r="V75" s="255"/>
      <c r="W75" s="257"/>
      <c r="X75" s="257"/>
      <c r="Y75" s="257"/>
      <c r="Z75" s="257"/>
      <c r="AA75" s="257"/>
      <c r="AB75" s="257"/>
      <c r="AC75" s="257"/>
      <c r="AD75" s="257"/>
      <c r="AG75" s="257"/>
    </row>
    <row r="76" spans="1:33" s="154" customFormat="1" ht="12" x14ac:dyDescent="0.2">
      <c r="A76" s="258" t="s">
        <v>730</v>
      </c>
      <c r="B76" s="213">
        <v>8458.5161290322594</v>
      </c>
      <c r="C76" s="259">
        <v>8728.5</v>
      </c>
      <c r="D76" s="259">
        <v>8936.5</v>
      </c>
      <c r="E76" s="259">
        <v>0</v>
      </c>
      <c r="F76" s="259">
        <v>0</v>
      </c>
      <c r="G76" s="259">
        <v>0</v>
      </c>
      <c r="H76" s="259">
        <v>0</v>
      </c>
      <c r="I76" s="259">
        <v>0</v>
      </c>
      <c r="J76" s="259">
        <v>0</v>
      </c>
      <c r="K76" s="259">
        <v>0</v>
      </c>
      <c r="L76" s="259">
        <v>0</v>
      </c>
      <c r="M76" s="259">
        <v>0</v>
      </c>
      <c r="N76" s="259">
        <v>8602.25396825397</v>
      </c>
      <c r="O76" s="163"/>
      <c r="P76" s="254"/>
      <c r="Q76" s="254"/>
      <c r="R76" s="257"/>
      <c r="S76" s="254"/>
      <c r="T76" s="254"/>
      <c r="U76" s="254"/>
      <c r="V76" s="255"/>
      <c r="W76" s="257"/>
      <c r="X76" s="257"/>
      <c r="Y76" s="257"/>
      <c r="Z76" s="257"/>
      <c r="AA76" s="257"/>
      <c r="AB76" s="257"/>
    </row>
    <row r="77" spans="1:33" s="154" customFormat="1" ht="12" x14ac:dyDescent="0.2">
      <c r="A77" s="260" t="s">
        <v>731</v>
      </c>
      <c r="B77" s="213">
        <v>3034.7419354838698</v>
      </c>
      <c r="C77" s="259">
        <v>3042.4333333333302</v>
      </c>
      <c r="D77" s="259">
        <v>3095</v>
      </c>
      <c r="E77" s="259">
        <v>0</v>
      </c>
      <c r="F77" s="259">
        <v>0</v>
      </c>
      <c r="G77" s="259">
        <v>0</v>
      </c>
      <c r="H77" s="259">
        <v>0</v>
      </c>
      <c r="I77" s="259">
        <v>0</v>
      </c>
      <c r="J77" s="259">
        <v>0</v>
      </c>
      <c r="K77" s="259">
        <v>0</v>
      </c>
      <c r="L77" s="259">
        <v>0</v>
      </c>
      <c r="M77" s="259">
        <v>0</v>
      </c>
      <c r="N77" s="259">
        <v>3040.3174603174598</v>
      </c>
      <c r="O77" s="163"/>
      <c r="P77" s="254"/>
      <c r="Q77" s="254"/>
      <c r="R77" s="179"/>
      <c r="S77" s="254"/>
      <c r="T77" s="254"/>
      <c r="U77" s="254"/>
      <c r="V77" s="255"/>
      <c r="W77" s="257"/>
      <c r="X77" s="257"/>
      <c r="Y77" s="257"/>
      <c r="Z77" s="257"/>
      <c r="AA77" s="257"/>
      <c r="AB77" s="257"/>
    </row>
    <row r="78" spans="1:33" s="154" customFormat="1" ht="12" x14ac:dyDescent="0.2">
      <c r="A78" s="260" t="s">
        <v>733</v>
      </c>
      <c r="B78" s="213">
        <v>27023.870967741899</v>
      </c>
      <c r="C78" s="259">
        <v>27420.233333333301</v>
      </c>
      <c r="D78" s="259">
        <v>24870.5</v>
      </c>
      <c r="E78" s="259">
        <v>0</v>
      </c>
      <c r="F78" s="259">
        <v>0</v>
      </c>
      <c r="G78" s="259">
        <v>0</v>
      </c>
      <c r="H78" s="259">
        <v>0</v>
      </c>
      <c r="I78" s="259">
        <v>0</v>
      </c>
      <c r="J78" s="259">
        <v>0</v>
      </c>
      <c r="K78" s="259">
        <v>0</v>
      </c>
      <c r="L78" s="259">
        <v>0</v>
      </c>
      <c r="M78" s="259">
        <v>0</v>
      </c>
      <c r="N78" s="259">
        <v>27144.253968254001</v>
      </c>
      <c r="O78" s="163"/>
      <c r="P78" s="254"/>
      <c r="Q78" s="254"/>
      <c r="R78" s="179"/>
      <c r="S78" s="179"/>
      <c r="T78" s="254"/>
      <c r="U78" s="254"/>
      <c r="V78" s="255"/>
      <c r="W78" s="257"/>
      <c r="X78" s="257"/>
      <c r="Y78" s="257"/>
      <c r="Z78" s="257"/>
      <c r="AA78" s="257"/>
      <c r="AB78" s="257"/>
    </row>
    <row r="79" spans="1:33" s="154" customFormat="1" ht="12" x14ac:dyDescent="0.2">
      <c r="A79" s="216"/>
      <c r="F79" s="152"/>
      <c r="G79" s="152"/>
      <c r="H79" s="152"/>
      <c r="I79" s="152"/>
      <c r="J79" s="152"/>
      <c r="K79" s="152"/>
      <c r="L79" s="163"/>
      <c r="M79" s="163"/>
      <c r="N79" s="163"/>
      <c r="O79" s="163"/>
      <c r="P79" s="254"/>
      <c r="Q79" s="254"/>
      <c r="R79" s="254"/>
      <c r="S79" s="179"/>
      <c r="T79" s="254"/>
      <c r="U79" s="254"/>
      <c r="V79" s="255"/>
      <c r="W79" s="257"/>
      <c r="X79" s="257"/>
      <c r="Y79" s="257"/>
      <c r="Z79" s="257"/>
      <c r="AA79" s="257"/>
      <c r="AB79" s="257"/>
    </row>
    <row r="80" spans="1:33" s="154" customFormat="1" ht="12" customHeight="1" x14ac:dyDescent="0.2">
      <c r="A80" s="398"/>
      <c r="B80" s="396"/>
      <c r="C80" s="396"/>
      <c r="D80" s="396"/>
      <c r="E80" s="396"/>
      <c r="F80" s="396"/>
      <c r="G80" s="396"/>
      <c r="H80" s="396"/>
      <c r="I80" s="396"/>
      <c r="J80" s="396"/>
      <c r="K80" s="396"/>
      <c r="L80" s="396"/>
      <c r="M80" s="396"/>
      <c r="N80" s="396"/>
      <c r="O80" s="396"/>
      <c r="P80" s="396"/>
      <c r="Q80" s="396"/>
      <c r="R80" s="396"/>
      <c r="S80" s="396"/>
      <c r="T80" s="396"/>
      <c r="U80" s="396"/>
      <c r="V80" s="399"/>
    </row>
    <row r="81" spans="1:34" s="154" customFormat="1" ht="12" x14ac:dyDescent="0.2">
      <c r="A81" s="216"/>
      <c r="F81" s="152"/>
      <c r="G81" s="152"/>
      <c r="H81" s="152"/>
      <c r="I81" s="152"/>
      <c r="J81" s="152"/>
      <c r="K81" s="152"/>
      <c r="L81" s="163"/>
      <c r="M81" s="163"/>
      <c r="N81" s="163"/>
      <c r="O81" s="163"/>
      <c r="P81" s="163"/>
      <c r="Q81" s="163"/>
      <c r="R81" s="163"/>
      <c r="S81" s="163"/>
      <c r="T81" s="163"/>
      <c r="U81" s="163"/>
      <c r="V81" s="215"/>
      <c r="AA81" s="198"/>
      <c r="AB81" s="198"/>
      <c r="AC81" s="198"/>
      <c r="AD81" s="198"/>
      <c r="AE81" s="198"/>
      <c r="AF81" s="198"/>
      <c r="AG81" s="198"/>
    </row>
    <row r="82" spans="1:34" s="154" customFormat="1" ht="24.75" customHeight="1" x14ac:dyDescent="0.2">
      <c r="A82" s="388" t="s">
        <v>751</v>
      </c>
      <c r="B82" s="389"/>
      <c r="C82" s="389"/>
      <c r="D82" s="389"/>
      <c r="E82" s="389"/>
      <c r="F82" s="389"/>
      <c r="G82" s="389"/>
      <c r="H82" s="389"/>
      <c r="I82" s="389"/>
      <c r="J82" s="389"/>
      <c r="K82" s="389"/>
      <c r="L82" s="389"/>
      <c r="M82" s="389"/>
      <c r="N82" s="389"/>
      <c r="O82" s="163"/>
      <c r="P82" s="163"/>
      <c r="Q82" s="229"/>
      <c r="R82" s="229"/>
      <c r="S82" s="229"/>
      <c r="T82" s="229"/>
      <c r="U82" s="229"/>
      <c r="V82" s="248"/>
      <c r="W82" s="198"/>
      <c r="X82" s="198"/>
      <c r="Y82" s="198"/>
      <c r="Z82" s="198"/>
      <c r="AA82" s="198"/>
      <c r="AB82" s="198"/>
    </row>
    <row r="83" spans="1:34" s="154" customFormat="1" ht="12" x14ac:dyDescent="0.2">
      <c r="A83" s="11" t="s">
        <v>717</v>
      </c>
      <c r="B83" s="11" t="s">
        <v>718</v>
      </c>
      <c r="C83" s="11" t="s">
        <v>719</v>
      </c>
      <c r="D83" s="11" t="s">
        <v>720</v>
      </c>
      <c r="E83" s="11" t="s">
        <v>721</v>
      </c>
      <c r="F83" s="11" t="s">
        <v>722</v>
      </c>
      <c r="G83" s="11" t="s">
        <v>723</v>
      </c>
      <c r="H83" s="11" t="s">
        <v>724</v>
      </c>
      <c r="I83" s="11" t="s">
        <v>725</v>
      </c>
      <c r="J83" s="11" t="s">
        <v>726</v>
      </c>
      <c r="K83" s="11" t="s">
        <v>727</v>
      </c>
      <c r="L83" s="11" t="s">
        <v>728</v>
      </c>
      <c r="M83" s="11" t="s">
        <v>729</v>
      </c>
      <c r="N83" s="11" t="s">
        <v>747</v>
      </c>
      <c r="O83" s="163"/>
      <c r="P83" s="229"/>
      <c r="Q83" s="229"/>
      <c r="R83" s="229"/>
      <c r="S83" s="229"/>
      <c r="T83" s="229"/>
      <c r="U83" s="229"/>
      <c r="V83" s="248"/>
      <c r="W83" s="198"/>
      <c r="X83" s="198"/>
      <c r="Y83" s="198"/>
      <c r="Z83" s="198"/>
      <c r="AA83" s="198"/>
      <c r="AB83" s="198"/>
      <c r="AC83" s="257"/>
      <c r="AD83" s="257"/>
      <c r="AE83" s="257"/>
      <c r="AF83" s="257"/>
      <c r="AG83" s="257"/>
      <c r="AH83" s="257"/>
    </row>
    <row r="84" spans="1:34" s="154" customFormat="1" ht="12.75" customHeight="1" x14ac:dyDescent="0.2">
      <c r="A84" s="249" t="s">
        <v>748</v>
      </c>
      <c r="B84" s="263">
        <v>44.644001144001102</v>
      </c>
      <c r="C84" s="264">
        <v>50.011284000475101</v>
      </c>
      <c r="D84" s="265">
        <v>0</v>
      </c>
      <c r="E84" s="264">
        <v>0</v>
      </c>
      <c r="F84" s="265">
        <v>0</v>
      </c>
      <c r="G84" s="264">
        <v>0</v>
      </c>
      <c r="H84" s="264">
        <v>0</v>
      </c>
      <c r="I84" s="265">
        <v>0</v>
      </c>
      <c r="J84" s="264">
        <v>0</v>
      </c>
      <c r="K84" s="265">
        <v>0</v>
      </c>
      <c r="L84" s="265">
        <v>0</v>
      </c>
      <c r="M84" s="264">
        <v>0</v>
      </c>
      <c r="N84" s="265">
        <v>47.615932462479201</v>
      </c>
      <c r="O84" s="163"/>
      <c r="P84" s="163"/>
      <c r="Q84" s="229"/>
      <c r="R84" s="229"/>
      <c r="S84" s="229"/>
      <c r="T84" s="229"/>
      <c r="U84" s="229"/>
      <c r="V84" s="248"/>
      <c r="W84" s="198"/>
      <c r="X84" s="198"/>
      <c r="Y84" s="198"/>
      <c r="Z84" s="198"/>
      <c r="AA84" s="198"/>
      <c r="AB84" s="198"/>
      <c r="AC84" s="257"/>
      <c r="AD84" s="257"/>
      <c r="AE84" s="257"/>
      <c r="AF84" s="257"/>
      <c r="AG84" s="257"/>
      <c r="AH84" s="257"/>
    </row>
    <row r="85" spans="1:34" s="154" customFormat="1" ht="12" x14ac:dyDescent="0.2">
      <c r="A85" s="258" t="s">
        <v>730</v>
      </c>
      <c r="B85" s="266">
        <v>41.047072330654402</v>
      </c>
      <c r="C85" s="267">
        <v>45.583941605839399</v>
      </c>
      <c r="D85" s="267">
        <v>0</v>
      </c>
      <c r="E85" s="267">
        <v>0</v>
      </c>
      <c r="F85" s="267">
        <v>0</v>
      </c>
      <c r="G85" s="267">
        <v>0</v>
      </c>
      <c r="H85" s="267">
        <v>0</v>
      </c>
      <c r="I85" s="267">
        <v>0</v>
      </c>
      <c r="J85" s="267">
        <v>0</v>
      </c>
      <c r="K85" s="267">
        <v>0</v>
      </c>
      <c r="L85" s="267">
        <v>0</v>
      </c>
      <c r="M85" s="267">
        <v>0</v>
      </c>
      <c r="N85" s="267">
        <v>43.307271733187498</v>
      </c>
      <c r="O85" s="163"/>
      <c r="P85" s="163"/>
      <c r="Q85" s="163"/>
      <c r="R85" s="229"/>
      <c r="S85" s="229"/>
      <c r="T85" s="229"/>
      <c r="U85" s="229"/>
      <c r="V85" s="248"/>
      <c r="W85" s="198"/>
      <c r="X85" s="198"/>
      <c r="Y85" s="198"/>
      <c r="Z85" s="198"/>
      <c r="AA85" s="257"/>
      <c r="AB85" s="257"/>
      <c r="AC85" s="199"/>
      <c r="AD85" s="257"/>
      <c r="AE85" s="257"/>
      <c r="AF85" s="257"/>
      <c r="AH85" s="257"/>
    </row>
    <row r="86" spans="1:34" s="154" customFormat="1" ht="12" x14ac:dyDescent="0.2">
      <c r="A86" s="260" t="s">
        <v>731</v>
      </c>
      <c r="B86" s="266">
        <v>58.450151057401797</v>
      </c>
      <c r="C86" s="267">
        <v>60.692307692307701</v>
      </c>
      <c r="D86" s="267">
        <v>0</v>
      </c>
      <c r="E86" s="267">
        <v>0</v>
      </c>
      <c r="F86" s="267">
        <v>0</v>
      </c>
      <c r="G86" s="267">
        <v>0</v>
      </c>
      <c r="H86" s="267">
        <v>0</v>
      </c>
      <c r="I86" s="267">
        <v>0</v>
      </c>
      <c r="J86" s="267">
        <v>0</v>
      </c>
      <c r="K86" s="267">
        <v>0</v>
      </c>
      <c r="L86" s="267">
        <v>0</v>
      </c>
      <c r="M86" s="267">
        <v>0</v>
      </c>
      <c r="N86" s="267">
        <v>55.537356321839098</v>
      </c>
      <c r="O86" s="163"/>
      <c r="P86" s="163"/>
      <c r="Q86" s="229"/>
      <c r="R86" s="229"/>
      <c r="S86" s="229"/>
      <c r="T86" s="229"/>
      <c r="U86" s="229"/>
      <c r="V86" s="248"/>
      <c r="W86" s="198"/>
      <c r="X86" s="198"/>
      <c r="AA86" s="257"/>
      <c r="AB86" s="257"/>
      <c r="AC86" s="257"/>
      <c r="AD86" s="257"/>
      <c r="AE86" s="257"/>
      <c r="AF86" s="257"/>
      <c r="AG86" s="257"/>
      <c r="AH86" s="257"/>
    </row>
    <row r="87" spans="1:34" s="154" customFormat="1" ht="12" x14ac:dyDescent="0.2">
      <c r="A87" s="260" t="s">
        <v>733</v>
      </c>
      <c r="B87" s="266">
        <v>44.531602002503099</v>
      </c>
      <c r="C87" s="267">
        <v>50.0198692810458</v>
      </c>
      <c r="D87" s="267">
        <v>0</v>
      </c>
      <c r="E87" s="267">
        <v>0</v>
      </c>
      <c r="F87" s="267">
        <v>0</v>
      </c>
      <c r="G87" s="267">
        <v>0</v>
      </c>
      <c r="H87" s="267">
        <v>0</v>
      </c>
      <c r="I87" s="267">
        <v>0</v>
      </c>
      <c r="J87" s="267">
        <v>0</v>
      </c>
      <c r="K87" s="267">
        <v>0</v>
      </c>
      <c r="L87" s="267">
        <v>0</v>
      </c>
      <c r="M87" s="267">
        <v>0</v>
      </c>
      <c r="N87" s="267">
        <v>47.706081724361198</v>
      </c>
      <c r="O87" s="163"/>
      <c r="P87" s="229"/>
      <c r="Q87" s="229"/>
      <c r="R87" s="229"/>
      <c r="S87" s="229"/>
      <c r="T87" s="229"/>
      <c r="U87" s="229"/>
      <c r="V87" s="248"/>
      <c r="W87" s="198"/>
      <c r="X87" s="198"/>
      <c r="Y87" s="198"/>
      <c r="Z87" s="198"/>
    </row>
    <row r="88" spans="1:34" s="154" customFormat="1" ht="12" x14ac:dyDescent="0.2">
      <c r="A88" s="249" t="s">
        <v>749</v>
      </c>
      <c r="B88" s="263">
        <v>43.661840744570803</v>
      </c>
      <c r="C88" s="264">
        <v>41.559026949678</v>
      </c>
      <c r="D88" s="265">
        <v>0</v>
      </c>
      <c r="E88" s="264">
        <v>0</v>
      </c>
      <c r="F88" s="265">
        <v>0</v>
      </c>
      <c r="G88" s="264">
        <v>0</v>
      </c>
      <c r="H88" s="264">
        <v>0</v>
      </c>
      <c r="I88" s="265">
        <v>0</v>
      </c>
      <c r="J88" s="264">
        <v>0</v>
      </c>
      <c r="K88" s="265">
        <v>0</v>
      </c>
      <c r="L88" s="265">
        <v>0</v>
      </c>
      <c r="M88" s="264">
        <v>0</v>
      </c>
      <c r="N88" s="265">
        <v>42.844570669814097</v>
      </c>
      <c r="O88" s="163"/>
      <c r="P88" s="229"/>
      <c r="Q88" s="229"/>
      <c r="R88" s="254"/>
      <c r="S88" s="254"/>
      <c r="T88" s="254"/>
      <c r="U88" s="254"/>
      <c r="V88" s="215"/>
      <c r="Z88" s="198"/>
      <c r="AA88" s="198"/>
      <c r="AB88" s="198"/>
      <c r="AC88" s="198"/>
      <c r="AD88" s="198"/>
      <c r="AE88" s="198"/>
      <c r="AF88" s="198"/>
    </row>
    <row r="89" spans="1:34" s="154" customFormat="1" ht="12" x14ac:dyDescent="0.2">
      <c r="A89" s="258" t="s">
        <v>730</v>
      </c>
      <c r="B89" s="266">
        <v>48.279217719132902</v>
      </c>
      <c r="C89" s="267">
        <v>48.312695924764903</v>
      </c>
      <c r="D89" s="267">
        <v>0</v>
      </c>
      <c r="E89" s="267">
        <v>0</v>
      </c>
      <c r="F89" s="267">
        <v>0</v>
      </c>
      <c r="G89" s="267">
        <v>0</v>
      </c>
      <c r="H89" s="267">
        <v>0</v>
      </c>
      <c r="I89" s="267">
        <v>0</v>
      </c>
      <c r="J89" s="267">
        <v>0</v>
      </c>
      <c r="K89" s="267">
        <v>0</v>
      </c>
      <c r="L89" s="267">
        <v>0</v>
      </c>
      <c r="M89" s="267">
        <v>0</v>
      </c>
      <c r="N89" s="267">
        <v>48.553584102200098</v>
      </c>
      <c r="O89" s="163"/>
      <c r="P89" s="229"/>
      <c r="Q89" s="229"/>
      <c r="R89" s="229"/>
      <c r="S89" s="229"/>
      <c r="T89" s="229"/>
      <c r="U89" s="254"/>
      <c r="V89" s="248"/>
      <c r="W89" s="198"/>
      <c r="X89" s="198"/>
      <c r="Y89" s="198"/>
      <c r="Z89" s="198"/>
      <c r="AA89" s="198"/>
      <c r="AB89" s="198"/>
      <c r="AC89" s="198"/>
    </row>
    <row r="90" spans="1:34" s="154" customFormat="1" ht="12" customHeight="1" x14ac:dyDescent="0.2">
      <c r="A90" s="260" t="s">
        <v>731</v>
      </c>
      <c r="B90" s="266">
        <v>48.872562674094702</v>
      </c>
      <c r="C90" s="267">
        <v>42.603429796355798</v>
      </c>
      <c r="D90" s="267">
        <v>0</v>
      </c>
      <c r="E90" s="267">
        <v>0</v>
      </c>
      <c r="F90" s="267">
        <v>0</v>
      </c>
      <c r="G90" s="267">
        <v>0</v>
      </c>
      <c r="H90" s="267">
        <v>0</v>
      </c>
      <c r="I90" s="267">
        <v>0</v>
      </c>
      <c r="J90" s="267">
        <v>0</v>
      </c>
      <c r="K90" s="267">
        <v>0</v>
      </c>
      <c r="L90" s="267">
        <v>0</v>
      </c>
      <c r="M90" s="267">
        <v>0</v>
      </c>
      <c r="N90" s="267">
        <v>45.025658807212203</v>
      </c>
      <c r="O90" s="163"/>
      <c r="P90" s="229"/>
      <c r="Q90" s="229"/>
      <c r="R90" s="254"/>
      <c r="S90" s="254"/>
      <c r="T90" s="254"/>
      <c r="U90" s="254"/>
      <c r="V90" s="248"/>
      <c r="W90" s="198"/>
      <c r="X90" s="198"/>
      <c r="Y90" s="198"/>
      <c r="Z90" s="198"/>
      <c r="AA90" s="198"/>
      <c r="AB90" s="198"/>
    </row>
    <row r="91" spans="1:34" s="154" customFormat="1" ht="12" x14ac:dyDescent="0.2">
      <c r="A91" s="260" t="s">
        <v>733</v>
      </c>
      <c r="B91" s="266">
        <v>18.796143250688701</v>
      </c>
      <c r="C91" s="267">
        <v>15.838983050847499</v>
      </c>
      <c r="D91" s="267">
        <v>0</v>
      </c>
      <c r="E91" s="267">
        <v>0</v>
      </c>
      <c r="F91" s="267">
        <v>0</v>
      </c>
      <c r="G91" s="267">
        <v>0</v>
      </c>
      <c r="H91" s="267">
        <v>0</v>
      </c>
      <c r="I91" s="267">
        <v>0</v>
      </c>
      <c r="J91" s="267">
        <v>0</v>
      </c>
      <c r="K91" s="267">
        <v>0</v>
      </c>
      <c r="L91" s="267">
        <v>0</v>
      </c>
      <c r="M91" s="267">
        <v>0</v>
      </c>
      <c r="N91" s="267">
        <v>18.248422001803402</v>
      </c>
      <c r="O91" s="163"/>
      <c r="P91" s="229"/>
      <c r="Q91" s="229"/>
      <c r="R91" s="229"/>
      <c r="S91" s="229"/>
      <c r="T91" s="229"/>
      <c r="U91" s="229"/>
      <c r="V91" s="248"/>
      <c r="W91" s="198"/>
      <c r="X91" s="198"/>
      <c r="Y91" s="198"/>
      <c r="Z91" s="198"/>
      <c r="AA91" s="198"/>
      <c r="AB91" s="198"/>
    </row>
    <row r="92" spans="1:34" s="154" customFormat="1" ht="12" x14ac:dyDescent="0.2">
      <c r="A92" s="249" t="s">
        <v>750</v>
      </c>
      <c r="B92" s="263">
        <v>44.323681040713097</v>
      </c>
      <c r="C92" s="264">
        <v>47.201236917221699</v>
      </c>
      <c r="D92" s="265">
        <v>0</v>
      </c>
      <c r="E92" s="264">
        <v>0</v>
      </c>
      <c r="F92" s="265">
        <v>0</v>
      </c>
      <c r="G92" s="264">
        <v>0</v>
      </c>
      <c r="H92" s="264">
        <v>0</v>
      </c>
      <c r="I92" s="265">
        <v>0</v>
      </c>
      <c r="J92" s="264">
        <v>0</v>
      </c>
      <c r="K92" s="265">
        <v>0</v>
      </c>
      <c r="L92" s="265">
        <v>0</v>
      </c>
      <c r="M92" s="264">
        <v>0</v>
      </c>
      <c r="N92" s="265">
        <v>46.088285309400099</v>
      </c>
      <c r="O92" s="163"/>
      <c r="P92" s="163"/>
      <c r="Q92" s="163"/>
      <c r="R92" s="163"/>
      <c r="S92" s="163"/>
      <c r="T92" s="163"/>
      <c r="U92" s="163"/>
      <c r="V92" s="215"/>
    </row>
    <row r="93" spans="1:34" s="154" customFormat="1" ht="12" x14ac:dyDescent="0.2">
      <c r="A93" s="258" t="s">
        <v>730</v>
      </c>
      <c r="B93" s="266">
        <v>47.047702834799601</v>
      </c>
      <c r="C93" s="267">
        <v>47.830322580645202</v>
      </c>
      <c r="D93" s="267">
        <v>0</v>
      </c>
      <c r="E93" s="267">
        <v>0</v>
      </c>
      <c r="F93" s="267">
        <v>0</v>
      </c>
      <c r="G93" s="267">
        <v>0</v>
      </c>
      <c r="H93" s="267">
        <v>0</v>
      </c>
      <c r="I93" s="267">
        <v>0</v>
      </c>
      <c r="J93" s="267">
        <v>0</v>
      </c>
      <c r="K93" s="267">
        <v>0</v>
      </c>
      <c r="L93" s="267">
        <v>0</v>
      </c>
      <c r="M93" s="267">
        <v>0</v>
      </c>
      <c r="N93" s="267">
        <v>47.620441505397302</v>
      </c>
      <c r="O93" s="163"/>
      <c r="P93" s="163"/>
      <c r="Q93" s="163"/>
      <c r="R93" s="163"/>
      <c r="S93" s="163"/>
      <c r="T93" s="163"/>
      <c r="U93" s="163"/>
      <c r="V93" s="215"/>
    </row>
    <row r="94" spans="1:34" s="154" customFormat="1" ht="12" x14ac:dyDescent="0.2">
      <c r="A94" s="260" t="s">
        <v>731</v>
      </c>
      <c r="B94" s="266">
        <v>50.6666666666667</v>
      </c>
      <c r="C94" s="267">
        <v>46.0675909878683</v>
      </c>
      <c r="D94" s="267">
        <v>0</v>
      </c>
      <c r="E94" s="267">
        <v>0</v>
      </c>
      <c r="F94" s="267">
        <v>0</v>
      </c>
      <c r="G94" s="267">
        <v>0</v>
      </c>
      <c r="H94" s="267">
        <v>0</v>
      </c>
      <c r="I94" s="267">
        <v>0</v>
      </c>
      <c r="J94" s="267">
        <v>0</v>
      </c>
      <c r="K94" s="267">
        <v>0</v>
      </c>
      <c r="L94" s="267">
        <v>0</v>
      </c>
      <c r="M94" s="267">
        <v>0</v>
      </c>
      <c r="N94" s="267">
        <v>47.069273743016801</v>
      </c>
      <c r="O94" s="163"/>
      <c r="P94" s="163"/>
      <c r="Q94" s="163"/>
      <c r="R94" s="163"/>
      <c r="S94" s="163"/>
      <c r="T94" s="163"/>
      <c r="U94" s="163"/>
      <c r="V94" s="215"/>
    </row>
    <row r="95" spans="1:34" s="154" customFormat="1" ht="12" x14ac:dyDescent="0.2">
      <c r="A95" s="260" t="s">
        <v>733</v>
      </c>
      <c r="B95" s="266">
        <v>42.511425070280403</v>
      </c>
      <c r="C95" s="267">
        <v>47.124431682220603</v>
      </c>
      <c r="D95" s="267">
        <v>0</v>
      </c>
      <c r="E95" s="267">
        <v>0</v>
      </c>
      <c r="F95" s="267">
        <v>0</v>
      </c>
      <c r="G95" s="267">
        <v>0</v>
      </c>
      <c r="H95" s="267">
        <v>0</v>
      </c>
      <c r="I95" s="267">
        <v>0</v>
      </c>
      <c r="J95" s="267">
        <v>0</v>
      </c>
      <c r="K95" s="267">
        <v>0</v>
      </c>
      <c r="L95" s="267">
        <v>0</v>
      </c>
      <c r="M95" s="267">
        <v>0</v>
      </c>
      <c r="N95" s="267">
        <v>45.411700670716698</v>
      </c>
      <c r="O95" s="163"/>
      <c r="P95" s="163"/>
      <c r="Q95" s="163"/>
      <c r="R95" s="163"/>
      <c r="S95" s="163"/>
      <c r="T95" s="163"/>
      <c r="U95" s="163"/>
      <c r="V95" s="215"/>
    </row>
    <row r="96" spans="1:34" s="154" customFormat="1" ht="12" x14ac:dyDescent="0.2">
      <c r="A96" s="216"/>
      <c r="F96" s="152"/>
      <c r="G96" s="152"/>
      <c r="H96" s="152"/>
      <c r="I96" s="152"/>
      <c r="J96" s="152"/>
      <c r="K96" s="152"/>
      <c r="L96" s="163"/>
      <c r="M96" s="163"/>
      <c r="N96" s="163"/>
      <c r="O96" s="163"/>
      <c r="P96" s="163"/>
      <c r="Q96" s="163"/>
      <c r="R96" s="163"/>
      <c r="S96" s="163"/>
      <c r="T96" s="163"/>
      <c r="U96" s="163"/>
      <c r="V96" s="215"/>
    </row>
    <row r="97" spans="1:33" s="154" customFormat="1" ht="12" x14ac:dyDescent="0.2">
      <c r="A97" s="398"/>
      <c r="B97" s="396"/>
      <c r="C97" s="396"/>
      <c r="D97" s="396"/>
      <c r="E97" s="396"/>
      <c r="F97" s="396"/>
      <c r="G97" s="396"/>
      <c r="H97" s="396"/>
      <c r="I97" s="396"/>
      <c r="J97" s="396"/>
      <c r="K97" s="396"/>
      <c r="L97" s="396"/>
      <c r="M97" s="396"/>
      <c r="N97" s="396"/>
      <c r="O97" s="396"/>
      <c r="P97" s="396"/>
      <c r="Q97" s="396"/>
      <c r="R97" s="396"/>
      <c r="S97" s="396"/>
      <c r="T97" s="396"/>
      <c r="U97" s="396"/>
      <c r="V97" s="399"/>
    </row>
    <row r="98" spans="1:33" s="154" customFormat="1" ht="12" x14ac:dyDescent="0.2">
      <c r="A98" s="216"/>
      <c r="F98" s="152"/>
      <c r="G98" s="152"/>
      <c r="H98" s="152"/>
      <c r="I98" s="152"/>
      <c r="J98" s="152"/>
      <c r="K98" s="152"/>
      <c r="L98" s="163"/>
      <c r="M98" s="163"/>
      <c r="N98" s="163"/>
      <c r="O98" s="163"/>
      <c r="P98" s="163"/>
      <c r="Q98" s="163"/>
      <c r="R98" s="163"/>
      <c r="S98" s="229"/>
      <c r="T98" s="229"/>
      <c r="U98" s="229"/>
      <c r="V98" s="248"/>
    </row>
    <row r="99" spans="1:33" s="152" customFormat="1" ht="24.75" customHeight="1" x14ac:dyDescent="0.2">
      <c r="A99" s="403" t="s">
        <v>752</v>
      </c>
      <c r="B99" s="382"/>
      <c r="C99" s="382"/>
      <c r="D99" s="382"/>
      <c r="E99" s="382"/>
      <c r="F99" s="382"/>
      <c r="G99" s="382"/>
      <c r="H99" s="382"/>
      <c r="I99" s="382"/>
      <c r="J99" s="382"/>
      <c r="K99" s="382"/>
      <c r="L99" s="382"/>
      <c r="M99" s="382"/>
      <c r="N99" s="382"/>
      <c r="O99" s="163"/>
      <c r="P99" s="229"/>
      <c r="Q99" s="229"/>
      <c r="R99" s="229"/>
      <c r="S99" s="229"/>
      <c r="T99" s="229"/>
      <c r="U99" s="229"/>
      <c r="V99" s="248"/>
      <c r="W99" s="221"/>
      <c r="X99" s="221"/>
      <c r="Y99" s="221"/>
      <c r="Z99" s="221"/>
      <c r="AA99" s="221"/>
      <c r="AB99" s="221"/>
    </row>
    <row r="100" spans="1:33" s="154" customFormat="1" ht="12" x14ac:dyDescent="0.2">
      <c r="A100" s="169" t="s">
        <v>737</v>
      </c>
      <c r="B100" s="11" t="s">
        <v>718</v>
      </c>
      <c r="C100" s="11" t="s">
        <v>719</v>
      </c>
      <c r="D100" s="11" t="s">
        <v>720</v>
      </c>
      <c r="E100" s="11" t="s">
        <v>721</v>
      </c>
      <c r="F100" s="11" t="s">
        <v>722</v>
      </c>
      <c r="G100" s="11" t="s">
        <v>723</v>
      </c>
      <c r="H100" s="11" t="s">
        <v>724</v>
      </c>
      <c r="I100" s="11" t="s">
        <v>725</v>
      </c>
      <c r="J100" s="11" t="s">
        <v>726</v>
      </c>
      <c r="K100" s="11" t="s">
        <v>727</v>
      </c>
      <c r="L100" s="11" t="s">
        <v>728</v>
      </c>
      <c r="M100" s="11" t="s">
        <v>729</v>
      </c>
      <c r="N100" s="11" t="s">
        <v>747</v>
      </c>
      <c r="O100" s="163"/>
      <c r="P100" s="254"/>
      <c r="Q100" s="229"/>
      <c r="R100" s="229"/>
      <c r="S100" s="229"/>
      <c r="T100" s="229"/>
      <c r="U100" s="229"/>
      <c r="V100" s="248"/>
      <c r="W100" s="198"/>
      <c r="X100" s="198"/>
      <c r="Y100" s="198"/>
      <c r="Z100" s="198"/>
      <c r="AA100" s="198"/>
      <c r="AB100" s="198"/>
      <c r="AC100" s="198"/>
      <c r="AD100" s="198"/>
      <c r="AE100" s="198"/>
      <c r="AF100" s="198"/>
    </row>
    <row r="101" spans="1:33" s="154" customFormat="1" ht="12.75" customHeight="1" thickBot="1" x14ac:dyDescent="0.25">
      <c r="A101" s="174" t="s">
        <v>1</v>
      </c>
      <c r="B101" s="250">
        <v>38517.129032258097</v>
      </c>
      <c r="C101" s="251">
        <v>39191.166666666701</v>
      </c>
      <c r="D101" s="252">
        <v>36902</v>
      </c>
      <c r="E101" s="251">
        <v>0</v>
      </c>
      <c r="F101" s="252">
        <v>0</v>
      </c>
      <c r="G101" s="251">
        <v>0</v>
      </c>
      <c r="H101" s="251">
        <v>0</v>
      </c>
      <c r="I101" s="252">
        <v>0</v>
      </c>
      <c r="J101" s="251">
        <v>0</v>
      </c>
      <c r="K101" s="252">
        <v>0</v>
      </c>
      <c r="L101" s="252">
        <v>0</v>
      </c>
      <c r="M101" s="251">
        <v>0</v>
      </c>
      <c r="N101" s="250">
        <v>38786.825396825399</v>
      </c>
      <c r="O101" s="163"/>
      <c r="P101" s="254"/>
      <c r="Q101" s="254"/>
      <c r="R101" s="254"/>
      <c r="S101" s="254"/>
      <c r="T101" s="179"/>
      <c r="U101" s="254"/>
      <c r="V101" s="255"/>
      <c r="W101" s="257"/>
      <c r="X101" s="257"/>
      <c r="Y101" s="257"/>
      <c r="Z101" s="257"/>
      <c r="AA101" s="257"/>
      <c r="AB101" s="257"/>
    </row>
    <row r="102" spans="1:33" s="154" customFormat="1" ht="12.75" thickTop="1" x14ac:dyDescent="0.2">
      <c r="A102" s="186" t="s">
        <v>704</v>
      </c>
      <c r="B102" s="213">
        <v>38517.129032258097</v>
      </c>
      <c r="C102" s="259">
        <v>39191.166666666701</v>
      </c>
      <c r="D102" s="259">
        <v>36902</v>
      </c>
      <c r="E102" s="259">
        <v>0</v>
      </c>
      <c r="F102" s="259">
        <v>0</v>
      </c>
      <c r="G102" s="259">
        <v>0</v>
      </c>
      <c r="H102" s="259">
        <v>0</v>
      </c>
      <c r="I102" s="259">
        <v>0</v>
      </c>
      <c r="J102" s="259">
        <v>0</v>
      </c>
      <c r="K102" s="259">
        <v>0</v>
      </c>
      <c r="L102" s="259">
        <v>0</v>
      </c>
      <c r="M102" s="259">
        <v>0</v>
      </c>
      <c r="N102" s="213">
        <v>38786.825396825399</v>
      </c>
      <c r="O102" s="163"/>
      <c r="P102" s="254"/>
      <c r="Q102" s="254"/>
      <c r="R102" s="254"/>
      <c r="S102" s="254"/>
      <c r="T102" s="254"/>
      <c r="U102" s="254"/>
      <c r="V102" s="255"/>
      <c r="W102" s="257"/>
      <c r="X102" s="257"/>
      <c r="Y102" s="257"/>
      <c r="Z102" s="257"/>
      <c r="AA102" s="198"/>
      <c r="AB102" s="257"/>
      <c r="AF102" s="257"/>
      <c r="AG102" s="257"/>
    </row>
    <row r="103" spans="1:33" s="269" customFormat="1" ht="23.25" customHeight="1" x14ac:dyDescent="0.2">
      <c r="A103" s="216"/>
      <c r="B103" s="154"/>
      <c r="C103" s="154"/>
      <c r="D103" s="154"/>
      <c r="E103" s="154"/>
      <c r="F103" s="152"/>
      <c r="G103" s="152"/>
      <c r="H103" s="152"/>
      <c r="I103" s="152"/>
      <c r="J103" s="152"/>
      <c r="K103" s="152"/>
      <c r="L103" s="163"/>
      <c r="M103" s="163"/>
      <c r="N103" s="163"/>
      <c r="O103" s="163"/>
      <c r="P103" s="254"/>
      <c r="Q103" s="254"/>
      <c r="R103" s="254"/>
      <c r="S103" s="254"/>
      <c r="T103" s="254"/>
      <c r="U103" s="254"/>
      <c r="V103" s="255"/>
      <c r="W103" s="268"/>
      <c r="X103" s="268"/>
      <c r="Y103" s="268"/>
      <c r="Z103" s="268"/>
      <c r="AA103" s="268"/>
      <c r="AB103" s="268"/>
      <c r="AC103" s="268"/>
      <c r="AD103" s="268"/>
      <c r="AE103" s="268"/>
      <c r="AF103" s="268"/>
      <c r="AG103" s="268"/>
    </row>
    <row r="104" spans="1:33" s="154" customFormat="1" ht="12.75" customHeight="1" x14ac:dyDescent="0.2">
      <c r="A104" s="403" t="s">
        <v>753</v>
      </c>
      <c r="B104" s="382"/>
      <c r="C104" s="382"/>
      <c r="D104" s="382"/>
      <c r="E104" s="382"/>
      <c r="F104" s="382"/>
      <c r="G104" s="382"/>
      <c r="H104" s="382"/>
      <c r="I104" s="382"/>
      <c r="J104" s="382"/>
      <c r="K104" s="382"/>
      <c r="L104" s="382"/>
      <c r="M104" s="382"/>
      <c r="N104" s="382"/>
      <c r="O104" s="163"/>
      <c r="P104" s="163"/>
      <c r="Q104" s="254"/>
      <c r="R104" s="254"/>
      <c r="S104" s="229"/>
      <c r="T104" s="229"/>
      <c r="U104" s="229"/>
      <c r="V104" s="255"/>
      <c r="W104" s="257"/>
      <c r="X104" s="257"/>
      <c r="Y104" s="257"/>
      <c r="Z104" s="257"/>
      <c r="AA104" s="257"/>
    </row>
    <row r="105" spans="1:33" s="154" customFormat="1" ht="12.75" customHeight="1" x14ac:dyDescent="0.2">
      <c r="A105" s="169" t="s">
        <v>737</v>
      </c>
      <c r="B105" s="11" t="s">
        <v>718</v>
      </c>
      <c r="C105" s="11" t="s">
        <v>719</v>
      </c>
      <c r="D105" s="11" t="s">
        <v>720</v>
      </c>
      <c r="E105" s="11" t="s">
        <v>721</v>
      </c>
      <c r="F105" s="11" t="s">
        <v>722</v>
      </c>
      <c r="G105" s="11" t="s">
        <v>723</v>
      </c>
      <c r="H105" s="11" t="s">
        <v>724</v>
      </c>
      <c r="I105" s="11" t="s">
        <v>725</v>
      </c>
      <c r="J105" s="11" t="s">
        <v>726</v>
      </c>
      <c r="K105" s="11" t="s">
        <v>727</v>
      </c>
      <c r="L105" s="11" t="s">
        <v>728</v>
      </c>
      <c r="M105" s="11" t="s">
        <v>729</v>
      </c>
      <c r="N105" s="11" t="s">
        <v>747</v>
      </c>
      <c r="O105" s="163"/>
      <c r="P105" s="229"/>
      <c r="Q105" s="229"/>
      <c r="R105" s="229"/>
      <c r="S105" s="229"/>
      <c r="T105" s="229"/>
      <c r="U105" s="229"/>
      <c r="V105" s="248"/>
      <c r="W105" s="198"/>
      <c r="X105" s="198"/>
      <c r="Y105" s="198"/>
      <c r="Z105" s="198"/>
      <c r="AA105" s="198"/>
      <c r="AB105" s="198"/>
      <c r="AC105" s="198"/>
      <c r="AD105" s="198"/>
      <c r="AE105" s="198"/>
      <c r="AF105" s="198"/>
    </row>
    <row r="106" spans="1:33" s="152" customFormat="1" ht="14.25" customHeight="1" thickBot="1" x14ac:dyDescent="0.25">
      <c r="A106" s="174" t="s">
        <v>1</v>
      </c>
      <c r="B106" s="263">
        <v>44.277604041376001</v>
      </c>
      <c r="C106" s="264">
        <v>47.992669791562797</v>
      </c>
      <c r="D106" s="265">
        <v>45.7181878747502</v>
      </c>
      <c r="E106" s="264">
        <v>0</v>
      </c>
      <c r="F106" s="265">
        <v>0</v>
      </c>
      <c r="G106" s="264">
        <v>0</v>
      </c>
      <c r="H106" s="264">
        <v>0</v>
      </c>
      <c r="I106" s="265">
        <v>0</v>
      </c>
      <c r="J106" s="264">
        <v>0</v>
      </c>
      <c r="K106" s="265">
        <v>0</v>
      </c>
      <c r="L106" s="265">
        <v>0</v>
      </c>
      <c r="M106" s="264">
        <v>0</v>
      </c>
      <c r="N106" s="265">
        <v>46.088285309400099</v>
      </c>
      <c r="P106" s="221"/>
      <c r="Q106" s="221"/>
      <c r="R106" s="221"/>
      <c r="S106" s="221"/>
      <c r="T106" s="221"/>
      <c r="U106" s="221"/>
      <c r="V106" s="270"/>
      <c r="W106" s="221"/>
      <c r="X106" s="221"/>
      <c r="Y106" s="221"/>
      <c r="Z106" s="221"/>
      <c r="AA106" s="271"/>
      <c r="AB106" s="221"/>
    </row>
    <row r="107" spans="1:33" s="154" customFormat="1" ht="12.75" customHeight="1" thickTop="1" x14ac:dyDescent="0.2">
      <c r="A107" s="186" t="s">
        <v>704</v>
      </c>
      <c r="B107" s="266">
        <v>44.277604041376001</v>
      </c>
      <c r="C107" s="267">
        <v>47.992669791562797</v>
      </c>
      <c r="D107" s="267">
        <v>45.7181878747502</v>
      </c>
      <c r="E107" s="267">
        <v>0</v>
      </c>
      <c r="F107" s="267">
        <v>0</v>
      </c>
      <c r="G107" s="267">
        <v>0</v>
      </c>
      <c r="H107" s="267">
        <v>0</v>
      </c>
      <c r="I107" s="267">
        <v>0</v>
      </c>
      <c r="J107" s="267">
        <v>0</v>
      </c>
      <c r="K107" s="267">
        <v>0</v>
      </c>
      <c r="L107" s="267">
        <v>0</v>
      </c>
      <c r="M107" s="267">
        <v>0</v>
      </c>
      <c r="N107" s="267">
        <v>46.088285309400099</v>
      </c>
      <c r="O107" s="163"/>
      <c r="P107" s="163"/>
      <c r="Q107" s="163"/>
      <c r="R107" s="229"/>
      <c r="S107" s="229"/>
      <c r="T107" s="229"/>
      <c r="U107" s="229"/>
      <c r="V107" s="272"/>
      <c r="W107" s="198"/>
      <c r="X107" s="198"/>
      <c r="Y107" s="198"/>
      <c r="Z107" s="198"/>
      <c r="AA107" s="198"/>
      <c r="AB107" s="198"/>
      <c r="AC107" s="198"/>
    </row>
    <row r="108" spans="1:33" s="154" customFormat="1" ht="12.75" customHeight="1" x14ac:dyDescent="0.2">
      <c r="A108" s="191"/>
      <c r="B108" s="273"/>
      <c r="C108" s="273"/>
      <c r="D108" s="273"/>
      <c r="E108" s="273"/>
      <c r="F108" s="273"/>
      <c r="G108" s="273"/>
      <c r="H108" s="273"/>
      <c r="I108" s="273"/>
      <c r="J108" s="273"/>
      <c r="K108" s="273"/>
      <c r="L108" s="273"/>
      <c r="M108" s="273"/>
      <c r="N108" s="273"/>
      <c r="O108" s="163"/>
      <c r="P108" s="163"/>
      <c r="Q108" s="163"/>
      <c r="R108" s="163"/>
      <c r="S108" s="163"/>
      <c r="T108" s="163"/>
      <c r="U108" s="163"/>
      <c r="V108" s="274"/>
    </row>
    <row r="109" spans="1:33" s="154" customFormat="1" ht="12" x14ac:dyDescent="0.2">
      <c r="A109" s="403" t="s">
        <v>754</v>
      </c>
      <c r="B109" s="382"/>
      <c r="C109" s="382"/>
      <c r="D109" s="382"/>
      <c r="E109" s="382"/>
      <c r="F109" s="382"/>
      <c r="G109" s="382"/>
      <c r="H109" s="382"/>
      <c r="I109" s="382"/>
      <c r="J109" s="382"/>
      <c r="K109" s="382"/>
      <c r="L109" s="382"/>
      <c r="M109" s="382"/>
      <c r="N109" s="382"/>
      <c r="O109" s="163"/>
      <c r="P109" s="163"/>
      <c r="Q109" s="163"/>
      <c r="R109" s="229"/>
      <c r="S109" s="229"/>
      <c r="T109" s="229"/>
      <c r="U109" s="229"/>
      <c r="V109" s="272"/>
      <c r="W109" s="198"/>
      <c r="X109" s="198"/>
      <c r="Y109" s="198"/>
      <c r="Z109" s="198"/>
      <c r="AA109" s="198"/>
      <c r="AB109" s="198"/>
      <c r="AC109" s="198"/>
    </row>
    <row r="110" spans="1:33" s="154" customFormat="1" ht="12" x14ac:dyDescent="0.2">
      <c r="A110" s="169" t="s">
        <v>755</v>
      </c>
      <c r="B110" s="11" t="s">
        <v>718</v>
      </c>
      <c r="C110" s="11" t="s">
        <v>719</v>
      </c>
      <c r="D110" s="11" t="s">
        <v>720</v>
      </c>
      <c r="E110" s="11" t="s">
        <v>721</v>
      </c>
      <c r="F110" s="11" t="s">
        <v>722</v>
      </c>
      <c r="G110" s="11" t="s">
        <v>723</v>
      </c>
      <c r="H110" s="11" t="s">
        <v>724</v>
      </c>
      <c r="I110" s="11" t="s">
        <v>725</v>
      </c>
      <c r="J110" s="11" t="s">
        <v>726</v>
      </c>
      <c r="K110" s="11" t="s">
        <v>727</v>
      </c>
      <c r="L110" s="11" t="s">
        <v>728</v>
      </c>
      <c r="M110" s="11" t="s">
        <v>729</v>
      </c>
      <c r="N110" s="11" t="s">
        <v>747</v>
      </c>
      <c r="O110" s="163"/>
      <c r="P110" s="163"/>
      <c r="Q110" s="163"/>
      <c r="R110" s="229"/>
      <c r="S110" s="229"/>
      <c r="T110" s="229"/>
      <c r="U110" s="229"/>
      <c r="V110" s="272"/>
      <c r="W110" s="198"/>
      <c r="X110" s="198"/>
      <c r="Y110" s="198"/>
      <c r="Z110" s="198"/>
      <c r="AA110" s="198"/>
      <c r="AB110" s="198"/>
      <c r="AC110" s="198"/>
    </row>
    <row r="111" spans="1:33" ht="15.75" thickBot="1" x14ac:dyDescent="0.3">
      <c r="A111" s="174" t="s">
        <v>1</v>
      </c>
      <c r="B111" s="263">
        <v>44.277604041376001</v>
      </c>
      <c r="C111" s="264">
        <v>47.992669791562797</v>
      </c>
      <c r="D111" s="265">
        <v>45.7181878747502</v>
      </c>
      <c r="E111" s="264">
        <v>0</v>
      </c>
      <c r="F111" s="265">
        <v>0</v>
      </c>
      <c r="G111" s="264">
        <v>0</v>
      </c>
      <c r="H111" s="264">
        <v>0</v>
      </c>
      <c r="I111" s="265">
        <v>0</v>
      </c>
      <c r="J111" s="264">
        <v>0</v>
      </c>
      <c r="K111" s="265">
        <v>0</v>
      </c>
      <c r="L111" s="265">
        <v>0</v>
      </c>
      <c r="M111" s="264">
        <v>0</v>
      </c>
      <c r="N111" s="265">
        <v>46.088285309400099</v>
      </c>
      <c r="V111" s="274"/>
    </row>
    <row r="112" spans="1:33" ht="15.75" thickTop="1" x14ac:dyDescent="0.25">
      <c r="A112" s="180" t="s">
        <v>26</v>
      </c>
      <c r="B112" s="266">
        <v>44.616378694845103</v>
      </c>
      <c r="C112" s="267">
        <v>50.365371955233698</v>
      </c>
      <c r="D112" s="267">
        <v>51.612466124661303</v>
      </c>
      <c r="E112" s="267">
        <v>0</v>
      </c>
      <c r="F112" s="267">
        <v>0</v>
      </c>
      <c r="G112" s="267">
        <v>0</v>
      </c>
      <c r="H112" s="267">
        <v>0</v>
      </c>
      <c r="I112" s="267">
        <v>0</v>
      </c>
      <c r="J112" s="267">
        <v>0</v>
      </c>
      <c r="K112" s="267">
        <v>0</v>
      </c>
      <c r="L112" s="267">
        <v>0</v>
      </c>
      <c r="M112" s="267">
        <v>0</v>
      </c>
      <c r="N112" s="267">
        <v>47.615932462479201</v>
      </c>
      <c r="V112" s="274"/>
    </row>
    <row r="113" spans="1:23" x14ac:dyDescent="0.25">
      <c r="A113" s="186" t="s">
        <v>42</v>
      </c>
      <c r="B113" s="266">
        <v>43.577666322466399</v>
      </c>
      <c r="C113" s="267">
        <v>42.910856963810097</v>
      </c>
      <c r="D113" s="267">
        <v>29.157360406091399</v>
      </c>
      <c r="E113" s="267">
        <v>0</v>
      </c>
      <c r="F113" s="267">
        <v>0</v>
      </c>
      <c r="G113" s="267">
        <v>0</v>
      </c>
      <c r="H113" s="267">
        <v>0</v>
      </c>
      <c r="I113" s="267">
        <v>0</v>
      </c>
      <c r="J113" s="267">
        <v>0</v>
      </c>
      <c r="K113" s="267">
        <v>0</v>
      </c>
      <c r="L113" s="267">
        <v>0</v>
      </c>
      <c r="M113" s="267">
        <v>0</v>
      </c>
      <c r="N113" s="267">
        <v>42.844570669814097</v>
      </c>
      <c r="O113" s="275"/>
      <c r="V113" s="274"/>
    </row>
    <row r="114" spans="1:23" x14ac:dyDescent="0.25">
      <c r="A114" s="187"/>
      <c r="B114" s="273"/>
      <c r="C114" s="273"/>
      <c r="D114" s="273"/>
      <c r="E114" s="273"/>
      <c r="F114" s="273"/>
      <c r="G114" s="273"/>
      <c r="H114" s="273"/>
      <c r="I114" s="273"/>
      <c r="J114" s="273"/>
      <c r="K114" s="276"/>
      <c r="L114" s="273"/>
      <c r="M114" s="273"/>
      <c r="N114" s="277"/>
      <c r="O114" s="275"/>
      <c r="V114" s="274"/>
    </row>
    <row r="115" spans="1:23" x14ac:dyDescent="0.25">
      <c r="A115" s="278" t="s">
        <v>756</v>
      </c>
      <c r="B115" s="273"/>
      <c r="C115" s="273"/>
      <c r="D115" s="273"/>
      <c r="E115" s="273"/>
      <c r="F115" s="273"/>
      <c r="G115" s="273"/>
      <c r="H115" s="273"/>
      <c r="I115" s="273"/>
      <c r="J115" s="273"/>
      <c r="K115" s="276"/>
      <c r="L115" s="273"/>
      <c r="M115" s="273"/>
      <c r="N115" s="277"/>
      <c r="O115" s="275"/>
      <c r="V115" s="274"/>
    </row>
    <row r="116" spans="1:23" x14ac:dyDescent="0.25">
      <c r="A116" s="169" t="s">
        <v>757</v>
      </c>
      <c r="B116" s="279" t="s">
        <v>718</v>
      </c>
      <c r="C116" s="279" t="s">
        <v>719</v>
      </c>
      <c r="D116" s="279" t="s">
        <v>720</v>
      </c>
      <c r="E116" s="279" t="s">
        <v>721</v>
      </c>
      <c r="F116" s="279" t="s">
        <v>722</v>
      </c>
      <c r="G116" s="279" t="s">
        <v>723</v>
      </c>
      <c r="H116" s="279" t="s">
        <v>724</v>
      </c>
      <c r="I116" s="279" t="s">
        <v>725</v>
      </c>
      <c r="J116" s="279" t="s">
        <v>726</v>
      </c>
      <c r="K116" s="279" t="s">
        <v>727</v>
      </c>
      <c r="L116" s="279" t="s">
        <v>728</v>
      </c>
      <c r="M116" s="279" t="s">
        <v>729</v>
      </c>
      <c r="N116" s="279" t="s">
        <v>747</v>
      </c>
      <c r="O116" s="275"/>
      <c r="V116" s="274"/>
      <c r="W116" s="154"/>
    </row>
    <row r="117" spans="1:23" x14ac:dyDescent="0.25">
      <c r="A117" s="280" t="s">
        <v>708</v>
      </c>
      <c r="B117" s="213">
        <v>406</v>
      </c>
      <c r="C117" s="259">
        <v>427</v>
      </c>
      <c r="D117" s="259">
        <v>64</v>
      </c>
      <c r="E117" s="259">
        <v>0</v>
      </c>
      <c r="F117" s="259">
        <v>0</v>
      </c>
      <c r="G117" s="259">
        <v>0</v>
      </c>
      <c r="H117" s="259">
        <v>0</v>
      </c>
      <c r="I117" s="259">
        <v>0</v>
      </c>
      <c r="J117" s="259">
        <v>0</v>
      </c>
      <c r="K117" s="259">
        <v>0</v>
      </c>
      <c r="L117" s="259">
        <v>0</v>
      </c>
      <c r="M117" s="259">
        <v>0</v>
      </c>
      <c r="N117" s="259">
        <f>SUM(B117:M117)</f>
        <v>897</v>
      </c>
      <c r="O117" s="275"/>
      <c r="V117" s="274"/>
      <c r="W117" s="154"/>
    </row>
    <row r="118" spans="1:23" x14ac:dyDescent="0.25">
      <c r="A118" s="280" t="s">
        <v>758</v>
      </c>
      <c r="B118" s="213">
        <v>346</v>
      </c>
      <c r="C118" s="259">
        <v>305</v>
      </c>
      <c r="D118" s="259">
        <v>207</v>
      </c>
      <c r="E118" s="259">
        <v>376</v>
      </c>
      <c r="F118" s="259">
        <v>214</v>
      </c>
      <c r="G118" s="259">
        <v>522</v>
      </c>
      <c r="H118" s="259">
        <v>637</v>
      </c>
      <c r="I118" s="259">
        <v>587</v>
      </c>
      <c r="J118" s="259">
        <v>662</v>
      </c>
      <c r="K118" s="259">
        <v>765</v>
      </c>
      <c r="L118" s="259">
        <v>628</v>
      </c>
      <c r="M118" s="259">
        <v>422</v>
      </c>
      <c r="N118" s="259">
        <f>SUM(B118:M118)</f>
        <v>5671</v>
      </c>
      <c r="O118" s="275"/>
      <c r="V118" s="274"/>
      <c r="W118" s="154"/>
    </row>
    <row r="119" spans="1:23" x14ac:dyDescent="0.25">
      <c r="A119" s="281" t="s">
        <v>759</v>
      </c>
      <c r="B119" s="213">
        <v>111</v>
      </c>
      <c r="C119" s="259">
        <v>166</v>
      </c>
      <c r="D119" s="259">
        <v>220</v>
      </c>
      <c r="E119" s="259">
        <v>171</v>
      </c>
      <c r="F119" s="259">
        <v>316</v>
      </c>
      <c r="G119" s="259">
        <v>274</v>
      </c>
      <c r="H119" s="259">
        <v>85</v>
      </c>
      <c r="I119" s="259">
        <v>65</v>
      </c>
      <c r="J119" s="259">
        <v>123</v>
      </c>
      <c r="K119" s="259">
        <v>192</v>
      </c>
      <c r="L119" s="259">
        <v>153</v>
      </c>
      <c r="M119" s="259">
        <v>203</v>
      </c>
      <c r="N119" s="259">
        <f>SUM(B119:M119)</f>
        <v>2079</v>
      </c>
      <c r="O119" s="275"/>
      <c r="V119" s="274"/>
      <c r="W119" s="154"/>
    </row>
    <row r="120" spans="1:23" x14ac:dyDescent="0.25">
      <c r="A120" s="282"/>
      <c r="B120" s="187"/>
      <c r="C120" s="283"/>
      <c r="D120" s="283"/>
      <c r="E120" s="283"/>
      <c r="F120" s="283"/>
      <c r="G120" s="283"/>
      <c r="H120" s="283"/>
      <c r="I120" s="283"/>
      <c r="J120" s="283"/>
      <c r="K120" s="283"/>
      <c r="L120" s="276"/>
      <c r="M120" s="283"/>
      <c r="N120" s="283"/>
      <c r="O120" s="275"/>
      <c r="P120" s="275"/>
      <c r="V120" s="274"/>
      <c r="W120" s="154"/>
    </row>
    <row r="121" spans="1:23" x14ac:dyDescent="0.25">
      <c r="A121" s="278" t="s">
        <v>760</v>
      </c>
      <c r="B121" s="273"/>
      <c r="C121" s="273"/>
      <c r="D121" s="273"/>
      <c r="E121" s="273"/>
      <c r="F121" s="273"/>
      <c r="G121" s="273"/>
      <c r="H121" s="273"/>
      <c r="I121" s="273"/>
      <c r="J121" s="273"/>
      <c r="K121" s="276"/>
      <c r="L121" s="273"/>
      <c r="M121" s="273"/>
      <c r="N121" s="277"/>
      <c r="O121" s="275"/>
      <c r="V121" s="274"/>
    </row>
    <row r="122" spans="1:23" x14ac:dyDescent="0.25">
      <c r="A122" s="169" t="s">
        <v>757</v>
      </c>
      <c r="B122" s="169" t="s">
        <v>761</v>
      </c>
      <c r="C122" s="279" t="s">
        <v>718</v>
      </c>
      <c r="D122" s="279" t="s">
        <v>719</v>
      </c>
      <c r="E122" s="279" t="s">
        <v>720</v>
      </c>
      <c r="F122" s="279" t="s">
        <v>721</v>
      </c>
      <c r="G122" s="279" t="s">
        <v>722</v>
      </c>
      <c r="H122" s="279" t="s">
        <v>723</v>
      </c>
      <c r="I122" s="279" t="s">
        <v>724</v>
      </c>
      <c r="J122" s="279" t="s">
        <v>725</v>
      </c>
      <c r="K122" s="279" t="s">
        <v>726</v>
      </c>
      <c r="L122" s="279" t="s">
        <v>727</v>
      </c>
      <c r="M122" s="279" t="s">
        <v>728</v>
      </c>
      <c r="N122" s="279" t="s">
        <v>729</v>
      </c>
      <c r="O122" s="279" t="s">
        <v>747</v>
      </c>
      <c r="P122" s="275"/>
      <c r="V122" s="274"/>
    </row>
    <row r="123" spans="1:23" x14ac:dyDescent="0.25">
      <c r="A123" s="400" t="s">
        <v>708</v>
      </c>
      <c r="B123" s="184" t="s">
        <v>762</v>
      </c>
      <c r="C123" s="213">
        <v>323</v>
      </c>
      <c r="D123" s="259">
        <v>350</v>
      </c>
      <c r="E123" s="259">
        <v>46</v>
      </c>
      <c r="F123" s="259">
        <v>0</v>
      </c>
      <c r="G123" s="259">
        <v>0</v>
      </c>
      <c r="H123" s="259">
        <v>0</v>
      </c>
      <c r="I123" s="259">
        <v>0</v>
      </c>
      <c r="J123" s="259">
        <v>0</v>
      </c>
      <c r="K123" s="259">
        <v>0</v>
      </c>
      <c r="L123" s="259">
        <v>0</v>
      </c>
      <c r="M123" s="259">
        <v>0</v>
      </c>
      <c r="N123" s="259">
        <v>0</v>
      </c>
      <c r="O123" s="284">
        <f>SUM(C123:N123)</f>
        <v>719</v>
      </c>
      <c r="P123" s="275"/>
      <c r="V123" s="274"/>
    </row>
    <row r="124" spans="1:23" x14ac:dyDescent="0.25">
      <c r="A124" s="401"/>
      <c r="B124" s="184" t="s">
        <v>763</v>
      </c>
      <c r="C124" s="213">
        <v>55</v>
      </c>
      <c r="D124" s="259">
        <v>59</v>
      </c>
      <c r="E124" s="259">
        <v>7</v>
      </c>
      <c r="F124" s="259">
        <v>0</v>
      </c>
      <c r="G124" s="259">
        <v>0</v>
      </c>
      <c r="H124" s="259">
        <v>0</v>
      </c>
      <c r="I124" s="259">
        <v>0</v>
      </c>
      <c r="J124" s="259">
        <v>0</v>
      </c>
      <c r="K124" s="259">
        <v>0</v>
      </c>
      <c r="L124" s="259">
        <v>0</v>
      </c>
      <c r="M124" s="259">
        <v>0</v>
      </c>
      <c r="N124" s="259">
        <v>0</v>
      </c>
      <c r="O124" s="284">
        <f>SUM(C124:N124)</f>
        <v>121</v>
      </c>
      <c r="P124" s="275"/>
      <c r="V124" s="274"/>
    </row>
    <row r="125" spans="1:23" x14ac:dyDescent="0.25">
      <c r="A125" s="400" t="s">
        <v>758</v>
      </c>
      <c r="B125" s="184" t="s">
        <v>762</v>
      </c>
      <c r="C125" s="213">
        <v>271</v>
      </c>
      <c r="D125" s="259">
        <v>248</v>
      </c>
      <c r="E125" s="259">
        <v>167</v>
      </c>
      <c r="F125" s="259">
        <v>326</v>
      </c>
      <c r="G125" s="259">
        <v>105</v>
      </c>
      <c r="H125" s="259">
        <v>407</v>
      </c>
      <c r="I125" s="259">
        <v>519</v>
      </c>
      <c r="J125" s="259">
        <v>498</v>
      </c>
      <c r="K125" s="259">
        <v>583</v>
      </c>
      <c r="L125" s="259">
        <v>642</v>
      </c>
      <c r="M125" s="259">
        <v>533</v>
      </c>
      <c r="N125" s="259">
        <v>310</v>
      </c>
      <c r="O125" s="284">
        <f>SUM(C125:N125)</f>
        <v>4609</v>
      </c>
      <c r="P125" s="275"/>
      <c r="V125" s="274"/>
    </row>
    <row r="126" spans="1:23" x14ac:dyDescent="0.25">
      <c r="A126" s="401"/>
      <c r="B126" s="184" t="s">
        <v>763</v>
      </c>
      <c r="C126" s="213">
        <v>45</v>
      </c>
      <c r="D126" s="259">
        <v>17</v>
      </c>
      <c r="E126" s="259">
        <v>14</v>
      </c>
      <c r="F126" s="259">
        <v>40</v>
      </c>
      <c r="G126" s="259">
        <v>59</v>
      </c>
      <c r="H126" s="259">
        <v>73</v>
      </c>
      <c r="I126" s="259">
        <v>77</v>
      </c>
      <c r="J126" s="259">
        <v>44</v>
      </c>
      <c r="K126" s="259">
        <v>32</v>
      </c>
      <c r="L126" s="259">
        <v>49</v>
      </c>
      <c r="M126" s="259">
        <v>66</v>
      </c>
      <c r="N126" s="259">
        <v>56</v>
      </c>
      <c r="O126" s="284">
        <f t="shared" ref="O126" si="9">SUM(C126:N126)</f>
        <v>572</v>
      </c>
      <c r="P126" s="275"/>
      <c r="V126" s="274"/>
    </row>
    <row r="127" spans="1:23" x14ac:dyDescent="0.25">
      <c r="A127" s="400" t="s">
        <v>759</v>
      </c>
      <c r="B127" s="184" t="s">
        <v>762</v>
      </c>
      <c r="C127" s="213">
        <v>43</v>
      </c>
      <c r="D127" s="259">
        <v>160</v>
      </c>
      <c r="E127" s="259">
        <v>198</v>
      </c>
      <c r="F127" s="259">
        <v>125</v>
      </c>
      <c r="G127" s="259">
        <v>266</v>
      </c>
      <c r="H127" s="259">
        <v>235</v>
      </c>
      <c r="I127" s="259">
        <v>56</v>
      </c>
      <c r="J127" s="259">
        <v>46</v>
      </c>
      <c r="K127" s="259">
        <v>101</v>
      </c>
      <c r="L127" s="259">
        <v>184</v>
      </c>
      <c r="M127" s="259">
        <v>130</v>
      </c>
      <c r="N127" s="259">
        <v>140</v>
      </c>
      <c r="O127" s="284">
        <f>SUM(C127:N127)</f>
        <v>1684</v>
      </c>
      <c r="P127" s="275"/>
      <c r="V127" s="274"/>
    </row>
    <row r="128" spans="1:23" x14ac:dyDescent="0.25">
      <c r="A128" s="401"/>
      <c r="B128" s="184" t="s">
        <v>763</v>
      </c>
      <c r="C128" s="213">
        <v>0</v>
      </c>
      <c r="D128" s="259">
        <v>3</v>
      </c>
      <c r="E128" s="259">
        <v>1</v>
      </c>
      <c r="F128" s="259">
        <v>11</v>
      </c>
      <c r="G128" s="259">
        <v>19</v>
      </c>
      <c r="H128" s="259">
        <v>10</v>
      </c>
      <c r="I128" s="259">
        <v>20</v>
      </c>
      <c r="J128" s="259">
        <v>13</v>
      </c>
      <c r="K128" s="259">
        <v>8</v>
      </c>
      <c r="L128" s="259">
        <v>8</v>
      </c>
      <c r="M128" s="259">
        <v>20</v>
      </c>
      <c r="N128" s="259">
        <v>50</v>
      </c>
      <c r="O128" s="284">
        <f t="shared" ref="O128" si="10">SUM(C128:N128)</f>
        <v>163</v>
      </c>
      <c r="P128" s="275"/>
      <c r="V128" s="274"/>
    </row>
    <row r="129" spans="1:22" x14ac:dyDescent="0.25">
      <c r="B129" s="275"/>
      <c r="C129" s="275"/>
      <c r="D129" s="275"/>
      <c r="E129" s="275"/>
      <c r="F129" s="275"/>
      <c r="G129" s="275"/>
      <c r="H129" s="275"/>
      <c r="I129" s="275"/>
      <c r="J129" s="275"/>
      <c r="K129" s="275"/>
      <c r="L129" s="275"/>
      <c r="M129" s="275"/>
      <c r="V129" s="274"/>
    </row>
    <row r="130" spans="1:22" ht="15.75" thickBot="1" x14ac:dyDescent="0.3">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6"/>
    </row>
    <row r="131" spans="1:22" x14ac:dyDescent="0.25">
      <c r="B131" s="287"/>
      <c r="C131" s="287"/>
      <c r="D131" s="287"/>
      <c r="E131" s="287"/>
      <c r="F131" s="287"/>
      <c r="G131" s="287"/>
      <c r="H131" s="287"/>
      <c r="I131" s="287"/>
      <c r="J131" s="287"/>
      <c r="K131" s="287"/>
      <c r="L131" s="287"/>
      <c r="M131" s="287"/>
      <c r="P131" s="287"/>
    </row>
    <row r="132" spans="1:22" x14ac:dyDescent="0.25">
      <c r="A132" s="402"/>
      <c r="B132" s="402"/>
      <c r="C132" s="402"/>
      <c r="D132" s="402"/>
      <c r="E132" s="402"/>
      <c r="F132" s="402"/>
      <c r="G132" s="402"/>
      <c r="H132" s="402"/>
      <c r="I132" s="402"/>
      <c r="J132" s="402"/>
      <c r="K132" s="402"/>
      <c r="L132" s="402"/>
      <c r="M132" s="402"/>
      <c r="N132" s="402"/>
    </row>
    <row r="133" spans="1:22" x14ac:dyDescent="0.25">
      <c r="A133" s="288"/>
      <c r="B133" s="288"/>
      <c r="C133" s="289"/>
      <c r="D133" s="287"/>
      <c r="E133" s="287"/>
      <c r="F133" s="287"/>
      <c r="G133" s="287"/>
      <c r="H133" s="287"/>
      <c r="I133" s="287"/>
      <c r="J133" s="287"/>
      <c r="K133" s="287"/>
      <c r="L133" s="287"/>
      <c r="M133" s="275"/>
      <c r="P133" s="287"/>
    </row>
    <row r="134" spans="1:22" x14ac:dyDescent="0.25">
      <c r="A134" s="290"/>
      <c r="B134" s="290"/>
      <c r="C134" s="290"/>
      <c r="D134" s="287"/>
      <c r="E134" s="287"/>
      <c r="F134" s="287"/>
      <c r="G134" s="287"/>
      <c r="H134" s="275"/>
      <c r="I134" s="275"/>
    </row>
    <row r="135" spans="1:22" x14ac:dyDescent="0.25">
      <c r="A135" s="290"/>
      <c r="B135" s="290"/>
      <c r="C135" s="290"/>
      <c r="D135" s="275"/>
      <c r="E135" s="287"/>
      <c r="F135" s="275"/>
    </row>
    <row r="136" spans="1:22" x14ac:dyDescent="0.25">
      <c r="A136" s="290"/>
      <c r="B136" s="290"/>
      <c r="C136" s="290"/>
    </row>
    <row r="137" spans="1:22" x14ac:dyDescent="0.25">
      <c r="A137" s="290"/>
      <c r="B137" s="290"/>
      <c r="C137" s="290"/>
    </row>
  </sheetData>
  <mergeCells count="45">
    <mergeCell ref="A127:A128"/>
    <mergeCell ref="A132:N132"/>
    <mergeCell ref="A97:V97"/>
    <mergeCell ref="A99:N99"/>
    <mergeCell ref="A104:N104"/>
    <mergeCell ref="A109:N109"/>
    <mergeCell ref="A123:A124"/>
    <mergeCell ref="A125:A126"/>
    <mergeCell ref="A82:N82"/>
    <mergeCell ref="H28:I28"/>
    <mergeCell ref="N28:O28"/>
    <mergeCell ref="H29:I29"/>
    <mergeCell ref="N29:O29"/>
    <mergeCell ref="H30:I30"/>
    <mergeCell ref="N30:O30"/>
    <mergeCell ref="A32:V32"/>
    <mergeCell ref="A35:E35"/>
    <mergeCell ref="A63:V63"/>
    <mergeCell ref="A65:N65"/>
    <mergeCell ref="A80:V80"/>
    <mergeCell ref="A18:F18"/>
    <mergeCell ref="I18:V18"/>
    <mergeCell ref="A25:V25"/>
    <mergeCell ref="A27:E27"/>
    <mergeCell ref="H27:L27"/>
    <mergeCell ref="N27:R27"/>
    <mergeCell ref="M2:P2"/>
    <mergeCell ref="A16:V16"/>
    <mergeCell ref="A4:V4"/>
    <mergeCell ref="A6:V6"/>
    <mergeCell ref="A8:D8"/>
    <mergeCell ref="G8:K8"/>
    <mergeCell ref="M8:Q8"/>
    <mergeCell ref="G9:H9"/>
    <mergeCell ref="M9:N9"/>
    <mergeCell ref="G10:H10"/>
    <mergeCell ref="M10:N10"/>
    <mergeCell ref="F11:G11"/>
    <mergeCell ref="M11:N11"/>
    <mergeCell ref="M12:N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25CB-7BE8-49A6-B557-566D416F7DB6}">
  <dimension ref="A1:W34"/>
  <sheetViews>
    <sheetView showGridLines="0" zoomScale="90" zoomScaleNormal="90" workbookViewId="0">
      <pane xSplit="1" topLeftCell="B1" activePane="topRight" state="frozen"/>
      <selection pane="topRight"/>
    </sheetView>
  </sheetViews>
  <sheetFormatPr defaultColWidth="9.28515625" defaultRowHeight="15.75" x14ac:dyDescent="0.25"/>
  <cols>
    <col min="1" max="1" width="71.28515625" style="74" customWidth="1"/>
    <col min="2" max="16384" width="9.28515625" style="74"/>
  </cols>
  <sheetData>
    <row r="1" spans="1:23" x14ac:dyDescent="0.25">
      <c r="A1" s="291" t="s">
        <v>764</v>
      </c>
    </row>
    <row r="2" spans="1:23" x14ac:dyDescent="0.25">
      <c r="A2" s="291"/>
    </row>
    <row r="3" spans="1:23" x14ac:dyDescent="0.25">
      <c r="A3" s="291"/>
    </row>
    <row r="4" spans="1:23" x14ac:dyDescent="0.25">
      <c r="A4" s="406" t="s">
        <v>765</v>
      </c>
      <c r="B4" s="292">
        <v>2023</v>
      </c>
      <c r="C4" s="293"/>
      <c r="D4" s="293"/>
      <c r="E4" s="293"/>
      <c r="F4" s="293"/>
      <c r="G4" s="293"/>
      <c r="H4" s="293"/>
      <c r="I4" s="293"/>
      <c r="J4" s="293"/>
      <c r="K4" s="293"/>
      <c r="L4" s="293"/>
      <c r="M4" s="293"/>
      <c r="N4" s="293"/>
      <c r="O4" s="293"/>
      <c r="P4" s="293"/>
      <c r="Q4" s="293"/>
      <c r="R4" s="293"/>
      <c r="S4" s="293"/>
      <c r="T4" s="293"/>
      <c r="U4" s="293"/>
      <c r="V4" s="293"/>
      <c r="W4" s="294"/>
    </row>
    <row r="5" spans="1:23" x14ac:dyDescent="0.25">
      <c r="A5" s="406"/>
      <c r="B5" s="404" t="s">
        <v>766</v>
      </c>
      <c r="C5" s="405"/>
      <c r="D5" s="404" t="s">
        <v>767</v>
      </c>
      <c r="E5" s="405"/>
      <c r="F5" s="404" t="s">
        <v>768</v>
      </c>
      <c r="G5" s="405"/>
      <c r="H5" s="404" t="s">
        <v>769</v>
      </c>
      <c r="I5" s="405"/>
      <c r="J5" s="404" t="s">
        <v>725</v>
      </c>
      <c r="K5" s="405"/>
      <c r="L5" s="404" t="s">
        <v>770</v>
      </c>
      <c r="M5" s="405"/>
      <c r="N5" s="404" t="s">
        <v>771</v>
      </c>
      <c r="O5" s="405"/>
      <c r="P5" s="404" t="s">
        <v>772</v>
      </c>
      <c r="Q5" s="405"/>
      <c r="R5" s="404" t="s">
        <v>773</v>
      </c>
      <c r="S5" s="405"/>
      <c r="T5" s="404" t="s">
        <v>774</v>
      </c>
      <c r="U5" s="405"/>
      <c r="V5" s="404" t="s">
        <v>775</v>
      </c>
      <c r="W5" s="405"/>
    </row>
    <row r="6" spans="1:23" x14ac:dyDescent="0.25">
      <c r="A6" s="406"/>
      <c r="B6" s="295" t="s">
        <v>776</v>
      </c>
      <c r="C6" s="295" t="s">
        <v>777</v>
      </c>
      <c r="D6" s="295" t="s">
        <v>776</v>
      </c>
      <c r="E6" s="295" t="s">
        <v>777</v>
      </c>
      <c r="F6" s="295" t="s">
        <v>776</v>
      </c>
      <c r="G6" s="295" t="s">
        <v>777</v>
      </c>
      <c r="H6" s="295" t="s">
        <v>776</v>
      </c>
      <c r="I6" s="295" t="s">
        <v>777</v>
      </c>
      <c r="J6" s="295" t="s">
        <v>776</v>
      </c>
      <c r="K6" s="295" t="s">
        <v>777</v>
      </c>
      <c r="L6" s="295" t="s">
        <v>776</v>
      </c>
      <c r="M6" s="295" t="s">
        <v>777</v>
      </c>
      <c r="N6" s="295" t="s">
        <v>776</v>
      </c>
      <c r="O6" s="295" t="s">
        <v>777</v>
      </c>
      <c r="P6" s="295" t="s">
        <v>776</v>
      </c>
      <c r="Q6" s="295" t="s">
        <v>777</v>
      </c>
      <c r="R6" s="295" t="s">
        <v>776</v>
      </c>
      <c r="S6" s="295" t="s">
        <v>777</v>
      </c>
      <c r="T6" s="295" t="s">
        <v>776</v>
      </c>
      <c r="U6" s="295" t="s">
        <v>777</v>
      </c>
      <c r="V6" s="295" t="s">
        <v>776</v>
      </c>
      <c r="W6" s="295" t="s">
        <v>777</v>
      </c>
    </row>
    <row r="7" spans="1:23" x14ac:dyDescent="0.25">
      <c r="A7" s="296" t="s">
        <v>778</v>
      </c>
      <c r="B7" s="297">
        <v>50.077658426273302</v>
      </c>
      <c r="C7" s="297">
        <v>43.682359565160901</v>
      </c>
      <c r="D7" s="297">
        <v>42.8849597689292</v>
      </c>
      <c r="E7" s="297">
        <v>42.793431428339098</v>
      </c>
      <c r="F7" s="297">
        <v>43.019862114248198</v>
      </c>
      <c r="G7" s="297">
        <v>45.321667390360403</v>
      </c>
      <c r="H7" s="297">
        <v>48.512544145301099</v>
      </c>
      <c r="I7" s="297">
        <v>50.272072432594697</v>
      </c>
      <c r="J7" s="297">
        <v>43.268614947011102</v>
      </c>
      <c r="K7" s="297">
        <v>35.515960701047199</v>
      </c>
      <c r="L7" s="297">
        <v>38.078070847470002</v>
      </c>
      <c r="M7" s="297">
        <v>39.270787586005</v>
      </c>
      <c r="N7" s="297">
        <v>42.1362040288302</v>
      </c>
      <c r="O7" s="297">
        <v>42.786277168932997</v>
      </c>
      <c r="P7" s="297">
        <v>39.808013122535201</v>
      </c>
      <c r="Q7" s="297">
        <v>38.775142406590902</v>
      </c>
      <c r="R7" s="297">
        <v>39.5924269346241</v>
      </c>
      <c r="S7" s="297">
        <v>41.875955231963403</v>
      </c>
      <c r="T7" s="297">
        <v>43.087588964187503</v>
      </c>
      <c r="U7" s="297">
        <v>43.945369116827301</v>
      </c>
      <c r="V7" s="297">
        <v>45.622411223598299</v>
      </c>
      <c r="W7" s="297">
        <v>50.2312910284464</v>
      </c>
    </row>
    <row r="8" spans="1:23" x14ac:dyDescent="0.25">
      <c r="A8" s="296" t="s">
        <v>779</v>
      </c>
      <c r="B8" s="297">
        <v>71.904302019315196</v>
      </c>
      <c r="C8" s="297">
        <v>59.022913256955803</v>
      </c>
      <c r="D8" s="297">
        <v>58.804856115107903</v>
      </c>
      <c r="E8" s="297">
        <v>56.031290074377999</v>
      </c>
      <c r="F8" s="297">
        <v>52.507682593138298</v>
      </c>
      <c r="G8" s="297">
        <v>53.2716579959285</v>
      </c>
      <c r="H8" s="297">
        <v>55.766170368562399</v>
      </c>
      <c r="I8" s="297">
        <v>61.291329479768798</v>
      </c>
      <c r="J8" s="297">
        <v>62.604145077720197</v>
      </c>
      <c r="K8" s="297">
        <v>53.525115473441097</v>
      </c>
      <c r="L8" s="297">
        <v>51.425330341560702</v>
      </c>
      <c r="M8" s="297">
        <v>55.124661912957897</v>
      </c>
      <c r="N8" s="297">
        <v>56.2574047954866</v>
      </c>
      <c r="O8" s="297">
        <v>59.815751093826002</v>
      </c>
      <c r="P8" s="297">
        <v>62.833025586916399</v>
      </c>
      <c r="Q8" s="297">
        <v>64.755285412262197</v>
      </c>
      <c r="R8" s="297">
        <v>68.187044534412905</v>
      </c>
      <c r="S8" s="297">
        <v>68.341557440246703</v>
      </c>
      <c r="T8" s="297">
        <v>70.538791946308706</v>
      </c>
      <c r="U8" s="297">
        <v>86.198023176550805</v>
      </c>
      <c r="V8" s="297">
        <v>108.996485943775</v>
      </c>
      <c r="W8" s="297">
        <v>126.79035250463799</v>
      </c>
    </row>
    <row r="9" spans="1:23" x14ac:dyDescent="0.25">
      <c r="A9" s="298" t="s">
        <v>1</v>
      </c>
      <c r="B9" s="299">
        <v>52.365263400045997</v>
      </c>
      <c r="C9" s="299">
        <v>45.474946450428398</v>
      </c>
      <c r="D9" s="299">
        <v>44.8112146820935</v>
      </c>
      <c r="E9" s="299">
        <v>44.604399845619398</v>
      </c>
      <c r="F9" s="299">
        <v>44.567876644115501</v>
      </c>
      <c r="G9" s="299">
        <v>46.602018141415599</v>
      </c>
      <c r="H9" s="299">
        <v>49.659961389961403</v>
      </c>
      <c r="I9" s="299">
        <v>51.897872158969797</v>
      </c>
      <c r="J9" s="299">
        <v>45.535598574437103</v>
      </c>
      <c r="K9" s="299">
        <v>37.512175610380503</v>
      </c>
      <c r="L9" s="299">
        <v>39.781840748520104</v>
      </c>
      <c r="M9" s="299">
        <v>41.324806473192901</v>
      </c>
      <c r="N9" s="299">
        <v>44.054872400907101</v>
      </c>
      <c r="O9" s="299">
        <v>45.017676848106497</v>
      </c>
      <c r="P9" s="299">
        <v>42.498428060658398</v>
      </c>
      <c r="Q9" s="299">
        <v>41.5954901454514</v>
      </c>
      <c r="R9" s="299">
        <v>42.507194541502699</v>
      </c>
      <c r="S9" s="299">
        <v>44.649465377467699</v>
      </c>
      <c r="T9" s="299">
        <v>45.710068732047603</v>
      </c>
      <c r="U9" s="299">
        <v>46.998423839428597</v>
      </c>
      <c r="V9" s="299">
        <v>48.708237594720103</v>
      </c>
      <c r="W9" s="299">
        <v>53.473976477984102</v>
      </c>
    </row>
    <row r="11" spans="1:23" x14ac:dyDescent="0.25">
      <c r="A11" s="291" t="s">
        <v>780</v>
      </c>
    </row>
    <row r="12" spans="1:23" x14ac:dyDescent="0.25">
      <c r="A12" s="300"/>
    </row>
    <row r="13" spans="1:23" x14ac:dyDescent="0.25">
      <c r="A13" s="300"/>
    </row>
    <row r="14" spans="1:23" x14ac:dyDescent="0.25">
      <c r="A14" s="407" t="s">
        <v>765</v>
      </c>
      <c r="B14" s="292">
        <v>2023</v>
      </c>
      <c r="C14" s="293"/>
      <c r="D14" s="293"/>
      <c r="E14" s="293"/>
      <c r="F14" s="293"/>
      <c r="G14" s="293"/>
      <c r="H14" s="293"/>
      <c r="I14" s="293"/>
      <c r="J14" s="293"/>
      <c r="K14" s="293"/>
      <c r="L14" s="293"/>
      <c r="M14" s="293"/>
      <c r="N14" s="293"/>
      <c r="O14" s="293"/>
      <c r="P14" s="293"/>
      <c r="Q14" s="293"/>
      <c r="R14" s="293"/>
      <c r="S14" s="293"/>
      <c r="T14" s="293"/>
      <c r="U14" s="293"/>
      <c r="V14" s="293"/>
      <c r="W14" s="294"/>
    </row>
    <row r="15" spans="1:23" x14ac:dyDescent="0.25">
      <c r="A15" s="407"/>
      <c r="B15" s="404" t="s">
        <v>766</v>
      </c>
      <c r="C15" s="405"/>
      <c r="D15" s="404" t="s">
        <v>767</v>
      </c>
      <c r="E15" s="405"/>
      <c r="F15" s="404" t="s">
        <v>768</v>
      </c>
      <c r="G15" s="405"/>
      <c r="H15" s="404" t="s">
        <v>769</v>
      </c>
      <c r="I15" s="405"/>
      <c r="J15" s="404" t="s">
        <v>725</v>
      </c>
      <c r="K15" s="405"/>
      <c r="L15" s="404" t="s">
        <v>770</v>
      </c>
      <c r="M15" s="405"/>
      <c r="N15" s="404" t="s">
        <v>771</v>
      </c>
      <c r="O15" s="405"/>
      <c r="P15" s="404" t="s">
        <v>772</v>
      </c>
      <c r="Q15" s="405"/>
      <c r="R15" s="404" t="s">
        <v>773</v>
      </c>
      <c r="S15" s="405"/>
      <c r="T15" s="404" t="s">
        <v>774</v>
      </c>
      <c r="U15" s="405"/>
      <c r="V15" s="404" t="s">
        <v>775</v>
      </c>
      <c r="W15" s="405"/>
    </row>
    <row r="16" spans="1:23" x14ac:dyDescent="0.25">
      <c r="A16" s="407"/>
      <c r="B16" s="295" t="s">
        <v>776</v>
      </c>
      <c r="C16" s="295" t="s">
        <v>777</v>
      </c>
      <c r="D16" s="295" t="s">
        <v>776</v>
      </c>
      <c r="E16" s="295" t="s">
        <v>777</v>
      </c>
      <c r="F16" s="295" t="s">
        <v>776</v>
      </c>
      <c r="G16" s="295" t="s">
        <v>777</v>
      </c>
      <c r="H16" s="295" t="s">
        <v>776</v>
      </c>
      <c r="I16" s="295" t="s">
        <v>777</v>
      </c>
      <c r="J16" s="295" t="s">
        <v>776</v>
      </c>
      <c r="K16" s="295" t="s">
        <v>777</v>
      </c>
      <c r="L16" s="295" t="s">
        <v>776</v>
      </c>
      <c r="M16" s="295" t="s">
        <v>777</v>
      </c>
      <c r="N16" s="295" t="s">
        <v>776</v>
      </c>
      <c r="O16" s="295" t="s">
        <v>777</v>
      </c>
      <c r="P16" s="295" t="s">
        <v>776</v>
      </c>
      <c r="Q16" s="295" t="s">
        <v>777</v>
      </c>
      <c r="R16" s="295" t="s">
        <v>776</v>
      </c>
      <c r="S16" s="295" t="s">
        <v>777</v>
      </c>
      <c r="T16" s="295" t="s">
        <v>776</v>
      </c>
      <c r="U16" s="295" t="s">
        <v>777</v>
      </c>
      <c r="V16" s="295" t="s">
        <v>776</v>
      </c>
      <c r="W16" s="295" t="s">
        <v>777</v>
      </c>
    </row>
    <row r="17" spans="1:23" x14ac:dyDescent="0.25">
      <c r="A17" s="301" t="s">
        <v>778</v>
      </c>
      <c r="B17" s="302"/>
      <c r="C17" s="302"/>
      <c r="D17" s="302"/>
      <c r="E17" s="302"/>
      <c r="F17" s="302"/>
      <c r="G17" s="302"/>
      <c r="H17" s="302"/>
      <c r="I17" s="302"/>
      <c r="J17" s="302"/>
      <c r="K17" s="302"/>
      <c r="L17" s="302"/>
      <c r="M17" s="302"/>
      <c r="N17" s="302"/>
      <c r="O17" s="302"/>
      <c r="P17" s="302"/>
      <c r="Q17" s="302"/>
      <c r="R17" s="302"/>
      <c r="S17" s="302"/>
      <c r="T17" s="302"/>
      <c r="U17" s="302"/>
      <c r="V17" s="302"/>
      <c r="W17" s="302"/>
    </row>
    <row r="18" spans="1:23" x14ac:dyDescent="0.25">
      <c r="A18" s="303" t="s">
        <v>781</v>
      </c>
      <c r="B18" s="303">
        <v>18356</v>
      </c>
      <c r="C18" s="303">
        <v>22026</v>
      </c>
      <c r="D18" s="303">
        <v>23176</v>
      </c>
      <c r="E18" s="303">
        <v>23562</v>
      </c>
      <c r="F18" s="303">
        <v>23326</v>
      </c>
      <c r="G18" s="303">
        <v>21987</v>
      </c>
      <c r="H18" s="303">
        <v>20755</v>
      </c>
      <c r="I18" s="303">
        <v>18911</v>
      </c>
      <c r="J18" s="303">
        <v>20705</v>
      </c>
      <c r="K18" s="303">
        <v>26752</v>
      </c>
      <c r="L18" s="303">
        <v>26400</v>
      </c>
      <c r="M18" s="303">
        <v>26307</v>
      </c>
      <c r="N18" s="303">
        <v>25999</v>
      </c>
      <c r="O18" s="303">
        <v>26225</v>
      </c>
      <c r="P18" s="303">
        <v>27603</v>
      </c>
      <c r="Q18" s="303">
        <v>29998</v>
      </c>
      <c r="R18" s="303">
        <v>31502</v>
      </c>
      <c r="S18" s="303">
        <v>32067</v>
      </c>
      <c r="T18" s="303">
        <v>34065</v>
      </c>
      <c r="U18" s="303">
        <v>36433</v>
      </c>
      <c r="V18" s="303">
        <v>37612</v>
      </c>
      <c r="W18" s="303">
        <v>35225</v>
      </c>
    </row>
    <row r="19" spans="1:23" x14ac:dyDescent="0.25">
      <c r="A19" s="303" t="s">
        <v>782</v>
      </c>
      <c r="B19" s="303">
        <v>801</v>
      </c>
      <c r="C19" s="303">
        <v>769</v>
      </c>
      <c r="D19" s="303">
        <v>773</v>
      </c>
      <c r="E19" s="303">
        <v>766</v>
      </c>
      <c r="F19" s="303">
        <v>782</v>
      </c>
      <c r="G19" s="303">
        <v>794</v>
      </c>
      <c r="H19" s="303">
        <v>791</v>
      </c>
      <c r="I19" s="303">
        <v>820</v>
      </c>
      <c r="J19" s="303">
        <v>822</v>
      </c>
      <c r="K19" s="303">
        <v>779</v>
      </c>
      <c r="L19" s="303">
        <v>753</v>
      </c>
      <c r="M19" s="303">
        <v>757</v>
      </c>
      <c r="N19" s="303">
        <v>795</v>
      </c>
      <c r="O19" s="303">
        <v>803</v>
      </c>
      <c r="P19" s="303">
        <v>804</v>
      </c>
      <c r="Q19" s="303">
        <v>839</v>
      </c>
      <c r="R19" s="303">
        <v>887</v>
      </c>
      <c r="S19" s="303">
        <v>917</v>
      </c>
      <c r="T19" s="303">
        <v>931</v>
      </c>
      <c r="U19" s="303">
        <v>958</v>
      </c>
      <c r="V19" s="303">
        <v>1016</v>
      </c>
      <c r="W19" s="303">
        <v>1051</v>
      </c>
    </row>
    <row r="20" spans="1:23" x14ac:dyDescent="0.25">
      <c r="A20" s="303" t="s">
        <v>783</v>
      </c>
      <c r="B20" s="303">
        <v>227</v>
      </c>
      <c r="C20" s="303">
        <v>219</v>
      </c>
      <c r="D20" s="303">
        <v>217</v>
      </c>
      <c r="E20" s="303">
        <v>207</v>
      </c>
      <c r="F20" s="303">
        <v>198</v>
      </c>
      <c r="G20" s="303">
        <v>189</v>
      </c>
      <c r="H20" s="303">
        <v>200</v>
      </c>
      <c r="I20" s="303">
        <v>204</v>
      </c>
      <c r="J20" s="303">
        <v>213</v>
      </c>
      <c r="K20" s="303">
        <v>202</v>
      </c>
      <c r="L20" s="303">
        <v>202</v>
      </c>
      <c r="M20" s="303">
        <v>209</v>
      </c>
      <c r="N20" s="303">
        <v>207</v>
      </c>
      <c r="O20" s="303">
        <v>200</v>
      </c>
      <c r="P20" s="303">
        <v>191</v>
      </c>
      <c r="Q20" s="303">
        <v>185</v>
      </c>
      <c r="R20" s="303">
        <v>201</v>
      </c>
      <c r="S20" s="303">
        <v>201</v>
      </c>
      <c r="T20" s="303">
        <v>209</v>
      </c>
      <c r="U20" s="303">
        <v>222</v>
      </c>
      <c r="V20" s="303">
        <v>236</v>
      </c>
      <c r="W20" s="303">
        <v>231</v>
      </c>
    </row>
    <row r="21" spans="1:23" ht="16.5" thickBot="1" x14ac:dyDescent="0.3">
      <c r="A21" s="304" t="s">
        <v>784</v>
      </c>
      <c r="B21" s="304">
        <v>73</v>
      </c>
      <c r="C21" s="304">
        <v>75</v>
      </c>
      <c r="D21" s="304">
        <v>69</v>
      </c>
      <c r="E21" s="304">
        <v>67</v>
      </c>
      <c r="F21" s="304">
        <v>62</v>
      </c>
      <c r="G21" s="304">
        <v>60</v>
      </c>
      <c r="H21" s="304">
        <v>57</v>
      </c>
      <c r="I21" s="304">
        <v>56</v>
      </c>
      <c r="J21" s="304">
        <v>57</v>
      </c>
      <c r="K21" s="304">
        <v>54</v>
      </c>
      <c r="L21" s="304">
        <v>56</v>
      </c>
      <c r="M21" s="304">
        <v>51</v>
      </c>
      <c r="N21" s="304">
        <v>54</v>
      </c>
      <c r="O21" s="304">
        <v>55</v>
      </c>
      <c r="P21" s="304">
        <v>55</v>
      </c>
      <c r="Q21" s="304">
        <v>51</v>
      </c>
      <c r="R21" s="304">
        <v>52</v>
      </c>
      <c r="S21" s="304">
        <v>53</v>
      </c>
      <c r="T21" s="304">
        <v>62</v>
      </c>
      <c r="U21" s="304">
        <v>58</v>
      </c>
      <c r="V21" s="304">
        <v>54</v>
      </c>
      <c r="W21" s="304">
        <v>53</v>
      </c>
    </row>
    <row r="22" spans="1:23" x14ac:dyDescent="0.25">
      <c r="A22" s="305" t="s">
        <v>1</v>
      </c>
      <c r="B22" s="305">
        <v>19457</v>
      </c>
      <c r="C22" s="305">
        <v>23089</v>
      </c>
      <c r="D22" s="305">
        <v>24235</v>
      </c>
      <c r="E22" s="305">
        <v>24602</v>
      </c>
      <c r="F22" s="305">
        <v>24368</v>
      </c>
      <c r="G22" s="305">
        <v>23030</v>
      </c>
      <c r="H22" s="305">
        <v>21803</v>
      </c>
      <c r="I22" s="305">
        <v>19991</v>
      </c>
      <c r="J22" s="305">
        <v>21797</v>
      </c>
      <c r="K22" s="305">
        <v>27787</v>
      </c>
      <c r="L22" s="305">
        <v>27411</v>
      </c>
      <c r="M22" s="305">
        <v>27324</v>
      </c>
      <c r="N22" s="305">
        <v>27055</v>
      </c>
      <c r="O22" s="305">
        <v>27283</v>
      </c>
      <c r="P22" s="305">
        <v>28653</v>
      </c>
      <c r="Q22" s="305">
        <v>31073</v>
      </c>
      <c r="R22" s="305">
        <v>32642</v>
      </c>
      <c r="S22" s="305">
        <v>33238</v>
      </c>
      <c r="T22" s="305">
        <v>35267</v>
      </c>
      <c r="U22" s="305">
        <v>37671</v>
      </c>
      <c r="V22" s="305">
        <v>38918</v>
      </c>
      <c r="W22" s="305">
        <v>36560</v>
      </c>
    </row>
    <row r="23" spans="1:23" x14ac:dyDescent="0.25">
      <c r="A23" s="301" t="s">
        <v>779</v>
      </c>
      <c r="B23" s="302"/>
      <c r="C23" s="302"/>
      <c r="D23" s="302"/>
      <c r="E23" s="302"/>
      <c r="F23" s="302"/>
      <c r="G23" s="302"/>
      <c r="H23" s="302"/>
      <c r="I23" s="302"/>
      <c r="J23" s="302"/>
      <c r="K23" s="302"/>
      <c r="L23" s="302"/>
      <c r="M23" s="302"/>
      <c r="N23" s="302"/>
      <c r="O23" s="302"/>
      <c r="P23" s="302"/>
      <c r="Q23" s="302"/>
      <c r="R23" s="302"/>
      <c r="S23" s="302"/>
      <c r="T23" s="302"/>
      <c r="U23" s="302"/>
      <c r="V23" s="302"/>
      <c r="W23" s="302"/>
    </row>
    <row r="24" spans="1:23" x14ac:dyDescent="0.25">
      <c r="A24" s="303" t="s">
        <v>781</v>
      </c>
      <c r="B24" s="303">
        <v>2089</v>
      </c>
      <c r="C24" s="303">
        <v>2861</v>
      </c>
      <c r="D24" s="303">
        <v>3122</v>
      </c>
      <c r="E24" s="303">
        <v>3678</v>
      </c>
      <c r="F24" s="303">
        <v>4536</v>
      </c>
      <c r="G24" s="303">
        <v>4211</v>
      </c>
      <c r="H24" s="303">
        <v>3888</v>
      </c>
      <c r="I24" s="303">
        <v>3252</v>
      </c>
      <c r="J24" s="303">
        <v>2737</v>
      </c>
      <c r="K24" s="303">
        <v>3312</v>
      </c>
      <c r="L24" s="303">
        <v>3855</v>
      </c>
      <c r="M24" s="303">
        <v>3889</v>
      </c>
      <c r="N24" s="303">
        <v>4048</v>
      </c>
      <c r="O24" s="303">
        <v>3905</v>
      </c>
      <c r="P24" s="303">
        <v>3590</v>
      </c>
      <c r="Q24" s="303">
        <v>3576</v>
      </c>
      <c r="R24" s="303">
        <v>3476</v>
      </c>
      <c r="S24" s="303">
        <v>3669</v>
      </c>
      <c r="T24" s="303">
        <v>3492</v>
      </c>
      <c r="U24" s="303">
        <v>2691</v>
      </c>
      <c r="V24" s="303">
        <v>1748</v>
      </c>
      <c r="W24" s="303">
        <v>1371</v>
      </c>
    </row>
    <row r="25" spans="1:23" x14ac:dyDescent="0.25">
      <c r="A25" s="303" t="s">
        <v>782</v>
      </c>
      <c r="B25" s="303">
        <v>153</v>
      </c>
      <c r="C25" s="303">
        <v>157</v>
      </c>
      <c r="D25" s="303">
        <v>175</v>
      </c>
      <c r="E25" s="303">
        <v>183</v>
      </c>
      <c r="F25" s="303">
        <v>180</v>
      </c>
      <c r="G25" s="303">
        <v>172</v>
      </c>
      <c r="H25" s="303">
        <v>166</v>
      </c>
      <c r="I25" s="303">
        <v>164</v>
      </c>
      <c r="J25" s="303">
        <v>118</v>
      </c>
      <c r="K25" s="303">
        <v>115</v>
      </c>
      <c r="L25" s="303">
        <v>117</v>
      </c>
      <c r="M25" s="303">
        <v>136</v>
      </c>
      <c r="N25" s="303">
        <v>165</v>
      </c>
      <c r="O25" s="303">
        <v>170</v>
      </c>
      <c r="P25" s="303">
        <v>162</v>
      </c>
      <c r="Q25" s="303">
        <v>166</v>
      </c>
      <c r="R25" s="303">
        <v>189</v>
      </c>
      <c r="S25" s="303">
        <v>177</v>
      </c>
      <c r="T25" s="303">
        <v>192</v>
      </c>
      <c r="U25" s="303">
        <v>206</v>
      </c>
      <c r="V25" s="303">
        <v>209</v>
      </c>
      <c r="W25" s="303">
        <v>209</v>
      </c>
    </row>
    <row r="26" spans="1:23" x14ac:dyDescent="0.25">
      <c r="A26" s="303" t="s">
        <v>783</v>
      </c>
      <c r="B26" s="303">
        <v>30</v>
      </c>
      <c r="C26" s="303">
        <v>31</v>
      </c>
      <c r="D26" s="303">
        <v>33</v>
      </c>
      <c r="E26" s="303">
        <v>32</v>
      </c>
      <c r="F26" s="303">
        <v>29</v>
      </c>
      <c r="G26" s="303">
        <v>32</v>
      </c>
      <c r="H26" s="303">
        <v>38</v>
      </c>
      <c r="I26" s="303">
        <v>39</v>
      </c>
      <c r="J26" s="303">
        <v>35</v>
      </c>
      <c r="K26" s="303">
        <v>32</v>
      </c>
      <c r="L26" s="303">
        <v>34</v>
      </c>
      <c r="M26" s="303">
        <v>37</v>
      </c>
      <c r="N26" s="303">
        <v>35</v>
      </c>
      <c r="O26" s="303">
        <v>32</v>
      </c>
      <c r="P26" s="303">
        <v>32</v>
      </c>
      <c r="Q26" s="303">
        <v>35</v>
      </c>
      <c r="R26" s="303">
        <v>34</v>
      </c>
      <c r="S26" s="303">
        <v>37</v>
      </c>
      <c r="T26" s="303">
        <v>39</v>
      </c>
      <c r="U26" s="303">
        <v>35</v>
      </c>
      <c r="V26" s="303">
        <v>34</v>
      </c>
      <c r="W26" s="303">
        <v>36</v>
      </c>
    </row>
    <row r="27" spans="1:23" ht="16.5" thickBot="1" x14ac:dyDescent="0.3">
      <c r="A27" s="304" t="s">
        <v>784</v>
      </c>
      <c r="B27" s="304">
        <v>6</v>
      </c>
      <c r="C27" s="304">
        <v>6</v>
      </c>
      <c r="D27" s="304">
        <v>6</v>
      </c>
      <c r="E27" s="304">
        <v>6</v>
      </c>
      <c r="F27" s="304">
        <v>6</v>
      </c>
      <c r="G27" s="304">
        <v>6</v>
      </c>
      <c r="H27" s="304">
        <v>5</v>
      </c>
      <c r="I27" s="304">
        <v>5</v>
      </c>
      <c r="J27" s="304">
        <v>5</v>
      </c>
      <c r="K27" s="304">
        <v>5</v>
      </c>
      <c r="L27" s="304">
        <v>5</v>
      </c>
      <c r="M27" s="304">
        <v>5</v>
      </c>
      <c r="N27" s="304">
        <v>6</v>
      </c>
      <c r="O27" s="304">
        <v>7</v>
      </c>
      <c r="P27" s="304">
        <v>7</v>
      </c>
      <c r="Q27" s="304">
        <v>7</v>
      </c>
      <c r="R27" s="304">
        <v>6</v>
      </c>
      <c r="S27" s="304">
        <v>8</v>
      </c>
      <c r="T27" s="304">
        <v>2</v>
      </c>
      <c r="U27" s="304">
        <v>2</v>
      </c>
      <c r="V27" s="304">
        <v>1</v>
      </c>
      <c r="W27" s="304">
        <v>1</v>
      </c>
    </row>
    <row r="28" spans="1:23" x14ac:dyDescent="0.25">
      <c r="A28" s="305" t="s">
        <v>1</v>
      </c>
      <c r="B28" s="305">
        <v>2278</v>
      </c>
      <c r="C28" s="305">
        <v>3055</v>
      </c>
      <c r="D28" s="305">
        <v>3336</v>
      </c>
      <c r="E28" s="305">
        <v>3899</v>
      </c>
      <c r="F28" s="305">
        <v>4751</v>
      </c>
      <c r="G28" s="305">
        <v>4421</v>
      </c>
      <c r="H28" s="305">
        <v>4097</v>
      </c>
      <c r="I28" s="305">
        <v>3460</v>
      </c>
      <c r="J28" s="305">
        <v>2895</v>
      </c>
      <c r="K28" s="305">
        <v>3464</v>
      </c>
      <c r="L28" s="305">
        <v>4011</v>
      </c>
      <c r="M28" s="305">
        <v>4067</v>
      </c>
      <c r="N28" s="305">
        <v>4254</v>
      </c>
      <c r="O28" s="305">
        <v>4114</v>
      </c>
      <c r="P28" s="305">
        <v>3791</v>
      </c>
      <c r="Q28" s="305">
        <v>3784</v>
      </c>
      <c r="R28" s="305">
        <v>3705</v>
      </c>
      <c r="S28" s="305">
        <v>3891</v>
      </c>
      <c r="T28" s="305">
        <v>3725</v>
      </c>
      <c r="U28" s="305">
        <v>2934</v>
      </c>
      <c r="V28" s="305">
        <v>1992</v>
      </c>
      <c r="W28" s="305">
        <v>1617</v>
      </c>
    </row>
    <row r="29" spans="1:23" x14ac:dyDescent="0.25">
      <c r="A29" s="301" t="s">
        <v>1</v>
      </c>
      <c r="B29" s="302"/>
      <c r="C29" s="302"/>
      <c r="D29" s="302"/>
      <c r="E29" s="302"/>
      <c r="F29" s="302"/>
      <c r="G29" s="302"/>
      <c r="H29" s="302"/>
      <c r="I29" s="302"/>
      <c r="J29" s="302"/>
      <c r="K29" s="302"/>
      <c r="L29" s="302"/>
      <c r="M29" s="302"/>
      <c r="N29" s="302"/>
      <c r="O29" s="302"/>
      <c r="P29" s="302"/>
      <c r="Q29" s="302"/>
      <c r="R29" s="302"/>
      <c r="S29" s="302"/>
      <c r="T29" s="302"/>
      <c r="U29" s="302"/>
      <c r="V29" s="302"/>
      <c r="W29" s="302"/>
    </row>
    <row r="30" spans="1:23" x14ac:dyDescent="0.25">
      <c r="A30" s="303" t="s">
        <v>781</v>
      </c>
      <c r="B30" s="303">
        <f t="shared" ref="B30:W33" si="0">SUM(B18,B24)</f>
        <v>20445</v>
      </c>
      <c r="C30" s="303">
        <f t="shared" si="0"/>
        <v>24887</v>
      </c>
      <c r="D30" s="303">
        <f t="shared" si="0"/>
        <v>26298</v>
      </c>
      <c r="E30" s="303">
        <f t="shared" si="0"/>
        <v>27240</v>
      </c>
      <c r="F30" s="303">
        <f t="shared" si="0"/>
        <v>27862</v>
      </c>
      <c r="G30" s="303">
        <f t="shared" si="0"/>
        <v>26198</v>
      </c>
      <c r="H30" s="303">
        <f t="shared" si="0"/>
        <v>24643</v>
      </c>
      <c r="I30" s="303">
        <f t="shared" si="0"/>
        <v>22163</v>
      </c>
      <c r="J30" s="303">
        <f t="shared" si="0"/>
        <v>23442</v>
      </c>
      <c r="K30" s="303">
        <f t="shared" si="0"/>
        <v>30064</v>
      </c>
      <c r="L30" s="303">
        <f t="shared" si="0"/>
        <v>30255</v>
      </c>
      <c r="M30" s="303">
        <f t="shared" si="0"/>
        <v>30196</v>
      </c>
      <c r="N30" s="303">
        <f t="shared" si="0"/>
        <v>30047</v>
      </c>
      <c r="O30" s="303">
        <f t="shared" si="0"/>
        <v>30130</v>
      </c>
      <c r="P30" s="303">
        <f t="shared" si="0"/>
        <v>31193</v>
      </c>
      <c r="Q30" s="303">
        <f t="shared" si="0"/>
        <v>33574</v>
      </c>
      <c r="R30" s="303">
        <f t="shared" si="0"/>
        <v>34978</v>
      </c>
      <c r="S30" s="303">
        <f t="shared" si="0"/>
        <v>35736</v>
      </c>
      <c r="T30" s="303">
        <f t="shared" si="0"/>
        <v>37557</v>
      </c>
      <c r="U30" s="303">
        <f t="shared" si="0"/>
        <v>39124</v>
      </c>
      <c r="V30" s="303">
        <f t="shared" si="0"/>
        <v>39360</v>
      </c>
      <c r="W30" s="303">
        <f t="shared" si="0"/>
        <v>36596</v>
      </c>
    </row>
    <row r="31" spans="1:23" x14ac:dyDescent="0.25">
      <c r="A31" s="303" t="s">
        <v>782</v>
      </c>
      <c r="B31" s="303">
        <f t="shared" si="0"/>
        <v>954</v>
      </c>
      <c r="C31" s="303">
        <f t="shared" si="0"/>
        <v>926</v>
      </c>
      <c r="D31" s="303">
        <f t="shared" si="0"/>
        <v>948</v>
      </c>
      <c r="E31" s="303">
        <f t="shared" si="0"/>
        <v>949</v>
      </c>
      <c r="F31" s="303">
        <f t="shared" si="0"/>
        <v>962</v>
      </c>
      <c r="G31" s="303">
        <f t="shared" si="0"/>
        <v>966</v>
      </c>
      <c r="H31" s="303">
        <f t="shared" si="0"/>
        <v>957</v>
      </c>
      <c r="I31" s="303">
        <f t="shared" si="0"/>
        <v>984</v>
      </c>
      <c r="J31" s="303">
        <f t="shared" si="0"/>
        <v>940</v>
      </c>
      <c r="K31" s="303">
        <f t="shared" si="0"/>
        <v>894</v>
      </c>
      <c r="L31" s="303">
        <f t="shared" si="0"/>
        <v>870</v>
      </c>
      <c r="M31" s="303">
        <f t="shared" si="0"/>
        <v>893</v>
      </c>
      <c r="N31" s="303">
        <f t="shared" si="0"/>
        <v>960</v>
      </c>
      <c r="O31" s="303">
        <f t="shared" si="0"/>
        <v>973</v>
      </c>
      <c r="P31" s="303">
        <f t="shared" si="0"/>
        <v>966</v>
      </c>
      <c r="Q31" s="303">
        <f t="shared" si="0"/>
        <v>1005</v>
      </c>
      <c r="R31" s="303">
        <f t="shared" si="0"/>
        <v>1076</v>
      </c>
      <c r="S31" s="303">
        <f t="shared" si="0"/>
        <v>1094</v>
      </c>
      <c r="T31" s="303">
        <f t="shared" si="0"/>
        <v>1123</v>
      </c>
      <c r="U31" s="303">
        <f t="shared" si="0"/>
        <v>1164</v>
      </c>
      <c r="V31" s="303">
        <f t="shared" si="0"/>
        <v>1225</v>
      </c>
      <c r="W31" s="303">
        <f t="shared" si="0"/>
        <v>1260</v>
      </c>
    </row>
    <row r="32" spans="1:23" x14ac:dyDescent="0.25">
      <c r="A32" s="303" t="s">
        <v>783</v>
      </c>
      <c r="B32" s="303">
        <f t="shared" si="0"/>
        <v>257</v>
      </c>
      <c r="C32" s="303">
        <f t="shared" si="0"/>
        <v>250</v>
      </c>
      <c r="D32" s="303">
        <f t="shared" si="0"/>
        <v>250</v>
      </c>
      <c r="E32" s="303">
        <f t="shared" si="0"/>
        <v>239</v>
      </c>
      <c r="F32" s="303">
        <f t="shared" si="0"/>
        <v>227</v>
      </c>
      <c r="G32" s="303">
        <f t="shared" si="0"/>
        <v>221</v>
      </c>
      <c r="H32" s="303">
        <f t="shared" si="0"/>
        <v>238</v>
      </c>
      <c r="I32" s="303">
        <f t="shared" si="0"/>
        <v>243</v>
      </c>
      <c r="J32" s="303">
        <f t="shared" si="0"/>
        <v>248</v>
      </c>
      <c r="K32" s="303">
        <f t="shared" si="0"/>
        <v>234</v>
      </c>
      <c r="L32" s="303">
        <f t="shared" si="0"/>
        <v>236</v>
      </c>
      <c r="M32" s="303">
        <f t="shared" si="0"/>
        <v>246</v>
      </c>
      <c r="N32" s="303">
        <f t="shared" si="0"/>
        <v>242</v>
      </c>
      <c r="O32" s="303">
        <f t="shared" si="0"/>
        <v>232</v>
      </c>
      <c r="P32" s="303">
        <f t="shared" si="0"/>
        <v>223</v>
      </c>
      <c r="Q32" s="303">
        <f t="shared" si="0"/>
        <v>220</v>
      </c>
      <c r="R32" s="303">
        <f t="shared" si="0"/>
        <v>235</v>
      </c>
      <c r="S32" s="303">
        <f t="shared" si="0"/>
        <v>238</v>
      </c>
      <c r="T32" s="303">
        <f t="shared" si="0"/>
        <v>248</v>
      </c>
      <c r="U32" s="303">
        <f t="shared" si="0"/>
        <v>257</v>
      </c>
      <c r="V32" s="303">
        <f t="shared" si="0"/>
        <v>270</v>
      </c>
      <c r="W32" s="303">
        <f t="shared" si="0"/>
        <v>267</v>
      </c>
    </row>
    <row r="33" spans="1:23" ht="16.5" thickBot="1" x14ac:dyDescent="0.3">
      <c r="A33" s="304" t="s">
        <v>784</v>
      </c>
      <c r="B33" s="303">
        <f t="shared" si="0"/>
        <v>79</v>
      </c>
      <c r="C33" s="303">
        <f t="shared" si="0"/>
        <v>81</v>
      </c>
      <c r="D33" s="303">
        <f t="shared" si="0"/>
        <v>75</v>
      </c>
      <c r="E33" s="303">
        <f t="shared" si="0"/>
        <v>73</v>
      </c>
      <c r="F33" s="303">
        <f t="shared" si="0"/>
        <v>68</v>
      </c>
      <c r="G33" s="303">
        <f t="shared" si="0"/>
        <v>66</v>
      </c>
      <c r="H33" s="303">
        <f t="shared" si="0"/>
        <v>62</v>
      </c>
      <c r="I33" s="303">
        <f t="shared" si="0"/>
        <v>61</v>
      </c>
      <c r="J33" s="303">
        <f t="shared" si="0"/>
        <v>62</v>
      </c>
      <c r="K33" s="303">
        <f t="shared" si="0"/>
        <v>59</v>
      </c>
      <c r="L33" s="303">
        <f t="shared" si="0"/>
        <v>61</v>
      </c>
      <c r="M33" s="303">
        <f t="shared" si="0"/>
        <v>56</v>
      </c>
      <c r="N33" s="303">
        <f t="shared" si="0"/>
        <v>60</v>
      </c>
      <c r="O33" s="303">
        <f t="shared" si="0"/>
        <v>62</v>
      </c>
      <c r="P33" s="303">
        <f t="shared" si="0"/>
        <v>62</v>
      </c>
      <c r="Q33" s="303">
        <f t="shared" si="0"/>
        <v>58</v>
      </c>
      <c r="R33" s="303">
        <f t="shared" si="0"/>
        <v>58</v>
      </c>
      <c r="S33" s="303">
        <f t="shared" si="0"/>
        <v>61</v>
      </c>
      <c r="T33" s="303">
        <f t="shared" si="0"/>
        <v>64</v>
      </c>
      <c r="U33" s="303">
        <f t="shared" si="0"/>
        <v>60</v>
      </c>
      <c r="V33" s="303">
        <f t="shared" si="0"/>
        <v>55</v>
      </c>
      <c r="W33" s="303">
        <f t="shared" si="0"/>
        <v>54</v>
      </c>
    </row>
    <row r="34" spans="1:23" x14ac:dyDescent="0.25">
      <c r="A34" s="305" t="s">
        <v>1</v>
      </c>
      <c r="B34" s="305">
        <f t="shared" ref="B34:C34" si="1">SUM(B30:B33)</f>
        <v>21735</v>
      </c>
      <c r="C34" s="305">
        <f t="shared" si="1"/>
        <v>26144</v>
      </c>
      <c r="D34" s="305">
        <f t="shared" ref="D34:W34" si="2">SUM(D30:D33)</f>
        <v>27571</v>
      </c>
      <c r="E34" s="305">
        <f t="shared" si="2"/>
        <v>28501</v>
      </c>
      <c r="F34" s="305">
        <f t="shared" si="2"/>
        <v>29119</v>
      </c>
      <c r="G34" s="305">
        <f t="shared" si="2"/>
        <v>27451</v>
      </c>
      <c r="H34" s="305">
        <f t="shared" si="2"/>
        <v>25900</v>
      </c>
      <c r="I34" s="305">
        <f t="shared" si="2"/>
        <v>23451</v>
      </c>
      <c r="J34" s="305">
        <f t="shared" si="2"/>
        <v>24692</v>
      </c>
      <c r="K34" s="305">
        <f t="shared" si="2"/>
        <v>31251</v>
      </c>
      <c r="L34" s="305">
        <f t="shared" si="2"/>
        <v>31422</v>
      </c>
      <c r="M34" s="305">
        <f t="shared" si="2"/>
        <v>31391</v>
      </c>
      <c r="N34" s="305">
        <f t="shared" si="2"/>
        <v>31309</v>
      </c>
      <c r="O34" s="305">
        <f t="shared" si="2"/>
        <v>31397</v>
      </c>
      <c r="P34" s="305">
        <f t="shared" si="2"/>
        <v>32444</v>
      </c>
      <c r="Q34" s="305">
        <f t="shared" si="2"/>
        <v>34857</v>
      </c>
      <c r="R34" s="305">
        <f t="shared" si="2"/>
        <v>36347</v>
      </c>
      <c r="S34" s="305">
        <f t="shared" si="2"/>
        <v>37129</v>
      </c>
      <c r="T34" s="305">
        <f t="shared" si="2"/>
        <v>38992</v>
      </c>
      <c r="U34" s="305">
        <f t="shared" si="2"/>
        <v>40605</v>
      </c>
      <c r="V34" s="305">
        <f t="shared" si="2"/>
        <v>40910</v>
      </c>
      <c r="W34" s="305">
        <f t="shared" si="2"/>
        <v>38177</v>
      </c>
    </row>
  </sheetData>
  <mergeCells count="24">
    <mergeCell ref="V15:W15"/>
    <mergeCell ref="A14:A16"/>
    <mergeCell ref="B15:C15"/>
    <mergeCell ref="D15:E15"/>
    <mergeCell ref="F15:G15"/>
    <mergeCell ref="H15:I15"/>
    <mergeCell ref="J15:K15"/>
    <mergeCell ref="L15:M15"/>
    <mergeCell ref="N15:O15"/>
    <mergeCell ref="P15:Q15"/>
    <mergeCell ref="R15:S15"/>
    <mergeCell ref="T15:U1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ECE2-4E1F-4455-98E6-DF6981A7868D}">
  <dimension ref="A1:N8"/>
  <sheetViews>
    <sheetView showGridLines="0" zoomScale="80" zoomScaleNormal="80" workbookViewId="0">
      <selection activeCell="L4" sqref="L4:N4"/>
    </sheetView>
  </sheetViews>
  <sheetFormatPr defaultColWidth="8.7109375" defaultRowHeight="15.75" x14ac:dyDescent="0.25"/>
  <cols>
    <col min="1" max="1" width="37.42578125" style="74" customWidth="1"/>
    <col min="2" max="2" width="12.28515625" style="74" customWidth="1"/>
    <col min="3" max="3" width="10.7109375" style="74" bestFit="1" customWidth="1"/>
    <col min="4" max="4" width="10.7109375" style="74" customWidth="1"/>
    <col min="5" max="5" width="12.7109375" style="74" customWidth="1"/>
    <col min="6" max="6" width="10.7109375" style="74" bestFit="1" customWidth="1"/>
    <col min="7" max="8" width="11.42578125" style="74" customWidth="1"/>
    <col min="9" max="9" width="10.28515625" style="74" bestFit="1" customWidth="1"/>
    <col min="10" max="10" width="11" style="74" bestFit="1" customWidth="1"/>
    <col min="11" max="11" width="13.7109375" style="74" customWidth="1"/>
    <col min="12" max="12" width="15.28515625" style="74" customWidth="1"/>
    <col min="13" max="13" width="13.5703125" style="74" customWidth="1"/>
    <col min="14" max="14" width="12.28515625" style="74" customWidth="1"/>
    <col min="15" max="16384" width="8.7109375" style="74"/>
  </cols>
  <sheetData>
    <row r="1" spans="1:14" x14ac:dyDescent="0.25">
      <c r="A1" s="291" t="s">
        <v>785</v>
      </c>
    </row>
    <row r="2" spans="1:14" ht="16.5" thickBot="1" x14ac:dyDescent="0.3"/>
    <row r="3" spans="1:14" x14ac:dyDescent="0.25">
      <c r="A3" s="306"/>
      <c r="B3" s="307">
        <v>44896</v>
      </c>
      <c r="C3" s="307">
        <v>44927</v>
      </c>
      <c r="D3" s="307">
        <v>44958</v>
      </c>
      <c r="E3" s="307">
        <v>44986</v>
      </c>
      <c r="F3" s="307">
        <v>45017</v>
      </c>
      <c r="G3" s="307">
        <v>45047</v>
      </c>
      <c r="H3" s="307">
        <v>45078</v>
      </c>
      <c r="I3" s="307">
        <v>45108</v>
      </c>
      <c r="J3" s="307">
        <v>45139</v>
      </c>
      <c r="K3" s="308">
        <v>45170</v>
      </c>
      <c r="L3" s="309">
        <v>45200</v>
      </c>
      <c r="M3" s="310">
        <v>45231</v>
      </c>
      <c r="N3" s="311">
        <v>45261</v>
      </c>
    </row>
    <row r="4" spans="1:14" x14ac:dyDescent="0.25">
      <c r="A4" s="312" t="s">
        <v>786</v>
      </c>
      <c r="B4" s="313">
        <v>20292</v>
      </c>
      <c r="C4" s="313">
        <v>10892</v>
      </c>
      <c r="D4" s="313">
        <v>10111</v>
      </c>
      <c r="E4" s="313">
        <v>14255</v>
      </c>
      <c r="F4" s="313">
        <v>12671</v>
      </c>
      <c r="G4" s="313">
        <v>12442</v>
      </c>
      <c r="H4" s="313">
        <v>11090</v>
      </c>
      <c r="I4" s="313">
        <v>11255</v>
      </c>
      <c r="J4" s="313">
        <v>12344</v>
      </c>
      <c r="K4" s="314">
        <v>10474</v>
      </c>
      <c r="L4" s="315">
        <v>10028</v>
      </c>
      <c r="M4" s="314">
        <v>9983</v>
      </c>
      <c r="N4" s="316">
        <v>867</v>
      </c>
    </row>
    <row r="5" spans="1:14" x14ac:dyDescent="0.25">
      <c r="A5" s="312" t="s">
        <v>787</v>
      </c>
      <c r="B5" s="313">
        <v>1931</v>
      </c>
      <c r="C5" s="313">
        <v>906</v>
      </c>
      <c r="D5" s="313">
        <v>1065</v>
      </c>
      <c r="E5" s="313">
        <v>2030</v>
      </c>
      <c r="F5" s="313">
        <v>1006</v>
      </c>
      <c r="G5" s="313">
        <v>1253</v>
      </c>
      <c r="H5" s="313">
        <v>981</v>
      </c>
      <c r="I5" s="313">
        <v>1114</v>
      </c>
      <c r="J5" s="313">
        <v>1449</v>
      </c>
      <c r="K5" s="314">
        <v>1202</v>
      </c>
      <c r="L5" s="315">
        <v>1157</v>
      </c>
      <c r="M5" s="314">
        <v>1127</v>
      </c>
      <c r="N5" s="316">
        <v>112</v>
      </c>
    </row>
    <row r="6" spans="1:14" x14ac:dyDescent="0.25">
      <c r="A6" s="312" t="s">
        <v>788</v>
      </c>
      <c r="B6" s="317">
        <f t="shared" ref="B6:N6" si="0">IF(ISERROR(B5/B4),0,B5/B4)</f>
        <v>9.5160654445101522E-2</v>
      </c>
      <c r="C6" s="317">
        <f t="shared" si="0"/>
        <v>8.3180315828130735E-2</v>
      </c>
      <c r="D6" s="317">
        <f t="shared" si="0"/>
        <v>0.10533082781129463</v>
      </c>
      <c r="E6" s="317">
        <f t="shared" si="0"/>
        <v>0.14240617327253596</v>
      </c>
      <c r="F6" s="317">
        <f t="shared" si="0"/>
        <v>7.9393891563412519E-2</v>
      </c>
      <c r="G6" s="317">
        <f t="shared" si="0"/>
        <v>0.10070728178749397</v>
      </c>
      <c r="H6" s="317">
        <f t="shared" si="0"/>
        <v>8.8458070333633898E-2</v>
      </c>
      <c r="I6" s="317">
        <f t="shared" si="0"/>
        <v>9.8978231896934693E-2</v>
      </c>
      <c r="J6" s="317">
        <f t="shared" si="0"/>
        <v>0.1173849643551523</v>
      </c>
      <c r="K6" s="318">
        <f t="shared" si="0"/>
        <v>0.11476035898415123</v>
      </c>
      <c r="L6" s="319">
        <f t="shared" si="0"/>
        <v>0.11537694455524532</v>
      </c>
      <c r="M6" s="318">
        <f t="shared" si="0"/>
        <v>0.11289191625763799</v>
      </c>
      <c r="N6" s="320">
        <f t="shared" si="0"/>
        <v>0.12918108419838523</v>
      </c>
    </row>
    <row r="7" spans="1:14" x14ac:dyDescent="0.25">
      <c r="A7" s="312" t="s">
        <v>789</v>
      </c>
      <c r="B7" s="313">
        <v>5888.9180672268903</v>
      </c>
      <c r="C7" s="313">
        <v>5333.5129310344801</v>
      </c>
      <c r="D7" s="321">
        <v>5433.9796860572496</v>
      </c>
      <c r="E7" s="321">
        <v>4149.3917274939204</v>
      </c>
      <c r="F7" s="321">
        <v>6354.3983822042501</v>
      </c>
      <c r="G7" s="321">
        <v>6341.3197172034597</v>
      </c>
      <c r="H7" s="321">
        <v>6937.8159757330604</v>
      </c>
      <c r="I7" s="321">
        <v>7134.4493392070499</v>
      </c>
      <c r="J7" s="321">
        <v>6818.7070151306698</v>
      </c>
      <c r="K7" s="322">
        <v>6917.0357751277697</v>
      </c>
      <c r="L7" s="323">
        <v>6560.61643835616</v>
      </c>
      <c r="M7" s="322">
        <v>6345.3654188948303</v>
      </c>
      <c r="N7" s="324">
        <v>7119.6581196581201</v>
      </c>
    </row>
    <row r="8" spans="1:14" ht="16.5" thickBot="1" x14ac:dyDescent="0.3">
      <c r="A8" s="325" t="s">
        <v>790</v>
      </c>
      <c r="B8" s="326">
        <v>48.109787674779902</v>
      </c>
      <c r="C8" s="326">
        <v>56.816777041942601</v>
      </c>
      <c r="D8" s="326">
        <v>56.765258215962398</v>
      </c>
      <c r="E8" s="326">
        <v>34.560591133004898</v>
      </c>
      <c r="F8" s="326">
        <v>46.7455268389662</v>
      </c>
      <c r="G8" s="326">
        <v>44.136472466081401</v>
      </c>
      <c r="H8" s="326">
        <v>48.154943934760396</v>
      </c>
      <c r="I8" s="326">
        <v>48.971274685816901</v>
      </c>
      <c r="J8" s="326">
        <v>47.870255348516203</v>
      </c>
      <c r="K8" s="327">
        <v>48.706322795341102</v>
      </c>
      <c r="L8" s="328">
        <v>57.577355229040599</v>
      </c>
      <c r="M8" s="327">
        <v>61.862466725820802</v>
      </c>
      <c r="N8" s="329">
        <v>72.642857142857096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DA03-A2D3-4B30-B923-001034483854}">
  <dimension ref="A1:L139"/>
  <sheetViews>
    <sheetView showGridLines="0" topLeftCell="A122" zoomScale="80" zoomScaleNormal="80" workbookViewId="0">
      <selection activeCell="I93" sqref="I93"/>
    </sheetView>
  </sheetViews>
  <sheetFormatPr defaultRowHeight="15" x14ac:dyDescent="0.25"/>
  <cols>
    <col min="1" max="1" width="35.7109375" customWidth="1"/>
    <col min="2" max="2" width="11.28515625" customWidth="1"/>
    <col min="3" max="3" width="10.7109375" customWidth="1"/>
  </cols>
  <sheetData>
    <row r="1" spans="1:12" ht="98.65" customHeight="1" x14ac:dyDescent="0.3">
      <c r="A1" s="408" t="s">
        <v>791</v>
      </c>
      <c r="B1" s="409"/>
      <c r="C1" s="409"/>
      <c r="D1" s="409"/>
      <c r="E1" s="409"/>
      <c r="F1" s="409"/>
      <c r="G1" s="409"/>
      <c r="H1" s="409"/>
      <c r="I1" s="409"/>
      <c r="J1" s="409"/>
      <c r="K1" s="409"/>
      <c r="L1" s="409"/>
    </row>
    <row r="2" spans="1:12" ht="12.6" customHeight="1" x14ac:dyDescent="0.25"/>
    <row r="3" spans="1:12" ht="16.5" thickBot="1" x14ac:dyDescent="0.3">
      <c r="A3" s="291" t="s">
        <v>792</v>
      </c>
      <c r="B3" s="74"/>
      <c r="C3" s="74"/>
    </row>
    <row r="4" spans="1:12" ht="15.75" x14ac:dyDescent="0.25">
      <c r="A4" s="306" t="s">
        <v>757</v>
      </c>
      <c r="B4" s="330" t="s">
        <v>793</v>
      </c>
    </row>
    <row r="5" spans="1:12" ht="15.75" x14ac:dyDescent="0.25">
      <c r="A5" s="312" t="s">
        <v>794</v>
      </c>
      <c r="B5" s="331">
        <v>15</v>
      </c>
    </row>
    <row r="6" spans="1:12" ht="15.75" x14ac:dyDescent="0.25">
      <c r="A6" s="312" t="s">
        <v>795</v>
      </c>
      <c r="B6" s="331">
        <v>9</v>
      </c>
    </row>
    <row r="7" spans="1:12" ht="15.75" x14ac:dyDescent="0.25">
      <c r="A7" s="312" t="s">
        <v>796</v>
      </c>
      <c r="B7" s="331">
        <v>10</v>
      </c>
    </row>
    <row r="8" spans="1:12" ht="15.75" x14ac:dyDescent="0.25">
      <c r="A8" s="312" t="s">
        <v>797</v>
      </c>
      <c r="B8" s="331">
        <v>25</v>
      </c>
    </row>
    <row r="9" spans="1:12" ht="15.75" x14ac:dyDescent="0.25">
      <c r="A9" s="312" t="s">
        <v>798</v>
      </c>
      <c r="B9" s="331">
        <v>17</v>
      </c>
    </row>
    <row r="10" spans="1:12" ht="16.5" thickBot="1" x14ac:dyDescent="0.3">
      <c r="A10" s="325" t="s">
        <v>758</v>
      </c>
      <c r="B10" s="332">
        <v>25</v>
      </c>
    </row>
    <row r="12" spans="1:12" ht="16.5" thickBot="1" x14ac:dyDescent="0.3">
      <c r="A12" s="291" t="s">
        <v>799</v>
      </c>
      <c r="B12" s="74"/>
    </row>
    <row r="13" spans="1:12" ht="15.75" x14ac:dyDescent="0.25">
      <c r="A13" s="306" t="s">
        <v>757</v>
      </c>
      <c r="B13" s="330" t="s">
        <v>800</v>
      </c>
    </row>
    <row r="14" spans="1:12" ht="15.75" x14ac:dyDescent="0.25">
      <c r="A14" s="312" t="s">
        <v>794</v>
      </c>
      <c r="B14" s="331">
        <v>22</v>
      </c>
    </row>
    <row r="15" spans="1:12" ht="15.75" x14ac:dyDescent="0.25">
      <c r="A15" s="312" t="s">
        <v>795</v>
      </c>
      <c r="B15" s="331">
        <v>21</v>
      </c>
    </row>
    <row r="16" spans="1:12" ht="15.75" x14ac:dyDescent="0.25">
      <c r="A16" s="312" t="s">
        <v>796</v>
      </c>
      <c r="B16" s="331">
        <v>19</v>
      </c>
    </row>
    <row r="17" spans="1:2" ht="15.75" x14ac:dyDescent="0.25">
      <c r="A17" s="312" t="s">
        <v>797</v>
      </c>
      <c r="B17" s="331">
        <v>19</v>
      </c>
    </row>
    <row r="18" spans="1:2" ht="15.75" x14ac:dyDescent="0.25">
      <c r="A18" s="312" t="s">
        <v>798</v>
      </c>
      <c r="B18" s="331">
        <v>19</v>
      </c>
    </row>
    <row r="19" spans="1:2" ht="16.5" thickBot="1" x14ac:dyDescent="0.3">
      <c r="A19" s="325" t="s">
        <v>758</v>
      </c>
      <c r="B19" s="332">
        <v>20</v>
      </c>
    </row>
    <row r="20" spans="1:2" ht="15.75" x14ac:dyDescent="0.25">
      <c r="B20" s="333"/>
    </row>
    <row r="21" spans="1:2" ht="16.5" thickBot="1" x14ac:dyDescent="0.3">
      <c r="A21" s="291" t="s">
        <v>801</v>
      </c>
      <c r="B21" s="74"/>
    </row>
    <row r="22" spans="1:2" ht="15.75" x14ac:dyDescent="0.25">
      <c r="A22" s="306" t="s">
        <v>757</v>
      </c>
      <c r="B22" s="330" t="s">
        <v>738</v>
      </c>
    </row>
    <row r="23" spans="1:2" ht="15.75" x14ac:dyDescent="0.25">
      <c r="A23" s="312" t="s">
        <v>794</v>
      </c>
      <c r="B23" s="316">
        <v>12</v>
      </c>
    </row>
    <row r="24" spans="1:2" ht="15.75" x14ac:dyDescent="0.25">
      <c r="A24" s="312" t="s">
        <v>795</v>
      </c>
      <c r="B24" s="316">
        <v>3</v>
      </c>
    </row>
    <row r="25" spans="1:2" ht="15.75" x14ac:dyDescent="0.25">
      <c r="A25" s="312" t="s">
        <v>796</v>
      </c>
      <c r="B25" s="316">
        <v>9</v>
      </c>
    </row>
    <row r="26" spans="1:2" ht="15.75" x14ac:dyDescent="0.25">
      <c r="A26" s="312" t="s">
        <v>797</v>
      </c>
      <c r="B26" s="316">
        <v>11</v>
      </c>
    </row>
    <row r="27" spans="1:2" ht="15.75" x14ac:dyDescent="0.25">
      <c r="A27" s="312" t="s">
        <v>798</v>
      </c>
      <c r="B27" s="316">
        <v>8</v>
      </c>
    </row>
    <row r="28" spans="1:2" ht="16.5" thickBot="1" x14ac:dyDescent="0.3">
      <c r="A28" s="325" t="s">
        <v>758</v>
      </c>
      <c r="B28" s="334">
        <v>14</v>
      </c>
    </row>
    <row r="29" spans="1:2" ht="15.75" x14ac:dyDescent="0.25">
      <c r="B29" s="333"/>
    </row>
    <row r="30" spans="1:2" ht="16.5" thickBot="1" x14ac:dyDescent="0.3">
      <c r="A30" s="291" t="s">
        <v>802</v>
      </c>
      <c r="B30" s="74"/>
    </row>
    <row r="31" spans="1:2" ht="15.75" x14ac:dyDescent="0.25">
      <c r="A31" s="306" t="s">
        <v>757</v>
      </c>
      <c r="B31" s="330" t="s">
        <v>793</v>
      </c>
    </row>
    <row r="32" spans="1:2" ht="15.75" x14ac:dyDescent="0.25">
      <c r="A32" s="312" t="s">
        <v>794</v>
      </c>
      <c r="B32" s="331">
        <v>30</v>
      </c>
    </row>
    <row r="33" spans="1:2" ht="15.75" x14ac:dyDescent="0.25">
      <c r="A33" s="312" t="s">
        <v>795</v>
      </c>
      <c r="B33" s="331">
        <v>12</v>
      </c>
    </row>
    <row r="34" spans="1:2" ht="15.75" x14ac:dyDescent="0.25">
      <c r="A34" s="312" t="s">
        <v>796</v>
      </c>
      <c r="B34" s="331">
        <v>11</v>
      </c>
    </row>
    <row r="35" spans="1:2" ht="15.75" x14ac:dyDescent="0.25">
      <c r="A35" s="312" t="s">
        <v>797</v>
      </c>
      <c r="B35" s="331">
        <v>6</v>
      </c>
    </row>
    <row r="36" spans="1:2" ht="15.75" x14ac:dyDescent="0.25">
      <c r="A36" s="312" t="s">
        <v>759</v>
      </c>
      <c r="B36" s="316">
        <v>1</v>
      </c>
    </row>
    <row r="37" spans="1:2" ht="16.5" thickBot="1" x14ac:dyDescent="0.3">
      <c r="A37" s="325" t="s">
        <v>758</v>
      </c>
      <c r="B37" s="334">
        <v>7</v>
      </c>
    </row>
    <row r="39" spans="1:2" ht="16.5" thickBot="1" x14ac:dyDescent="0.3">
      <c r="A39" s="291" t="s">
        <v>803</v>
      </c>
      <c r="B39" s="74"/>
    </row>
    <row r="40" spans="1:2" ht="15.75" x14ac:dyDescent="0.25">
      <c r="A40" s="306" t="s">
        <v>757</v>
      </c>
      <c r="B40" s="330" t="s">
        <v>800</v>
      </c>
    </row>
    <row r="41" spans="1:2" ht="15.75" x14ac:dyDescent="0.25">
      <c r="A41" s="312" t="s">
        <v>794</v>
      </c>
      <c r="B41" s="331">
        <v>19</v>
      </c>
    </row>
    <row r="42" spans="1:2" ht="15.75" x14ac:dyDescent="0.25">
      <c r="A42" s="312" t="s">
        <v>795</v>
      </c>
      <c r="B42" s="331">
        <v>8</v>
      </c>
    </row>
    <row r="43" spans="1:2" ht="15.75" x14ac:dyDescent="0.25">
      <c r="A43" s="312" t="s">
        <v>796</v>
      </c>
      <c r="B43" s="331">
        <v>9</v>
      </c>
    </row>
    <row r="44" spans="1:2" ht="15.75" x14ac:dyDescent="0.25">
      <c r="A44" s="312" t="s">
        <v>797</v>
      </c>
      <c r="B44" s="331">
        <v>4</v>
      </c>
    </row>
    <row r="45" spans="1:2" ht="15.75" x14ac:dyDescent="0.25">
      <c r="A45" s="312" t="s">
        <v>759</v>
      </c>
      <c r="B45" s="335">
        <v>1</v>
      </c>
    </row>
    <row r="46" spans="1:2" ht="16.5" thickBot="1" x14ac:dyDescent="0.3">
      <c r="A46" s="325" t="s">
        <v>758</v>
      </c>
      <c r="B46" s="336">
        <v>4</v>
      </c>
    </row>
    <row r="47" spans="1:2" ht="15.75" x14ac:dyDescent="0.25">
      <c r="B47" s="333"/>
    </row>
    <row r="48" spans="1:2" ht="16.5" thickBot="1" x14ac:dyDescent="0.3">
      <c r="A48" s="291" t="s">
        <v>804</v>
      </c>
      <c r="B48" s="74"/>
    </row>
    <row r="49" spans="1:2" ht="15.75" x14ac:dyDescent="0.25">
      <c r="A49" s="306" t="s">
        <v>757</v>
      </c>
      <c r="B49" s="330" t="s">
        <v>738</v>
      </c>
    </row>
    <row r="50" spans="1:2" ht="15.75" x14ac:dyDescent="0.25">
      <c r="A50" s="312" t="s">
        <v>794</v>
      </c>
      <c r="B50" s="316">
        <v>2</v>
      </c>
    </row>
    <row r="51" spans="1:2" ht="15.75" x14ac:dyDescent="0.25">
      <c r="A51" s="312" t="s">
        <v>795</v>
      </c>
      <c r="B51" s="316">
        <v>1</v>
      </c>
    </row>
    <row r="52" spans="1:2" ht="15.75" x14ac:dyDescent="0.25">
      <c r="A52" s="312" t="s">
        <v>796</v>
      </c>
      <c r="B52" s="316">
        <v>0</v>
      </c>
    </row>
    <row r="53" spans="1:2" ht="15.75" x14ac:dyDescent="0.25">
      <c r="A53" s="312" t="s">
        <v>797</v>
      </c>
      <c r="B53" s="316">
        <v>0</v>
      </c>
    </row>
    <row r="54" spans="1:2" ht="15.75" x14ac:dyDescent="0.25">
      <c r="A54" s="312" t="s">
        <v>798</v>
      </c>
      <c r="B54" s="316">
        <v>0</v>
      </c>
    </row>
    <row r="55" spans="1:2" ht="16.5" thickBot="1" x14ac:dyDescent="0.3">
      <c r="A55" s="325" t="s">
        <v>758</v>
      </c>
      <c r="B55" s="334">
        <v>0</v>
      </c>
    </row>
    <row r="56" spans="1:2" ht="15.75" x14ac:dyDescent="0.25">
      <c r="B56" s="333"/>
    </row>
    <row r="57" spans="1:2" ht="16.5" thickBot="1" x14ac:dyDescent="0.3">
      <c r="A57" s="291" t="s">
        <v>805</v>
      </c>
      <c r="B57" s="74"/>
    </row>
    <row r="58" spans="1:2" ht="15.75" x14ac:dyDescent="0.25">
      <c r="A58" s="306" t="s">
        <v>757</v>
      </c>
      <c r="B58" s="330" t="s">
        <v>793</v>
      </c>
    </row>
    <row r="59" spans="1:2" ht="15.75" x14ac:dyDescent="0.25">
      <c r="A59" s="312" t="s">
        <v>794</v>
      </c>
      <c r="B59" s="331">
        <v>24545</v>
      </c>
    </row>
    <row r="60" spans="1:2" ht="15.75" x14ac:dyDescent="0.25">
      <c r="A60" s="312" t="s">
        <v>795</v>
      </c>
      <c r="B60" s="331">
        <v>22976</v>
      </c>
    </row>
    <row r="61" spans="1:2" ht="15.75" x14ac:dyDescent="0.25">
      <c r="A61" s="312" t="s">
        <v>796</v>
      </c>
      <c r="B61" s="331">
        <v>16174</v>
      </c>
    </row>
    <row r="62" spans="1:2" ht="15.75" x14ac:dyDescent="0.25">
      <c r="A62" s="312" t="s">
        <v>797</v>
      </c>
      <c r="B62" s="331">
        <v>6941</v>
      </c>
    </row>
    <row r="63" spans="1:2" ht="15.75" x14ac:dyDescent="0.25">
      <c r="A63" s="312" t="s">
        <v>798</v>
      </c>
      <c r="B63" s="331">
        <v>5977</v>
      </c>
    </row>
    <row r="64" spans="1:2" ht="16.5" thickBot="1" x14ac:dyDescent="0.3">
      <c r="A64" s="325" t="s">
        <v>758</v>
      </c>
      <c r="B64" s="332">
        <v>9042</v>
      </c>
    </row>
    <row r="66" spans="1:2" ht="16.5" thickBot="1" x14ac:dyDescent="0.3">
      <c r="A66" s="291" t="s">
        <v>806</v>
      </c>
      <c r="B66" s="74"/>
    </row>
    <row r="67" spans="1:2" ht="15.75" x14ac:dyDescent="0.25">
      <c r="A67" s="306" t="s">
        <v>757</v>
      </c>
      <c r="B67" s="330" t="s">
        <v>800</v>
      </c>
    </row>
    <row r="68" spans="1:2" ht="15.75" x14ac:dyDescent="0.25">
      <c r="A68" s="312" t="s">
        <v>794</v>
      </c>
      <c r="B68" s="331">
        <v>25793</v>
      </c>
    </row>
    <row r="69" spans="1:2" ht="15.75" x14ac:dyDescent="0.25">
      <c r="A69" s="312" t="s">
        <v>795</v>
      </c>
      <c r="B69" s="331">
        <v>24371</v>
      </c>
    </row>
    <row r="70" spans="1:2" ht="15.75" x14ac:dyDescent="0.25">
      <c r="A70" s="312" t="s">
        <v>796</v>
      </c>
      <c r="B70" s="331">
        <v>17657</v>
      </c>
    </row>
    <row r="71" spans="1:2" ht="15.75" x14ac:dyDescent="0.25">
      <c r="A71" s="312" t="s">
        <v>797</v>
      </c>
      <c r="B71" s="331">
        <v>7422</v>
      </c>
    </row>
    <row r="72" spans="1:2" ht="15.75" x14ac:dyDescent="0.25">
      <c r="A72" s="312" t="s">
        <v>798</v>
      </c>
      <c r="B72" s="331">
        <v>6468</v>
      </c>
    </row>
    <row r="73" spans="1:2" ht="16.5" thickBot="1" x14ac:dyDescent="0.3">
      <c r="A73" s="325" t="s">
        <v>758</v>
      </c>
      <c r="B73" s="332">
        <v>9470</v>
      </c>
    </row>
    <row r="74" spans="1:2" ht="15.75" x14ac:dyDescent="0.25">
      <c r="B74" s="333"/>
    </row>
    <row r="75" spans="1:2" ht="16.5" thickBot="1" x14ac:dyDescent="0.3">
      <c r="A75" s="291" t="s">
        <v>807</v>
      </c>
      <c r="B75" s="74"/>
    </row>
    <row r="76" spans="1:2" ht="15.75" x14ac:dyDescent="0.25">
      <c r="A76" s="306" t="s">
        <v>757</v>
      </c>
      <c r="B76" s="330" t="s">
        <v>738</v>
      </c>
    </row>
    <row r="77" spans="1:2" ht="15.75" x14ac:dyDescent="0.25">
      <c r="A77" s="312" t="s">
        <v>794</v>
      </c>
      <c r="B77" s="316">
        <v>13632</v>
      </c>
    </row>
    <row r="78" spans="1:2" ht="15.75" x14ac:dyDescent="0.25">
      <c r="A78" s="312" t="s">
        <v>795</v>
      </c>
      <c r="B78" s="316">
        <v>13203</v>
      </c>
    </row>
    <row r="79" spans="1:2" ht="15.75" x14ac:dyDescent="0.25">
      <c r="A79" s="312" t="s">
        <v>796</v>
      </c>
      <c r="B79" s="316">
        <v>10998</v>
      </c>
    </row>
    <row r="80" spans="1:2" ht="15.75" x14ac:dyDescent="0.25">
      <c r="A80" s="312" t="s">
        <v>797</v>
      </c>
      <c r="B80" s="316">
        <v>64</v>
      </c>
    </row>
    <row r="81" spans="1:7" ht="15.75" x14ac:dyDescent="0.25">
      <c r="A81" s="312" t="s">
        <v>798</v>
      </c>
      <c r="B81" s="316">
        <v>4065</v>
      </c>
    </row>
    <row r="82" spans="1:7" ht="16.5" thickBot="1" x14ac:dyDescent="0.3">
      <c r="A82" s="325" t="s">
        <v>758</v>
      </c>
      <c r="B82" s="334">
        <v>5801</v>
      </c>
    </row>
    <row r="83" spans="1:7" ht="15.75" x14ac:dyDescent="0.25">
      <c r="B83" s="333"/>
    </row>
    <row r="84" spans="1:7" ht="16.5" thickBot="1" x14ac:dyDescent="0.3">
      <c r="A84" s="291" t="s">
        <v>808</v>
      </c>
      <c r="B84" s="74"/>
    </row>
    <row r="85" spans="1:7" ht="15.75" x14ac:dyDescent="0.25">
      <c r="A85" s="306" t="s">
        <v>809</v>
      </c>
      <c r="B85" s="307" t="s">
        <v>794</v>
      </c>
      <c r="C85" s="307" t="s">
        <v>795</v>
      </c>
      <c r="D85" s="307" t="s">
        <v>796</v>
      </c>
      <c r="E85" s="307" t="s">
        <v>797</v>
      </c>
      <c r="F85" s="307" t="s">
        <v>759</v>
      </c>
      <c r="G85" s="330" t="s">
        <v>758</v>
      </c>
    </row>
    <row r="86" spans="1:7" ht="15.75" x14ac:dyDescent="0.25">
      <c r="A86" s="312" t="s">
        <v>810</v>
      </c>
      <c r="B86" s="337"/>
      <c r="C86" s="337"/>
      <c r="D86" s="337"/>
      <c r="E86" s="337"/>
      <c r="F86" s="313">
        <v>23</v>
      </c>
      <c r="G86" s="316">
        <v>123</v>
      </c>
    </row>
    <row r="87" spans="1:7" ht="15.75" x14ac:dyDescent="0.25">
      <c r="A87" s="312" t="s">
        <v>811</v>
      </c>
      <c r="B87" s="337">
        <v>0</v>
      </c>
      <c r="C87" s="337">
        <v>0</v>
      </c>
      <c r="D87" s="337">
        <v>0</v>
      </c>
      <c r="E87" s="313">
        <v>10</v>
      </c>
      <c r="F87" s="313">
        <v>37</v>
      </c>
      <c r="G87" s="316">
        <v>69</v>
      </c>
    </row>
    <row r="88" spans="1:7" ht="15.75" x14ac:dyDescent="0.25">
      <c r="A88" s="312" t="s">
        <v>812</v>
      </c>
      <c r="B88" s="337"/>
      <c r="C88" s="337"/>
      <c r="D88" s="337"/>
      <c r="E88" s="337"/>
      <c r="F88" s="313">
        <v>54</v>
      </c>
      <c r="G88" s="316">
        <v>129</v>
      </c>
    </row>
    <row r="89" spans="1:7" ht="15.75" x14ac:dyDescent="0.25">
      <c r="A89" s="312" t="s">
        <v>813</v>
      </c>
      <c r="B89" s="313">
        <v>10119</v>
      </c>
      <c r="C89" s="313">
        <v>9164</v>
      </c>
      <c r="D89" s="313">
        <v>6123</v>
      </c>
      <c r="E89" s="313">
        <v>5270</v>
      </c>
      <c r="F89" s="313">
        <v>6607</v>
      </c>
      <c r="G89" s="316">
        <v>5089</v>
      </c>
    </row>
    <row r="90" spans="1:7" ht="15.75" x14ac:dyDescent="0.25">
      <c r="A90" s="312" t="s">
        <v>814</v>
      </c>
      <c r="B90" s="337"/>
      <c r="C90" s="337"/>
      <c r="D90" s="337"/>
      <c r="E90" s="337"/>
      <c r="F90" s="337"/>
      <c r="G90" s="316">
        <v>39</v>
      </c>
    </row>
    <row r="91" spans="1:7" ht="15.75" x14ac:dyDescent="0.25">
      <c r="A91" s="312" t="s">
        <v>815</v>
      </c>
      <c r="B91" s="337">
        <v>0</v>
      </c>
      <c r="C91" s="337">
        <v>0</v>
      </c>
      <c r="D91" s="337">
        <v>0</v>
      </c>
      <c r="E91" s="313">
        <v>1303</v>
      </c>
      <c r="F91" s="313">
        <v>4296</v>
      </c>
      <c r="G91" s="316">
        <v>1008</v>
      </c>
    </row>
    <row r="92" spans="1:7" ht="15.75" x14ac:dyDescent="0.25">
      <c r="A92" s="312" t="s">
        <v>816</v>
      </c>
      <c r="B92" s="313">
        <v>13597</v>
      </c>
      <c r="C92" s="313">
        <v>13716</v>
      </c>
      <c r="D92" s="313">
        <v>9950</v>
      </c>
      <c r="E92" s="313">
        <v>10790</v>
      </c>
      <c r="F92" s="313">
        <v>16487</v>
      </c>
      <c r="G92" s="316">
        <v>11532</v>
      </c>
    </row>
    <row r="93" spans="1:7" ht="15.75" x14ac:dyDescent="0.25">
      <c r="A93" s="312" t="s">
        <v>817</v>
      </c>
      <c r="B93" s="313">
        <v>53</v>
      </c>
      <c r="C93" s="313">
        <v>34</v>
      </c>
      <c r="D93" s="313">
        <v>36</v>
      </c>
      <c r="E93" s="313">
        <v>11</v>
      </c>
      <c r="F93" s="313">
        <v>30</v>
      </c>
      <c r="G93" s="316">
        <v>58</v>
      </c>
    </row>
    <row r="94" spans="1:7" ht="15.75" x14ac:dyDescent="0.25">
      <c r="A94" s="312" t="s">
        <v>818</v>
      </c>
      <c r="B94" s="313">
        <v>637</v>
      </c>
      <c r="C94" s="313">
        <v>823</v>
      </c>
      <c r="D94" s="313">
        <v>543</v>
      </c>
      <c r="E94" s="313">
        <v>2222</v>
      </c>
      <c r="F94" s="313">
        <v>10858</v>
      </c>
      <c r="G94" s="316">
        <v>21525</v>
      </c>
    </row>
    <row r="95" spans="1:7" ht="15.75" x14ac:dyDescent="0.25">
      <c r="A95" s="312" t="s">
        <v>819</v>
      </c>
      <c r="B95" s="313">
        <v>236</v>
      </c>
      <c r="C95" s="313">
        <v>132</v>
      </c>
      <c r="D95" s="313">
        <v>105</v>
      </c>
      <c r="E95" s="313">
        <v>52</v>
      </c>
      <c r="F95" s="313">
        <v>88</v>
      </c>
      <c r="G95" s="316">
        <v>194</v>
      </c>
    </row>
    <row r="96" spans="1:7" ht="15.75" x14ac:dyDescent="0.25">
      <c r="A96" s="312" t="s">
        <v>820</v>
      </c>
      <c r="B96" s="313">
        <v>81</v>
      </c>
      <c r="C96" s="313">
        <v>40</v>
      </c>
      <c r="D96" s="313">
        <v>29</v>
      </c>
      <c r="E96" s="313">
        <v>12</v>
      </c>
      <c r="F96" s="313">
        <v>5</v>
      </c>
      <c r="G96" s="316">
        <v>8</v>
      </c>
    </row>
    <row r="97" spans="1:7" ht="15.75" x14ac:dyDescent="0.25">
      <c r="A97" s="312" t="s">
        <v>821</v>
      </c>
      <c r="B97" s="313">
        <v>134</v>
      </c>
      <c r="C97" s="313">
        <v>82</v>
      </c>
      <c r="D97" s="313">
        <v>72</v>
      </c>
      <c r="E97" s="313">
        <v>29</v>
      </c>
      <c r="F97" s="313">
        <v>26</v>
      </c>
      <c r="G97" s="316">
        <v>38</v>
      </c>
    </row>
    <row r="98" spans="1:7" ht="15.75" x14ac:dyDescent="0.25">
      <c r="A98" s="312" t="s">
        <v>822</v>
      </c>
      <c r="B98" s="313">
        <v>27</v>
      </c>
      <c r="C98" s="313">
        <v>19</v>
      </c>
      <c r="D98" s="313">
        <v>17</v>
      </c>
      <c r="E98" s="313">
        <v>7</v>
      </c>
      <c r="F98" s="313">
        <v>12</v>
      </c>
      <c r="G98" s="316">
        <v>25</v>
      </c>
    </row>
    <row r="99" spans="1:7" ht="15.75" x14ac:dyDescent="0.25">
      <c r="A99" s="312" t="s">
        <v>823</v>
      </c>
      <c r="B99" s="337"/>
      <c r="C99" s="337"/>
      <c r="D99" s="337"/>
      <c r="E99" s="337"/>
      <c r="F99" s="313">
        <v>86</v>
      </c>
      <c r="G99" s="316">
        <v>199</v>
      </c>
    </row>
    <row r="100" spans="1:7" ht="15.75" x14ac:dyDescent="0.25">
      <c r="A100" s="312" t="s">
        <v>824</v>
      </c>
      <c r="B100" s="337">
        <v>0</v>
      </c>
      <c r="C100" s="337">
        <v>0</v>
      </c>
      <c r="D100" s="337">
        <v>0</v>
      </c>
      <c r="E100" s="313">
        <v>2452</v>
      </c>
      <c r="F100" s="313">
        <v>17061</v>
      </c>
      <c r="G100" s="316">
        <v>17048</v>
      </c>
    </row>
    <row r="101" spans="1:7" ht="16.5" thickBot="1" x14ac:dyDescent="0.3">
      <c r="A101" s="325" t="s">
        <v>825</v>
      </c>
      <c r="B101" s="338">
        <v>51</v>
      </c>
      <c r="C101" s="338">
        <v>32</v>
      </c>
      <c r="D101" s="338">
        <v>14</v>
      </c>
      <c r="E101" s="338">
        <v>5</v>
      </c>
      <c r="F101" s="338">
        <v>24</v>
      </c>
      <c r="G101" s="334">
        <v>9</v>
      </c>
    </row>
    <row r="103" spans="1:7" ht="16.5" thickBot="1" x14ac:dyDescent="0.3">
      <c r="A103" s="291" t="s">
        <v>826</v>
      </c>
      <c r="B103" s="74"/>
    </row>
    <row r="104" spans="1:7" ht="15.75" x14ac:dyDescent="0.25">
      <c r="A104" s="306" t="s">
        <v>809</v>
      </c>
      <c r="B104" s="307" t="s">
        <v>794</v>
      </c>
      <c r="C104" s="307" t="s">
        <v>795</v>
      </c>
      <c r="D104" s="307" t="s">
        <v>796</v>
      </c>
      <c r="E104" s="307" t="s">
        <v>797</v>
      </c>
      <c r="F104" s="307" t="s">
        <v>759</v>
      </c>
      <c r="G104" s="330" t="s">
        <v>758</v>
      </c>
    </row>
    <row r="105" spans="1:7" ht="15.75" x14ac:dyDescent="0.25">
      <c r="A105" s="312" t="s">
        <v>810</v>
      </c>
      <c r="B105" s="337"/>
      <c r="C105" s="337"/>
      <c r="D105" s="337"/>
      <c r="E105" s="337"/>
      <c r="F105" s="313">
        <v>173</v>
      </c>
      <c r="G105" s="316">
        <v>649</v>
      </c>
    </row>
    <row r="106" spans="1:7" ht="15.75" x14ac:dyDescent="0.25">
      <c r="A106" s="312" t="s">
        <v>811</v>
      </c>
      <c r="B106" s="337">
        <v>0</v>
      </c>
      <c r="C106" s="337">
        <v>0</v>
      </c>
      <c r="D106" s="337">
        <v>0</v>
      </c>
      <c r="E106" s="313">
        <v>10</v>
      </c>
      <c r="F106" s="313">
        <v>36</v>
      </c>
      <c r="G106" s="316">
        <v>49</v>
      </c>
    </row>
    <row r="107" spans="1:7" ht="15.75" x14ac:dyDescent="0.25">
      <c r="A107" s="312" t="s">
        <v>812</v>
      </c>
      <c r="B107" s="337"/>
      <c r="C107" s="337"/>
      <c r="D107" s="337"/>
      <c r="E107" s="337"/>
      <c r="F107" s="313">
        <v>108</v>
      </c>
      <c r="G107" s="316">
        <v>689</v>
      </c>
    </row>
    <row r="108" spans="1:7" ht="15.75" x14ac:dyDescent="0.25">
      <c r="A108" s="312" t="s">
        <v>813</v>
      </c>
      <c r="B108" s="313">
        <v>33169</v>
      </c>
      <c r="C108" s="313">
        <v>43408</v>
      </c>
      <c r="D108" s="313">
        <v>11108</v>
      </c>
      <c r="E108" s="313">
        <v>5137</v>
      </c>
      <c r="F108" s="313">
        <v>5367</v>
      </c>
      <c r="G108" s="316">
        <v>8904</v>
      </c>
    </row>
    <row r="109" spans="1:7" ht="15.75" x14ac:dyDescent="0.25">
      <c r="A109" s="312" t="s">
        <v>814</v>
      </c>
      <c r="B109" s="337"/>
      <c r="C109" s="337"/>
      <c r="D109" s="337"/>
      <c r="E109" s="337"/>
      <c r="F109" s="337"/>
      <c r="G109" s="316">
        <v>200</v>
      </c>
    </row>
    <row r="110" spans="1:7" ht="15.75" x14ac:dyDescent="0.25">
      <c r="A110" s="312" t="s">
        <v>815</v>
      </c>
      <c r="B110" s="337">
        <v>0</v>
      </c>
      <c r="C110" s="337">
        <v>0</v>
      </c>
      <c r="D110" s="337">
        <v>0</v>
      </c>
      <c r="E110" s="313">
        <v>12331</v>
      </c>
      <c r="F110" s="313">
        <v>3926</v>
      </c>
      <c r="G110" s="316">
        <v>1684</v>
      </c>
    </row>
    <row r="111" spans="1:7" ht="15.75" x14ac:dyDescent="0.25">
      <c r="A111" s="312" t="s">
        <v>816</v>
      </c>
      <c r="B111" s="313">
        <v>62461</v>
      </c>
      <c r="C111" s="313">
        <v>104166</v>
      </c>
      <c r="D111" s="313">
        <v>16860</v>
      </c>
      <c r="E111" s="313">
        <v>13106</v>
      </c>
      <c r="F111" s="313">
        <v>11239</v>
      </c>
      <c r="G111" s="316">
        <v>21610</v>
      </c>
    </row>
    <row r="112" spans="1:7" ht="15.75" x14ac:dyDescent="0.25">
      <c r="A112" s="312" t="s">
        <v>817</v>
      </c>
      <c r="B112" s="313">
        <v>777</v>
      </c>
      <c r="C112" s="313">
        <v>371</v>
      </c>
      <c r="D112" s="313">
        <v>152</v>
      </c>
      <c r="E112" s="313">
        <v>384</v>
      </c>
      <c r="F112" s="313">
        <v>962</v>
      </c>
      <c r="G112" s="316">
        <v>835</v>
      </c>
    </row>
    <row r="113" spans="1:7" ht="15.75" x14ac:dyDescent="0.25">
      <c r="A113" s="312" t="s">
        <v>818</v>
      </c>
      <c r="B113" s="313">
        <v>3428</v>
      </c>
      <c r="C113" s="313">
        <v>7893</v>
      </c>
      <c r="D113" s="313">
        <v>1467</v>
      </c>
      <c r="E113" s="313">
        <v>26920</v>
      </c>
      <c r="F113" s="313">
        <v>48045</v>
      </c>
      <c r="G113" s="316">
        <v>4448</v>
      </c>
    </row>
    <row r="114" spans="1:7" ht="15.75" x14ac:dyDescent="0.25">
      <c r="A114" s="312" t="s">
        <v>819</v>
      </c>
      <c r="B114" s="313">
        <v>290</v>
      </c>
      <c r="C114" s="313">
        <v>155</v>
      </c>
      <c r="D114" s="313">
        <v>129</v>
      </c>
      <c r="E114" s="313">
        <v>106</v>
      </c>
      <c r="F114" s="313">
        <v>502</v>
      </c>
      <c r="G114" s="316">
        <v>496</v>
      </c>
    </row>
    <row r="115" spans="1:7" ht="15.75" x14ac:dyDescent="0.25">
      <c r="A115" s="312" t="s">
        <v>820</v>
      </c>
      <c r="B115" s="313">
        <v>113</v>
      </c>
      <c r="C115" s="313">
        <v>61</v>
      </c>
      <c r="D115" s="313">
        <v>39</v>
      </c>
      <c r="E115" s="313">
        <v>15</v>
      </c>
      <c r="F115" s="313">
        <v>9</v>
      </c>
      <c r="G115" s="316">
        <v>11</v>
      </c>
    </row>
    <row r="116" spans="1:7" ht="15.75" x14ac:dyDescent="0.25">
      <c r="A116" s="312" t="s">
        <v>821</v>
      </c>
      <c r="B116" s="313">
        <v>121</v>
      </c>
      <c r="C116" s="313">
        <v>73</v>
      </c>
      <c r="D116" s="313">
        <v>68</v>
      </c>
      <c r="E116" s="313">
        <v>46</v>
      </c>
      <c r="F116" s="313">
        <v>58</v>
      </c>
      <c r="G116" s="316">
        <v>125</v>
      </c>
    </row>
    <row r="117" spans="1:7" ht="15.75" x14ac:dyDescent="0.25">
      <c r="A117" s="312" t="s">
        <v>822</v>
      </c>
      <c r="B117" s="313">
        <v>41</v>
      </c>
      <c r="C117" s="313">
        <v>31</v>
      </c>
      <c r="D117" s="313">
        <v>21</v>
      </c>
      <c r="E117" s="313">
        <v>19</v>
      </c>
      <c r="F117" s="313">
        <v>107</v>
      </c>
      <c r="G117" s="316">
        <v>192</v>
      </c>
    </row>
    <row r="118" spans="1:7" ht="15.75" x14ac:dyDescent="0.25">
      <c r="A118" s="312" t="s">
        <v>823</v>
      </c>
      <c r="B118" s="337"/>
      <c r="C118" s="337"/>
      <c r="D118" s="337"/>
      <c r="E118" s="337"/>
      <c r="F118" s="313">
        <v>75</v>
      </c>
      <c r="G118" s="316">
        <v>105</v>
      </c>
    </row>
    <row r="119" spans="1:7" ht="15.75" x14ac:dyDescent="0.25">
      <c r="A119" s="312" t="s">
        <v>824</v>
      </c>
      <c r="B119" s="337">
        <v>0</v>
      </c>
      <c r="C119" s="337">
        <v>0</v>
      </c>
      <c r="D119" s="337">
        <v>0</v>
      </c>
      <c r="E119" s="313">
        <v>3823</v>
      </c>
      <c r="F119" s="313">
        <v>36644</v>
      </c>
      <c r="G119" s="316">
        <v>14918</v>
      </c>
    </row>
    <row r="120" spans="1:7" ht="16.5" thickBot="1" x14ac:dyDescent="0.3">
      <c r="A120" s="325" t="s">
        <v>825</v>
      </c>
      <c r="B120" s="338">
        <v>99</v>
      </c>
      <c r="C120" s="338">
        <v>83</v>
      </c>
      <c r="D120" s="338">
        <v>37</v>
      </c>
      <c r="E120" s="338">
        <v>43</v>
      </c>
      <c r="F120" s="338">
        <v>75</v>
      </c>
      <c r="G120" s="334">
        <v>42</v>
      </c>
    </row>
    <row r="121" spans="1:7" ht="15.75" x14ac:dyDescent="0.25">
      <c r="A121" s="339"/>
      <c r="B121" s="340"/>
      <c r="C121" s="340"/>
      <c r="D121" s="340"/>
      <c r="E121" s="340"/>
      <c r="F121" s="340"/>
    </row>
    <row r="122" spans="1:7" ht="16.5" thickBot="1" x14ac:dyDescent="0.3">
      <c r="A122" s="291" t="s">
        <v>827</v>
      </c>
      <c r="B122" s="74"/>
    </row>
    <row r="123" spans="1:7" ht="15.75" x14ac:dyDescent="0.25">
      <c r="A123" s="306" t="s">
        <v>809</v>
      </c>
      <c r="B123" s="307" t="s">
        <v>794</v>
      </c>
      <c r="C123" s="307" t="s">
        <v>795</v>
      </c>
      <c r="D123" s="307" t="s">
        <v>796</v>
      </c>
      <c r="E123" s="307" t="s">
        <v>797</v>
      </c>
      <c r="F123" s="307" t="s">
        <v>759</v>
      </c>
      <c r="G123" s="330" t="s">
        <v>758</v>
      </c>
    </row>
    <row r="124" spans="1:7" ht="15.75" x14ac:dyDescent="0.25">
      <c r="A124" s="312" t="s">
        <v>810</v>
      </c>
      <c r="B124" s="337"/>
      <c r="C124" s="337"/>
      <c r="D124" s="337"/>
      <c r="E124" s="337"/>
      <c r="F124" s="313">
        <v>8</v>
      </c>
      <c r="G124" s="316">
        <v>47</v>
      </c>
    </row>
    <row r="125" spans="1:7" ht="15.75" x14ac:dyDescent="0.25">
      <c r="A125" s="312" t="s">
        <v>811</v>
      </c>
      <c r="B125" s="337">
        <v>0</v>
      </c>
      <c r="C125" s="337">
        <v>0</v>
      </c>
      <c r="D125" s="337">
        <v>0</v>
      </c>
      <c r="E125" s="313">
        <v>0</v>
      </c>
      <c r="F125" s="313">
        <v>1</v>
      </c>
      <c r="G125" s="316">
        <v>2</v>
      </c>
    </row>
    <row r="126" spans="1:7" ht="15.75" x14ac:dyDescent="0.25">
      <c r="A126" s="312" t="s">
        <v>812</v>
      </c>
      <c r="B126" s="337"/>
      <c r="C126" s="337"/>
      <c r="D126" s="337"/>
      <c r="E126" s="337"/>
      <c r="F126" s="313">
        <v>5</v>
      </c>
      <c r="G126" s="316">
        <v>42</v>
      </c>
    </row>
    <row r="127" spans="1:7" ht="15.75" x14ac:dyDescent="0.25">
      <c r="A127" s="312" t="s">
        <v>813</v>
      </c>
      <c r="B127" s="313">
        <v>15445</v>
      </c>
      <c r="C127" s="313">
        <v>18981</v>
      </c>
      <c r="D127" s="313">
        <v>12590</v>
      </c>
      <c r="E127" s="313">
        <v>2872</v>
      </c>
      <c r="F127" s="313">
        <v>7376</v>
      </c>
      <c r="G127" s="316">
        <v>8600</v>
      </c>
    </row>
    <row r="128" spans="1:7" ht="15.75" x14ac:dyDescent="0.25">
      <c r="A128" s="312" t="s">
        <v>814</v>
      </c>
      <c r="B128" s="337"/>
      <c r="C128" s="337"/>
      <c r="D128" s="337"/>
      <c r="E128" s="337"/>
      <c r="F128" s="337"/>
      <c r="G128" s="316">
        <v>37</v>
      </c>
    </row>
    <row r="129" spans="1:7" ht="15.75" x14ac:dyDescent="0.25">
      <c r="A129" s="312" t="s">
        <v>815</v>
      </c>
      <c r="B129" s="337">
        <v>0</v>
      </c>
      <c r="C129" s="337">
        <v>0</v>
      </c>
      <c r="D129" s="337">
        <v>0</v>
      </c>
      <c r="E129" s="313">
        <v>16</v>
      </c>
      <c r="F129" s="313">
        <v>1612</v>
      </c>
      <c r="G129" s="316">
        <v>1115</v>
      </c>
    </row>
    <row r="130" spans="1:7" ht="15.75" x14ac:dyDescent="0.25">
      <c r="A130" s="312" t="s">
        <v>816</v>
      </c>
      <c r="B130" s="313">
        <v>28894</v>
      </c>
      <c r="C130" s="313">
        <v>41800</v>
      </c>
      <c r="D130" s="313">
        <v>21139</v>
      </c>
      <c r="E130" s="313">
        <v>4904</v>
      </c>
      <c r="F130" s="313">
        <v>6541</v>
      </c>
      <c r="G130" s="316">
        <v>22631</v>
      </c>
    </row>
    <row r="131" spans="1:7" ht="15.75" x14ac:dyDescent="0.25">
      <c r="A131" s="312" t="s">
        <v>817</v>
      </c>
      <c r="B131" s="313">
        <v>45</v>
      </c>
      <c r="C131" s="313">
        <v>162</v>
      </c>
      <c r="D131" s="313">
        <v>97</v>
      </c>
      <c r="E131" s="313">
        <v>23</v>
      </c>
      <c r="F131" s="313">
        <v>32</v>
      </c>
      <c r="G131" s="316">
        <v>26</v>
      </c>
    </row>
    <row r="132" spans="1:7" ht="15.75" x14ac:dyDescent="0.25">
      <c r="A132" s="312" t="s">
        <v>818</v>
      </c>
      <c r="B132" s="313">
        <v>879</v>
      </c>
      <c r="C132" s="313">
        <v>2240</v>
      </c>
      <c r="D132" s="313">
        <v>1416</v>
      </c>
      <c r="E132" s="313">
        <v>964</v>
      </c>
      <c r="F132" s="313">
        <v>2605</v>
      </c>
      <c r="G132" s="316">
        <v>2408</v>
      </c>
    </row>
    <row r="133" spans="1:7" ht="15.75" x14ac:dyDescent="0.25">
      <c r="A133" s="312" t="s">
        <v>819</v>
      </c>
      <c r="B133" s="313">
        <v>229</v>
      </c>
      <c r="C133" s="313">
        <v>151</v>
      </c>
      <c r="D133" s="313">
        <v>112</v>
      </c>
      <c r="E133" s="313">
        <v>47</v>
      </c>
      <c r="F133" s="313">
        <v>23</v>
      </c>
      <c r="G133" s="316">
        <v>47</v>
      </c>
    </row>
    <row r="134" spans="1:7" ht="15.75" x14ac:dyDescent="0.25">
      <c r="A134" s="312" t="s">
        <v>820</v>
      </c>
      <c r="B134" s="313">
        <v>61</v>
      </c>
      <c r="C134" s="313">
        <v>65</v>
      </c>
      <c r="D134" s="313">
        <v>41</v>
      </c>
      <c r="E134" s="313">
        <v>22</v>
      </c>
      <c r="F134" s="313">
        <v>0</v>
      </c>
      <c r="G134" s="316">
        <v>4</v>
      </c>
    </row>
    <row r="135" spans="1:7" ht="15.75" x14ac:dyDescent="0.25">
      <c r="A135" s="312" t="s">
        <v>821</v>
      </c>
      <c r="B135" s="313">
        <v>42</v>
      </c>
      <c r="C135" s="313">
        <v>18</v>
      </c>
      <c r="D135" s="313">
        <v>17</v>
      </c>
      <c r="E135" s="313">
        <v>4</v>
      </c>
      <c r="F135" s="313">
        <v>9</v>
      </c>
      <c r="G135" s="316">
        <v>15</v>
      </c>
    </row>
    <row r="136" spans="1:7" ht="15.75" x14ac:dyDescent="0.25">
      <c r="A136" s="312" t="s">
        <v>822</v>
      </c>
      <c r="B136" s="313">
        <v>7</v>
      </c>
      <c r="C136" s="313">
        <v>9</v>
      </c>
      <c r="D136" s="313">
        <v>2</v>
      </c>
      <c r="E136" s="313">
        <v>0</v>
      </c>
      <c r="F136" s="313">
        <v>6</v>
      </c>
      <c r="G136" s="316">
        <v>19</v>
      </c>
    </row>
    <row r="137" spans="1:7" ht="15.75" x14ac:dyDescent="0.25">
      <c r="A137" s="312" t="s">
        <v>823</v>
      </c>
      <c r="B137" s="337"/>
      <c r="C137" s="337"/>
      <c r="D137" s="337"/>
      <c r="E137" s="337"/>
      <c r="F137" s="313">
        <v>10</v>
      </c>
      <c r="G137" s="316">
        <v>41</v>
      </c>
    </row>
    <row r="138" spans="1:7" ht="15.75" x14ac:dyDescent="0.25">
      <c r="A138" s="312" t="s">
        <v>824</v>
      </c>
      <c r="B138" s="337">
        <v>0</v>
      </c>
      <c r="C138" s="337">
        <v>0</v>
      </c>
      <c r="D138" s="337">
        <v>0</v>
      </c>
      <c r="E138" s="313">
        <v>18</v>
      </c>
      <c r="F138" s="313">
        <v>197</v>
      </c>
      <c r="G138" s="316">
        <v>894</v>
      </c>
    </row>
    <row r="139" spans="1:7" ht="16.5" thickBot="1" x14ac:dyDescent="0.3">
      <c r="A139" s="325" t="s">
        <v>825</v>
      </c>
      <c r="B139" s="338">
        <v>24</v>
      </c>
      <c r="C139" s="338">
        <v>46</v>
      </c>
      <c r="D139" s="338">
        <v>14</v>
      </c>
      <c r="E139" s="338">
        <v>6</v>
      </c>
      <c r="F139" s="338">
        <v>17</v>
      </c>
      <c r="G139" s="334">
        <v>12</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49EC-7F03-430B-B3BC-BA0FB87FD801}">
  <dimension ref="A1:AA135"/>
  <sheetViews>
    <sheetView topLeftCell="A3" zoomScale="70" zoomScaleNormal="70" workbookViewId="0">
      <pane xSplit="1" topLeftCell="B1" activePane="topRight" state="frozen"/>
      <selection pane="topRight" activeCell="A5" sqref="A5"/>
    </sheetView>
  </sheetViews>
  <sheetFormatPr defaultColWidth="9.42578125" defaultRowHeight="15.75" x14ac:dyDescent="0.25"/>
  <cols>
    <col min="1" max="1" width="90.28515625" style="74" customWidth="1"/>
    <col min="2" max="2" width="56.85546875" style="74" customWidth="1"/>
    <col min="3" max="3" width="24.5703125" style="74" customWidth="1"/>
    <col min="4" max="4" width="9.7109375" style="74" customWidth="1"/>
    <col min="5" max="5" width="9.7109375" style="76" customWidth="1"/>
    <col min="6" max="6" width="11.28515625" style="74" customWidth="1"/>
    <col min="7" max="7" width="22.7109375" style="74" customWidth="1"/>
    <col min="8" max="8" width="21" style="74" customWidth="1"/>
    <col min="9" max="9" width="14.7109375" style="74" customWidth="1"/>
    <col min="10" max="10" width="11.85546875" style="74" bestFit="1" customWidth="1"/>
    <col min="11" max="13" width="14.7109375" style="74" customWidth="1"/>
    <col min="14" max="15" width="18" style="74" customWidth="1"/>
    <col min="16" max="16" width="15.28515625" style="74" customWidth="1"/>
    <col min="17" max="17" width="17.28515625" style="74" customWidth="1"/>
    <col min="18" max="18" width="14" style="74" customWidth="1"/>
    <col min="19" max="20" width="14.42578125" style="74" customWidth="1"/>
    <col min="21" max="21" width="15.7109375" style="74" customWidth="1"/>
    <col min="22" max="23" width="18.28515625" style="74" customWidth="1"/>
    <col min="24" max="24" width="15.5703125" style="74" bestFit="1" customWidth="1"/>
    <col min="25" max="25" width="18.5703125" style="75" bestFit="1" customWidth="1"/>
    <col min="26" max="26" width="34" style="74" bestFit="1" customWidth="1"/>
    <col min="27" max="27" width="20.28515625" style="74" customWidth="1"/>
    <col min="28" max="16384" width="9.42578125" style="74"/>
  </cols>
  <sheetData>
    <row r="1" spans="1:27" ht="41.65" customHeight="1" x14ac:dyDescent="0.25">
      <c r="A1" s="413" t="s">
        <v>647</v>
      </c>
      <c r="B1" s="413"/>
      <c r="C1" s="413"/>
      <c r="D1" s="413"/>
      <c r="E1" s="124"/>
      <c r="F1" s="3"/>
      <c r="G1" s="3"/>
      <c r="H1" s="3"/>
      <c r="I1" s="3"/>
      <c r="J1" s="3"/>
      <c r="K1" s="3"/>
      <c r="L1" s="3"/>
      <c r="M1" s="3"/>
      <c r="N1" s="3"/>
      <c r="O1" s="3"/>
      <c r="P1" s="3"/>
      <c r="Q1" s="3"/>
      <c r="R1" s="3"/>
      <c r="S1" s="3"/>
      <c r="T1" s="3"/>
      <c r="U1" s="3"/>
      <c r="V1" s="3"/>
      <c r="W1" s="123"/>
      <c r="X1" s="3"/>
      <c r="Y1" s="122"/>
      <c r="Z1" s="121"/>
      <c r="AA1" s="121"/>
    </row>
    <row r="2" spans="1:27" ht="45" customHeight="1" x14ac:dyDescent="0.25">
      <c r="A2" s="414" t="s">
        <v>646</v>
      </c>
      <c r="B2" s="414"/>
      <c r="C2" s="414"/>
      <c r="D2" s="414"/>
      <c r="E2" s="124"/>
      <c r="F2" s="3"/>
      <c r="G2" s="3"/>
      <c r="H2" s="3"/>
      <c r="I2" s="3"/>
      <c r="J2" s="3"/>
      <c r="K2" s="3"/>
      <c r="L2" s="3"/>
      <c r="M2" s="3"/>
      <c r="N2" s="3"/>
      <c r="O2" s="3"/>
      <c r="P2" s="3"/>
      <c r="Q2" s="3"/>
      <c r="R2" s="3"/>
      <c r="S2" s="3"/>
      <c r="T2" s="3"/>
      <c r="U2" s="3"/>
      <c r="V2" s="3"/>
      <c r="W2" s="123"/>
      <c r="X2" s="3"/>
      <c r="Y2" s="122"/>
      <c r="Z2" s="121"/>
      <c r="AA2" s="121"/>
    </row>
    <row r="3" spans="1:27" x14ac:dyDescent="0.25">
      <c r="A3" s="410" t="s">
        <v>645</v>
      </c>
      <c r="B3" s="410"/>
      <c r="C3" s="410"/>
      <c r="D3" s="410"/>
      <c r="E3" s="410"/>
      <c r="F3" s="410"/>
      <c r="G3" s="410"/>
      <c r="H3" s="410"/>
      <c r="I3" s="410"/>
      <c r="J3" s="410"/>
      <c r="K3" s="410"/>
      <c r="L3" s="410"/>
      <c r="M3" s="410"/>
      <c r="N3" s="410"/>
      <c r="O3" s="410"/>
      <c r="P3" s="410"/>
      <c r="Q3" s="410"/>
      <c r="R3" s="410"/>
      <c r="S3" s="410"/>
      <c r="T3" s="410"/>
      <c r="U3" s="410"/>
      <c r="V3" s="410"/>
      <c r="W3" s="410"/>
      <c r="X3" s="410"/>
      <c r="Y3" s="410"/>
      <c r="Z3" s="410"/>
      <c r="AA3" s="410"/>
    </row>
    <row r="4" spans="1:27" customFormat="1" ht="30.75" customHeight="1" x14ac:dyDescent="0.25">
      <c r="A4" s="120" t="s">
        <v>644</v>
      </c>
      <c r="B4" s="118"/>
      <c r="C4" s="118"/>
      <c r="D4" s="118"/>
      <c r="E4" s="119"/>
      <c r="F4" s="118"/>
      <c r="G4" s="118"/>
      <c r="H4" s="118"/>
    </row>
    <row r="5" spans="1:27" ht="63" x14ac:dyDescent="0.25">
      <c r="A5" s="116" t="s">
        <v>643</v>
      </c>
      <c r="B5" s="116"/>
      <c r="C5" s="116"/>
      <c r="D5" s="116"/>
      <c r="E5" s="117"/>
      <c r="F5" s="116"/>
      <c r="G5" s="116"/>
      <c r="H5" s="116"/>
      <c r="I5" s="116" t="s">
        <v>80</v>
      </c>
      <c r="J5" s="411" t="s">
        <v>642</v>
      </c>
      <c r="K5" s="411"/>
      <c r="L5" s="411"/>
      <c r="M5" s="411"/>
      <c r="N5" s="411" t="s">
        <v>641</v>
      </c>
      <c r="O5" s="411"/>
      <c r="P5" s="411"/>
      <c r="Q5" s="411"/>
      <c r="R5" s="412" t="s">
        <v>640</v>
      </c>
      <c r="S5" s="412"/>
      <c r="T5" s="412"/>
      <c r="U5" s="412"/>
      <c r="V5" s="115" t="s">
        <v>639</v>
      </c>
      <c r="W5" s="412" t="s">
        <v>81</v>
      </c>
      <c r="X5" s="412"/>
      <c r="Y5" s="412"/>
      <c r="Z5" s="412"/>
      <c r="AA5" s="412"/>
    </row>
    <row r="6" spans="1:27" x14ac:dyDescent="0.25">
      <c r="A6" s="112" t="s">
        <v>638</v>
      </c>
      <c r="B6" s="112"/>
      <c r="C6" s="112"/>
      <c r="D6" s="112"/>
      <c r="E6" s="114"/>
      <c r="F6" s="112"/>
      <c r="G6" s="112"/>
      <c r="H6" s="112"/>
      <c r="I6" s="113"/>
      <c r="J6" s="112"/>
      <c r="K6" s="112"/>
      <c r="L6" s="112"/>
      <c r="M6" s="112"/>
      <c r="N6" s="112"/>
      <c r="O6" s="112"/>
      <c r="P6" s="112"/>
      <c r="Q6" s="112"/>
      <c r="R6" s="109"/>
      <c r="S6" s="109"/>
      <c r="T6" s="109"/>
      <c r="U6" s="109"/>
      <c r="V6" s="111"/>
      <c r="W6" s="110"/>
      <c r="X6" s="109"/>
      <c r="Y6" s="109"/>
      <c r="Z6" s="109"/>
      <c r="AA6" s="108"/>
    </row>
    <row r="7" spans="1:27" ht="48" customHeight="1" x14ac:dyDescent="0.25">
      <c r="A7" s="106" t="s">
        <v>82</v>
      </c>
      <c r="B7" s="106" t="s">
        <v>83</v>
      </c>
      <c r="C7" s="106" t="s">
        <v>84</v>
      </c>
      <c r="D7" s="106" t="s">
        <v>85</v>
      </c>
      <c r="E7" s="106" t="s">
        <v>86</v>
      </c>
      <c r="F7" s="106" t="s">
        <v>19</v>
      </c>
      <c r="G7" s="106" t="s">
        <v>87</v>
      </c>
      <c r="H7" s="106" t="s">
        <v>54</v>
      </c>
      <c r="I7" s="107" t="s">
        <v>637</v>
      </c>
      <c r="J7" s="106" t="s">
        <v>88</v>
      </c>
      <c r="K7" s="106" t="s">
        <v>89</v>
      </c>
      <c r="L7" s="106" t="s">
        <v>90</v>
      </c>
      <c r="M7" s="106" t="s">
        <v>91</v>
      </c>
      <c r="N7" s="106" t="s">
        <v>92</v>
      </c>
      <c r="O7" s="106" t="s">
        <v>93</v>
      </c>
      <c r="P7" s="106" t="s">
        <v>94</v>
      </c>
      <c r="Q7" s="106" t="s">
        <v>95</v>
      </c>
      <c r="R7" s="106" t="s">
        <v>96</v>
      </c>
      <c r="S7" s="106" t="s">
        <v>97</v>
      </c>
      <c r="T7" s="106" t="s">
        <v>98</v>
      </c>
      <c r="U7" s="106" t="s">
        <v>99</v>
      </c>
      <c r="V7" s="106" t="s">
        <v>100</v>
      </c>
      <c r="W7" s="106" t="s">
        <v>101</v>
      </c>
      <c r="X7" s="106" t="s">
        <v>102</v>
      </c>
      <c r="Y7" s="105" t="s">
        <v>636</v>
      </c>
      <c r="Z7" s="105" t="s">
        <v>635</v>
      </c>
      <c r="AA7" s="104" t="s">
        <v>634</v>
      </c>
    </row>
    <row r="8" spans="1:27" x14ac:dyDescent="0.25">
      <c r="A8" s="96" t="s">
        <v>633</v>
      </c>
      <c r="B8" s="96" t="s">
        <v>632</v>
      </c>
      <c r="C8" s="96" t="s">
        <v>631</v>
      </c>
      <c r="D8" s="96" t="s">
        <v>118</v>
      </c>
      <c r="E8" s="100">
        <v>39120</v>
      </c>
      <c r="F8" s="96" t="s">
        <v>113</v>
      </c>
      <c r="G8" s="96" t="s">
        <v>105</v>
      </c>
      <c r="H8" s="96" t="s">
        <v>106</v>
      </c>
      <c r="I8" s="99">
        <v>38.394005449591297</v>
      </c>
      <c r="J8" s="98">
        <v>1654.4385964912296</v>
      </c>
      <c r="K8" s="98">
        <v>58.824561403508717</v>
      </c>
      <c r="L8" s="98">
        <v>0.66666666666666663</v>
      </c>
      <c r="M8" s="98">
        <v>0</v>
      </c>
      <c r="N8" s="98">
        <v>7.052631578947369</v>
      </c>
      <c r="O8" s="98">
        <v>1706.8771929824559</v>
      </c>
      <c r="P8" s="98">
        <v>0</v>
      </c>
      <c r="Q8" s="98">
        <v>0</v>
      </c>
      <c r="R8" s="98">
        <v>0</v>
      </c>
      <c r="S8" s="98">
        <v>2.8596491228070176</v>
      </c>
      <c r="T8" s="98">
        <v>2.0701754385964914</v>
      </c>
      <c r="U8" s="98">
        <v>1709.0000000000002</v>
      </c>
      <c r="V8" s="98">
        <v>1183.3333333333223</v>
      </c>
      <c r="W8" s="101">
        <v>1100</v>
      </c>
      <c r="X8" s="96" t="s">
        <v>281</v>
      </c>
      <c r="Y8" s="95">
        <v>44936</v>
      </c>
      <c r="Z8" s="95" t="s">
        <v>292</v>
      </c>
      <c r="AA8" s="95" t="s">
        <v>279</v>
      </c>
    </row>
    <row r="9" spans="1:27" ht="16.149999999999999" customHeight="1" x14ac:dyDescent="0.25">
      <c r="A9" s="96" t="s">
        <v>630</v>
      </c>
      <c r="B9" s="96" t="s">
        <v>629</v>
      </c>
      <c r="C9" s="96" t="s">
        <v>590</v>
      </c>
      <c r="D9" s="96" t="s">
        <v>103</v>
      </c>
      <c r="E9" s="100">
        <v>92301</v>
      </c>
      <c r="F9" s="96" t="s">
        <v>104</v>
      </c>
      <c r="G9" s="96" t="s">
        <v>111</v>
      </c>
      <c r="H9" s="96" t="s">
        <v>106</v>
      </c>
      <c r="I9" s="99">
        <v>1713</v>
      </c>
      <c r="J9" s="98">
        <v>0</v>
      </c>
      <c r="K9" s="98">
        <v>0.89473684210526316</v>
      </c>
      <c r="L9" s="98">
        <v>1</v>
      </c>
      <c r="M9" s="98">
        <v>5.2631578947368425</v>
      </c>
      <c r="N9" s="98">
        <v>6.2631578947368425</v>
      </c>
      <c r="O9" s="98">
        <v>0</v>
      </c>
      <c r="P9" s="98">
        <v>0.89473684210526316</v>
      </c>
      <c r="Q9" s="98">
        <v>0</v>
      </c>
      <c r="R9" s="98">
        <v>6.2631578947368425</v>
      </c>
      <c r="S9" s="98">
        <v>0</v>
      </c>
      <c r="T9" s="98">
        <v>0</v>
      </c>
      <c r="U9" s="98">
        <v>0.89473684210526316</v>
      </c>
      <c r="V9" s="98">
        <v>7.1578947368421062</v>
      </c>
      <c r="W9" s="101">
        <v>640</v>
      </c>
      <c r="X9" s="96" t="s">
        <v>281</v>
      </c>
      <c r="Y9" s="95">
        <v>44966</v>
      </c>
      <c r="Z9" s="95" t="s">
        <v>292</v>
      </c>
      <c r="AA9" s="95" t="s">
        <v>279</v>
      </c>
    </row>
    <row r="10" spans="1:27" ht="16.149999999999999" customHeight="1" x14ac:dyDescent="0.25">
      <c r="A10" s="96" t="s">
        <v>628</v>
      </c>
      <c r="B10" s="96" t="s">
        <v>627</v>
      </c>
      <c r="C10" s="96" t="s">
        <v>626</v>
      </c>
      <c r="D10" s="96" t="s">
        <v>161</v>
      </c>
      <c r="E10" s="100">
        <v>27253</v>
      </c>
      <c r="F10" s="96" t="s">
        <v>108</v>
      </c>
      <c r="G10" s="96" t="s">
        <v>114</v>
      </c>
      <c r="H10" s="96" t="s">
        <v>106</v>
      </c>
      <c r="I10" s="99">
        <v>4.7537313432835804</v>
      </c>
      <c r="J10" s="98">
        <v>1.8771929824561402</v>
      </c>
      <c r="K10" s="98">
        <v>5.3684210526315779</v>
      </c>
      <c r="L10" s="98">
        <v>7.9298245614035086</v>
      </c>
      <c r="M10" s="98">
        <v>8.5087719298245581</v>
      </c>
      <c r="N10" s="98">
        <v>19.824561403508774</v>
      </c>
      <c r="O10" s="98">
        <v>3.6666666666666674</v>
      </c>
      <c r="P10" s="98">
        <v>0.14035087719298245</v>
      </c>
      <c r="Q10" s="98">
        <v>5.2631578947368418E-2</v>
      </c>
      <c r="R10" s="98">
        <v>1.6666666666666663</v>
      </c>
      <c r="S10" s="98">
        <v>0.49122807017543857</v>
      </c>
      <c r="T10" s="98">
        <v>0.17543859649122806</v>
      </c>
      <c r="U10" s="98">
        <v>21.350877192982455</v>
      </c>
      <c r="V10" s="98">
        <v>12.701754385964907</v>
      </c>
      <c r="W10" s="101">
        <v>40</v>
      </c>
      <c r="X10" s="96" t="s">
        <v>281</v>
      </c>
      <c r="Y10" s="95">
        <v>45197</v>
      </c>
      <c r="Z10" s="95" t="s">
        <v>280</v>
      </c>
      <c r="AA10" s="95" t="s">
        <v>279</v>
      </c>
    </row>
    <row r="11" spans="1:27" x14ac:dyDescent="0.25">
      <c r="A11" s="96" t="s">
        <v>625</v>
      </c>
      <c r="B11" s="96" t="s">
        <v>624</v>
      </c>
      <c r="C11" s="96" t="s">
        <v>623</v>
      </c>
      <c r="D11" s="96" t="s">
        <v>112</v>
      </c>
      <c r="E11" s="100">
        <v>70655</v>
      </c>
      <c r="F11" s="96" t="s">
        <v>113</v>
      </c>
      <c r="G11" s="96" t="s">
        <v>114</v>
      </c>
      <c r="H11" s="96" t="s">
        <v>5</v>
      </c>
      <c r="I11" s="99">
        <v>41.220588235294102</v>
      </c>
      <c r="J11" s="98">
        <v>116.36842105263187</v>
      </c>
      <c r="K11" s="98">
        <v>0.64912280701754388</v>
      </c>
      <c r="L11" s="98">
        <v>0</v>
      </c>
      <c r="M11" s="98">
        <v>0</v>
      </c>
      <c r="N11" s="98">
        <v>0</v>
      </c>
      <c r="O11" s="98">
        <v>117.01754385964945</v>
      </c>
      <c r="P11" s="98">
        <v>0</v>
      </c>
      <c r="Q11" s="98">
        <v>0</v>
      </c>
      <c r="R11" s="98">
        <v>0</v>
      </c>
      <c r="S11" s="98">
        <v>0</v>
      </c>
      <c r="T11" s="98">
        <v>0</v>
      </c>
      <c r="U11" s="98">
        <v>117.01754385964945</v>
      </c>
      <c r="V11" s="98">
        <v>72.561403508771932</v>
      </c>
      <c r="W11" s="101">
        <v>170</v>
      </c>
      <c r="X11" s="96" t="s">
        <v>281</v>
      </c>
      <c r="Y11" s="95">
        <v>44854</v>
      </c>
      <c r="Z11" s="95" t="s">
        <v>292</v>
      </c>
      <c r="AA11" s="95" t="s">
        <v>279</v>
      </c>
    </row>
    <row r="12" spans="1:27" x14ac:dyDescent="0.25">
      <c r="A12" s="96" t="s">
        <v>622</v>
      </c>
      <c r="B12" s="96" t="s">
        <v>621</v>
      </c>
      <c r="C12" s="96" t="s">
        <v>620</v>
      </c>
      <c r="D12" s="96" t="s">
        <v>134</v>
      </c>
      <c r="E12" s="100">
        <v>32063</v>
      </c>
      <c r="F12" s="96" t="s">
        <v>8</v>
      </c>
      <c r="G12" s="96" t="s">
        <v>114</v>
      </c>
      <c r="H12" s="96" t="s">
        <v>106</v>
      </c>
      <c r="I12" s="99">
        <v>45.4381443298969</v>
      </c>
      <c r="J12" s="98">
        <v>12.649122807017548</v>
      </c>
      <c r="K12" s="98">
        <v>14.368421052631579</v>
      </c>
      <c r="L12" s="98">
        <v>85.43859649122804</v>
      </c>
      <c r="M12" s="98">
        <v>105.52631578947366</v>
      </c>
      <c r="N12" s="98">
        <v>149.42105263157896</v>
      </c>
      <c r="O12" s="98">
        <v>39.649122807017555</v>
      </c>
      <c r="P12" s="98">
        <v>19</v>
      </c>
      <c r="Q12" s="98">
        <v>9.9122807017543852</v>
      </c>
      <c r="R12" s="98">
        <v>85.29824561403511</v>
      </c>
      <c r="S12" s="98">
        <v>17.561403508771928</v>
      </c>
      <c r="T12" s="98">
        <v>28.543859649122801</v>
      </c>
      <c r="U12" s="98">
        <v>86.578947368421041</v>
      </c>
      <c r="V12" s="98">
        <v>142.57894736842098</v>
      </c>
      <c r="W12" s="101">
        <v>192</v>
      </c>
      <c r="X12" s="96" t="s">
        <v>281</v>
      </c>
      <c r="Y12" s="95">
        <v>44854</v>
      </c>
      <c r="Z12" s="95" t="s">
        <v>280</v>
      </c>
      <c r="AA12" s="102" t="s">
        <v>279</v>
      </c>
    </row>
    <row r="13" spans="1:27" ht="16.149999999999999" customHeight="1" x14ac:dyDescent="0.25">
      <c r="A13" s="96" t="s">
        <v>619</v>
      </c>
      <c r="B13" s="96" t="s">
        <v>618</v>
      </c>
      <c r="C13" s="96" t="s">
        <v>617</v>
      </c>
      <c r="D13" s="96" t="s">
        <v>10</v>
      </c>
      <c r="E13" s="100">
        <v>36507</v>
      </c>
      <c r="F13" s="96" t="s">
        <v>113</v>
      </c>
      <c r="G13" s="96" t="s">
        <v>127</v>
      </c>
      <c r="H13" s="96" t="s">
        <v>106</v>
      </c>
      <c r="I13" s="99">
        <v>1.9130434782608701</v>
      </c>
      <c r="J13" s="98">
        <v>1.7543859649122806E-2</v>
      </c>
      <c r="K13" s="98">
        <v>0.24561403508771928</v>
      </c>
      <c r="L13" s="98">
        <v>0.56140350877192979</v>
      </c>
      <c r="M13" s="98">
        <v>5.2631578947368418E-2</v>
      </c>
      <c r="N13" s="98">
        <v>0.43859649122807015</v>
      </c>
      <c r="O13" s="98">
        <v>0.43859649122807015</v>
      </c>
      <c r="P13" s="98">
        <v>0</v>
      </c>
      <c r="Q13" s="98">
        <v>0</v>
      </c>
      <c r="R13" s="98">
        <v>0</v>
      </c>
      <c r="S13" s="98">
        <v>0</v>
      </c>
      <c r="T13" s="98">
        <v>0</v>
      </c>
      <c r="U13" s="98">
        <v>0.87719298245614064</v>
      </c>
      <c r="V13" s="98">
        <v>0.50877192982456143</v>
      </c>
      <c r="W13" s="101"/>
      <c r="X13" s="96" t="s">
        <v>164</v>
      </c>
      <c r="Y13" s="95">
        <v>44935</v>
      </c>
      <c r="Z13" s="95" t="s">
        <v>288</v>
      </c>
      <c r="AA13" s="95" t="s">
        <v>279</v>
      </c>
    </row>
    <row r="14" spans="1:27" ht="16.149999999999999" customHeight="1" x14ac:dyDescent="0.25">
      <c r="A14" s="96" t="s">
        <v>616</v>
      </c>
      <c r="B14" s="96" t="s">
        <v>615</v>
      </c>
      <c r="C14" s="96" t="s">
        <v>614</v>
      </c>
      <c r="D14" s="96" t="s">
        <v>112</v>
      </c>
      <c r="E14" s="100">
        <v>70515</v>
      </c>
      <c r="F14" s="96" t="s">
        <v>113</v>
      </c>
      <c r="G14" s="96" t="s">
        <v>105</v>
      </c>
      <c r="H14" s="96" t="s">
        <v>106</v>
      </c>
      <c r="I14" s="99">
        <v>40.491784037558702</v>
      </c>
      <c r="J14" s="98">
        <v>756.56140350876672</v>
      </c>
      <c r="K14" s="98">
        <v>42.403508771929836</v>
      </c>
      <c r="L14" s="98">
        <v>47.631578947368446</v>
      </c>
      <c r="M14" s="98">
        <v>12.105263157894735</v>
      </c>
      <c r="N14" s="98">
        <v>1.2105263157894737</v>
      </c>
      <c r="O14" s="98">
        <v>0</v>
      </c>
      <c r="P14" s="98">
        <v>80.491228070175467</v>
      </c>
      <c r="Q14" s="98">
        <v>776.99999999999454</v>
      </c>
      <c r="R14" s="98">
        <v>50.912280701754391</v>
      </c>
      <c r="S14" s="98">
        <v>14.438596491228068</v>
      </c>
      <c r="T14" s="98">
        <v>8.7719298245614041</v>
      </c>
      <c r="U14" s="98">
        <v>784.57894736841558</v>
      </c>
      <c r="V14" s="98">
        <v>502.52631578947086</v>
      </c>
      <c r="W14" s="101">
        <v>700</v>
      </c>
      <c r="X14" s="96" t="s">
        <v>281</v>
      </c>
      <c r="Y14" s="95">
        <v>44994</v>
      </c>
      <c r="Z14" s="95" t="s">
        <v>292</v>
      </c>
      <c r="AA14" s="95" t="s">
        <v>279</v>
      </c>
    </row>
    <row r="15" spans="1:27" x14ac:dyDescent="0.25">
      <c r="A15" s="96" t="s">
        <v>613</v>
      </c>
      <c r="B15" s="96" t="s">
        <v>612</v>
      </c>
      <c r="C15" s="96" t="s">
        <v>611</v>
      </c>
      <c r="D15" s="96" t="s">
        <v>130</v>
      </c>
      <c r="E15" s="100">
        <v>7601</v>
      </c>
      <c r="F15" s="96" t="s">
        <v>145</v>
      </c>
      <c r="G15" s="96" t="s">
        <v>127</v>
      </c>
      <c r="H15" s="96" t="s">
        <v>106</v>
      </c>
      <c r="I15" s="99"/>
      <c r="J15" s="98">
        <v>0</v>
      </c>
      <c r="K15" s="98">
        <v>0.36842105263157893</v>
      </c>
      <c r="L15" s="98">
        <v>0</v>
      </c>
      <c r="M15" s="98">
        <v>0</v>
      </c>
      <c r="N15" s="98">
        <v>0</v>
      </c>
      <c r="O15" s="98">
        <v>0.36842105263157893</v>
      </c>
      <c r="P15" s="98">
        <v>0</v>
      </c>
      <c r="Q15" s="98">
        <v>0</v>
      </c>
      <c r="R15" s="98">
        <v>0</v>
      </c>
      <c r="S15" s="98">
        <v>0</v>
      </c>
      <c r="T15" s="98">
        <v>0</v>
      </c>
      <c r="U15" s="98">
        <v>0.36842105263157893</v>
      </c>
      <c r="V15" s="98">
        <v>0</v>
      </c>
      <c r="W15" s="101"/>
      <c r="X15" s="96" t="s">
        <v>281</v>
      </c>
      <c r="Y15" s="95">
        <v>44288</v>
      </c>
      <c r="Z15" s="95" t="s">
        <v>280</v>
      </c>
      <c r="AA15" s="102" t="s">
        <v>279</v>
      </c>
    </row>
    <row r="16" spans="1:27" ht="16.149999999999999" customHeight="1" x14ac:dyDescent="0.25">
      <c r="A16" s="96" t="s">
        <v>610</v>
      </c>
      <c r="B16" s="96" t="s">
        <v>609</v>
      </c>
      <c r="C16" s="96" t="s">
        <v>608</v>
      </c>
      <c r="D16" s="96" t="s">
        <v>109</v>
      </c>
      <c r="E16" s="100">
        <v>79501</v>
      </c>
      <c r="F16" s="96" t="s">
        <v>129</v>
      </c>
      <c r="G16" s="96" t="s">
        <v>105</v>
      </c>
      <c r="H16" s="96" t="s">
        <v>5</v>
      </c>
      <c r="I16" s="99">
        <v>45.926282051282101</v>
      </c>
      <c r="J16" s="98">
        <v>431.03508771929745</v>
      </c>
      <c r="K16" s="98">
        <v>121.92982456140351</v>
      </c>
      <c r="L16" s="98">
        <v>49.9298245614035</v>
      </c>
      <c r="M16" s="98">
        <v>23.403508771929822</v>
      </c>
      <c r="N16" s="98">
        <v>100.03508771929833</v>
      </c>
      <c r="O16" s="98">
        <v>474.9298245614026</v>
      </c>
      <c r="P16" s="98">
        <v>2.5438596491228069</v>
      </c>
      <c r="Q16" s="98">
        <v>48.789473684210591</v>
      </c>
      <c r="R16" s="98">
        <v>31.403508771929822</v>
      </c>
      <c r="S16" s="98">
        <v>17.421052631578945</v>
      </c>
      <c r="T16" s="98">
        <v>29.912280701754387</v>
      </c>
      <c r="U16" s="98">
        <v>547.5614035087699</v>
      </c>
      <c r="V16" s="98">
        <v>496.3859649122806</v>
      </c>
      <c r="W16" s="101">
        <v>750</v>
      </c>
      <c r="X16" s="96" t="s">
        <v>281</v>
      </c>
      <c r="Y16" s="95">
        <v>44917</v>
      </c>
      <c r="Z16" s="95" t="s">
        <v>292</v>
      </c>
      <c r="AA16" s="95" t="s">
        <v>279</v>
      </c>
    </row>
    <row r="17" spans="1:27" x14ac:dyDescent="0.25">
      <c r="A17" s="96" t="s">
        <v>607</v>
      </c>
      <c r="B17" s="96" t="s">
        <v>606</v>
      </c>
      <c r="C17" s="96" t="s">
        <v>605</v>
      </c>
      <c r="D17" s="96" t="s">
        <v>154</v>
      </c>
      <c r="E17" s="100">
        <v>41005</v>
      </c>
      <c r="F17" s="96" t="s">
        <v>9</v>
      </c>
      <c r="G17" s="96" t="s">
        <v>127</v>
      </c>
      <c r="H17" s="96" t="s">
        <v>106</v>
      </c>
      <c r="I17" s="99">
        <v>37.163934426229503</v>
      </c>
      <c r="J17" s="98">
        <v>22.105263157894736</v>
      </c>
      <c r="K17" s="98">
        <v>16.087719298245613</v>
      </c>
      <c r="L17" s="98">
        <v>45.824561403508788</v>
      </c>
      <c r="M17" s="98">
        <v>51.368421052631589</v>
      </c>
      <c r="N17" s="98">
        <v>102.140350877193</v>
      </c>
      <c r="O17" s="98">
        <v>30.842105263157887</v>
      </c>
      <c r="P17" s="98">
        <v>2.3157894736842106</v>
      </c>
      <c r="Q17" s="98">
        <v>8.771929824561403E-2</v>
      </c>
      <c r="R17" s="98">
        <v>47.245614035087719</v>
      </c>
      <c r="S17" s="98">
        <v>17.421052631578945</v>
      </c>
      <c r="T17" s="98">
        <v>15.807017543859647</v>
      </c>
      <c r="U17" s="98">
        <v>54.912280701754398</v>
      </c>
      <c r="V17" s="98">
        <v>95.771929824561454</v>
      </c>
      <c r="W17" s="101"/>
      <c r="X17" s="96" t="s">
        <v>281</v>
      </c>
      <c r="Y17" s="95">
        <v>44896</v>
      </c>
      <c r="Z17" s="95" t="s">
        <v>371</v>
      </c>
      <c r="AA17" s="102" t="s">
        <v>279</v>
      </c>
    </row>
    <row r="18" spans="1:27" x14ac:dyDescent="0.25">
      <c r="A18" s="96" t="s">
        <v>604</v>
      </c>
      <c r="B18" s="96" t="s">
        <v>603</v>
      </c>
      <c r="C18" s="96" t="s">
        <v>602</v>
      </c>
      <c r="D18" s="96" t="s">
        <v>167</v>
      </c>
      <c r="E18" s="100">
        <v>939</v>
      </c>
      <c r="F18" s="96" t="s">
        <v>8</v>
      </c>
      <c r="G18" s="96" t="s">
        <v>163</v>
      </c>
      <c r="H18" s="96" t="s">
        <v>106</v>
      </c>
      <c r="I18" s="99">
        <v>9.2058823529411793</v>
      </c>
      <c r="J18" s="98">
        <v>0</v>
      </c>
      <c r="K18" s="98">
        <v>1.2280701754385963</v>
      </c>
      <c r="L18" s="98">
        <v>3.333333333333333</v>
      </c>
      <c r="M18" s="98">
        <v>1.3859649122807016</v>
      </c>
      <c r="N18" s="98">
        <v>5.0877192982456121</v>
      </c>
      <c r="O18" s="98">
        <v>0.85964912280701755</v>
      </c>
      <c r="P18" s="98">
        <v>0</v>
      </c>
      <c r="Q18" s="98">
        <v>0</v>
      </c>
      <c r="R18" s="98">
        <v>0.21052631578947367</v>
      </c>
      <c r="S18" s="98">
        <v>0.14035087719298245</v>
      </c>
      <c r="T18" s="98">
        <v>0</v>
      </c>
      <c r="U18" s="98">
        <v>5.5964912280701737</v>
      </c>
      <c r="V18" s="98">
        <v>5.1929824561403493</v>
      </c>
      <c r="W18" s="101"/>
      <c r="X18" s="96" t="s">
        <v>115</v>
      </c>
      <c r="Y18" s="103" t="s">
        <v>115</v>
      </c>
      <c r="Z18" s="103" t="s">
        <v>115</v>
      </c>
      <c r="AA18" s="103" t="s">
        <v>115</v>
      </c>
    </row>
    <row r="19" spans="1:27" x14ac:dyDescent="0.25">
      <c r="A19" s="96" t="s">
        <v>601</v>
      </c>
      <c r="B19" s="96" t="s">
        <v>600</v>
      </c>
      <c r="C19" s="96" t="s">
        <v>599</v>
      </c>
      <c r="D19" s="96" t="s">
        <v>162</v>
      </c>
      <c r="E19" s="100">
        <v>96819</v>
      </c>
      <c r="F19" s="96" t="s">
        <v>141</v>
      </c>
      <c r="G19" s="96" t="s">
        <v>163</v>
      </c>
      <c r="H19" s="96" t="s">
        <v>106</v>
      </c>
      <c r="I19" s="99">
        <v>32</v>
      </c>
      <c r="J19" s="98">
        <v>1.5438596491228069</v>
      </c>
      <c r="K19" s="98">
        <v>7.6491228070175428</v>
      </c>
      <c r="L19" s="98">
        <v>3.3684210526315788</v>
      </c>
      <c r="M19" s="98">
        <v>4.333333333333333</v>
      </c>
      <c r="N19" s="98">
        <v>8.6666666666666661</v>
      </c>
      <c r="O19" s="98">
        <v>3.8771929824561395</v>
      </c>
      <c r="P19" s="98">
        <v>2.1052631578947367</v>
      </c>
      <c r="Q19" s="98">
        <v>2.2456140350877196</v>
      </c>
      <c r="R19" s="98">
        <v>10.017543859649122</v>
      </c>
      <c r="S19" s="98">
        <v>1.7543859649122806E-2</v>
      </c>
      <c r="T19" s="98">
        <v>0.31578947368421051</v>
      </c>
      <c r="U19" s="98">
        <v>6.5438596491228056</v>
      </c>
      <c r="V19" s="98">
        <v>12.771929824561399</v>
      </c>
      <c r="W19" s="101"/>
      <c r="X19" s="96" t="s">
        <v>115</v>
      </c>
      <c r="Y19" s="103" t="s">
        <v>115</v>
      </c>
      <c r="Z19" s="103" t="s">
        <v>115</v>
      </c>
      <c r="AA19" s="103" t="s">
        <v>115</v>
      </c>
    </row>
    <row r="20" spans="1:27" x14ac:dyDescent="0.25">
      <c r="A20" s="96" t="s">
        <v>598</v>
      </c>
      <c r="B20" s="96" t="s">
        <v>597</v>
      </c>
      <c r="C20" s="96" t="s">
        <v>596</v>
      </c>
      <c r="D20" s="96" t="s">
        <v>139</v>
      </c>
      <c r="E20" s="100">
        <v>14020</v>
      </c>
      <c r="F20" s="96" t="s">
        <v>140</v>
      </c>
      <c r="G20" s="96" t="s">
        <v>123</v>
      </c>
      <c r="H20" s="96" t="s">
        <v>106</v>
      </c>
      <c r="I20" s="99">
        <v>52.629191321499</v>
      </c>
      <c r="J20" s="98">
        <v>217.50877192982588</v>
      </c>
      <c r="K20" s="98">
        <v>32.315789473684212</v>
      </c>
      <c r="L20" s="98">
        <v>81.491228070175438</v>
      </c>
      <c r="M20" s="98">
        <v>179.59649122807016</v>
      </c>
      <c r="N20" s="98">
        <v>241.01754385964927</v>
      </c>
      <c r="O20" s="98">
        <v>269.87719298245617</v>
      </c>
      <c r="P20" s="98">
        <v>0</v>
      </c>
      <c r="Q20" s="98">
        <v>1.7543859649122806E-2</v>
      </c>
      <c r="R20" s="98">
        <v>177.50877192982455</v>
      </c>
      <c r="S20" s="98">
        <v>23.596491228070175</v>
      </c>
      <c r="T20" s="98">
        <v>13.385964912280702</v>
      </c>
      <c r="U20" s="98">
        <v>296.42105263157782</v>
      </c>
      <c r="V20" s="98">
        <v>339.12280701754321</v>
      </c>
      <c r="W20" s="101">
        <v>400</v>
      </c>
      <c r="X20" s="96" t="s">
        <v>281</v>
      </c>
      <c r="Y20" s="95">
        <v>44910</v>
      </c>
      <c r="Z20" s="95" t="s">
        <v>292</v>
      </c>
      <c r="AA20" s="102" t="s">
        <v>279</v>
      </c>
    </row>
    <row r="21" spans="1:27" ht="16.149999999999999" customHeight="1" x14ac:dyDescent="0.25">
      <c r="A21" s="96" t="s">
        <v>595</v>
      </c>
      <c r="B21" s="96" t="s">
        <v>594</v>
      </c>
      <c r="C21" s="96" t="s">
        <v>593</v>
      </c>
      <c r="D21" s="96" t="s">
        <v>103</v>
      </c>
      <c r="E21" s="100">
        <v>93301</v>
      </c>
      <c r="F21" s="96" t="s">
        <v>141</v>
      </c>
      <c r="G21" s="96" t="s">
        <v>111</v>
      </c>
      <c r="H21" s="96" t="s">
        <v>106</v>
      </c>
      <c r="I21" s="99">
        <v>339.27272727272702</v>
      </c>
      <c r="J21" s="98">
        <v>3.5087719298245612E-2</v>
      </c>
      <c r="K21" s="98">
        <v>0</v>
      </c>
      <c r="L21" s="98">
        <v>13</v>
      </c>
      <c r="M21" s="98">
        <v>30.070175438596497</v>
      </c>
      <c r="N21" s="98">
        <v>43.10526315789474</v>
      </c>
      <c r="O21" s="98">
        <v>0</v>
      </c>
      <c r="P21" s="98">
        <v>0</v>
      </c>
      <c r="Q21" s="98">
        <v>0</v>
      </c>
      <c r="R21" s="98">
        <v>36.649122807017541</v>
      </c>
      <c r="S21" s="98">
        <v>3</v>
      </c>
      <c r="T21" s="98">
        <v>0</v>
      </c>
      <c r="U21" s="98">
        <v>3.4561403508771931</v>
      </c>
      <c r="V21" s="98">
        <v>35.15789473684211</v>
      </c>
      <c r="W21" s="101">
        <v>320</v>
      </c>
      <c r="X21" s="96" t="s">
        <v>281</v>
      </c>
      <c r="Y21" s="95">
        <v>44903</v>
      </c>
      <c r="Z21" s="95" t="s">
        <v>292</v>
      </c>
      <c r="AA21" s="95" t="s">
        <v>279</v>
      </c>
    </row>
    <row r="22" spans="1:27" ht="16.149999999999999" customHeight="1" x14ac:dyDescent="0.25">
      <c r="A22" s="96" t="s">
        <v>592</v>
      </c>
      <c r="B22" s="96" t="s">
        <v>591</v>
      </c>
      <c r="C22" s="96" t="s">
        <v>590</v>
      </c>
      <c r="D22" s="96" t="s">
        <v>103</v>
      </c>
      <c r="E22" s="100">
        <v>92301</v>
      </c>
      <c r="F22" s="96" t="s">
        <v>104</v>
      </c>
      <c r="G22" s="96" t="s">
        <v>111</v>
      </c>
      <c r="H22" s="96" t="s">
        <v>106</v>
      </c>
      <c r="I22" s="99">
        <v>17.784971098265899</v>
      </c>
      <c r="J22" s="98">
        <v>173.89473684210623</v>
      </c>
      <c r="K22" s="98">
        <v>11.912280701754385</v>
      </c>
      <c r="L22" s="98">
        <v>72.122807017543835</v>
      </c>
      <c r="M22" s="98">
        <v>125.12280701754385</v>
      </c>
      <c r="N22" s="98">
        <v>196.17543859649143</v>
      </c>
      <c r="O22" s="98">
        <v>185.87719298245736</v>
      </c>
      <c r="P22" s="98">
        <v>1</v>
      </c>
      <c r="Q22" s="98">
        <v>0</v>
      </c>
      <c r="R22" s="98">
        <v>134.07017543859652</v>
      </c>
      <c r="S22" s="98">
        <v>38.315789473684212</v>
      </c>
      <c r="T22" s="98">
        <v>6.3508771929824563</v>
      </c>
      <c r="U22" s="98">
        <v>204.31578947368558</v>
      </c>
      <c r="V22" s="98">
        <v>195.66666666666706</v>
      </c>
      <c r="W22" s="101">
        <v>480</v>
      </c>
      <c r="X22" s="96" t="s">
        <v>281</v>
      </c>
      <c r="Y22" s="95">
        <v>44994</v>
      </c>
      <c r="Z22" s="95" t="s">
        <v>292</v>
      </c>
      <c r="AA22" s="95" t="s">
        <v>279</v>
      </c>
    </row>
    <row r="23" spans="1:27" x14ac:dyDescent="0.25">
      <c r="A23" s="96" t="s">
        <v>589</v>
      </c>
      <c r="B23" s="96" t="s">
        <v>588</v>
      </c>
      <c r="C23" s="96" t="s">
        <v>587</v>
      </c>
      <c r="D23" s="96" t="s">
        <v>153</v>
      </c>
      <c r="E23" s="100">
        <v>49014</v>
      </c>
      <c r="F23" s="96" t="s">
        <v>151</v>
      </c>
      <c r="G23" s="96" t="s">
        <v>114</v>
      </c>
      <c r="H23" s="96" t="s">
        <v>106</v>
      </c>
      <c r="I23" s="99">
        <v>51.352459016393396</v>
      </c>
      <c r="J23" s="98">
        <v>73.052631578947512</v>
      </c>
      <c r="K23" s="98">
        <v>13.070175438596491</v>
      </c>
      <c r="L23" s="98">
        <v>19.350877192982459</v>
      </c>
      <c r="M23" s="98">
        <v>18.385964912280699</v>
      </c>
      <c r="N23" s="98">
        <v>41.298245614035082</v>
      </c>
      <c r="O23" s="98">
        <v>66.789473684210492</v>
      </c>
      <c r="P23" s="98">
        <v>2.3333333333333335</v>
      </c>
      <c r="Q23" s="98">
        <v>13.438596491228056</v>
      </c>
      <c r="R23" s="98">
        <v>17.649122807017541</v>
      </c>
      <c r="S23" s="98">
        <v>8.1403508771929829</v>
      </c>
      <c r="T23" s="98">
        <v>13.228070175438596</v>
      </c>
      <c r="U23" s="98">
        <v>84.842105263158032</v>
      </c>
      <c r="V23" s="98">
        <v>80.491228070175595</v>
      </c>
      <c r="W23" s="97">
        <v>75</v>
      </c>
      <c r="X23" s="96" t="s">
        <v>281</v>
      </c>
      <c r="Y23" s="95">
        <v>45029</v>
      </c>
      <c r="Z23" s="95" t="s">
        <v>280</v>
      </c>
      <c r="AA23" s="102" t="s">
        <v>279</v>
      </c>
    </row>
    <row r="24" spans="1:27" x14ac:dyDescent="0.25">
      <c r="A24" s="96" t="s">
        <v>586</v>
      </c>
      <c r="B24" s="96" t="s">
        <v>585</v>
      </c>
      <c r="C24" s="96" t="s">
        <v>584</v>
      </c>
      <c r="D24" s="96" t="s">
        <v>132</v>
      </c>
      <c r="E24" s="100">
        <v>22427</v>
      </c>
      <c r="F24" s="96" t="s">
        <v>133</v>
      </c>
      <c r="G24" s="96" t="s">
        <v>105</v>
      </c>
      <c r="H24" s="96" t="s">
        <v>106</v>
      </c>
      <c r="I24" s="99">
        <v>57.011363636363598</v>
      </c>
      <c r="J24" s="98">
        <v>97.57894736842124</v>
      </c>
      <c r="K24" s="98">
        <v>29.421052631578959</v>
      </c>
      <c r="L24" s="98">
        <v>60.175438596491247</v>
      </c>
      <c r="M24" s="98">
        <v>72.543859649122837</v>
      </c>
      <c r="N24" s="98">
        <v>147.10526315789474</v>
      </c>
      <c r="O24" s="98">
        <v>112.61403508771946</v>
      </c>
      <c r="P24" s="98">
        <v>0</v>
      </c>
      <c r="Q24" s="98">
        <v>0</v>
      </c>
      <c r="R24" s="98">
        <v>51.859649122807021</v>
      </c>
      <c r="S24" s="98">
        <v>36.771929824561404</v>
      </c>
      <c r="T24" s="98">
        <v>23.736842105263158</v>
      </c>
      <c r="U24" s="98">
        <v>147.35087719298258</v>
      </c>
      <c r="V24" s="98">
        <v>148.45614035087721</v>
      </c>
      <c r="W24" s="101">
        <v>224</v>
      </c>
      <c r="X24" s="96" t="s">
        <v>281</v>
      </c>
      <c r="Y24" s="95">
        <v>44917</v>
      </c>
      <c r="Z24" s="95" t="s">
        <v>292</v>
      </c>
      <c r="AA24" s="102" t="s">
        <v>279</v>
      </c>
    </row>
    <row r="25" spans="1:27" ht="16.149999999999999" customHeight="1" x14ac:dyDescent="0.25">
      <c r="A25" s="96" t="s">
        <v>583</v>
      </c>
      <c r="B25" s="96" t="s">
        <v>582</v>
      </c>
      <c r="C25" s="96" t="s">
        <v>581</v>
      </c>
      <c r="D25" s="96" t="s">
        <v>109</v>
      </c>
      <c r="E25" s="100">
        <v>78380</v>
      </c>
      <c r="F25" s="96" t="s">
        <v>293</v>
      </c>
      <c r="G25" s="96" t="s">
        <v>127</v>
      </c>
      <c r="H25" s="96" t="s">
        <v>5</v>
      </c>
      <c r="I25" s="99">
        <v>2.64640883977901</v>
      </c>
      <c r="J25" s="98">
        <v>4.1052631578947389</v>
      </c>
      <c r="K25" s="98">
        <v>2.8596491228070198</v>
      </c>
      <c r="L25" s="98">
        <v>0.96491228070175461</v>
      </c>
      <c r="M25" s="98">
        <v>0.15789473684210525</v>
      </c>
      <c r="N25" s="98">
        <v>3.0701754385964941</v>
      </c>
      <c r="O25" s="98">
        <v>3.7017543859649145</v>
      </c>
      <c r="P25" s="98">
        <v>0.21052631578947367</v>
      </c>
      <c r="Q25" s="98">
        <v>1.1052631578947369</v>
      </c>
      <c r="R25" s="98">
        <v>0.84210526315789469</v>
      </c>
      <c r="S25" s="98">
        <v>0.56140350877192979</v>
      </c>
      <c r="T25" s="98">
        <v>0.31578947368421051</v>
      </c>
      <c r="U25" s="98">
        <v>6.3684210526315761</v>
      </c>
      <c r="V25" s="98">
        <v>6.9298245614035068</v>
      </c>
      <c r="W25" s="101"/>
      <c r="X25" s="96" t="s">
        <v>281</v>
      </c>
      <c r="Y25" s="95">
        <v>44903</v>
      </c>
      <c r="Z25" s="95" t="s">
        <v>280</v>
      </c>
      <c r="AA25" s="95" t="s">
        <v>279</v>
      </c>
    </row>
    <row r="26" spans="1:27" x14ac:dyDescent="0.25">
      <c r="A26" s="96" t="s">
        <v>580</v>
      </c>
      <c r="B26" s="96" t="s">
        <v>579</v>
      </c>
      <c r="C26" s="96" t="s">
        <v>503</v>
      </c>
      <c r="D26" s="96" t="s">
        <v>116</v>
      </c>
      <c r="E26" s="100">
        <v>85232</v>
      </c>
      <c r="F26" s="96" t="s">
        <v>117</v>
      </c>
      <c r="G26" s="96" t="s">
        <v>127</v>
      </c>
      <c r="H26" s="96" t="s">
        <v>5</v>
      </c>
      <c r="I26" s="99">
        <v>49.326086956521699</v>
      </c>
      <c r="J26" s="98">
        <v>69.122807017544062</v>
      </c>
      <c r="K26" s="98">
        <v>33.964912280701746</v>
      </c>
      <c r="L26" s="98">
        <v>134.24561403508784</v>
      </c>
      <c r="M26" s="98">
        <v>127.56140350877196</v>
      </c>
      <c r="N26" s="98">
        <v>241.91228070175458</v>
      </c>
      <c r="O26" s="98">
        <v>122.9824561403511</v>
      </c>
      <c r="P26" s="98">
        <v>0</v>
      </c>
      <c r="Q26" s="98">
        <v>0</v>
      </c>
      <c r="R26" s="98">
        <v>108.26315789473684</v>
      </c>
      <c r="S26" s="98">
        <v>31.666666666666661</v>
      </c>
      <c r="T26" s="98">
        <v>27.89473684210526</v>
      </c>
      <c r="U26" s="98">
        <v>197.07017543859698</v>
      </c>
      <c r="V26" s="98">
        <v>210.26315789473753</v>
      </c>
      <c r="W26" s="101"/>
      <c r="X26" s="96" t="s">
        <v>281</v>
      </c>
      <c r="Y26" s="95">
        <v>44896</v>
      </c>
      <c r="Z26" s="95" t="s">
        <v>128</v>
      </c>
      <c r="AA26" s="95" t="s">
        <v>279</v>
      </c>
    </row>
    <row r="27" spans="1:27" x14ac:dyDescent="0.25">
      <c r="A27" s="96" t="s">
        <v>578</v>
      </c>
      <c r="B27" s="96" t="s">
        <v>577</v>
      </c>
      <c r="C27" s="96" t="s">
        <v>576</v>
      </c>
      <c r="D27" s="96" t="s">
        <v>109</v>
      </c>
      <c r="E27" s="100">
        <v>76574</v>
      </c>
      <c r="F27" s="96" t="s">
        <v>110</v>
      </c>
      <c r="G27" s="96" t="s">
        <v>105</v>
      </c>
      <c r="H27" s="96" t="s">
        <v>5</v>
      </c>
      <c r="I27" s="99">
        <v>47.207505518763803</v>
      </c>
      <c r="J27" s="98">
        <v>188.61403508771937</v>
      </c>
      <c r="K27" s="98">
        <v>48.561403508771932</v>
      </c>
      <c r="L27" s="98">
        <v>83.596491228070221</v>
      </c>
      <c r="M27" s="98">
        <v>114.03508771929835</v>
      </c>
      <c r="N27" s="98">
        <v>191.85964912280733</v>
      </c>
      <c r="O27" s="98">
        <v>242.94736842105294</v>
      </c>
      <c r="P27" s="98">
        <v>0</v>
      </c>
      <c r="Q27" s="98">
        <v>0</v>
      </c>
      <c r="R27" s="98">
        <v>76.385964912280699</v>
      </c>
      <c r="S27" s="98">
        <v>46.631578947368411</v>
      </c>
      <c r="T27" s="98">
        <v>65.807017543859658</v>
      </c>
      <c r="U27" s="98">
        <v>245.98245614035113</v>
      </c>
      <c r="V27" s="98">
        <v>348.03508771929842</v>
      </c>
      <c r="W27" s="101">
        <v>461</v>
      </c>
      <c r="X27" s="96" t="s">
        <v>281</v>
      </c>
      <c r="Y27" s="95">
        <v>44903</v>
      </c>
      <c r="Z27" s="95" t="s">
        <v>292</v>
      </c>
      <c r="AA27" s="102" t="s">
        <v>279</v>
      </c>
    </row>
    <row r="28" spans="1:27" x14ac:dyDescent="0.25">
      <c r="A28" s="96" t="s">
        <v>575</v>
      </c>
      <c r="B28" s="96" t="s">
        <v>574</v>
      </c>
      <c r="C28" s="96" t="s">
        <v>200</v>
      </c>
      <c r="D28" s="96" t="s">
        <v>103</v>
      </c>
      <c r="E28" s="100">
        <v>92154</v>
      </c>
      <c r="F28" s="96" t="s">
        <v>119</v>
      </c>
      <c r="G28" s="96" t="s">
        <v>111</v>
      </c>
      <c r="H28" s="96" t="s">
        <v>106</v>
      </c>
      <c r="I28" s="99">
        <v>67.478747203579402</v>
      </c>
      <c r="J28" s="98">
        <v>958.3508771929811</v>
      </c>
      <c r="K28" s="98">
        <v>135.52631578947344</v>
      </c>
      <c r="L28" s="98">
        <v>60.491228070175438</v>
      </c>
      <c r="M28" s="98">
        <v>91.807017543859644</v>
      </c>
      <c r="N28" s="98">
        <v>242.56140350877192</v>
      </c>
      <c r="O28" s="98">
        <v>770.84210526315655</v>
      </c>
      <c r="P28" s="98">
        <v>24.912280701754391</v>
      </c>
      <c r="Q28" s="98">
        <v>207.8596491228065</v>
      </c>
      <c r="R28" s="98">
        <v>150.87719298245614</v>
      </c>
      <c r="S28" s="98">
        <v>45.000000000000014</v>
      </c>
      <c r="T28" s="98">
        <v>50.947368421052623</v>
      </c>
      <c r="U28" s="98">
        <v>999.35087719298156</v>
      </c>
      <c r="V28" s="98">
        <v>770.19298245613925</v>
      </c>
      <c r="W28" s="101">
        <v>750</v>
      </c>
      <c r="X28" s="96" t="s">
        <v>281</v>
      </c>
      <c r="Y28" s="95">
        <v>44854</v>
      </c>
      <c r="Z28" s="95" t="s">
        <v>292</v>
      </c>
      <c r="AA28" s="102" t="s">
        <v>279</v>
      </c>
    </row>
    <row r="29" spans="1:27" ht="16.149999999999999" customHeight="1" x14ac:dyDescent="0.25">
      <c r="A29" s="96" t="s">
        <v>573</v>
      </c>
      <c r="B29" s="96" t="s">
        <v>572</v>
      </c>
      <c r="C29" s="96" t="s">
        <v>571</v>
      </c>
      <c r="D29" s="96" t="s">
        <v>158</v>
      </c>
      <c r="E29" s="100">
        <v>66845</v>
      </c>
      <c r="F29" s="96" t="s">
        <v>9</v>
      </c>
      <c r="G29" s="96" t="s">
        <v>114</v>
      </c>
      <c r="H29" s="96" t="s">
        <v>106</v>
      </c>
      <c r="I29" s="99">
        <v>30.7741935483871</v>
      </c>
      <c r="J29" s="98">
        <v>7.9824561403508758</v>
      </c>
      <c r="K29" s="98">
        <v>12.070175438596493</v>
      </c>
      <c r="L29" s="98">
        <v>41.456140350877178</v>
      </c>
      <c r="M29" s="98">
        <v>20.75438596491227</v>
      </c>
      <c r="N29" s="98">
        <v>48.631578947368411</v>
      </c>
      <c r="O29" s="98">
        <v>25.631578947368418</v>
      </c>
      <c r="P29" s="98">
        <v>6.1052631578947363</v>
      </c>
      <c r="Q29" s="98">
        <v>1.8947368421052631</v>
      </c>
      <c r="R29" s="98">
        <v>23.350877192982452</v>
      </c>
      <c r="S29" s="98">
        <v>9.3333333333333321</v>
      </c>
      <c r="T29" s="98">
        <v>9.8596491228070207</v>
      </c>
      <c r="U29" s="98">
        <v>39.719298245614034</v>
      </c>
      <c r="V29" s="98">
        <v>61.508771929824547</v>
      </c>
      <c r="W29" s="101"/>
      <c r="X29" s="96" t="s">
        <v>281</v>
      </c>
      <c r="Y29" s="95">
        <v>45001</v>
      </c>
      <c r="Z29" s="95" t="s">
        <v>280</v>
      </c>
      <c r="AA29" s="95" t="s">
        <v>279</v>
      </c>
    </row>
    <row r="30" spans="1:27" ht="16.149999999999999" customHeight="1" x14ac:dyDescent="0.25">
      <c r="A30" s="96" t="s">
        <v>570</v>
      </c>
      <c r="B30" s="96" t="s">
        <v>569</v>
      </c>
      <c r="C30" s="96" t="s">
        <v>568</v>
      </c>
      <c r="D30" s="96" t="s">
        <v>153</v>
      </c>
      <c r="E30" s="100">
        <v>49783</v>
      </c>
      <c r="F30" s="96" t="s">
        <v>151</v>
      </c>
      <c r="G30" s="96" t="s">
        <v>114</v>
      </c>
      <c r="H30" s="96" t="s">
        <v>106</v>
      </c>
      <c r="I30" s="99">
        <v>71.823529411764696</v>
      </c>
      <c r="J30" s="98">
        <v>8.0175438596491233</v>
      </c>
      <c r="K30" s="98">
        <v>0</v>
      </c>
      <c r="L30" s="98">
        <v>0.78947368421052633</v>
      </c>
      <c r="M30" s="98">
        <v>2.1228070175438591</v>
      </c>
      <c r="N30" s="98">
        <v>2.4561403508771926</v>
      </c>
      <c r="O30" s="98">
        <v>8.4736842105263133</v>
      </c>
      <c r="P30" s="98">
        <v>0</v>
      </c>
      <c r="Q30" s="98">
        <v>0</v>
      </c>
      <c r="R30" s="98">
        <v>8.771929824561403E-2</v>
      </c>
      <c r="S30" s="98">
        <v>0.33333333333333331</v>
      </c>
      <c r="T30" s="98">
        <v>0</v>
      </c>
      <c r="U30" s="98">
        <v>10.508771929824558</v>
      </c>
      <c r="V30" s="98">
        <v>7.5438596491228074</v>
      </c>
      <c r="W30" s="101"/>
      <c r="X30" s="96" t="s">
        <v>281</v>
      </c>
      <c r="Y30" s="95">
        <v>45057</v>
      </c>
      <c r="Z30" s="95" t="s">
        <v>280</v>
      </c>
      <c r="AA30" s="95" t="s">
        <v>279</v>
      </c>
    </row>
    <row r="31" spans="1:27" ht="16.149999999999999" customHeight="1" x14ac:dyDescent="0.25">
      <c r="A31" s="96" t="s">
        <v>567</v>
      </c>
      <c r="B31" s="96" t="s">
        <v>566</v>
      </c>
      <c r="C31" s="96" t="s">
        <v>565</v>
      </c>
      <c r="D31" s="96" t="s">
        <v>124</v>
      </c>
      <c r="E31" s="100">
        <v>87021</v>
      </c>
      <c r="F31" s="96" t="s">
        <v>125</v>
      </c>
      <c r="G31" s="96" t="s">
        <v>114</v>
      </c>
      <c r="H31" s="96" t="s">
        <v>5</v>
      </c>
      <c r="I31" s="99">
        <v>22.085000000000001</v>
      </c>
      <c r="J31" s="98">
        <v>128.87719298245676</v>
      </c>
      <c r="K31" s="98">
        <v>4.8070175438596481</v>
      </c>
      <c r="L31" s="98">
        <v>0.35087719298245612</v>
      </c>
      <c r="M31" s="98">
        <v>7.0175438596491224E-2</v>
      </c>
      <c r="N31" s="98">
        <v>9.4385964912280702</v>
      </c>
      <c r="O31" s="98">
        <v>124.66666666666725</v>
      </c>
      <c r="P31" s="98">
        <v>0</v>
      </c>
      <c r="Q31" s="98">
        <v>0</v>
      </c>
      <c r="R31" s="98">
        <v>1.2105263157894737</v>
      </c>
      <c r="S31" s="98">
        <v>1.5789473684210527</v>
      </c>
      <c r="T31" s="98">
        <v>5.1403508771929829</v>
      </c>
      <c r="U31" s="98">
        <v>126.17543859649183</v>
      </c>
      <c r="V31" s="98">
        <v>115.19298245614091</v>
      </c>
      <c r="W31" s="101"/>
      <c r="X31" s="96" t="s">
        <v>281</v>
      </c>
      <c r="Y31" s="95">
        <v>44973</v>
      </c>
      <c r="Z31" s="95" t="s">
        <v>292</v>
      </c>
      <c r="AA31" s="95" t="s">
        <v>279</v>
      </c>
    </row>
    <row r="32" spans="1:27" ht="16.149999999999999" customHeight="1" x14ac:dyDescent="0.25">
      <c r="A32" s="96" t="s">
        <v>564</v>
      </c>
      <c r="B32" s="96" t="s">
        <v>563</v>
      </c>
      <c r="C32" s="96" t="s">
        <v>562</v>
      </c>
      <c r="D32" s="96" t="s">
        <v>160</v>
      </c>
      <c r="E32" s="100">
        <v>47834</v>
      </c>
      <c r="F32" s="96" t="s">
        <v>9</v>
      </c>
      <c r="G32" s="96" t="s">
        <v>127</v>
      </c>
      <c r="H32" s="96" t="s">
        <v>106</v>
      </c>
      <c r="I32" s="99">
        <v>11.572413793103401</v>
      </c>
      <c r="J32" s="98">
        <v>4.8245614035087723</v>
      </c>
      <c r="K32" s="98">
        <v>7.1754385964912251</v>
      </c>
      <c r="L32" s="98">
        <v>11.631578947368419</v>
      </c>
      <c r="M32" s="98">
        <v>12.192982456140353</v>
      </c>
      <c r="N32" s="98">
        <v>20.666666666666668</v>
      </c>
      <c r="O32" s="98">
        <v>13.84210526315791</v>
      </c>
      <c r="P32" s="98">
        <v>1.1403508771929824</v>
      </c>
      <c r="Q32" s="98">
        <v>0.17543859649122806</v>
      </c>
      <c r="R32" s="98">
        <v>8.3157894736842106</v>
      </c>
      <c r="S32" s="98">
        <v>4.5263157894736841</v>
      </c>
      <c r="T32" s="98">
        <v>3.8596491228070176</v>
      </c>
      <c r="U32" s="98">
        <v>19.122807017543867</v>
      </c>
      <c r="V32" s="98">
        <v>23.280701754385973</v>
      </c>
      <c r="W32" s="101"/>
      <c r="X32" s="96" t="s">
        <v>281</v>
      </c>
      <c r="Y32" s="95">
        <v>44966</v>
      </c>
      <c r="Z32" s="95" t="s">
        <v>128</v>
      </c>
      <c r="AA32" s="95" t="s">
        <v>279</v>
      </c>
    </row>
    <row r="33" spans="1:27" x14ac:dyDescent="0.25">
      <c r="A33" s="96" t="s">
        <v>561</v>
      </c>
      <c r="B33" s="96" t="s">
        <v>560</v>
      </c>
      <c r="C33" s="96" t="s">
        <v>559</v>
      </c>
      <c r="D33" s="96" t="s">
        <v>139</v>
      </c>
      <c r="E33" s="100">
        <v>12901</v>
      </c>
      <c r="F33" s="96" t="s">
        <v>140</v>
      </c>
      <c r="G33" s="96" t="s">
        <v>127</v>
      </c>
      <c r="H33" s="96" t="s">
        <v>106</v>
      </c>
      <c r="I33" s="99">
        <v>4.4615384615384599</v>
      </c>
      <c r="J33" s="98">
        <v>0.68421052631578949</v>
      </c>
      <c r="K33" s="98">
        <v>0.10526315789473684</v>
      </c>
      <c r="L33" s="98">
        <v>0.33333333333333331</v>
      </c>
      <c r="M33" s="98">
        <v>7.0175438596491224E-2</v>
      </c>
      <c r="N33" s="98">
        <v>0.33333333333333331</v>
      </c>
      <c r="O33" s="98">
        <v>0.68421052631578949</v>
      </c>
      <c r="P33" s="98">
        <v>0</v>
      </c>
      <c r="Q33" s="98">
        <v>0.17543859649122806</v>
      </c>
      <c r="R33" s="98">
        <v>5.2631578947368418E-2</v>
      </c>
      <c r="S33" s="98">
        <v>7.0175438596491224E-2</v>
      </c>
      <c r="T33" s="98">
        <v>0</v>
      </c>
      <c r="U33" s="98">
        <v>1.0701754385964912</v>
      </c>
      <c r="V33" s="98">
        <v>0.61403508771929816</v>
      </c>
      <c r="W33" s="101"/>
      <c r="X33" s="96" t="s">
        <v>164</v>
      </c>
      <c r="Y33" s="95">
        <v>44550</v>
      </c>
      <c r="Z33" s="95" t="s">
        <v>288</v>
      </c>
      <c r="AA33" s="102" t="s">
        <v>279</v>
      </c>
    </row>
    <row r="34" spans="1:27" ht="16.149999999999999" customHeight="1" x14ac:dyDescent="0.25">
      <c r="A34" s="96" t="s">
        <v>558</v>
      </c>
      <c r="B34" s="96" t="s">
        <v>557</v>
      </c>
      <c r="C34" s="96" t="s">
        <v>556</v>
      </c>
      <c r="D34" s="96" t="s">
        <v>137</v>
      </c>
      <c r="E34" s="100">
        <v>17745</v>
      </c>
      <c r="F34" s="96" t="s">
        <v>138</v>
      </c>
      <c r="G34" s="96" t="s">
        <v>127</v>
      </c>
      <c r="H34" s="96" t="s">
        <v>5</v>
      </c>
      <c r="I34" s="99">
        <v>61.264150943396203</v>
      </c>
      <c r="J34" s="98">
        <v>1.2280701754385963</v>
      </c>
      <c r="K34" s="98">
        <v>11.333333333333332</v>
      </c>
      <c r="L34" s="98">
        <v>32.192982456140349</v>
      </c>
      <c r="M34" s="98">
        <v>18.228070175438596</v>
      </c>
      <c r="N34" s="98">
        <v>57.789473684210542</v>
      </c>
      <c r="O34" s="98">
        <v>4</v>
      </c>
      <c r="P34" s="98">
        <v>0</v>
      </c>
      <c r="Q34" s="98">
        <v>1.1929824561403508</v>
      </c>
      <c r="R34" s="98">
        <v>27.421052631578952</v>
      </c>
      <c r="S34" s="98">
        <v>19.701754385964907</v>
      </c>
      <c r="T34" s="98">
        <v>0</v>
      </c>
      <c r="U34" s="98">
        <v>15.859649122807021</v>
      </c>
      <c r="V34" s="98">
        <v>53.31578947368422</v>
      </c>
      <c r="W34" s="101"/>
      <c r="X34" s="96" t="s">
        <v>281</v>
      </c>
      <c r="Y34" s="95">
        <v>44568</v>
      </c>
      <c r="Z34" s="95" t="s">
        <v>371</v>
      </c>
      <c r="AA34" s="95" t="s">
        <v>279</v>
      </c>
    </row>
    <row r="35" spans="1:27" ht="16.149999999999999" customHeight="1" x14ac:dyDescent="0.25">
      <c r="A35" s="96" t="s">
        <v>555</v>
      </c>
      <c r="B35" s="96" t="s">
        <v>554</v>
      </c>
      <c r="C35" s="96" t="s">
        <v>553</v>
      </c>
      <c r="D35" s="96" t="s">
        <v>107</v>
      </c>
      <c r="E35" s="100">
        <v>30060</v>
      </c>
      <c r="F35" s="96" t="s">
        <v>108</v>
      </c>
      <c r="G35" s="96" t="s">
        <v>114</v>
      </c>
      <c r="H35" s="96" t="s">
        <v>106</v>
      </c>
      <c r="I35" s="99">
        <v>1.5625</v>
      </c>
      <c r="J35" s="98">
        <v>0</v>
      </c>
      <c r="K35" s="98">
        <v>0</v>
      </c>
      <c r="L35" s="98">
        <v>0.14035087719298245</v>
      </c>
      <c r="M35" s="98">
        <v>1.4912280701754388</v>
      </c>
      <c r="N35" s="98">
        <v>0.12280701754385964</v>
      </c>
      <c r="O35" s="98">
        <v>1.5087719298245621</v>
      </c>
      <c r="P35" s="98">
        <v>0</v>
      </c>
      <c r="Q35" s="98">
        <v>0</v>
      </c>
      <c r="R35" s="98">
        <v>0</v>
      </c>
      <c r="S35" s="98">
        <v>0</v>
      </c>
      <c r="T35" s="98">
        <v>0</v>
      </c>
      <c r="U35" s="98">
        <v>1.6315789473684217</v>
      </c>
      <c r="V35" s="98">
        <v>1.1578947368421058</v>
      </c>
      <c r="W35" s="101"/>
      <c r="X35" s="96" t="s">
        <v>164</v>
      </c>
      <c r="Y35" s="95">
        <v>44926</v>
      </c>
      <c r="Z35" s="95" t="s">
        <v>288</v>
      </c>
      <c r="AA35" s="95" t="s">
        <v>279</v>
      </c>
    </row>
    <row r="36" spans="1:27" ht="16.149999999999999" customHeight="1" x14ac:dyDescent="0.25">
      <c r="A36" s="96" t="s">
        <v>552</v>
      </c>
      <c r="B36" s="96" t="s">
        <v>551</v>
      </c>
      <c r="C36" s="96" t="s">
        <v>550</v>
      </c>
      <c r="D36" s="96" t="s">
        <v>134</v>
      </c>
      <c r="E36" s="100">
        <v>34112</v>
      </c>
      <c r="F36" s="96" t="s">
        <v>8</v>
      </c>
      <c r="G36" s="96" t="s">
        <v>114</v>
      </c>
      <c r="H36" s="96" t="s">
        <v>106</v>
      </c>
      <c r="I36" s="99">
        <v>2.5036496350365001</v>
      </c>
      <c r="J36" s="98">
        <v>2.3684210526315796</v>
      </c>
      <c r="K36" s="98">
        <v>0.61403508771929816</v>
      </c>
      <c r="L36" s="98">
        <v>2.7017543859649122</v>
      </c>
      <c r="M36" s="98">
        <v>0.59649122807017552</v>
      </c>
      <c r="N36" s="98">
        <v>3.7368421052631611</v>
      </c>
      <c r="O36" s="98">
        <v>2.4035087719298254</v>
      </c>
      <c r="P36" s="98">
        <v>5.2631578947368418E-2</v>
      </c>
      <c r="Q36" s="98">
        <v>8.771929824561403E-2</v>
      </c>
      <c r="R36" s="98">
        <v>0.15789473684210525</v>
      </c>
      <c r="S36" s="98">
        <v>0.15789473684210525</v>
      </c>
      <c r="T36" s="98">
        <v>0.22807017543859648</v>
      </c>
      <c r="U36" s="98">
        <v>5.7368421052631593</v>
      </c>
      <c r="V36" s="98">
        <v>3.614035087719301</v>
      </c>
      <c r="W36" s="101"/>
      <c r="X36" s="96" t="s">
        <v>281</v>
      </c>
      <c r="Y36" s="95">
        <v>45029</v>
      </c>
      <c r="Z36" s="95" t="s">
        <v>280</v>
      </c>
      <c r="AA36" s="95" t="s">
        <v>279</v>
      </c>
    </row>
    <row r="37" spans="1:27" ht="16.149999999999999" customHeight="1" x14ac:dyDescent="0.25">
      <c r="A37" s="96" t="s">
        <v>549</v>
      </c>
      <c r="B37" s="96" t="s">
        <v>548</v>
      </c>
      <c r="C37" s="96" t="s">
        <v>547</v>
      </c>
      <c r="D37" s="96" t="s">
        <v>121</v>
      </c>
      <c r="E37" s="100">
        <v>98421</v>
      </c>
      <c r="F37" s="96" t="s">
        <v>122</v>
      </c>
      <c r="G37" s="96" t="s">
        <v>111</v>
      </c>
      <c r="H37" s="96" t="s">
        <v>106</v>
      </c>
      <c r="I37" s="99">
        <v>78.179324894514806</v>
      </c>
      <c r="J37" s="98">
        <v>387.64912280701702</v>
      </c>
      <c r="K37" s="98">
        <v>56.087719298245602</v>
      </c>
      <c r="L37" s="98">
        <v>101.29824561403507</v>
      </c>
      <c r="M37" s="98">
        <v>104.75438596491229</v>
      </c>
      <c r="N37" s="98">
        <v>220.45614035087743</v>
      </c>
      <c r="O37" s="98">
        <v>311.22807017543784</v>
      </c>
      <c r="P37" s="98">
        <v>26.280701754385973</v>
      </c>
      <c r="Q37" s="98">
        <v>91.824561403508724</v>
      </c>
      <c r="R37" s="98">
        <v>164.68421052631587</v>
      </c>
      <c r="S37" s="98">
        <v>31.473684210526311</v>
      </c>
      <c r="T37" s="98">
        <v>16.84210526315789</v>
      </c>
      <c r="U37" s="98">
        <v>436.78947368421058</v>
      </c>
      <c r="V37" s="98">
        <v>555.38596491228191</v>
      </c>
      <c r="W37" s="101">
        <v>1181</v>
      </c>
      <c r="X37" s="96" t="s">
        <v>281</v>
      </c>
      <c r="Y37" s="95">
        <v>44973</v>
      </c>
      <c r="Z37" s="95" t="s">
        <v>292</v>
      </c>
      <c r="AA37" s="95" t="s">
        <v>279</v>
      </c>
    </row>
    <row r="38" spans="1:27" x14ac:dyDescent="0.25">
      <c r="A38" s="96" t="s">
        <v>546</v>
      </c>
      <c r="B38" s="96" t="s">
        <v>545</v>
      </c>
      <c r="C38" s="96" t="s">
        <v>544</v>
      </c>
      <c r="D38" s="96" t="s">
        <v>543</v>
      </c>
      <c r="E38" s="100">
        <v>4102</v>
      </c>
      <c r="F38" s="96" t="s">
        <v>142</v>
      </c>
      <c r="G38" s="96" t="s">
        <v>127</v>
      </c>
      <c r="H38" s="96" t="s">
        <v>106</v>
      </c>
      <c r="I38" s="99">
        <v>4.3076923076923102</v>
      </c>
      <c r="J38" s="98">
        <v>1.8771929824561395</v>
      </c>
      <c r="K38" s="98">
        <v>1.3859649122807018</v>
      </c>
      <c r="L38" s="98">
        <v>0.57894736842105265</v>
      </c>
      <c r="M38" s="98">
        <v>0.21052631578947367</v>
      </c>
      <c r="N38" s="98">
        <v>2.3508771929824559</v>
      </c>
      <c r="O38" s="98">
        <v>1.6842105263157889</v>
      </c>
      <c r="P38" s="98">
        <v>0</v>
      </c>
      <c r="Q38" s="98">
        <v>1.7543859649122806E-2</v>
      </c>
      <c r="R38" s="98">
        <v>0</v>
      </c>
      <c r="S38" s="98">
        <v>0</v>
      </c>
      <c r="T38" s="98">
        <v>0.36842105263157893</v>
      </c>
      <c r="U38" s="98">
        <v>3.6842105263157898</v>
      </c>
      <c r="V38" s="98">
        <v>2.7543859649122799</v>
      </c>
      <c r="W38" s="101"/>
      <c r="X38" s="96" t="s">
        <v>281</v>
      </c>
      <c r="Y38" s="95">
        <v>45197</v>
      </c>
      <c r="Z38" s="95" t="s">
        <v>280</v>
      </c>
      <c r="AA38" s="95" t="s">
        <v>279</v>
      </c>
    </row>
    <row r="39" spans="1:27" ht="16.149999999999999" customHeight="1" x14ac:dyDescent="0.25">
      <c r="A39" s="96" t="s">
        <v>542</v>
      </c>
      <c r="B39" s="96" t="s">
        <v>541</v>
      </c>
      <c r="C39" s="96" t="s">
        <v>540</v>
      </c>
      <c r="D39" s="96" t="s">
        <v>135</v>
      </c>
      <c r="E39" s="100">
        <v>80010</v>
      </c>
      <c r="F39" s="96" t="s">
        <v>136</v>
      </c>
      <c r="G39" s="96" t="s">
        <v>111</v>
      </c>
      <c r="H39" s="96" t="s">
        <v>106</v>
      </c>
      <c r="I39" s="99">
        <v>22.415053763440898</v>
      </c>
      <c r="J39" s="98">
        <v>646.40350877191759</v>
      </c>
      <c r="K39" s="98">
        <v>30.140350877192983</v>
      </c>
      <c r="L39" s="98">
        <v>104.21052631578951</v>
      </c>
      <c r="M39" s="98">
        <v>89.649122807017534</v>
      </c>
      <c r="N39" s="98">
        <v>161.80701754385967</v>
      </c>
      <c r="O39" s="98">
        <v>661.75438596489903</v>
      </c>
      <c r="P39" s="98">
        <v>8.7719298245614041</v>
      </c>
      <c r="Q39" s="98">
        <v>38.070175438596529</v>
      </c>
      <c r="R39" s="98">
        <v>87.649122807017534</v>
      </c>
      <c r="S39" s="98">
        <v>31.403508771929829</v>
      </c>
      <c r="T39" s="98">
        <v>20.01754385964912</v>
      </c>
      <c r="U39" s="98">
        <v>731.3333333333178</v>
      </c>
      <c r="V39" s="98">
        <v>547.15789473683083</v>
      </c>
      <c r="W39" s="101">
        <v>600</v>
      </c>
      <c r="X39" s="96" t="s">
        <v>281</v>
      </c>
      <c r="Y39" s="95">
        <v>45001</v>
      </c>
      <c r="Z39" s="95" t="s">
        <v>292</v>
      </c>
      <c r="AA39" s="95" t="s">
        <v>279</v>
      </c>
    </row>
    <row r="40" spans="1:27" ht="16.149999999999999" customHeight="1" x14ac:dyDescent="0.25">
      <c r="A40" s="96" t="s">
        <v>539</v>
      </c>
      <c r="B40" s="96" t="s">
        <v>538</v>
      </c>
      <c r="C40" s="96" t="s">
        <v>537</v>
      </c>
      <c r="D40" s="96" t="s">
        <v>152</v>
      </c>
      <c r="E40" s="100">
        <v>53039</v>
      </c>
      <c r="F40" s="96" t="s">
        <v>9</v>
      </c>
      <c r="G40" s="96" t="s">
        <v>127</v>
      </c>
      <c r="H40" s="96" t="s">
        <v>106</v>
      </c>
      <c r="I40" s="99">
        <v>34.026315789473699</v>
      </c>
      <c r="J40" s="98">
        <v>14.157894736842104</v>
      </c>
      <c r="K40" s="98">
        <v>9.4385964912280684</v>
      </c>
      <c r="L40" s="98">
        <v>40.368421052631589</v>
      </c>
      <c r="M40" s="98">
        <v>51.280701754385973</v>
      </c>
      <c r="N40" s="98">
        <v>81.473684210526415</v>
      </c>
      <c r="O40" s="98">
        <v>31.245614035087709</v>
      </c>
      <c r="P40" s="98">
        <v>2.192982456140351</v>
      </c>
      <c r="Q40" s="98">
        <v>0.33333333333333331</v>
      </c>
      <c r="R40" s="98">
        <v>49.0701754385965</v>
      </c>
      <c r="S40" s="98">
        <v>7.6842105263157912</v>
      </c>
      <c r="T40" s="98">
        <v>7.6315789473684212</v>
      </c>
      <c r="U40" s="98">
        <v>50.859649122807028</v>
      </c>
      <c r="V40" s="98">
        <v>76.754385964912359</v>
      </c>
      <c r="W40" s="101"/>
      <c r="X40" s="96" t="s">
        <v>281</v>
      </c>
      <c r="Y40" s="95">
        <v>45022</v>
      </c>
      <c r="Z40" s="95" t="s">
        <v>371</v>
      </c>
      <c r="AA40" s="95" t="s">
        <v>279</v>
      </c>
    </row>
    <row r="41" spans="1:27" x14ac:dyDescent="0.25">
      <c r="A41" s="96" t="s">
        <v>536</v>
      </c>
      <c r="B41" s="96" t="s">
        <v>535</v>
      </c>
      <c r="C41" s="96" t="s">
        <v>534</v>
      </c>
      <c r="D41" s="96" t="s">
        <v>116</v>
      </c>
      <c r="E41" s="100">
        <v>85131</v>
      </c>
      <c r="F41" s="96" t="s">
        <v>117</v>
      </c>
      <c r="G41" s="96" t="s">
        <v>105</v>
      </c>
      <c r="H41" s="96" t="s">
        <v>106</v>
      </c>
      <c r="I41" s="99">
        <v>35.068770607630697</v>
      </c>
      <c r="J41" s="98">
        <v>1281.6315789473445</v>
      </c>
      <c r="K41" s="98">
        <v>33.385964912280713</v>
      </c>
      <c r="L41" s="98">
        <v>59.157894736842117</v>
      </c>
      <c r="M41" s="98">
        <v>58.157894736842103</v>
      </c>
      <c r="N41" s="98">
        <v>77.578947368421069</v>
      </c>
      <c r="O41" s="98">
        <v>885.49122807016283</v>
      </c>
      <c r="P41" s="98">
        <v>44.578947368421069</v>
      </c>
      <c r="Q41" s="98">
        <v>424.68421052631356</v>
      </c>
      <c r="R41" s="98">
        <v>52.684210526315802</v>
      </c>
      <c r="S41" s="98">
        <v>19.052631578947366</v>
      </c>
      <c r="T41" s="98">
        <v>32.333333333333336</v>
      </c>
      <c r="U41" s="98">
        <v>1328.2631578947146</v>
      </c>
      <c r="V41" s="98">
        <v>1014.7719298245494</v>
      </c>
      <c r="W41" s="101">
        <v>900</v>
      </c>
      <c r="X41" s="96" t="s">
        <v>281</v>
      </c>
      <c r="Y41" s="95">
        <v>44868</v>
      </c>
      <c r="Z41" s="95" t="s">
        <v>292</v>
      </c>
      <c r="AA41" s="102" t="s">
        <v>279</v>
      </c>
    </row>
    <row r="42" spans="1:27" ht="16.149999999999999" customHeight="1" x14ac:dyDescent="0.25">
      <c r="A42" s="96" t="s">
        <v>533</v>
      </c>
      <c r="B42" s="96" t="s">
        <v>532</v>
      </c>
      <c r="C42" s="96" t="s">
        <v>531</v>
      </c>
      <c r="D42" s="96" t="s">
        <v>109</v>
      </c>
      <c r="E42" s="100">
        <v>76837</v>
      </c>
      <c r="F42" s="96" t="s">
        <v>129</v>
      </c>
      <c r="G42" s="96" t="s">
        <v>127</v>
      </c>
      <c r="H42" s="96" t="s">
        <v>5</v>
      </c>
      <c r="I42" s="99">
        <v>27.792372881355899</v>
      </c>
      <c r="J42" s="98">
        <v>180.07017543859672</v>
      </c>
      <c r="K42" s="98">
        <v>3.8947368421052633</v>
      </c>
      <c r="L42" s="98">
        <v>4</v>
      </c>
      <c r="M42" s="98">
        <v>0.45614035087719296</v>
      </c>
      <c r="N42" s="98">
        <v>7.6315789473684195</v>
      </c>
      <c r="O42" s="98">
        <v>180.78947368421078</v>
      </c>
      <c r="P42" s="98">
        <v>0</v>
      </c>
      <c r="Q42" s="98">
        <v>0</v>
      </c>
      <c r="R42" s="98">
        <v>0.26315789473684209</v>
      </c>
      <c r="S42" s="98">
        <v>1.6140350877192988</v>
      </c>
      <c r="T42" s="98">
        <v>3.7894736842105274</v>
      </c>
      <c r="U42" s="98">
        <v>182.75438596491256</v>
      </c>
      <c r="V42" s="98">
        <v>76.666666666666515</v>
      </c>
      <c r="W42" s="101"/>
      <c r="X42" s="96" t="s">
        <v>281</v>
      </c>
      <c r="Y42" s="95">
        <v>45022</v>
      </c>
      <c r="Z42" s="95" t="s">
        <v>371</v>
      </c>
      <c r="AA42" s="95" t="s">
        <v>279</v>
      </c>
    </row>
    <row r="43" spans="1:27" ht="16.149999999999999" customHeight="1" x14ac:dyDescent="0.25">
      <c r="A43" s="96" t="s">
        <v>530</v>
      </c>
      <c r="B43" s="96" t="s">
        <v>529</v>
      </c>
      <c r="C43" s="96" t="s">
        <v>528</v>
      </c>
      <c r="D43" s="96" t="s">
        <v>171</v>
      </c>
      <c r="E43" s="100">
        <v>83647</v>
      </c>
      <c r="F43" s="96" t="s">
        <v>149</v>
      </c>
      <c r="G43" s="96" t="s">
        <v>127</v>
      </c>
      <c r="H43" s="96" t="s">
        <v>106</v>
      </c>
      <c r="I43" s="99">
        <v>4.2608695652173898</v>
      </c>
      <c r="J43" s="98">
        <v>0.15789473684210525</v>
      </c>
      <c r="K43" s="98">
        <v>0.43859649122807015</v>
      </c>
      <c r="L43" s="98">
        <v>1.7017543859649125</v>
      </c>
      <c r="M43" s="98">
        <v>0.33333333333333331</v>
      </c>
      <c r="N43" s="98">
        <v>2.0175438596491224</v>
      </c>
      <c r="O43" s="98">
        <v>0.14035087719298245</v>
      </c>
      <c r="P43" s="98">
        <v>0.47368421052631576</v>
      </c>
      <c r="Q43" s="98">
        <v>0</v>
      </c>
      <c r="R43" s="98">
        <v>1.0877192982456141</v>
      </c>
      <c r="S43" s="98">
        <v>0.31578947368421051</v>
      </c>
      <c r="T43" s="98">
        <v>0</v>
      </c>
      <c r="U43" s="98">
        <v>1.2280701754385968</v>
      </c>
      <c r="V43" s="98">
        <v>2.4035087719298245</v>
      </c>
      <c r="W43" s="101"/>
      <c r="X43" s="96" t="s">
        <v>281</v>
      </c>
      <c r="Y43" s="95">
        <v>44538</v>
      </c>
      <c r="Z43" s="95" t="s">
        <v>288</v>
      </c>
      <c r="AA43" s="95" t="s">
        <v>279</v>
      </c>
    </row>
    <row r="44" spans="1:27" ht="17.100000000000001" customHeight="1" x14ac:dyDescent="0.25">
      <c r="A44" s="96" t="s">
        <v>527</v>
      </c>
      <c r="B44" s="96" t="s">
        <v>526</v>
      </c>
      <c r="C44" s="96" t="s">
        <v>525</v>
      </c>
      <c r="D44" s="96" t="s">
        <v>109</v>
      </c>
      <c r="E44" s="100">
        <v>78580</v>
      </c>
      <c r="F44" s="96" t="s">
        <v>293</v>
      </c>
      <c r="G44" s="96" t="s">
        <v>105</v>
      </c>
      <c r="H44" s="96" t="s">
        <v>106</v>
      </c>
      <c r="I44" s="99">
        <v>28.160703075957301</v>
      </c>
      <c r="J44" s="98">
        <v>916.49122807017397</v>
      </c>
      <c r="K44" s="98">
        <v>6.0350877192982448</v>
      </c>
      <c r="L44" s="98">
        <v>3.6491228070175437</v>
      </c>
      <c r="M44" s="98">
        <v>2.6315789473684208</v>
      </c>
      <c r="N44" s="98">
        <v>17.385964912280706</v>
      </c>
      <c r="O44" s="98">
        <v>434.14035087719242</v>
      </c>
      <c r="P44" s="98">
        <v>8.1228070175438596</v>
      </c>
      <c r="Q44" s="98">
        <v>469.15789473684043</v>
      </c>
      <c r="R44" s="98">
        <v>4.473684210526315</v>
      </c>
      <c r="S44" s="98">
        <v>3.0877192982456143</v>
      </c>
      <c r="T44" s="98">
        <v>14.070175438596491</v>
      </c>
      <c r="U44" s="98">
        <v>907.17543859649004</v>
      </c>
      <c r="V44" s="98">
        <v>679.36842105263065</v>
      </c>
      <c r="W44" s="101">
        <v>600</v>
      </c>
      <c r="X44" s="96" t="s">
        <v>281</v>
      </c>
      <c r="Y44" s="95">
        <v>44994</v>
      </c>
      <c r="Z44" s="95" t="s">
        <v>292</v>
      </c>
      <c r="AA44" s="95" t="s">
        <v>279</v>
      </c>
    </row>
    <row r="45" spans="1:27" x14ac:dyDescent="0.25">
      <c r="A45" s="96" t="s">
        <v>524</v>
      </c>
      <c r="B45" s="96" t="s">
        <v>523</v>
      </c>
      <c r="C45" s="96" t="s">
        <v>522</v>
      </c>
      <c r="D45" s="96" t="s">
        <v>130</v>
      </c>
      <c r="E45" s="100">
        <v>7201</v>
      </c>
      <c r="F45" s="96" t="s">
        <v>131</v>
      </c>
      <c r="G45" s="96" t="s">
        <v>111</v>
      </c>
      <c r="H45" s="96" t="s">
        <v>106</v>
      </c>
      <c r="I45" s="99">
        <v>18.912928759894498</v>
      </c>
      <c r="J45" s="98">
        <v>120.87719298245658</v>
      </c>
      <c r="K45" s="98">
        <v>79.280701754386001</v>
      </c>
      <c r="L45" s="98">
        <v>7.8070175438596401</v>
      </c>
      <c r="M45" s="98">
        <v>4.8245614035087714</v>
      </c>
      <c r="N45" s="98">
        <v>35.280701754386016</v>
      </c>
      <c r="O45" s="98">
        <v>166.63157894736943</v>
      </c>
      <c r="P45" s="98">
        <v>1.1578947368421053</v>
      </c>
      <c r="Q45" s="98">
        <v>9.7192982456140342</v>
      </c>
      <c r="R45" s="98">
        <v>5.2631578947368416</v>
      </c>
      <c r="S45" s="98">
        <v>8.0526315789473681</v>
      </c>
      <c r="T45" s="98">
        <v>15.438596491228072</v>
      </c>
      <c r="U45" s="98">
        <v>184.03508771929955</v>
      </c>
      <c r="V45" s="98">
        <v>88.842105263158274</v>
      </c>
      <c r="W45" s="101">
        <v>285</v>
      </c>
      <c r="X45" s="96" t="s">
        <v>281</v>
      </c>
      <c r="Y45" s="95">
        <v>44868</v>
      </c>
      <c r="Z45" s="95" t="s">
        <v>292</v>
      </c>
      <c r="AA45" s="102" t="s">
        <v>279</v>
      </c>
    </row>
    <row r="46" spans="1:27" ht="15.6" customHeight="1" x14ac:dyDescent="0.25">
      <c r="A46" s="96" t="s">
        <v>521</v>
      </c>
      <c r="B46" s="96" t="s">
        <v>520</v>
      </c>
      <c r="C46" s="96" t="s">
        <v>189</v>
      </c>
      <c r="D46" s="96" t="s">
        <v>109</v>
      </c>
      <c r="E46" s="100">
        <v>79925</v>
      </c>
      <c r="F46" s="96" t="s">
        <v>125</v>
      </c>
      <c r="G46" s="96" t="s">
        <v>123</v>
      </c>
      <c r="H46" s="96" t="s">
        <v>106</v>
      </c>
      <c r="I46" s="99">
        <v>46.5381944444444</v>
      </c>
      <c r="J46" s="98">
        <v>508.29824561403552</v>
      </c>
      <c r="K46" s="98">
        <v>132.10526315789485</v>
      </c>
      <c r="L46" s="98">
        <v>104.10526315789478</v>
      </c>
      <c r="M46" s="98">
        <v>56.403508771929815</v>
      </c>
      <c r="N46" s="98">
        <v>229.63157894736938</v>
      </c>
      <c r="O46" s="98">
        <v>356.22807017543914</v>
      </c>
      <c r="P46" s="98">
        <v>43.578947368421062</v>
      </c>
      <c r="Q46" s="98">
        <v>171.47368421052622</v>
      </c>
      <c r="R46" s="98">
        <v>61.964912280701775</v>
      </c>
      <c r="S46" s="98">
        <v>52.438596491228083</v>
      </c>
      <c r="T46" s="98">
        <v>111.66666666666664</v>
      </c>
      <c r="U46" s="98">
        <v>574.8421052631569</v>
      </c>
      <c r="V46" s="98">
        <v>698.57894736841956</v>
      </c>
      <c r="W46" s="101">
        <v>450</v>
      </c>
      <c r="X46" s="96" t="s">
        <v>281</v>
      </c>
      <c r="Y46" s="95">
        <v>45015</v>
      </c>
      <c r="Z46" s="95" t="s">
        <v>292</v>
      </c>
      <c r="AA46" s="95" t="s">
        <v>279</v>
      </c>
    </row>
    <row r="47" spans="1:27" ht="15.6" customHeight="1" x14ac:dyDescent="0.25">
      <c r="A47" s="96" t="s">
        <v>519</v>
      </c>
      <c r="B47" s="96" t="s">
        <v>518</v>
      </c>
      <c r="C47" s="96" t="s">
        <v>442</v>
      </c>
      <c r="D47" s="96" t="s">
        <v>154</v>
      </c>
      <c r="E47" s="100">
        <v>40510</v>
      </c>
      <c r="F47" s="96" t="s">
        <v>9</v>
      </c>
      <c r="G47" s="96" t="s">
        <v>127</v>
      </c>
      <c r="H47" s="96" t="s">
        <v>106</v>
      </c>
      <c r="I47" s="99">
        <v>1.1071428571428601</v>
      </c>
      <c r="J47" s="98">
        <v>0.12280701754385964</v>
      </c>
      <c r="K47" s="98">
        <v>3.5087719298245612E-2</v>
      </c>
      <c r="L47" s="98">
        <v>0.19298245614035087</v>
      </c>
      <c r="M47" s="98">
        <v>0.2807017543859649</v>
      </c>
      <c r="N47" s="98">
        <v>0.52631578947368429</v>
      </c>
      <c r="O47" s="98">
        <v>7.0175438596491224E-2</v>
      </c>
      <c r="P47" s="98">
        <v>0</v>
      </c>
      <c r="Q47" s="98">
        <v>3.5087719298245612E-2</v>
      </c>
      <c r="R47" s="98">
        <v>1.7543859649122806E-2</v>
      </c>
      <c r="S47" s="98">
        <v>0.10526315789473684</v>
      </c>
      <c r="T47" s="98">
        <v>0</v>
      </c>
      <c r="U47" s="98">
        <v>0.50877192982456143</v>
      </c>
      <c r="V47" s="98">
        <v>0.40350877192982454</v>
      </c>
      <c r="W47" s="101"/>
      <c r="X47" s="96" t="s">
        <v>281</v>
      </c>
      <c r="Y47" s="95">
        <v>45134</v>
      </c>
      <c r="Z47" s="95" t="s">
        <v>371</v>
      </c>
      <c r="AA47" s="95" t="s">
        <v>279</v>
      </c>
    </row>
    <row r="48" spans="1:27" x14ac:dyDescent="0.25">
      <c r="A48" s="96" t="s">
        <v>517</v>
      </c>
      <c r="B48" s="96" t="s">
        <v>516</v>
      </c>
      <c r="C48" s="96" t="s">
        <v>513</v>
      </c>
      <c r="D48" s="96" t="s">
        <v>107</v>
      </c>
      <c r="E48" s="100">
        <v>31537</v>
      </c>
      <c r="F48" s="96" t="s">
        <v>108</v>
      </c>
      <c r="G48" s="96" t="s">
        <v>105</v>
      </c>
      <c r="H48" s="96" t="s">
        <v>5</v>
      </c>
      <c r="I48" s="99">
        <v>29.128742514970099</v>
      </c>
      <c r="J48" s="98">
        <v>157.94736842105291</v>
      </c>
      <c r="K48" s="98">
        <v>11.228070175438599</v>
      </c>
      <c r="L48" s="98">
        <v>17.368421052631575</v>
      </c>
      <c r="M48" s="98">
        <v>30.491228070175438</v>
      </c>
      <c r="N48" s="98">
        <v>53.859649122807006</v>
      </c>
      <c r="O48" s="98">
        <v>163.17543859649157</v>
      </c>
      <c r="P48" s="98">
        <v>0</v>
      </c>
      <c r="Q48" s="98">
        <v>0</v>
      </c>
      <c r="R48" s="98">
        <v>26.771929824561408</v>
      </c>
      <c r="S48" s="98">
        <v>9.280701754385964</v>
      </c>
      <c r="T48" s="98">
        <v>3.8421052631578947</v>
      </c>
      <c r="U48" s="98">
        <v>177.14035087719319</v>
      </c>
      <c r="V48" s="98">
        <v>169.42105263157904</v>
      </c>
      <c r="W48" s="101">
        <v>338</v>
      </c>
      <c r="X48" s="96" t="s">
        <v>281</v>
      </c>
      <c r="Y48" s="95">
        <v>44588</v>
      </c>
      <c r="Z48" s="95" t="s">
        <v>292</v>
      </c>
      <c r="AA48" s="102" t="s">
        <v>279</v>
      </c>
    </row>
    <row r="49" spans="1:27" ht="15.6" customHeight="1" x14ac:dyDescent="0.25">
      <c r="A49" s="96" t="s">
        <v>515</v>
      </c>
      <c r="B49" s="96" t="s">
        <v>514</v>
      </c>
      <c r="C49" s="96" t="s">
        <v>513</v>
      </c>
      <c r="D49" s="96" t="s">
        <v>107</v>
      </c>
      <c r="E49" s="100">
        <v>31537</v>
      </c>
      <c r="F49" s="96" t="s">
        <v>108</v>
      </c>
      <c r="G49" s="96" t="s">
        <v>105</v>
      </c>
      <c r="H49" s="96" t="s">
        <v>5</v>
      </c>
      <c r="I49" s="99">
        <v>38.5243741765481</v>
      </c>
      <c r="J49" s="98">
        <v>506.666666666661</v>
      </c>
      <c r="K49" s="98">
        <v>64.333333333333329</v>
      </c>
      <c r="L49" s="98">
        <v>30.842105263157887</v>
      </c>
      <c r="M49" s="98">
        <v>29.719298245614041</v>
      </c>
      <c r="N49" s="98">
        <v>105.75438596491232</v>
      </c>
      <c r="O49" s="98">
        <v>525.80701754385689</v>
      </c>
      <c r="P49" s="98">
        <v>0</v>
      </c>
      <c r="Q49" s="98">
        <v>0</v>
      </c>
      <c r="R49" s="98">
        <v>26.473684210526319</v>
      </c>
      <c r="S49" s="98">
        <v>19.719298245614038</v>
      </c>
      <c r="T49" s="98">
        <v>26.719298245614038</v>
      </c>
      <c r="U49" s="98">
        <v>558.64912280701685</v>
      </c>
      <c r="V49" s="98">
        <v>484.8947368421006</v>
      </c>
      <c r="W49" s="101">
        <v>544</v>
      </c>
      <c r="X49" s="96" t="s">
        <v>281</v>
      </c>
      <c r="Y49" s="95">
        <v>44959</v>
      </c>
      <c r="Z49" s="95" t="s">
        <v>292</v>
      </c>
      <c r="AA49" s="95" t="s">
        <v>279</v>
      </c>
    </row>
    <row r="50" spans="1:27" ht="15.6" customHeight="1" x14ac:dyDescent="0.25">
      <c r="A50" s="96" t="s">
        <v>512</v>
      </c>
      <c r="B50" s="96" t="s">
        <v>504</v>
      </c>
      <c r="C50" s="96" t="s">
        <v>503</v>
      </c>
      <c r="D50" s="96" t="s">
        <v>116</v>
      </c>
      <c r="E50" s="100">
        <v>85232</v>
      </c>
      <c r="F50" s="96" t="s">
        <v>117</v>
      </c>
      <c r="G50" s="96" t="s">
        <v>123</v>
      </c>
      <c r="H50" s="96" t="s">
        <v>5</v>
      </c>
      <c r="I50" s="99">
        <v>11.413712957582799</v>
      </c>
      <c r="J50" s="98">
        <v>331.22807017542868</v>
      </c>
      <c r="K50" s="98">
        <v>45.824561403508781</v>
      </c>
      <c r="L50" s="98">
        <v>3.5964912280701795</v>
      </c>
      <c r="M50" s="98">
        <v>2.42105263157895</v>
      </c>
      <c r="N50" s="98">
        <v>69.210526315789608</v>
      </c>
      <c r="O50" s="98">
        <v>313.70175438595737</v>
      </c>
      <c r="P50" s="98">
        <v>8.771929824561403E-2</v>
      </c>
      <c r="Q50" s="98">
        <v>7.0175438596491224E-2</v>
      </c>
      <c r="R50" s="98">
        <v>6.0877192982456032</v>
      </c>
      <c r="S50" s="98">
        <v>7.8771929824561404</v>
      </c>
      <c r="T50" s="98">
        <v>27.894736842105267</v>
      </c>
      <c r="U50" s="98">
        <v>341.21052631577908</v>
      </c>
      <c r="V50" s="98">
        <v>248.22807017544042</v>
      </c>
      <c r="W50" s="101">
        <v>392</v>
      </c>
      <c r="X50" s="96" t="s">
        <v>281</v>
      </c>
      <c r="Y50" s="95">
        <v>44966</v>
      </c>
      <c r="Z50" s="95" t="s">
        <v>292</v>
      </c>
      <c r="AA50" s="95" t="s">
        <v>279</v>
      </c>
    </row>
    <row r="51" spans="1:27" ht="15.6" customHeight="1" x14ac:dyDescent="0.25">
      <c r="A51" s="96" t="s">
        <v>511</v>
      </c>
      <c r="B51" s="96" t="s">
        <v>510</v>
      </c>
      <c r="C51" s="96" t="s">
        <v>509</v>
      </c>
      <c r="D51" s="96" t="s">
        <v>143</v>
      </c>
      <c r="E51" s="100">
        <v>56007</v>
      </c>
      <c r="F51" s="96" t="s">
        <v>144</v>
      </c>
      <c r="G51" s="96" t="s">
        <v>114</v>
      </c>
      <c r="H51" s="96" t="s">
        <v>5</v>
      </c>
      <c r="I51" s="99">
        <v>41.814814814814802</v>
      </c>
      <c r="J51" s="98">
        <v>4.4736842105263159</v>
      </c>
      <c r="K51" s="98">
        <v>7.6491228070175428</v>
      </c>
      <c r="L51" s="98">
        <v>17.263157894736839</v>
      </c>
      <c r="M51" s="98">
        <v>5.7192982456140342</v>
      </c>
      <c r="N51" s="98">
        <v>20.596491228070182</v>
      </c>
      <c r="O51" s="98">
        <v>14.508771929824563</v>
      </c>
      <c r="P51" s="98">
        <v>0</v>
      </c>
      <c r="Q51" s="98">
        <v>0</v>
      </c>
      <c r="R51" s="98">
        <v>8.7192982456140342</v>
      </c>
      <c r="S51" s="98">
        <v>2.1052631578947367</v>
      </c>
      <c r="T51" s="98">
        <v>1.5964912280701755</v>
      </c>
      <c r="U51" s="98">
        <v>22.684210526315784</v>
      </c>
      <c r="V51" s="98">
        <v>27.947368421052637</v>
      </c>
      <c r="W51" s="101"/>
      <c r="X51" s="96" t="s">
        <v>281</v>
      </c>
      <c r="Y51" s="95">
        <v>44959</v>
      </c>
      <c r="Z51" s="95" t="s">
        <v>280</v>
      </c>
      <c r="AA51" s="95" t="s">
        <v>279</v>
      </c>
    </row>
    <row r="52" spans="1:27" ht="15.6" customHeight="1" x14ac:dyDescent="0.25">
      <c r="A52" s="96" t="s">
        <v>508</v>
      </c>
      <c r="B52" s="96" t="s">
        <v>507</v>
      </c>
      <c r="C52" s="96" t="s">
        <v>506</v>
      </c>
      <c r="D52" s="96" t="s">
        <v>132</v>
      </c>
      <c r="E52" s="100">
        <v>23901</v>
      </c>
      <c r="F52" s="96" t="s">
        <v>133</v>
      </c>
      <c r="G52" s="96" t="s">
        <v>105</v>
      </c>
      <c r="H52" s="96" t="s">
        <v>5</v>
      </c>
      <c r="I52" s="99">
        <v>72.012500000000003</v>
      </c>
      <c r="J52" s="98">
        <v>28.280701754385984</v>
      </c>
      <c r="K52" s="98">
        <v>17.94736842105263</v>
      </c>
      <c r="L52" s="98">
        <v>56.807017543859644</v>
      </c>
      <c r="M52" s="98">
        <v>91.175438596491219</v>
      </c>
      <c r="N52" s="98">
        <v>142.14035087719307</v>
      </c>
      <c r="O52" s="98">
        <v>52.070175438596536</v>
      </c>
      <c r="P52" s="98">
        <v>0</v>
      </c>
      <c r="Q52" s="98">
        <v>0</v>
      </c>
      <c r="R52" s="98">
        <v>72.105263157894726</v>
      </c>
      <c r="S52" s="98">
        <v>20.929824561403503</v>
      </c>
      <c r="T52" s="98">
        <v>13.649122807017543</v>
      </c>
      <c r="U52" s="98">
        <v>87.526315789473671</v>
      </c>
      <c r="V52" s="98">
        <v>116.54385964912289</v>
      </c>
      <c r="W52" s="101">
        <v>500</v>
      </c>
      <c r="X52" s="96" t="s">
        <v>281</v>
      </c>
      <c r="Y52" s="95">
        <v>45043</v>
      </c>
      <c r="Z52" s="95" t="s">
        <v>463</v>
      </c>
      <c r="AA52" s="95" t="s">
        <v>279</v>
      </c>
    </row>
    <row r="53" spans="1:27" x14ac:dyDescent="0.25">
      <c r="A53" s="96" t="s">
        <v>505</v>
      </c>
      <c r="B53" s="96" t="s">
        <v>504</v>
      </c>
      <c r="C53" s="96" t="s">
        <v>503</v>
      </c>
      <c r="D53" s="96" t="s">
        <v>116</v>
      </c>
      <c r="E53" s="100">
        <v>85232</v>
      </c>
      <c r="F53" s="96" t="s">
        <v>117</v>
      </c>
      <c r="G53" s="96" t="s">
        <v>146</v>
      </c>
      <c r="H53" s="96" t="s">
        <v>5</v>
      </c>
      <c r="I53" s="99">
        <v>2.8764740566037701</v>
      </c>
      <c r="J53" s="98">
        <v>139.38596491228313</v>
      </c>
      <c r="K53" s="98">
        <v>14.982456140350894</v>
      </c>
      <c r="L53" s="98">
        <v>9.9649122807017356</v>
      </c>
      <c r="M53" s="98">
        <v>6.3508771929824483</v>
      </c>
      <c r="N53" s="98">
        <v>30.333333333333456</v>
      </c>
      <c r="O53" s="98">
        <v>135.68421052631814</v>
      </c>
      <c r="P53" s="98">
        <v>0.85964912280701777</v>
      </c>
      <c r="Q53" s="98">
        <v>3.8070175438596552</v>
      </c>
      <c r="R53" s="98">
        <v>2.403508771929828</v>
      </c>
      <c r="S53" s="98">
        <v>0.94736842105263253</v>
      </c>
      <c r="T53" s="98">
        <v>1.368421052631581</v>
      </c>
      <c r="U53" s="98">
        <v>165.96491228070505</v>
      </c>
      <c r="V53" s="98">
        <v>123.15789473684406</v>
      </c>
      <c r="W53" s="101"/>
      <c r="X53" s="96" t="s">
        <v>306</v>
      </c>
      <c r="Y53" s="95" t="s">
        <v>306</v>
      </c>
      <c r="Z53" s="95" t="s">
        <v>306</v>
      </c>
      <c r="AA53" s="95" t="s">
        <v>306</v>
      </c>
    </row>
    <row r="54" spans="1:27" ht="15.6" customHeight="1" x14ac:dyDescent="0.25">
      <c r="A54" s="96" t="s">
        <v>502</v>
      </c>
      <c r="B54" s="96" t="s">
        <v>501</v>
      </c>
      <c r="C54" s="96" t="s">
        <v>500</v>
      </c>
      <c r="D54" s="96" t="s">
        <v>150</v>
      </c>
      <c r="E54" s="100">
        <v>44024</v>
      </c>
      <c r="F54" s="96" t="s">
        <v>151</v>
      </c>
      <c r="G54" s="96" t="s">
        <v>127</v>
      </c>
      <c r="H54" s="96" t="s">
        <v>106</v>
      </c>
      <c r="I54" s="99">
        <v>61.952380952380899</v>
      </c>
      <c r="J54" s="98">
        <v>38.964912280701746</v>
      </c>
      <c r="K54" s="98">
        <v>6.9298245614035086</v>
      </c>
      <c r="L54" s="98">
        <v>9.5614035087719298</v>
      </c>
      <c r="M54" s="98">
        <v>2.0877192982456139</v>
      </c>
      <c r="N54" s="98">
        <v>18.263157894736839</v>
      </c>
      <c r="O54" s="98">
        <v>34.754385964912281</v>
      </c>
      <c r="P54" s="98">
        <v>0.36842105263157893</v>
      </c>
      <c r="Q54" s="98">
        <v>4.1578947368421053</v>
      </c>
      <c r="R54" s="98">
        <v>4.9824561403508767</v>
      </c>
      <c r="S54" s="98">
        <v>5.5789473684210522</v>
      </c>
      <c r="T54" s="98">
        <v>6.4736842105263159</v>
      </c>
      <c r="U54" s="98">
        <v>40.508771929824555</v>
      </c>
      <c r="V54" s="98">
        <v>33.263157894736842</v>
      </c>
      <c r="W54" s="101"/>
      <c r="X54" s="96" t="s">
        <v>281</v>
      </c>
      <c r="Y54" s="95">
        <v>44959</v>
      </c>
      <c r="Z54" s="95" t="s">
        <v>371</v>
      </c>
      <c r="AA54" s="95" t="s">
        <v>279</v>
      </c>
    </row>
    <row r="55" spans="1:27" ht="15.6" customHeight="1" x14ac:dyDescent="0.25">
      <c r="A55" s="96" t="s">
        <v>499</v>
      </c>
      <c r="B55" s="96" t="s">
        <v>498</v>
      </c>
      <c r="C55" s="96" t="s">
        <v>497</v>
      </c>
      <c r="D55" s="96" t="s">
        <v>103</v>
      </c>
      <c r="E55" s="100">
        <v>93250</v>
      </c>
      <c r="F55" s="96" t="s">
        <v>141</v>
      </c>
      <c r="G55" s="96" t="s">
        <v>111</v>
      </c>
      <c r="H55" s="96" t="s">
        <v>106</v>
      </c>
      <c r="I55" s="99">
        <v>76.545454545454504</v>
      </c>
      <c r="J55" s="98">
        <v>38.280701754386001</v>
      </c>
      <c r="K55" s="98">
        <v>13.421052631578949</v>
      </c>
      <c r="L55" s="98">
        <v>44.228070175438603</v>
      </c>
      <c r="M55" s="98">
        <v>142.64912280701753</v>
      </c>
      <c r="N55" s="98">
        <v>181.9122807017545</v>
      </c>
      <c r="O55" s="98">
        <v>56.666666666666721</v>
      </c>
      <c r="P55" s="98">
        <v>0</v>
      </c>
      <c r="Q55" s="98">
        <v>0</v>
      </c>
      <c r="R55" s="98">
        <v>135.22807017543866</v>
      </c>
      <c r="S55" s="98">
        <v>4.6491228070175437</v>
      </c>
      <c r="T55" s="98">
        <v>8.1228070175438596</v>
      </c>
      <c r="U55" s="98">
        <v>90.578947368421026</v>
      </c>
      <c r="V55" s="98">
        <v>165.22807017543849</v>
      </c>
      <c r="W55" s="101">
        <v>560</v>
      </c>
      <c r="X55" s="96" t="s">
        <v>281</v>
      </c>
      <c r="Y55" s="95">
        <v>44952</v>
      </c>
      <c r="Z55" s="95" t="s">
        <v>292</v>
      </c>
      <c r="AA55" s="95" t="s">
        <v>279</v>
      </c>
    </row>
    <row r="56" spans="1:27" ht="15.6" customHeight="1" x14ac:dyDescent="0.25">
      <c r="A56" s="96" t="s">
        <v>496</v>
      </c>
      <c r="B56" s="96" t="s">
        <v>495</v>
      </c>
      <c r="C56" s="96" t="s">
        <v>494</v>
      </c>
      <c r="D56" s="96" t="s">
        <v>169</v>
      </c>
      <c r="E56" s="100">
        <v>96910</v>
      </c>
      <c r="F56" s="96" t="s">
        <v>141</v>
      </c>
      <c r="G56" s="96" t="s">
        <v>127</v>
      </c>
      <c r="H56" s="96" t="s">
        <v>106</v>
      </c>
      <c r="I56" s="99">
        <v>21.3333333333333</v>
      </c>
      <c r="J56" s="98">
        <v>0</v>
      </c>
      <c r="K56" s="98">
        <v>1.4210526315789473</v>
      </c>
      <c r="L56" s="98">
        <v>3.5614035087719298</v>
      </c>
      <c r="M56" s="98">
        <v>0</v>
      </c>
      <c r="N56" s="98">
        <v>4.9824561403508767</v>
      </c>
      <c r="O56" s="98">
        <v>0</v>
      </c>
      <c r="P56" s="98">
        <v>0</v>
      </c>
      <c r="Q56" s="98">
        <v>0</v>
      </c>
      <c r="R56" s="98">
        <v>4.5614035087719298</v>
      </c>
      <c r="S56" s="98">
        <v>0.42105263157894735</v>
      </c>
      <c r="T56" s="98">
        <v>0</v>
      </c>
      <c r="U56" s="98">
        <v>0</v>
      </c>
      <c r="V56" s="98">
        <v>4.6666666666666661</v>
      </c>
      <c r="W56" s="101"/>
      <c r="X56" s="96" t="s">
        <v>306</v>
      </c>
      <c r="Y56" s="95" t="s">
        <v>306</v>
      </c>
      <c r="Z56" s="95" t="s">
        <v>306</v>
      </c>
      <c r="AA56" s="95" t="s">
        <v>306</v>
      </c>
    </row>
    <row r="57" spans="1:27" x14ac:dyDescent="0.25">
      <c r="A57" s="96" t="s">
        <v>493</v>
      </c>
      <c r="B57" s="96" t="s">
        <v>492</v>
      </c>
      <c r="C57" s="96" t="s">
        <v>491</v>
      </c>
      <c r="D57" s="96" t="s">
        <v>171</v>
      </c>
      <c r="E57" s="100">
        <v>83605</v>
      </c>
      <c r="F57" s="96" t="s">
        <v>149</v>
      </c>
      <c r="G57" s="96" t="s">
        <v>114</v>
      </c>
      <c r="H57" s="96" t="s">
        <v>106</v>
      </c>
      <c r="I57" s="99">
        <v>2.75</v>
      </c>
      <c r="J57" s="98">
        <v>0</v>
      </c>
      <c r="K57" s="98">
        <v>0.35087719298245612</v>
      </c>
      <c r="L57" s="98">
        <v>0</v>
      </c>
      <c r="M57" s="98">
        <v>0</v>
      </c>
      <c r="N57" s="98">
        <v>0.35087719298245612</v>
      </c>
      <c r="O57" s="98">
        <v>0</v>
      </c>
      <c r="P57" s="98">
        <v>0</v>
      </c>
      <c r="Q57" s="98">
        <v>0</v>
      </c>
      <c r="R57" s="98">
        <v>0</v>
      </c>
      <c r="S57" s="98">
        <v>0.15789473684210525</v>
      </c>
      <c r="T57" s="98">
        <v>0</v>
      </c>
      <c r="U57" s="98">
        <v>0.19298245614035087</v>
      </c>
      <c r="V57" s="98">
        <v>0.35087719298245612</v>
      </c>
      <c r="W57" s="101"/>
      <c r="X57" s="96" t="s">
        <v>164</v>
      </c>
      <c r="Y57" s="95">
        <v>44539</v>
      </c>
      <c r="Z57" s="95" t="s">
        <v>288</v>
      </c>
      <c r="AA57" s="95" t="s">
        <v>279</v>
      </c>
    </row>
    <row r="58" spans="1:27" x14ac:dyDescent="0.25">
      <c r="A58" s="96" t="s">
        <v>490</v>
      </c>
      <c r="B58" s="96" t="s">
        <v>489</v>
      </c>
      <c r="C58" s="96" t="s">
        <v>488</v>
      </c>
      <c r="D58" s="96" t="s">
        <v>157</v>
      </c>
      <c r="E58" s="100">
        <v>68801</v>
      </c>
      <c r="F58" s="96" t="s">
        <v>144</v>
      </c>
      <c r="G58" s="96" t="s">
        <v>114</v>
      </c>
      <c r="H58" s="96" t="s">
        <v>106</v>
      </c>
      <c r="I58" s="99">
        <v>35.941176470588204</v>
      </c>
      <c r="J58" s="98">
        <v>0.10526315789473684</v>
      </c>
      <c r="K58" s="98">
        <v>3.5087719298245617</v>
      </c>
      <c r="L58" s="98">
        <v>3.5614035087719298</v>
      </c>
      <c r="M58" s="98">
        <v>0.47368421052631576</v>
      </c>
      <c r="N58" s="98">
        <v>6.5438596491228056</v>
      </c>
      <c r="O58" s="98">
        <v>1.0526315789473684</v>
      </c>
      <c r="P58" s="98">
        <v>5.2631578947368418E-2</v>
      </c>
      <c r="Q58" s="98">
        <v>0</v>
      </c>
      <c r="R58" s="98">
        <v>0.33333333333333331</v>
      </c>
      <c r="S58" s="98">
        <v>1.8245614035087718</v>
      </c>
      <c r="T58" s="98">
        <v>2.1754385964912282</v>
      </c>
      <c r="U58" s="98">
        <v>3.3157894736842111</v>
      </c>
      <c r="V58" s="98">
        <v>3.9649122807017552</v>
      </c>
      <c r="W58" s="101"/>
      <c r="X58" s="96" t="s">
        <v>281</v>
      </c>
      <c r="Y58" s="95">
        <v>44994</v>
      </c>
      <c r="Z58" s="95" t="s">
        <v>280</v>
      </c>
      <c r="AA58" s="102" t="s">
        <v>279</v>
      </c>
    </row>
    <row r="59" spans="1:27" ht="15.6" customHeight="1" x14ac:dyDescent="0.25">
      <c r="A59" s="96" t="s">
        <v>487</v>
      </c>
      <c r="B59" s="96" t="s">
        <v>486</v>
      </c>
      <c r="C59" s="96" t="s">
        <v>485</v>
      </c>
      <c r="D59" s="96" t="s">
        <v>118</v>
      </c>
      <c r="E59" s="100">
        <v>39520</v>
      </c>
      <c r="F59" s="96" t="s">
        <v>113</v>
      </c>
      <c r="G59" s="96" t="s">
        <v>114</v>
      </c>
      <c r="H59" s="96" t="s">
        <v>106</v>
      </c>
      <c r="I59" s="99">
        <v>2.1548387096774202</v>
      </c>
      <c r="J59" s="98">
        <v>1.3859649122807021</v>
      </c>
      <c r="K59" s="98">
        <v>1.5789473684210527</v>
      </c>
      <c r="L59" s="98">
        <v>2.0526315789473686</v>
      </c>
      <c r="M59" s="98">
        <v>0.84210526315789469</v>
      </c>
      <c r="N59" s="98">
        <v>2.7894736842105292</v>
      </c>
      <c r="O59" s="98">
        <v>3.0000000000000036</v>
      </c>
      <c r="P59" s="98">
        <v>0</v>
      </c>
      <c r="Q59" s="98">
        <v>7.0175438596491224E-2</v>
      </c>
      <c r="R59" s="98">
        <v>8.771929824561403E-2</v>
      </c>
      <c r="S59" s="98">
        <v>1.7543859649122806E-2</v>
      </c>
      <c r="T59" s="98">
        <v>0.19298245614035087</v>
      </c>
      <c r="U59" s="98">
        <v>5.5614035087719333</v>
      </c>
      <c r="V59" s="98">
        <v>3.2982456140350926</v>
      </c>
      <c r="W59" s="101"/>
      <c r="X59" s="96" t="s">
        <v>164</v>
      </c>
      <c r="Y59" s="95">
        <v>44558</v>
      </c>
      <c r="Z59" s="95" t="s">
        <v>288</v>
      </c>
      <c r="AA59" s="95" t="s">
        <v>279</v>
      </c>
    </row>
    <row r="60" spans="1:27" x14ac:dyDescent="0.25">
      <c r="A60" s="96" t="s">
        <v>484</v>
      </c>
      <c r="B60" s="96" t="s">
        <v>483</v>
      </c>
      <c r="C60" s="96" t="s">
        <v>482</v>
      </c>
      <c r="D60" s="96" t="s">
        <v>148</v>
      </c>
      <c r="E60" s="100">
        <v>89015</v>
      </c>
      <c r="F60" s="96" t="s">
        <v>149</v>
      </c>
      <c r="G60" s="96" t="s">
        <v>127</v>
      </c>
      <c r="H60" s="96" t="s">
        <v>106</v>
      </c>
      <c r="I60" s="99">
        <v>45.170212765957402</v>
      </c>
      <c r="J60" s="98">
        <v>9.4561403508771917</v>
      </c>
      <c r="K60" s="98">
        <v>19.052631578947366</v>
      </c>
      <c r="L60" s="98">
        <v>25.596491228070171</v>
      </c>
      <c r="M60" s="98">
        <v>11.684210526315791</v>
      </c>
      <c r="N60" s="98">
        <v>37.684210526315773</v>
      </c>
      <c r="O60" s="98">
        <v>14.12280701754386</v>
      </c>
      <c r="P60" s="98">
        <v>11.368421052631581</v>
      </c>
      <c r="Q60" s="98">
        <v>2.6140350877192984</v>
      </c>
      <c r="R60" s="98">
        <v>24.964912280701736</v>
      </c>
      <c r="S60" s="98">
        <v>10.87719298245614</v>
      </c>
      <c r="T60" s="98">
        <v>9.3157894736842088</v>
      </c>
      <c r="U60" s="98">
        <v>20.631578947368418</v>
      </c>
      <c r="V60" s="98">
        <v>52.824561403508774</v>
      </c>
      <c r="W60" s="101"/>
      <c r="X60" s="96" t="s">
        <v>281</v>
      </c>
      <c r="Y60" s="95">
        <v>45022</v>
      </c>
      <c r="Z60" s="95" t="s">
        <v>371</v>
      </c>
      <c r="AA60" s="102" t="s">
        <v>279</v>
      </c>
    </row>
    <row r="61" spans="1:27" ht="15.6" customHeight="1" x14ac:dyDescent="0.25">
      <c r="A61" s="96" t="s">
        <v>481</v>
      </c>
      <c r="B61" s="96" t="s">
        <v>480</v>
      </c>
      <c r="C61" s="96" t="s">
        <v>190</v>
      </c>
      <c r="D61" s="96" t="s">
        <v>109</v>
      </c>
      <c r="E61" s="100">
        <v>77032</v>
      </c>
      <c r="F61" s="96" t="s">
        <v>126</v>
      </c>
      <c r="G61" s="96" t="s">
        <v>0</v>
      </c>
      <c r="H61" s="96" t="s">
        <v>106</v>
      </c>
      <c r="I61" s="99">
        <v>0.5</v>
      </c>
      <c r="J61" s="98">
        <v>1.7543859649122806E-2</v>
      </c>
      <c r="K61" s="98">
        <v>1.7543859649122806E-2</v>
      </c>
      <c r="L61" s="98">
        <v>0</v>
      </c>
      <c r="M61" s="98">
        <v>0</v>
      </c>
      <c r="N61" s="98">
        <v>1.7543859649122806E-2</v>
      </c>
      <c r="O61" s="98">
        <v>1.7543859649122806E-2</v>
      </c>
      <c r="P61" s="98">
        <v>0</v>
      </c>
      <c r="Q61" s="98">
        <v>0</v>
      </c>
      <c r="R61" s="98">
        <v>1.7543859649122806E-2</v>
      </c>
      <c r="S61" s="98">
        <v>0</v>
      </c>
      <c r="T61" s="98">
        <v>0</v>
      </c>
      <c r="U61" s="98">
        <v>1.7543859649122806E-2</v>
      </c>
      <c r="V61" s="98">
        <v>1.7543859649122806E-2</v>
      </c>
      <c r="W61" s="101"/>
      <c r="X61" s="96" t="s">
        <v>306</v>
      </c>
      <c r="Y61" s="95" t="s">
        <v>306</v>
      </c>
      <c r="Z61" s="95" t="s">
        <v>306</v>
      </c>
      <c r="AA61" s="95" t="s">
        <v>306</v>
      </c>
    </row>
    <row r="62" spans="1:27" x14ac:dyDescent="0.25">
      <c r="A62" s="96" t="s">
        <v>479</v>
      </c>
      <c r="B62" s="96" t="s">
        <v>478</v>
      </c>
      <c r="C62" s="96" t="s">
        <v>190</v>
      </c>
      <c r="D62" s="96" t="s">
        <v>109</v>
      </c>
      <c r="E62" s="100">
        <v>77032</v>
      </c>
      <c r="F62" s="96" t="s">
        <v>126</v>
      </c>
      <c r="G62" s="96" t="s">
        <v>111</v>
      </c>
      <c r="H62" s="96" t="s">
        <v>106</v>
      </c>
      <c r="I62" s="99">
        <v>42.6435546875</v>
      </c>
      <c r="J62" s="98">
        <v>865.1403508771931</v>
      </c>
      <c r="K62" s="98">
        <v>1.8070175438596492</v>
      </c>
      <c r="L62" s="98">
        <v>0.84210526315789469</v>
      </c>
      <c r="M62" s="98">
        <v>0.42105263157894735</v>
      </c>
      <c r="N62" s="98">
        <v>1.9999999999999998</v>
      </c>
      <c r="O62" s="98">
        <v>762.4210526315793</v>
      </c>
      <c r="P62" s="98">
        <v>1.1052631578947367</v>
      </c>
      <c r="Q62" s="98">
        <v>102.68421052631592</v>
      </c>
      <c r="R62" s="98">
        <v>1.5789473684210524</v>
      </c>
      <c r="S62" s="98">
        <v>1.1403508771929824</v>
      </c>
      <c r="T62" s="98">
        <v>0.10526315789473684</v>
      </c>
      <c r="U62" s="98">
        <v>865.38596491228088</v>
      </c>
      <c r="V62" s="98">
        <v>564.47368421052477</v>
      </c>
      <c r="W62" s="101">
        <v>750</v>
      </c>
      <c r="X62" s="96" t="s">
        <v>281</v>
      </c>
      <c r="Y62" s="95">
        <v>44950</v>
      </c>
      <c r="Z62" s="95" t="s">
        <v>292</v>
      </c>
      <c r="AA62" s="102" t="s">
        <v>279</v>
      </c>
    </row>
    <row r="63" spans="1:27" ht="15.6" customHeight="1" x14ac:dyDescent="0.25">
      <c r="A63" s="96" t="s">
        <v>477</v>
      </c>
      <c r="B63" s="96" t="s">
        <v>476</v>
      </c>
      <c r="C63" s="96" t="s">
        <v>475</v>
      </c>
      <c r="D63" s="96" t="s">
        <v>103</v>
      </c>
      <c r="E63" s="100">
        <v>92231</v>
      </c>
      <c r="F63" s="96" t="s">
        <v>119</v>
      </c>
      <c r="G63" s="96" t="s">
        <v>111</v>
      </c>
      <c r="H63" s="96" t="s">
        <v>106</v>
      </c>
      <c r="I63" s="99">
        <v>45.608585858585897</v>
      </c>
      <c r="J63" s="98">
        <v>622.10526315789434</v>
      </c>
      <c r="K63" s="98">
        <v>4.2631578947368425</v>
      </c>
      <c r="L63" s="98">
        <v>11.403508771929825</v>
      </c>
      <c r="M63" s="98">
        <v>16.368421052631579</v>
      </c>
      <c r="N63" s="98">
        <v>64.877192982456151</v>
      </c>
      <c r="O63" s="98">
        <v>589.26315789473801</v>
      </c>
      <c r="P63" s="98">
        <v>0</v>
      </c>
      <c r="Q63" s="98">
        <v>0</v>
      </c>
      <c r="R63" s="98">
        <v>33.614035087719309</v>
      </c>
      <c r="S63" s="98">
        <v>10.666666666666664</v>
      </c>
      <c r="T63" s="98">
        <v>14.807017543859647</v>
      </c>
      <c r="U63" s="98">
        <v>595.05263157894819</v>
      </c>
      <c r="V63" s="98">
        <v>410.94736842105272</v>
      </c>
      <c r="W63" s="101">
        <v>640</v>
      </c>
      <c r="X63" s="96" t="s">
        <v>281</v>
      </c>
      <c r="Y63" s="95">
        <v>44952</v>
      </c>
      <c r="Z63" s="95" t="s">
        <v>292</v>
      </c>
      <c r="AA63" s="95" t="s">
        <v>279</v>
      </c>
    </row>
    <row r="64" spans="1:27" ht="15.6" customHeight="1" x14ac:dyDescent="0.25">
      <c r="A64" s="96" t="s">
        <v>474</v>
      </c>
      <c r="B64" s="96" t="s">
        <v>473</v>
      </c>
      <c r="C64" s="96" t="s">
        <v>413</v>
      </c>
      <c r="D64" s="96" t="s">
        <v>109</v>
      </c>
      <c r="E64" s="100">
        <v>77301</v>
      </c>
      <c r="F64" s="96" t="s">
        <v>126</v>
      </c>
      <c r="G64" s="96" t="s">
        <v>114</v>
      </c>
      <c r="H64" s="96" t="s">
        <v>106</v>
      </c>
      <c r="I64" s="99">
        <v>33.269039735099298</v>
      </c>
      <c r="J64" s="98">
        <v>926.19298245612936</v>
      </c>
      <c r="K64" s="98">
        <v>9.5789473684210442</v>
      </c>
      <c r="L64" s="98">
        <v>4.666666666666667</v>
      </c>
      <c r="M64" s="98">
        <v>2.4561403508771931</v>
      </c>
      <c r="N64" s="98">
        <v>24.91228070175438</v>
      </c>
      <c r="O64" s="98">
        <v>917.98245614033954</v>
      </c>
      <c r="P64" s="98">
        <v>0</v>
      </c>
      <c r="Q64" s="98">
        <v>0</v>
      </c>
      <c r="R64" s="98">
        <v>4.9473684210526319</v>
      </c>
      <c r="S64" s="98">
        <v>3.6140350877192984</v>
      </c>
      <c r="T64" s="98">
        <v>13.210526315789476</v>
      </c>
      <c r="U64" s="98">
        <v>921.12280701753218</v>
      </c>
      <c r="V64" s="98">
        <v>667.68421052630924</v>
      </c>
      <c r="W64" s="101"/>
      <c r="X64" s="96" t="s">
        <v>281</v>
      </c>
      <c r="Y64" s="95">
        <v>44938</v>
      </c>
      <c r="Z64" s="95" t="s">
        <v>280</v>
      </c>
      <c r="AA64" s="95" t="s">
        <v>279</v>
      </c>
    </row>
    <row r="65" spans="1:27" ht="24.75" customHeight="1" x14ac:dyDescent="0.25">
      <c r="A65" s="96" t="s">
        <v>472</v>
      </c>
      <c r="B65" s="96" t="s">
        <v>471</v>
      </c>
      <c r="C65" s="96" t="s">
        <v>470</v>
      </c>
      <c r="D65" s="96" t="s">
        <v>171</v>
      </c>
      <c r="E65" s="100">
        <v>83442</v>
      </c>
      <c r="F65" s="96" t="s">
        <v>149</v>
      </c>
      <c r="G65" s="96" t="s">
        <v>114</v>
      </c>
      <c r="H65" s="96" t="s">
        <v>106</v>
      </c>
      <c r="I65" s="99">
        <v>2.65</v>
      </c>
      <c r="J65" s="98">
        <v>0.36842105263157893</v>
      </c>
      <c r="K65" s="98">
        <v>0.38596491228070173</v>
      </c>
      <c r="L65" s="98">
        <v>0.24561403508771928</v>
      </c>
      <c r="M65" s="98">
        <v>5.2631578947368418E-2</v>
      </c>
      <c r="N65" s="98">
        <v>0.77192982456140347</v>
      </c>
      <c r="O65" s="98">
        <v>0.2807017543859649</v>
      </c>
      <c r="P65" s="98">
        <v>0</v>
      </c>
      <c r="Q65" s="98">
        <v>0</v>
      </c>
      <c r="R65" s="98">
        <v>0</v>
      </c>
      <c r="S65" s="98">
        <v>7.0175438596491224E-2</v>
      </c>
      <c r="T65" s="98">
        <v>5.2631578947368418E-2</v>
      </c>
      <c r="U65" s="98">
        <v>0.92982456140350878</v>
      </c>
      <c r="V65" s="98">
        <v>0.77192982456140347</v>
      </c>
      <c r="W65" s="101"/>
      <c r="X65" s="96" t="s">
        <v>164</v>
      </c>
      <c r="Y65" s="95">
        <v>44515</v>
      </c>
      <c r="Z65" s="95" t="s">
        <v>288</v>
      </c>
      <c r="AA65" s="102" t="s">
        <v>279</v>
      </c>
    </row>
    <row r="66" spans="1:27" ht="15.75" customHeight="1" x14ac:dyDescent="0.25">
      <c r="A66" s="96" t="s">
        <v>469</v>
      </c>
      <c r="B66" s="96" t="s">
        <v>468</v>
      </c>
      <c r="C66" s="96" t="s">
        <v>467</v>
      </c>
      <c r="D66" s="96" t="s">
        <v>112</v>
      </c>
      <c r="E66" s="100">
        <v>71342</v>
      </c>
      <c r="F66" s="96" t="s">
        <v>113</v>
      </c>
      <c r="G66" s="96" t="s">
        <v>105</v>
      </c>
      <c r="H66" s="96" t="s">
        <v>106</v>
      </c>
      <c r="I66" s="99">
        <v>38.545696539485398</v>
      </c>
      <c r="J66" s="98">
        <v>415.35087719297997</v>
      </c>
      <c r="K66" s="98">
        <v>163.22807017543869</v>
      </c>
      <c r="L66" s="98">
        <v>200.03508771929853</v>
      </c>
      <c r="M66" s="98">
        <v>153.14035087719316</v>
      </c>
      <c r="N66" s="98">
        <v>423.54385964912274</v>
      </c>
      <c r="O66" s="98">
        <v>506.14035087719037</v>
      </c>
      <c r="P66" s="98">
        <v>0.21052631578947367</v>
      </c>
      <c r="Q66" s="98">
        <v>1.8596491228070184</v>
      </c>
      <c r="R66" s="98">
        <v>170.15789473684234</v>
      </c>
      <c r="S66" s="98">
        <v>71.824561403508824</v>
      </c>
      <c r="T66" s="98">
        <v>79.17543859649129</v>
      </c>
      <c r="U66" s="98">
        <v>610.59649122806593</v>
      </c>
      <c r="V66" s="98">
        <v>725.14035087718742</v>
      </c>
      <c r="W66" s="101">
        <v>1170</v>
      </c>
      <c r="X66" s="96" t="s">
        <v>281</v>
      </c>
      <c r="Y66" s="95">
        <v>44573</v>
      </c>
      <c r="Z66" s="95" t="s">
        <v>292</v>
      </c>
      <c r="AA66" s="95" t="s">
        <v>279</v>
      </c>
    </row>
    <row r="67" spans="1:27" x14ac:dyDescent="0.25">
      <c r="A67" s="96" t="s">
        <v>466</v>
      </c>
      <c r="B67" s="96" t="s">
        <v>465</v>
      </c>
      <c r="C67" s="96" t="s">
        <v>464</v>
      </c>
      <c r="D67" s="96" t="s">
        <v>112</v>
      </c>
      <c r="E67" s="100">
        <v>71303</v>
      </c>
      <c r="F67" s="96" t="s">
        <v>113</v>
      </c>
      <c r="G67" s="96" t="s">
        <v>146</v>
      </c>
      <c r="H67" s="96" t="s">
        <v>5</v>
      </c>
      <c r="I67" s="99">
        <v>2.54442241845378</v>
      </c>
      <c r="J67" s="98">
        <v>162.00000000000364</v>
      </c>
      <c r="K67" s="98">
        <v>22.631578947368443</v>
      </c>
      <c r="L67" s="98">
        <v>44.964912280702173</v>
      </c>
      <c r="M67" s="98">
        <v>35.526315789473919</v>
      </c>
      <c r="N67" s="98">
        <v>89.105263157896331</v>
      </c>
      <c r="O67" s="98">
        <v>175.982456140355</v>
      </c>
      <c r="P67" s="98">
        <v>3.5087719298245612E-2</v>
      </c>
      <c r="Q67" s="98">
        <v>0</v>
      </c>
      <c r="R67" s="98">
        <v>38.912280701754682</v>
      </c>
      <c r="S67" s="98">
        <v>16.807017543859633</v>
      </c>
      <c r="T67" s="98">
        <v>15.473684210526311</v>
      </c>
      <c r="U67" s="98">
        <v>193.92982456140817</v>
      </c>
      <c r="V67" s="98">
        <v>261.14035087719702</v>
      </c>
      <c r="W67" s="101"/>
      <c r="X67" s="96" t="s">
        <v>281</v>
      </c>
      <c r="Y67" s="95">
        <v>45198</v>
      </c>
      <c r="Z67" s="95" t="s">
        <v>463</v>
      </c>
      <c r="AA67" s="102" t="s">
        <v>279</v>
      </c>
    </row>
    <row r="68" spans="1:27" ht="15.6" customHeight="1" x14ac:dyDescent="0.25">
      <c r="A68" s="96" t="s">
        <v>462</v>
      </c>
      <c r="B68" s="96" t="s">
        <v>461</v>
      </c>
      <c r="C68" s="96" t="s">
        <v>460</v>
      </c>
      <c r="D68" s="96" t="s">
        <v>112</v>
      </c>
      <c r="E68" s="100">
        <v>71251</v>
      </c>
      <c r="F68" s="96" t="s">
        <v>113</v>
      </c>
      <c r="G68" s="96" t="s">
        <v>105</v>
      </c>
      <c r="H68" s="96" t="s">
        <v>106</v>
      </c>
      <c r="I68" s="99">
        <v>33.560391730141497</v>
      </c>
      <c r="J68" s="98">
        <v>1062.5263157894794</v>
      </c>
      <c r="K68" s="98">
        <v>3.1403508771929824</v>
      </c>
      <c r="L68" s="98">
        <v>0</v>
      </c>
      <c r="M68" s="98">
        <v>0</v>
      </c>
      <c r="N68" s="98">
        <v>2.8421052631578947</v>
      </c>
      <c r="O68" s="98">
        <v>1062.8245614035147</v>
      </c>
      <c r="P68" s="98">
        <v>0</v>
      </c>
      <c r="Q68" s="98">
        <v>0</v>
      </c>
      <c r="R68" s="98">
        <v>0</v>
      </c>
      <c r="S68" s="98">
        <v>1</v>
      </c>
      <c r="T68" s="98">
        <v>1.4736842105263157</v>
      </c>
      <c r="U68" s="98">
        <v>1063.1929824561462</v>
      </c>
      <c r="V68" s="98">
        <v>844.03508771929955</v>
      </c>
      <c r="W68" s="101">
        <v>500</v>
      </c>
      <c r="X68" s="96" t="s">
        <v>281</v>
      </c>
      <c r="Y68" s="95">
        <v>44910</v>
      </c>
      <c r="Z68" s="95" t="s">
        <v>292</v>
      </c>
      <c r="AA68" s="95" t="s">
        <v>279</v>
      </c>
    </row>
    <row r="69" spans="1:27" ht="15.6" customHeight="1" x14ac:dyDescent="0.25">
      <c r="A69" s="96" t="s">
        <v>459</v>
      </c>
      <c r="B69" s="96" t="s">
        <v>458</v>
      </c>
      <c r="C69" s="96" t="s">
        <v>457</v>
      </c>
      <c r="D69" s="96" t="s">
        <v>143</v>
      </c>
      <c r="E69" s="100">
        <v>56201</v>
      </c>
      <c r="F69" s="96" t="s">
        <v>144</v>
      </c>
      <c r="G69" s="96" t="s">
        <v>114</v>
      </c>
      <c r="H69" s="96" t="s">
        <v>106</v>
      </c>
      <c r="I69" s="99">
        <v>48.040540540540498</v>
      </c>
      <c r="J69" s="98">
        <v>11.57894736842105</v>
      </c>
      <c r="K69" s="98">
        <v>12.614035087719293</v>
      </c>
      <c r="L69" s="98">
        <v>60.736842105263172</v>
      </c>
      <c r="M69" s="98">
        <v>13.140350877192983</v>
      </c>
      <c r="N69" s="98">
        <v>48.807017543859629</v>
      </c>
      <c r="O69" s="98">
        <v>35.157894736842152</v>
      </c>
      <c r="P69" s="98">
        <v>7.1403508771929829</v>
      </c>
      <c r="Q69" s="98">
        <v>6.9649122807017543</v>
      </c>
      <c r="R69" s="98">
        <v>22.754385964912284</v>
      </c>
      <c r="S69" s="98">
        <v>7.0350877192982457</v>
      </c>
      <c r="T69" s="98">
        <v>5.1403508771929829</v>
      </c>
      <c r="U69" s="98">
        <v>63.140350877192986</v>
      </c>
      <c r="V69" s="98">
        <v>84.578947368421012</v>
      </c>
      <c r="W69" s="101"/>
      <c r="X69" s="96" t="s">
        <v>281</v>
      </c>
      <c r="Y69" s="95">
        <v>45001</v>
      </c>
      <c r="Z69" s="95" t="s">
        <v>280</v>
      </c>
      <c r="AA69" s="95" t="s">
        <v>279</v>
      </c>
    </row>
    <row r="70" spans="1:27" ht="15.6" customHeight="1" x14ac:dyDescent="0.25">
      <c r="A70" s="96" t="s">
        <v>456</v>
      </c>
      <c r="B70" s="96" t="s">
        <v>455</v>
      </c>
      <c r="C70" s="96" t="s">
        <v>454</v>
      </c>
      <c r="D70" s="96" t="s">
        <v>147</v>
      </c>
      <c r="E70" s="100">
        <v>74647</v>
      </c>
      <c r="F70" s="96" t="s">
        <v>9</v>
      </c>
      <c r="G70" s="96" t="s">
        <v>114</v>
      </c>
      <c r="H70" s="96" t="s">
        <v>106</v>
      </c>
      <c r="I70" s="99">
        <v>31.427419354838701</v>
      </c>
      <c r="J70" s="98">
        <v>45.877192982456087</v>
      </c>
      <c r="K70" s="98">
        <v>13.807017543859651</v>
      </c>
      <c r="L70" s="98">
        <v>18.140350877192979</v>
      </c>
      <c r="M70" s="98">
        <v>14.982456140350878</v>
      </c>
      <c r="N70" s="98">
        <v>38.333333333333321</v>
      </c>
      <c r="O70" s="98">
        <v>54.473684210526265</v>
      </c>
      <c r="P70" s="98">
        <v>0</v>
      </c>
      <c r="Q70" s="98">
        <v>0</v>
      </c>
      <c r="R70" s="98">
        <v>14.087719298245613</v>
      </c>
      <c r="S70" s="98">
        <v>7.6140350877192979</v>
      </c>
      <c r="T70" s="98">
        <v>13.245614035087719</v>
      </c>
      <c r="U70" s="98">
        <v>57.859649122806964</v>
      </c>
      <c r="V70" s="98">
        <v>67.754385964912231</v>
      </c>
      <c r="W70" s="101"/>
      <c r="X70" s="96" t="s">
        <v>281</v>
      </c>
      <c r="Y70" s="95">
        <v>44987</v>
      </c>
      <c r="Z70" s="95" t="s">
        <v>292</v>
      </c>
      <c r="AA70" s="95" t="s">
        <v>279</v>
      </c>
    </row>
    <row r="71" spans="1:27" ht="15.6" customHeight="1" x14ac:dyDescent="0.25">
      <c r="A71" s="96" t="s">
        <v>453</v>
      </c>
      <c r="B71" s="96" t="s">
        <v>172</v>
      </c>
      <c r="C71" s="96" t="s">
        <v>173</v>
      </c>
      <c r="D71" s="96" t="s">
        <v>174</v>
      </c>
      <c r="E71" s="100">
        <v>37918</v>
      </c>
      <c r="F71" s="96" t="s">
        <v>113</v>
      </c>
      <c r="G71" s="96" t="s">
        <v>127</v>
      </c>
      <c r="H71" s="96" t="s">
        <v>106</v>
      </c>
      <c r="I71" s="99">
        <v>2.22950819672131</v>
      </c>
      <c r="J71" s="98">
        <v>1.1578947368421051</v>
      </c>
      <c r="K71" s="98">
        <v>0.61403508771929816</v>
      </c>
      <c r="L71" s="98">
        <v>0.42105263157894735</v>
      </c>
      <c r="M71" s="98">
        <v>0.40350877192982454</v>
      </c>
      <c r="N71" s="98">
        <v>1.3508771929824566</v>
      </c>
      <c r="O71" s="98">
        <v>1.1228070175438591</v>
      </c>
      <c r="P71" s="98">
        <v>0</v>
      </c>
      <c r="Q71" s="98">
        <v>0.12280701754385964</v>
      </c>
      <c r="R71" s="98">
        <v>3.5087719298245612E-2</v>
      </c>
      <c r="S71" s="98">
        <v>0</v>
      </c>
      <c r="T71" s="98">
        <v>1.7543859649122806E-2</v>
      </c>
      <c r="U71" s="98">
        <v>2.5438596491228083</v>
      </c>
      <c r="V71" s="98">
        <v>1.4210526315789467</v>
      </c>
      <c r="W71" s="101"/>
      <c r="X71" s="96" t="s">
        <v>164</v>
      </c>
      <c r="Y71" s="95">
        <v>44949</v>
      </c>
      <c r="Z71" s="95" t="s">
        <v>288</v>
      </c>
      <c r="AA71" s="95" t="s">
        <v>279</v>
      </c>
    </row>
    <row r="72" spans="1:27" ht="15.6" customHeight="1" x14ac:dyDescent="0.25">
      <c r="A72" s="96" t="s">
        <v>452</v>
      </c>
      <c r="B72" s="96" t="s">
        <v>451</v>
      </c>
      <c r="C72" s="96" t="s">
        <v>450</v>
      </c>
      <c r="D72" s="96" t="s">
        <v>109</v>
      </c>
      <c r="E72" s="100">
        <v>78118</v>
      </c>
      <c r="F72" s="96" t="s">
        <v>110</v>
      </c>
      <c r="G72" s="96" t="s">
        <v>105</v>
      </c>
      <c r="H72" s="96" t="s">
        <v>106</v>
      </c>
      <c r="I72" s="99">
        <v>46.025801952580203</v>
      </c>
      <c r="J72" s="98">
        <v>1202.7894736842129</v>
      </c>
      <c r="K72" s="98">
        <v>11.66666666666667</v>
      </c>
      <c r="L72" s="98">
        <v>3.5087719298245612E-2</v>
      </c>
      <c r="M72" s="98">
        <v>8.771929824561403E-2</v>
      </c>
      <c r="N72" s="98">
        <v>39.754385964912267</v>
      </c>
      <c r="O72" s="98">
        <v>1174.82456140351</v>
      </c>
      <c r="P72" s="98">
        <v>0</v>
      </c>
      <c r="Q72" s="98">
        <v>0</v>
      </c>
      <c r="R72" s="98">
        <v>0.80701754385964919</v>
      </c>
      <c r="S72" s="98">
        <v>3.0701754385964914</v>
      </c>
      <c r="T72" s="98">
        <v>29.824561403508749</v>
      </c>
      <c r="U72" s="98">
        <v>1180.8771929824575</v>
      </c>
      <c r="V72" s="98">
        <v>564.5614035087691</v>
      </c>
      <c r="W72" s="101">
        <v>830</v>
      </c>
      <c r="X72" s="96" t="s">
        <v>281</v>
      </c>
      <c r="Y72" s="95">
        <v>45001</v>
      </c>
      <c r="Z72" s="95" t="s">
        <v>292</v>
      </c>
      <c r="AA72" s="95" t="s">
        <v>279</v>
      </c>
    </row>
    <row r="73" spans="1:27" ht="15.6" customHeight="1" x14ac:dyDescent="0.25">
      <c r="A73" s="96" t="s">
        <v>449</v>
      </c>
      <c r="B73" s="96" t="s">
        <v>448</v>
      </c>
      <c r="C73" s="96" t="s">
        <v>192</v>
      </c>
      <c r="D73" s="96" t="s">
        <v>134</v>
      </c>
      <c r="E73" s="100">
        <v>33194</v>
      </c>
      <c r="F73" s="96" t="s">
        <v>8</v>
      </c>
      <c r="G73" s="96" t="s">
        <v>123</v>
      </c>
      <c r="H73" s="96" t="s">
        <v>5</v>
      </c>
      <c r="I73" s="99">
        <v>44.010752688171998</v>
      </c>
      <c r="J73" s="98">
        <v>27.78947368421052</v>
      </c>
      <c r="K73" s="98">
        <v>4.140350877192982</v>
      </c>
      <c r="L73" s="98">
        <v>258.61403508771923</v>
      </c>
      <c r="M73" s="98">
        <v>301.22807017543875</v>
      </c>
      <c r="N73" s="98">
        <v>392.70175438596476</v>
      </c>
      <c r="O73" s="98">
        <v>198.36842105263156</v>
      </c>
      <c r="P73" s="98">
        <v>0.70175438596491224</v>
      </c>
      <c r="Q73" s="98">
        <v>0</v>
      </c>
      <c r="R73" s="98">
        <v>200.98245614035091</v>
      </c>
      <c r="S73" s="98">
        <v>61.561403508771932</v>
      </c>
      <c r="T73" s="98">
        <v>21.561403508771924</v>
      </c>
      <c r="U73" s="98">
        <v>307.66666666666697</v>
      </c>
      <c r="V73" s="98">
        <v>379.10526315789485</v>
      </c>
      <c r="W73" s="101">
        <v>450</v>
      </c>
      <c r="X73" s="96" t="s">
        <v>281</v>
      </c>
      <c r="Y73" s="95">
        <v>45008</v>
      </c>
      <c r="Z73" s="95" t="s">
        <v>292</v>
      </c>
      <c r="AA73" s="95" t="s">
        <v>279</v>
      </c>
    </row>
    <row r="74" spans="1:27" x14ac:dyDescent="0.25">
      <c r="A74" s="96" t="s">
        <v>447</v>
      </c>
      <c r="B74" s="96" t="s">
        <v>446</v>
      </c>
      <c r="C74" s="96" t="s">
        <v>445</v>
      </c>
      <c r="D74" s="96" t="s">
        <v>112</v>
      </c>
      <c r="E74" s="100">
        <v>71483</v>
      </c>
      <c r="F74" s="96" t="s">
        <v>113</v>
      </c>
      <c r="G74" s="96" t="s">
        <v>105</v>
      </c>
      <c r="H74" s="96" t="s">
        <v>5</v>
      </c>
      <c r="I74" s="99">
        <v>21.176123319121</v>
      </c>
      <c r="J74" s="98">
        <v>1330.7017543859447</v>
      </c>
      <c r="K74" s="98">
        <v>57.526315789473692</v>
      </c>
      <c r="L74" s="98">
        <v>49.842105263157897</v>
      </c>
      <c r="M74" s="98">
        <v>24.245614035087733</v>
      </c>
      <c r="N74" s="98">
        <v>110.17543859649136</v>
      </c>
      <c r="O74" s="98">
        <v>1352.1403508771725</v>
      </c>
      <c r="P74" s="98">
        <v>0</v>
      </c>
      <c r="Q74" s="98">
        <v>0</v>
      </c>
      <c r="R74" s="98">
        <v>33.9298245614035</v>
      </c>
      <c r="S74" s="98">
        <v>19.508771929824558</v>
      </c>
      <c r="T74" s="98">
        <v>24.438596491228065</v>
      </c>
      <c r="U74" s="98">
        <v>1384.4385964912083</v>
      </c>
      <c r="V74" s="98">
        <v>931.01754385963602</v>
      </c>
      <c r="W74" s="101">
        <v>946</v>
      </c>
      <c r="X74" s="96" t="s">
        <v>281</v>
      </c>
      <c r="Y74" s="95">
        <v>44952</v>
      </c>
      <c r="Z74" s="95" t="s">
        <v>292</v>
      </c>
      <c r="AA74" s="95" t="s">
        <v>279</v>
      </c>
    </row>
    <row r="75" spans="1:27" x14ac:dyDescent="0.25">
      <c r="A75" s="96" t="s">
        <v>444</v>
      </c>
      <c r="B75" s="96" t="s">
        <v>443</v>
      </c>
      <c r="C75" s="96" t="s">
        <v>442</v>
      </c>
      <c r="D75" s="96" t="s">
        <v>166</v>
      </c>
      <c r="E75" s="100">
        <v>29072</v>
      </c>
      <c r="F75" s="96" t="s">
        <v>108</v>
      </c>
      <c r="G75" s="96" t="s">
        <v>127</v>
      </c>
      <c r="H75" s="96" t="s">
        <v>106</v>
      </c>
      <c r="I75" s="99">
        <v>1.7</v>
      </c>
      <c r="J75" s="98">
        <v>0.43859649122807015</v>
      </c>
      <c r="K75" s="98">
        <v>0.82456140350877227</v>
      </c>
      <c r="L75" s="98">
        <v>0.19298245614035087</v>
      </c>
      <c r="M75" s="98">
        <v>1.7543859649122806E-2</v>
      </c>
      <c r="N75" s="98">
        <v>0.78947368421052633</v>
      </c>
      <c r="O75" s="98">
        <v>0.52631578947368429</v>
      </c>
      <c r="P75" s="98">
        <v>3.5087719298245612E-2</v>
      </c>
      <c r="Q75" s="98">
        <v>0.12280701754385964</v>
      </c>
      <c r="R75" s="98">
        <v>5.2631578947368418E-2</v>
      </c>
      <c r="S75" s="98">
        <v>0</v>
      </c>
      <c r="T75" s="98">
        <v>0</v>
      </c>
      <c r="U75" s="98">
        <v>1.4210526315789478</v>
      </c>
      <c r="V75" s="98">
        <v>0.92982456140350911</v>
      </c>
      <c r="W75" s="101"/>
      <c r="X75" s="96" t="s">
        <v>281</v>
      </c>
      <c r="Y75" s="95">
        <v>44966</v>
      </c>
      <c r="Z75" s="95" t="s">
        <v>371</v>
      </c>
      <c r="AA75" s="95" t="s">
        <v>370</v>
      </c>
    </row>
    <row r="76" spans="1:27" ht="15.6" customHeight="1" x14ac:dyDescent="0.25">
      <c r="A76" s="96" t="s">
        <v>441</v>
      </c>
      <c r="B76" s="96" t="s">
        <v>440</v>
      </c>
      <c r="C76" s="96" t="s">
        <v>439</v>
      </c>
      <c r="D76" s="96" t="s">
        <v>109</v>
      </c>
      <c r="E76" s="100">
        <v>76642</v>
      </c>
      <c r="F76" s="96" t="s">
        <v>126</v>
      </c>
      <c r="G76" s="96" t="s">
        <v>127</v>
      </c>
      <c r="H76" s="96" t="s">
        <v>5</v>
      </c>
      <c r="I76" s="99">
        <v>21.347826086956498</v>
      </c>
      <c r="J76" s="98">
        <v>52.754385964912295</v>
      </c>
      <c r="K76" s="98">
        <v>2.6491228070175441</v>
      </c>
      <c r="L76" s="98">
        <v>0.36842105263157893</v>
      </c>
      <c r="M76" s="98">
        <v>0.26315789473684209</v>
      </c>
      <c r="N76" s="98">
        <v>3.2280701754385976</v>
      </c>
      <c r="O76" s="98">
        <v>52.807017543859665</v>
      </c>
      <c r="P76" s="98">
        <v>0</v>
      </c>
      <c r="Q76" s="98">
        <v>0</v>
      </c>
      <c r="R76" s="98">
        <v>1.1052631578947367</v>
      </c>
      <c r="S76" s="98">
        <v>0</v>
      </c>
      <c r="T76" s="98">
        <v>1.3684210526315788</v>
      </c>
      <c r="U76" s="98">
        <v>53.561403508771946</v>
      </c>
      <c r="V76" s="98">
        <v>52.543859649122822</v>
      </c>
      <c r="W76" s="101"/>
      <c r="X76" s="96" t="s">
        <v>281</v>
      </c>
      <c r="Y76" s="95">
        <v>44623</v>
      </c>
      <c r="Z76" s="95" t="s">
        <v>280</v>
      </c>
      <c r="AA76" s="95" t="s">
        <v>279</v>
      </c>
    </row>
    <row r="77" spans="1:27" x14ac:dyDescent="0.25">
      <c r="A77" s="96" t="s">
        <v>438</v>
      </c>
      <c r="B77" s="96" t="s">
        <v>437</v>
      </c>
      <c r="C77" s="96" t="s">
        <v>436</v>
      </c>
      <c r="D77" s="96" t="s">
        <v>159</v>
      </c>
      <c r="E77" s="100">
        <v>52401</v>
      </c>
      <c r="F77" s="96" t="s">
        <v>144</v>
      </c>
      <c r="G77" s="96" t="s">
        <v>127</v>
      </c>
      <c r="H77" s="96" t="s">
        <v>106</v>
      </c>
      <c r="I77" s="99">
        <v>16.153846153846199</v>
      </c>
      <c r="J77" s="98">
        <v>1.368421052631579</v>
      </c>
      <c r="K77" s="98">
        <v>2.6491228070175437</v>
      </c>
      <c r="L77" s="98">
        <v>1.8421052631578947</v>
      </c>
      <c r="M77" s="98">
        <v>8.771929824561403E-2</v>
      </c>
      <c r="N77" s="98">
        <v>4.5614035087719298</v>
      </c>
      <c r="O77" s="98">
        <v>1.1929824561403508</v>
      </c>
      <c r="P77" s="98">
        <v>0.19298245614035087</v>
      </c>
      <c r="Q77" s="98">
        <v>0</v>
      </c>
      <c r="R77" s="98">
        <v>1.1052631578947367</v>
      </c>
      <c r="S77" s="98">
        <v>0.59649122807017541</v>
      </c>
      <c r="T77" s="98">
        <v>0.42105263157894735</v>
      </c>
      <c r="U77" s="98">
        <v>3.8245614035087714</v>
      </c>
      <c r="V77" s="98">
        <v>5.6666666666666661</v>
      </c>
      <c r="W77" s="101"/>
      <c r="X77" s="96" t="s">
        <v>281</v>
      </c>
      <c r="Y77" s="95">
        <v>45197</v>
      </c>
      <c r="Z77" s="95" t="s">
        <v>280</v>
      </c>
      <c r="AA77" s="102" t="s">
        <v>279</v>
      </c>
    </row>
    <row r="78" spans="1:27" x14ac:dyDescent="0.25">
      <c r="A78" s="96" t="s">
        <v>435</v>
      </c>
      <c r="B78" s="96" t="s">
        <v>434</v>
      </c>
      <c r="C78" s="96" t="s">
        <v>294</v>
      </c>
      <c r="D78" s="96" t="s">
        <v>109</v>
      </c>
      <c r="E78" s="100">
        <v>78041</v>
      </c>
      <c r="F78" s="96" t="s">
        <v>293</v>
      </c>
      <c r="G78" s="96" t="s">
        <v>105</v>
      </c>
      <c r="H78" s="96" t="s">
        <v>106</v>
      </c>
      <c r="I78" s="99">
        <v>34.145522388059703</v>
      </c>
      <c r="J78" s="98">
        <v>354.17543859648993</v>
      </c>
      <c r="K78" s="98">
        <v>4.1754385964912277</v>
      </c>
      <c r="L78" s="98">
        <v>0</v>
      </c>
      <c r="M78" s="98">
        <v>5.2631578947368418E-2</v>
      </c>
      <c r="N78" s="98">
        <v>3.8947368421052633</v>
      </c>
      <c r="O78" s="98">
        <v>64.73684210526315</v>
      </c>
      <c r="P78" s="98">
        <v>6.3684210526315779</v>
      </c>
      <c r="Q78" s="98">
        <v>283.40350877192901</v>
      </c>
      <c r="R78" s="98">
        <v>2.736842105263158</v>
      </c>
      <c r="S78" s="98">
        <v>0.96491228070175428</v>
      </c>
      <c r="T78" s="98">
        <v>6.5614035087719298</v>
      </c>
      <c r="U78" s="98">
        <v>348.14035087719168</v>
      </c>
      <c r="V78" s="98">
        <v>310.42105263157782</v>
      </c>
      <c r="W78" s="101"/>
      <c r="X78" s="96" t="s">
        <v>281</v>
      </c>
      <c r="Y78" s="95">
        <v>45008</v>
      </c>
      <c r="Z78" s="95" t="s">
        <v>280</v>
      </c>
      <c r="AA78" s="102" t="s">
        <v>279</v>
      </c>
    </row>
    <row r="79" spans="1:27" ht="15.6" customHeight="1" x14ac:dyDescent="0.25">
      <c r="A79" s="96" t="s">
        <v>433</v>
      </c>
      <c r="B79" s="96" t="s">
        <v>432</v>
      </c>
      <c r="C79" s="96" t="s">
        <v>431</v>
      </c>
      <c r="D79" s="96" t="s">
        <v>118</v>
      </c>
      <c r="E79" s="100">
        <v>39046</v>
      </c>
      <c r="F79" s="96" t="s">
        <v>113</v>
      </c>
      <c r="G79" s="96" t="s">
        <v>127</v>
      </c>
      <c r="H79" s="96" t="s">
        <v>106</v>
      </c>
      <c r="I79" s="99">
        <v>2.8</v>
      </c>
      <c r="J79" s="98">
        <v>0.15789473684210525</v>
      </c>
      <c r="K79" s="98">
        <v>1.1578947368421053</v>
      </c>
      <c r="L79" s="98">
        <v>0.63157894736842113</v>
      </c>
      <c r="M79" s="98">
        <v>1.2982456140350878</v>
      </c>
      <c r="N79" s="98">
        <v>2.5614035087719298</v>
      </c>
      <c r="O79" s="98">
        <v>0.63157894736842124</v>
      </c>
      <c r="P79" s="98">
        <v>0</v>
      </c>
      <c r="Q79" s="98">
        <v>5.2631578947368418E-2</v>
      </c>
      <c r="R79" s="98">
        <v>7.0175438596491224E-2</v>
      </c>
      <c r="S79" s="98">
        <v>0</v>
      </c>
      <c r="T79" s="98">
        <v>0</v>
      </c>
      <c r="U79" s="98">
        <v>3.1754385964912286</v>
      </c>
      <c r="V79" s="98">
        <v>2.7368421052631575</v>
      </c>
      <c r="W79" s="101"/>
      <c r="X79" s="96" t="s">
        <v>164</v>
      </c>
      <c r="Y79" s="95">
        <v>44936</v>
      </c>
      <c r="Z79" s="95" t="s">
        <v>288</v>
      </c>
      <c r="AA79" s="95" t="s">
        <v>279</v>
      </c>
    </row>
    <row r="80" spans="1:27" x14ac:dyDescent="0.25">
      <c r="A80" s="96" t="s">
        <v>430</v>
      </c>
      <c r="B80" s="96" t="s">
        <v>429</v>
      </c>
      <c r="C80" s="96" t="s">
        <v>428</v>
      </c>
      <c r="D80" s="96" t="s">
        <v>109</v>
      </c>
      <c r="E80" s="100">
        <v>79701</v>
      </c>
      <c r="F80" s="96" t="s">
        <v>125</v>
      </c>
      <c r="G80" s="96" t="s">
        <v>127</v>
      </c>
      <c r="H80" s="96" t="s">
        <v>106</v>
      </c>
      <c r="I80" s="99">
        <v>1.6666666666666701</v>
      </c>
      <c r="J80" s="98">
        <v>7.0175438596491224E-2</v>
      </c>
      <c r="K80" s="98">
        <v>8.771929824561403E-2</v>
      </c>
      <c r="L80" s="98">
        <v>0</v>
      </c>
      <c r="M80" s="98">
        <v>7.0175438596491224E-2</v>
      </c>
      <c r="N80" s="98">
        <v>0.15789473684210525</v>
      </c>
      <c r="O80" s="98">
        <v>7.0175438596491224E-2</v>
      </c>
      <c r="P80" s="98">
        <v>0</v>
      </c>
      <c r="Q80" s="98">
        <v>0</v>
      </c>
      <c r="R80" s="98">
        <v>0</v>
      </c>
      <c r="S80" s="98">
        <v>0</v>
      </c>
      <c r="T80" s="98">
        <v>0</v>
      </c>
      <c r="U80" s="98">
        <v>0.22807017543859648</v>
      </c>
      <c r="V80" s="98">
        <v>0.10526315789473684</v>
      </c>
      <c r="W80" s="101"/>
      <c r="X80" s="96" t="s">
        <v>164</v>
      </c>
      <c r="Y80" s="95">
        <v>44512</v>
      </c>
      <c r="Z80" s="95" t="s">
        <v>288</v>
      </c>
      <c r="AA80" s="102" t="s">
        <v>279</v>
      </c>
    </row>
    <row r="81" spans="1:27" ht="15.6" customHeight="1" x14ac:dyDescent="0.25">
      <c r="A81" s="96" t="s">
        <v>427</v>
      </c>
      <c r="B81" s="96" t="s">
        <v>426</v>
      </c>
      <c r="C81" s="96" t="s">
        <v>425</v>
      </c>
      <c r="D81" s="96" t="s">
        <v>171</v>
      </c>
      <c r="E81" s="100">
        <v>83318</v>
      </c>
      <c r="F81" s="96" t="s">
        <v>149</v>
      </c>
      <c r="G81" s="96" t="s">
        <v>114</v>
      </c>
      <c r="H81" s="96" t="s">
        <v>106</v>
      </c>
      <c r="I81" s="99">
        <v>2.4897959183673501</v>
      </c>
      <c r="J81" s="98">
        <v>0.21052631578947367</v>
      </c>
      <c r="K81" s="98">
        <v>2.1578947368421044</v>
      </c>
      <c r="L81" s="98">
        <v>0.33333333333333331</v>
      </c>
      <c r="M81" s="98">
        <v>0.21052631578947367</v>
      </c>
      <c r="N81" s="98">
        <v>2.6140350877192984</v>
      </c>
      <c r="O81" s="98">
        <v>0.24561403508771928</v>
      </c>
      <c r="P81" s="98">
        <v>0</v>
      </c>
      <c r="Q81" s="98">
        <v>5.2631578947368418E-2</v>
      </c>
      <c r="R81" s="98">
        <v>0</v>
      </c>
      <c r="S81" s="98">
        <v>0.56140350877192979</v>
      </c>
      <c r="T81" s="98">
        <v>0.10526315789473684</v>
      </c>
      <c r="U81" s="98">
        <v>2.2456140350877201</v>
      </c>
      <c r="V81" s="98">
        <v>2.3684210526315796</v>
      </c>
      <c r="W81" s="101"/>
      <c r="X81" s="96" t="s">
        <v>164</v>
      </c>
      <c r="Y81" s="95">
        <v>44529</v>
      </c>
      <c r="Z81" s="95" t="s">
        <v>288</v>
      </c>
      <c r="AA81" s="95" t="s">
        <v>279</v>
      </c>
    </row>
    <row r="82" spans="1:27" x14ac:dyDescent="0.25">
      <c r="A82" s="96" t="s">
        <v>424</v>
      </c>
      <c r="B82" s="96" t="s">
        <v>423</v>
      </c>
      <c r="C82" s="96" t="s">
        <v>422</v>
      </c>
      <c r="D82" s="96" t="s">
        <v>153</v>
      </c>
      <c r="E82" s="100">
        <v>48161</v>
      </c>
      <c r="F82" s="96" t="s">
        <v>151</v>
      </c>
      <c r="G82" s="96" t="s">
        <v>114</v>
      </c>
      <c r="H82" s="96" t="s">
        <v>5</v>
      </c>
      <c r="I82" s="99">
        <v>58.067796610169502</v>
      </c>
      <c r="J82" s="98">
        <v>58.824561403508881</v>
      </c>
      <c r="K82" s="98">
        <v>0.56140350877192979</v>
      </c>
      <c r="L82" s="98">
        <v>2.2982456140350878</v>
      </c>
      <c r="M82" s="98">
        <v>1.4385964912280702</v>
      </c>
      <c r="N82" s="98">
        <v>4.9824561403508776</v>
      </c>
      <c r="O82" s="98">
        <v>57.578947368421161</v>
      </c>
      <c r="P82" s="98">
        <v>0.56140350877192979</v>
      </c>
      <c r="Q82" s="98">
        <v>0</v>
      </c>
      <c r="R82" s="98">
        <v>1.1578947368421053</v>
      </c>
      <c r="S82" s="98">
        <v>1.5614035087719298</v>
      </c>
      <c r="T82" s="98">
        <v>2.0701754385964914</v>
      </c>
      <c r="U82" s="98">
        <v>58.333333333333442</v>
      </c>
      <c r="V82" s="98">
        <v>44.859649122807113</v>
      </c>
      <c r="W82" s="101"/>
      <c r="X82" s="96" t="s">
        <v>281</v>
      </c>
      <c r="Y82" s="95">
        <v>44973</v>
      </c>
      <c r="Z82" s="95" t="s">
        <v>280</v>
      </c>
      <c r="AA82" s="95" t="s">
        <v>279</v>
      </c>
    </row>
    <row r="83" spans="1:27" ht="15.6" customHeight="1" x14ac:dyDescent="0.25">
      <c r="A83" s="96" t="s">
        <v>421</v>
      </c>
      <c r="B83" s="96" t="s">
        <v>420</v>
      </c>
      <c r="C83" s="96" t="s">
        <v>419</v>
      </c>
      <c r="D83" s="96" t="s">
        <v>168</v>
      </c>
      <c r="E83" s="100">
        <v>96950</v>
      </c>
      <c r="F83" s="96" t="s">
        <v>141</v>
      </c>
      <c r="G83" s="96" t="s">
        <v>127</v>
      </c>
      <c r="H83" s="96" t="s">
        <v>106</v>
      </c>
      <c r="I83" s="99">
        <v>61</v>
      </c>
      <c r="J83" s="98">
        <v>0</v>
      </c>
      <c r="K83" s="98">
        <v>3.8245614035087723</v>
      </c>
      <c r="L83" s="98">
        <v>0.36842105263157893</v>
      </c>
      <c r="M83" s="98">
        <v>0.96491228070175428</v>
      </c>
      <c r="N83" s="98">
        <v>5.1578947368421053</v>
      </c>
      <c r="O83" s="98">
        <v>0</v>
      </c>
      <c r="P83" s="98">
        <v>0</v>
      </c>
      <c r="Q83" s="98">
        <v>0</v>
      </c>
      <c r="R83" s="98">
        <v>4.4912280701754392</v>
      </c>
      <c r="S83" s="98">
        <v>0</v>
      </c>
      <c r="T83" s="98">
        <v>0</v>
      </c>
      <c r="U83" s="98">
        <v>0.66666666666666674</v>
      </c>
      <c r="V83" s="98">
        <v>5.1578947368421053</v>
      </c>
      <c r="W83" s="101"/>
      <c r="X83" s="96" t="s">
        <v>164</v>
      </c>
      <c r="Y83" s="95">
        <v>44618</v>
      </c>
      <c r="Z83" s="95" t="s">
        <v>288</v>
      </c>
      <c r="AA83" s="95" t="s">
        <v>279</v>
      </c>
    </row>
    <row r="84" spans="1:27" x14ac:dyDescent="0.25">
      <c r="A84" s="96" t="s">
        <v>418</v>
      </c>
      <c r="B84" s="96" t="s">
        <v>417</v>
      </c>
      <c r="C84" s="96" t="s">
        <v>416</v>
      </c>
      <c r="D84" s="96" t="s">
        <v>137</v>
      </c>
      <c r="E84" s="100">
        <v>16866</v>
      </c>
      <c r="F84" s="96" t="s">
        <v>138</v>
      </c>
      <c r="G84" s="96" t="s">
        <v>105</v>
      </c>
      <c r="H84" s="96" t="s">
        <v>106</v>
      </c>
      <c r="I84" s="99">
        <v>67.95</v>
      </c>
      <c r="J84" s="98">
        <v>241.82456140350931</v>
      </c>
      <c r="K84" s="98">
        <v>64.754385964912274</v>
      </c>
      <c r="L84" s="98">
        <v>492.24561403508812</v>
      </c>
      <c r="M84" s="98">
        <v>388.19298245614056</v>
      </c>
      <c r="N84" s="98">
        <v>593.49122807017579</v>
      </c>
      <c r="O84" s="98">
        <v>546.40350877192941</v>
      </c>
      <c r="P84" s="98">
        <v>21.842105263157897</v>
      </c>
      <c r="Q84" s="98">
        <v>25.280701754385966</v>
      </c>
      <c r="R84" s="98">
        <v>344.52631578947387</v>
      </c>
      <c r="S84" s="98">
        <v>101.78947368421051</v>
      </c>
      <c r="T84" s="98">
        <v>83.789473684210563</v>
      </c>
      <c r="U84" s="98">
        <v>656.9122807017543</v>
      </c>
      <c r="V84" s="98">
        <v>557.8596491228069</v>
      </c>
      <c r="W84" s="101">
        <v>800</v>
      </c>
      <c r="X84" s="96" t="s">
        <v>281</v>
      </c>
      <c r="Y84" s="95">
        <v>44987</v>
      </c>
      <c r="Z84" s="95" t="s">
        <v>292</v>
      </c>
      <c r="AA84" s="102" t="s">
        <v>279</v>
      </c>
    </row>
    <row r="85" spans="1:27" ht="15.6" customHeight="1" x14ac:dyDescent="0.25">
      <c r="A85" s="96" t="s">
        <v>415</v>
      </c>
      <c r="B85" s="96" t="s">
        <v>414</v>
      </c>
      <c r="C85" s="96" t="s">
        <v>413</v>
      </c>
      <c r="D85" s="96" t="s">
        <v>109</v>
      </c>
      <c r="E85" s="100">
        <v>77301</v>
      </c>
      <c r="F85" s="96" t="s">
        <v>126</v>
      </c>
      <c r="G85" s="96" t="s">
        <v>111</v>
      </c>
      <c r="H85" s="96" t="s">
        <v>106</v>
      </c>
      <c r="I85" s="99">
        <v>33.511904761904802</v>
      </c>
      <c r="J85" s="98">
        <v>394.77192982455904</v>
      </c>
      <c r="K85" s="98">
        <v>408.77192982456029</v>
      </c>
      <c r="L85" s="98">
        <v>200.59649122807076</v>
      </c>
      <c r="M85" s="98">
        <v>120.56140350877203</v>
      </c>
      <c r="N85" s="98">
        <v>480.49122807017346</v>
      </c>
      <c r="O85" s="98">
        <v>553.4561403508751</v>
      </c>
      <c r="P85" s="98">
        <v>33.877192982456144</v>
      </c>
      <c r="Q85" s="98">
        <v>56.877192982456144</v>
      </c>
      <c r="R85" s="98">
        <v>250.4736842105273</v>
      </c>
      <c r="S85" s="98">
        <v>138.56140350877223</v>
      </c>
      <c r="T85" s="98">
        <v>96.842105263157976</v>
      </c>
      <c r="U85" s="98">
        <v>638.82456140350803</v>
      </c>
      <c r="V85" s="98">
        <v>797.36842105262804</v>
      </c>
      <c r="W85" s="101">
        <v>750</v>
      </c>
      <c r="X85" s="96" t="s">
        <v>281</v>
      </c>
      <c r="Y85" s="95">
        <v>44896</v>
      </c>
      <c r="Z85" s="95" t="s">
        <v>292</v>
      </c>
      <c r="AA85" s="95" t="s">
        <v>279</v>
      </c>
    </row>
    <row r="86" spans="1:27" x14ac:dyDescent="0.25">
      <c r="A86" s="96" t="s">
        <v>412</v>
      </c>
      <c r="B86" s="96" t="s">
        <v>411</v>
      </c>
      <c r="C86" s="96" t="s">
        <v>408</v>
      </c>
      <c r="D86" s="96" t="s">
        <v>148</v>
      </c>
      <c r="E86" s="100">
        <v>89060</v>
      </c>
      <c r="F86" s="96" t="s">
        <v>149</v>
      </c>
      <c r="G86" s="96" t="s">
        <v>120</v>
      </c>
      <c r="H86" s="96" t="s">
        <v>106</v>
      </c>
      <c r="I86" s="99">
        <v>39.4548611111111</v>
      </c>
      <c r="J86" s="98">
        <v>78.824561403508994</v>
      </c>
      <c r="K86" s="98">
        <v>44.368421052631575</v>
      </c>
      <c r="L86" s="98">
        <v>38.982456140350884</v>
      </c>
      <c r="M86" s="98">
        <v>38.280701754385952</v>
      </c>
      <c r="N86" s="98">
        <v>114.66666666666673</v>
      </c>
      <c r="O86" s="98">
        <v>85.789473684210705</v>
      </c>
      <c r="P86" s="98">
        <v>0</v>
      </c>
      <c r="Q86" s="98">
        <v>0</v>
      </c>
      <c r="R86" s="98">
        <v>60.192982456140356</v>
      </c>
      <c r="S86" s="98">
        <v>12.684210526315789</v>
      </c>
      <c r="T86" s="98">
        <v>16.701754385964911</v>
      </c>
      <c r="U86" s="98">
        <v>110.87719298245612</v>
      </c>
      <c r="V86" s="98">
        <v>164.03508771929884</v>
      </c>
      <c r="W86" s="101"/>
      <c r="X86" s="96" t="s">
        <v>281</v>
      </c>
      <c r="Y86" s="95">
        <v>45015</v>
      </c>
      <c r="Z86" s="95" t="s">
        <v>128</v>
      </c>
      <c r="AA86" s="95" t="s">
        <v>279</v>
      </c>
    </row>
    <row r="87" spans="1:27" x14ac:dyDescent="0.25">
      <c r="A87" s="96" t="s">
        <v>410</v>
      </c>
      <c r="B87" s="96" t="s">
        <v>409</v>
      </c>
      <c r="C87" s="96" t="s">
        <v>408</v>
      </c>
      <c r="D87" s="96" t="s">
        <v>148</v>
      </c>
      <c r="E87" s="100">
        <v>89060</v>
      </c>
      <c r="F87" s="96" t="s">
        <v>149</v>
      </c>
      <c r="G87" s="96" t="s">
        <v>120</v>
      </c>
      <c r="H87" s="96" t="s">
        <v>106</v>
      </c>
      <c r="I87" s="99">
        <v>37.123809523809499</v>
      </c>
      <c r="J87" s="98">
        <v>4</v>
      </c>
      <c r="K87" s="98">
        <v>14.842105263157896</v>
      </c>
      <c r="L87" s="98">
        <v>20.175438596491222</v>
      </c>
      <c r="M87" s="98">
        <v>34.807017543859651</v>
      </c>
      <c r="N87" s="98">
        <v>65.403508771929822</v>
      </c>
      <c r="O87" s="98">
        <v>8.4210526315789451</v>
      </c>
      <c r="P87" s="98">
        <v>0</v>
      </c>
      <c r="Q87" s="98">
        <v>0</v>
      </c>
      <c r="R87" s="98">
        <v>39.473684210526315</v>
      </c>
      <c r="S87" s="98">
        <v>8.1403508771929829</v>
      </c>
      <c r="T87" s="98">
        <v>6.4912280701754383</v>
      </c>
      <c r="U87" s="98">
        <v>19.719298245614038</v>
      </c>
      <c r="V87" s="98">
        <v>60.789473684210506</v>
      </c>
      <c r="W87" s="101"/>
      <c r="X87" s="96" t="s">
        <v>281</v>
      </c>
      <c r="Y87" s="95">
        <v>44882</v>
      </c>
      <c r="Z87" s="95" t="s">
        <v>280</v>
      </c>
      <c r="AA87" s="95" t="s">
        <v>306</v>
      </c>
    </row>
    <row r="88" spans="1:27" x14ac:dyDescent="0.25">
      <c r="A88" s="96" t="s">
        <v>407</v>
      </c>
      <c r="B88" s="96" t="s">
        <v>406</v>
      </c>
      <c r="C88" s="96" t="s">
        <v>405</v>
      </c>
      <c r="D88" s="96" t="s">
        <v>139</v>
      </c>
      <c r="E88" s="100">
        <v>10924</v>
      </c>
      <c r="F88" s="96" t="s">
        <v>145</v>
      </c>
      <c r="G88" s="96" t="s">
        <v>114</v>
      </c>
      <c r="H88" s="96" t="s">
        <v>106</v>
      </c>
      <c r="I88" s="99">
        <v>93.816666666666706</v>
      </c>
      <c r="J88" s="98">
        <v>24.964912280701746</v>
      </c>
      <c r="K88" s="98">
        <v>20.350877192982452</v>
      </c>
      <c r="L88" s="98">
        <v>9.1228070175438614</v>
      </c>
      <c r="M88" s="98">
        <v>9.4385964912280702</v>
      </c>
      <c r="N88" s="98">
        <v>44.228070175438617</v>
      </c>
      <c r="O88" s="98">
        <v>19.649122807017541</v>
      </c>
      <c r="P88" s="98">
        <v>0</v>
      </c>
      <c r="Q88" s="98">
        <v>0</v>
      </c>
      <c r="R88" s="98">
        <v>9.087719298245613</v>
      </c>
      <c r="S88" s="98">
        <v>7.3157894736842097</v>
      </c>
      <c r="T88" s="98">
        <v>13.631578947368419</v>
      </c>
      <c r="U88" s="98">
        <v>33.84210526315789</v>
      </c>
      <c r="V88" s="98">
        <v>36.964912280701775</v>
      </c>
      <c r="W88" s="101"/>
      <c r="X88" s="96" t="s">
        <v>281</v>
      </c>
      <c r="Y88" s="95">
        <v>44518</v>
      </c>
      <c r="Z88" s="95" t="s">
        <v>280</v>
      </c>
      <c r="AA88" s="95" t="s">
        <v>279</v>
      </c>
    </row>
    <row r="89" spans="1:27" x14ac:dyDescent="0.25">
      <c r="A89" s="96" t="s">
        <v>404</v>
      </c>
      <c r="B89" s="96" t="s">
        <v>403</v>
      </c>
      <c r="C89" s="96" t="s">
        <v>402</v>
      </c>
      <c r="D89" s="96" t="s">
        <v>124</v>
      </c>
      <c r="E89" s="100">
        <v>88310</v>
      </c>
      <c r="F89" s="96" t="s">
        <v>125</v>
      </c>
      <c r="G89" s="96" t="s">
        <v>127</v>
      </c>
      <c r="H89" s="96" t="s">
        <v>106</v>
      </c>
      <c r="I89" s="99">
        <v>7</v>
      </c>
      <c r="J89" s="98">
        <v>0.21052631578947367</v>
      </c>
      <c r="K89" s="98">
        <v>0.7192982456140351</v>
      </c>
      <c r="L89" s="98">
        <v>0</v>
      </c>
      <c r="M89" s="98">
        <v>0</v>
      </c>
      <c r="N89" s="98">
        <v>8.771929824561403E-2</v>
      </c>
      <c r="O89" s="98">
        <v>0.84210526315789469</v>
      </c>
      <c r="P89" s="98">
        <v>0</v>
      </c>
      <c r="Q89" s="98">
        <v>0</v>
      </c>
      <c r="R89" s="98">
        <v>0</v>
      </c>
      <c r="S89" s="98">
        <v>0</v>
      </c>
      <c r="T89" s="98">
        <v>8.771929824561403E-2</v>
      </c>
      <c r="U89" s="98">
        <v>0.84210526315789469</v>
      </c>
      <c r="V89" s="98">
        <v>0.92982456140350878</v>
      </c>
      <c r="W89" s="101"/>
      <c r="X89" s="96" t="s">
        <v>306</v>
      </c>
      <c r="Y89" s="95" t="s">
        <v>306</v>
      </c>
      <c r="Z89" s="95" t="s">
        <v>306</v>
      </c>
      <c r="AA89" s="95" t="s">
        <v>306</v>
      </c>
    </row>
    <row r="90" spans="1:27" ht="15.6" customHeight="1" x14ac:dyDescent="0.25">
      <c r="A90" s="96" t="s">
        <v>401</v>
      </c>
      <c r="B90" s="96" t="s">
        <v>400</v>
      </c>
      <c r="C90" s="96" t="s">
        <v>399</v>
      </c>
      <c r="D90" s="96" t="s">
        <v>124</v>
      </c>
      <c r="E90" s="100">
        <v>88081</v>
      </c>
      <c r="F90" s="96" t="s">
        <v>125</v>
      </c>
      <c r="G90" s="96" t="s">
        <v>105</v>
      </c>
      <c r="H90" s="96" t="s">
        <v>106</v>
      </c>
      <c r="I90" s="99">
        <v>54.675324675324703</v>
      </c>
      <c r="J90" s="98">
        <v>826.4561403508784</v>
      </c>
      <c r="K90" s="98">
        <v>51.508771929824555</v>
      </c>
      <c r="L90" s="98">
        <v>33.15789473684211</v>
      </c>
      <c r="M90" s="98">
        <v>16.877192982456137</v>
      </c>
      <c r="N90" s="98">
        <v>84.964912280701782</v>
      </c>
      <c r="O90" s="98">
        <v>675.70175438596721</v>
      </c>
      <c r="P90" s="98">
        <v>3</v>
      </c>
      <c r="Q90" s="98">
        <v>164.33333333333312</v>
      </c>
      <c r="R90" s="98">
        <v>21.929824561403514</v>
      </c>
      <c r="S90" s="98">
        <v>10.684210526315789</v>
      </c>
      <c r="T90" s="98">
        <v>34.561403508771939</v>
      </c>
      <c r="U90" s="98">
        <v>860.82456140350962</v>
      </c>
      <c r="V90" s="98">
        <v>879.80701754386109</v>
      </c>
      <c r="W90" s="101">
        <v>500</v>
      </c>
      <c r="X90" s="96" t="s">
        <v>281</v>
      </c>
      <c r="Y90" s="95">
        <v>44868</v>
      </c>
      <c r="Z90" s="95" t="s">
        <v>292</v>
      </c>
      <c r="AA90" s="95" t="s">
        <v>279</v>
      </c>
    </row>
    <row r="91" spans="1:27" ht="15.6" customHeight="1" x14ac:dyDescent="0.25">
      <c r="A91" s="96" t="s">
        <v>398</v>
      </c>
      <c r="B91" s="96" t="s">
        <v>397</v>
      </c>
      <c r="C91" s="96" t="s">
        <v>396</v>
      </c>
      <c r="D91" s="96" t="s">
        <v>10</v>
      </c>
      <c r="E91" s="100">
        <v>35447</v>
      </c>
      <c r="F91" s="96" t="s">
        <v>113</v>
      </c>
      <c r="G91" s="96" t="s">
        <v>114</v>
      </c>
      <c r="H91" s="96" t="s">
        <v>106</v>
      </c>
      <c r="I91" s="99">
        <v>2.85326086956522</v>
      </c>
      <c r="J91" s="98">
        <v>2.6315789473684221</v>
      </c>
      <c r="K91" s="98">
        <v>6.7017543859649145</v>
      </c>
      <c r="L91" s="98">
        <v>5.7719298245614024</v>
      </c>
      <c r="M91" s="98">
        <v>2.7894736842105283</v>
      </c>
      <c r="N91" s="98">
        <v>9.7017543859649127</v>
      </c>
      <c r="O91" s="98">
        <v>5.4736842105263142</v>
      </c>
      <c r="P91" s="98">
        <v>2.0175438596491229</v>
      </c>
      <c r="Q91" s="98">
        <v>0.70175438596491224</v>
      </c>
      <c r="R91" s="98">
        <v>0.17543859649122806</v>
      </c>
      <c r="S91" s="98">
        <v>1.7543859649122806E-2</v>
      </c>
      <c r="T91" s="98">
        <v>0</v>
      </c>
      <c r="U91" s="98">
        <v>17.701754385964929</v>
      </c>
      <c r="V91" s="98">
        <v>12.035087719298247</v>
      </c>
      <c r="W91" s="101"/>
      <c r="X91" s="96" t="s">
        <v>164</v>
      </c>
      <c r="Y91" s="95">
        <v>44543</v>
      </c>
      <c r="Z91" s="95" t="s">
        <v>288</v>
      </c>
      <c r="AA91" s="95" t="s">
        <v>279</v>
      </c>
    </row>
    <row r="92" spans="1:27" ht="15.6" customHeight="1" x14ac:dyDescent="0.25">
      <c r="A92" s="96" t="s">
        <v>395</v>
      </c>
      <c r="B92" s="96" t="s">
        <v>394</v>
      </c>
      <c r="C92" s="96" t="s">
        <v>393</v>
      </c>
      <c r="D92" s="96" t="s">
        <v>157</v>
      </c>
      <c r="E92" s="100">
        <v>68949</v>
      </c>
      <c r="F92" s="96" t="s">
        <v>144</v>
      </c>
      <c r="G92" s="96" t="s">
        <v>127</v>
      </c>
      <c r="H92" s="96" t="s">
        <v>106</v>
      </c>
      <c r="I92" s="99">
        <v>144.5</v>
      </c>
      <c r="J92" s="98">
        <v>0.78947368421052633</v>
      </c>
      <c r="K92" s="98">
        <v>1</v>
      </c>
      <c r="L92" s="98">
        <v>1.0877192982456141</v>
      </c>
      <c r="M92" s="98">
        <v>1.5789473684210527</v>
      </c>
      <c r="N92" s="98">
        <v>3.666666666666667</v>
      </c>
      <c r="O92" s="98">
        <v>0.78947368421052633</v>
      </c>
      <c r="P92" s="98">
        <v>0</v>
      </c>
      <c r="Q92" s="98">
        <v>0</v>
      </c>
      <c r="R92" s="98">
        <v>3.5789473684210527</v>
      </c>
      <c r="S92" s="98">
        <v>8.771929824561403E-2</v>
      </c>
      <c r="T92" s="98">
        <v>0</v>
      </c>
      <c r="U92" s="98">
        <v>0.78947368421052633</v>
      </c>
      <c r="V92" s="98">
        <v>4.4561403508771935</v>
      </c>
      <c r="W92" s="101"/>
      <c r="X92" s="96" t="s">
        <v>281</v>
      </c>
      <c r="Y92" s="95">
        <v>45015</v>
      </c>
      <c r="Z92" s="95" t="s">
        <v>371</v>
      </c>
      <c r="AA92" s="95" t="s">
        <v>279</v>
      </c>
    </row>
    <row r="93" spans="1:27" x14ac:dyDescent="0.25">
      <c r="A93" s="96" t="s">
        <v>392</v>
      </c>
      <c r="B93" s="96" t="s">
        <v>391</v>
      </c>
      <c r="C93" s="96" t="s">
        <v>390</v>
      </c>
      <c r="D93" s="96" t="s">
        <v>109</v>
      </c>
      <c r="E93" s="100">
        <v>78566</v>
      </c>
      <c r="F93" s="96" t="s">
        <v>293</v>
      </c>
      <c r="G93" s="96" t="s">
        <v>123</v>
      </c>
      <c r="H93" s="96" t="s">
        <v>106</v>
      </c>
      <c r="I93" s="99">
        <v>9.4967854039965207</v>
      </c>
      <c r="J93" s="98">
        <v>1047.9473684209822</v>
      </c>
      <c r="K93" s="98">
        <v>38.070175438596472</v>
      </c>
      <c r="L93" s="98">
        <v>7.1403508771929793</v>
      </c>
      <c r="M93" s="98">
        <v>40.15789473684211</v>
      </c>
      <c r="N93" s="98">
        <v>154.21052631578979</v>
      </c>
      <c r="O93" s="98">
        <v>973.75438596485731</v>
      </c>
      <c r="P93" s="98">
        <v>8.771929824561403E-2</v>
      </c>
      <c r="Q93" s="98">
        <v>5.2631578947368247</v>
      </c>
      <c r="R93" s="98">
        <v>46.526315789473706</v>
      </c>
      <c r="S93" s="98">
        <v>34.350877192982452</v>
      </c>
      <c r="T93" s="98">
        <v>50.614035087719301</v>
      </c>
      <c r="U93" s="98">
        <v>1001.8245614034444</v>
      </c>
      <c r="V93" s="98">
        <v>803.10526315784216</v>
      </c>
      <c r="W93" s="101">
        <v>650</v>
      </c>
      <c r="X93" s="96" t="s">
        <v>281</v>
      </c>
      <c r="Y93" s="95">
        <v>45022</v>
      </c>
      <c r="Z93" s="95" t="s">
        <v>292</v>
      </c>
      <c r="AA93" s="95" t="s">
        <v>279</v>
      </c>
    </row>
    <row r="94" spans="1:27" ht="15.6" customHeight="1" x14ac:dyDescent="0.25">
      <c r="A94" s="96" t="s">
        <v>389</v>
      </c>
      <c r="B94" s="96" t="s">
        <v>388</v>
      </c>
      <c r="C94" s="96" t="s">
        <v>387</v>
      </c>
      <c r="D94" s="96" t="s">
        <v>137</v>
      </c>
      <c r="E94" s="100">
        <v>18428</v>
      </c>
      <c r="F94" s="96" t="s">
        <v>138</v>
      </c>
      <c r="G94" s="96" t="s">
        <v>114</v>
      </c>
      <c r="H94" s="96" t="s">
        <v>5</v>
      </c>
      <c r="I94" s="99">
        <v>17.165517241379298</v>
      </c>
      <c r="J94" s="98">
        <v>22.964912280701757</v>
      </c>
      <c r="K94" s="98">
        <v>8.6140350877192997</v>
      </c>
      <c r="L94" s="98">
        <v>42.087719298245709</v>
      </c>
      <c r="M94" s="98">
        <v>47.982456140350926</v>
      </c>
      <c r="N94" s="98">
        <v>82.035087719298303</v>
      </c>
      <c r="O94" s="98">
        <v>39.614035087719344</v>
      </c>
      <c r="P94" s="98">
        <v>0</v>
      </c>
      <c r="Q94" s="98">
        <v>0</v>
      </c>
      <c r="R94" s="98">
        <v>41.175438596491226</v>
      </c>
      <c r="S94" s="98">
        <v>5.4385964912280693</v>
      </c>
      <c r="T94" s="98">
        <v>6.1228070175438596</v>
      </c>
      <c r="U94" s="98">
        <v>68.912280701754625</v>
      </c>
      <c r="V94" s="98">
        <v>108.9473684210528</v>
      </c>
      <c r="W94" s="101">
        <v>100</v>
      </c>
      <c r="X94" s="96" t="s">
        <v>281</v>
      </c>
      <c r="Y94" s="95">
        <v>45029</v>
      </c>
      <c r="Z94" s="95" t="s">
        <v>292</v>
      </c>
      <c r="AA94" s="95" t="s">
        <v>279</v>
      </c>
    </row>
    <row r="95" spans="1:27" ht="15.6" customHeight="1" x14ac:dyDescent="0.25">
      <c r="A95" s="96" t="s">
        <v>386</v>
      </c>
      <c r="B95" s="96" t="s">
        <v>385</v>
      </c>
      <c r="C95" s="96" t="s">
        <v>384</v>
      </c>
      <c r="D95" s="96" t="s">
        <v>112</v>
      </c>
      <c r="E95" s="100">
        <v>70576</v>
      </c>
      <c r="F95" s="96" t="s">
        <v>113</v>
      </c>
      <c r="G95" s="96" t="s">
        <v>105</v>
      </c>
      <c r="H95" s="96" t="s">
        <v>5</v>
      </c>
      <c r="I95" s="99">
        <v>52.831533477321798</v>
      </c>
      <c r="J95" s="98">
        <v>283.42105263157896</v>
      </c>
      <c r="K95" s="98">
        <v>50.28070175438598</v>
      </c>
      <c r="L95" s="98">
        <v>47.947368421052644</v>
      </c>
      <c r="M95" s="98">
        <v>10.140350877192981</v>
      </c>
      <c r="N95" s="98">
        <v>81.578947368421183</v>
      </c>
      <c r="O95" s="98">
        <v>310.21052631578993</v>
      </c>
      <c r="P95" s="98">
        <v>0</v>
      </c>
      <c r="Q95" s="98">
        <v>0</v>
      </c>
      <c r="R95" s="98">
        <v>30.070175438596504</v>
      </c>
      <c r="S95" s="98">
        <v>7.1754385964912277</v>
      </c>
      <c r="T95" s="98">
        <v>16.17543859649123</v>
      </c>
      <c r="U95" s="98">
        <v>338.36842105263241</v>
      </c>
      <c r="V95" s="98">
        <v>310.7368421052638</v>
      </c>
      <c r="W95" s="101"/>
      <c r="X95" s="96" t="s">
        <v>281</v>
      </c>
      <c r="Y95" s="95">
        <v>44594</v>
      </c>
      <c r="Z95" s="95" t="s">
        <v>292</v>
      </c>
      <c r="AA95" s="95" t="s">
        <v>279</v>
      </c>
    </row>
    <row r="96" spans="1:27" ht="15.6" customHeight="1" x14ac:dyDescent="0.25">
      <c r="A96" s="96" t="s">
        <v>383</v>
      </c>
      <c r="B96" s="96" t="s">
        <v>382</v>
      </c>
      <c r="C96" s="96" t="s">
        <v>381</v>
      </c>
      <c r="D96" s="96" t="s">
        <v>7</v>
      </c>
      <c r="E96" s="100">
        <v>2360</v>
      </c>
      <c r="F96" s="96" t="s">
        <v>142</v>
      </c>
      <c r="G96" s="96" t="s">
        <v>114</v>
      </c>
      <c r="H96" s="96" t="s">
        <v>5</v>
      </c>
      <c r="I96" s="99">
        <v>36.757425742574299</v>
      </c>
      <c r="J96" s="98">
        <v>83.596491228070221</v>
      </c>
      <c r="K96" s="98">
        <v>9.9824561403508785</v>
      </c>
      <c r="L96" s="98">
        <v>38.578947368421069</v>
      </c>
      <c r="M96" s="98">
        <v>40.947368421052644</v>
      </c>
      <c r="N96" s="98">
        <v>55.157894736842124</v>
      </c>
      <c r="O96" s="98">
        <v>117.94736842105289</v>
      </c>
      <c r="P96" s="98">
        <v>0</v>
      </c>
      <c r="Q96" s="98">
        <v>0</v>
      </c>
      <c r="R96" s="98">
        <v>29.561403508771932</v>
      </c>
      <c r="S96" s="98">
        <v>8.6842105263157894</v>
      </c>
      <c r="T96" s="98">
        <v>8.192982456140351</v>
      </c>
      <c r="U96" s="98">
        <v>126.66666666666698</v>
      </c>
      <c r="V96" s="98">
        <v>117.75438596491257</v>
      </c>
      <c r="W96" s="101"/>
      <c r="X96" s="96" t="s">
        <v>281</v>
      </c>
      <c r="Y96" s="95">
        <v>44882</v>
      </c>
      <c r="Z96" s="95" t="s">
        <v>280</v>
      </c>
      <c r="AA96" s="95" t="s">
        <v>279</v>
      </c>
    </row>
    <row r="97" spans="1:27" ht="15.6" customHeight="1" x14ac:dyDescent="0.25">
      <c r="A97" s="96" t="s">
        <v>380</v>
      </c>
      <c r="B97" s="96" t="s">
        <v>379</v>
      </c>
      <c r="C97" s="96" t="s">
        <v>378</v>
      </c>
      <c r="D97" s="96" t="s">
        <v>109</v>
      </c>
      <c r="E97" s="100">
        <v>77351</v>
      </c>
      <c r="F97" s="96" t="s">
        <v>126</v>
      </c>
      <c r="G97" s="96" t="s">
        <v>105</v>
      </c>
      <c r="H97" s="96" t="s">
        <v>5</v>
      </c>
      <c r="I97" s="99">
        <v>40.728690228690198</v>
      </c>
      <c r="J97" s="98">
        <v>822.57894736842218</v>
      </c>
      <c r="K97" s="98">
        <v>0.47368421052631576</v>
      </c>
      <c r="L97" s="98">
        <v>3.5087719298245612E-2</v>
      </c>
      <c r="M97" s="98">
        <v>0.73684210526315785</v>
      </c>
      <c r="N97" s="98">
        <v>2.7192982456140351</v>
      </c>
      <c r="O97" s="98">
        <v>821.10526315789582</v>
      </c>
      <c r="P97" s="98">
        <v>0</v>
      </c>
      <c r="Q97" s="98">
        <v>0</v>
      </c>
      <c r="R97" s="98">
        <v>0</v>
      </c>
      <c r="S97" s="98">
        <v>0.57894736842105265</v>
      </c>
      <c r="T97" s="98">
        <v>1</v>
      </c>
      <c r="U97" s="98">
        <v>822.24561403508881</v>
      </c>
      <c r="V97" s="98">
        <v>517.07017543859649</v>
      </c>
      <c r="W97" s="101">
        <v>350</v>
      </c>
      <c r="X97" s="96" t="s">
        <v>281</v>
      </c>
      <c r="Y97" s="95">
        <v>44987</v>
      </c>
      <c r="Z97" s="95" t="s">
        <v>280</v>
      </c>
      <c r="AA97" s="95" t="s">
        <v>279</v>
      </c>
    </row>
    <row r="98" spans="1:27" x14ac:dyDescent="0.25">
      <c r="A98" s="96" t="s">
        <v>377</v>
      </c>
      <c r="B98" s="96" t="s">
        <v>376</v>
      </c>
      <c r="C98" s="96" t="s">
        <v>375</v>
      </c>
      <c r="D98" s="96" t="s">
        <v>159</v>
      </c>
      <c r="E98" s="100">
        <v>50313</v>
      </c>
      <c r="F98" s="96" t="s">
        <v>144</v>
      </c>
      <c r="G98" s="96" t="s">
        <v>127</v>
      </c>
      <c r="H98" s="96" t="s">
        <v>106</v>
      </c>
      <c r="I98" s="99">
        <v>37.857142857142897</v>
      </c>
      <c r="J98" s="98">
        <v>4.6315789473684204</v>
      </c>
      <c r="K98" s="98">
        <v>3.1754385964912286</v>
      </c>
      <c r="L98" s="98">
        <v>6.4210526315789469</v>
      </c>
      <c r="M98" s="98">
        <v>8.6491228070175428</v>
      </c>
      <c r="N98" s="98">
        <v>19.438596491228068</v>
      </c>
      <c r="O98" s="98">
        <v>3.4385964912280702</v>
      </c>
      <c r="P98" s="98">
        <v>0</v>
      </c>
      <c r="Q98" s="98">
        <v>0</v>
      </c>
      <c r="R98" s="98">
        <v>8.9824561403508785</v>
      </c>
      <c r="S98" s="98">
        <v>1.6140350877192982</v>
      </c>
      <c r="T98" s="98">
        <v>3.3684210526315792</v>
      </c>
      <c r="U98" s="98">
        <v>8.9122807017543835</v>
      </c>
      <c r="V98" s="98">
        <v>17.526315789473685</v>
      </c>
      <c r="W98" s="101"/>
      <c r="X98" s="96" t="s">
        <v>281</v>
      </c>
      <c r="Y98" s="95">
        <v>44952</v>
      </c>
      <c r="Z98" s="95" t="s">
        <v>371</v>
      </c>
      <c r="AA98" s="95" t="s">
        <v>279</v>
      </c>
    </row>
    <row r="99" spans="1:27" x14ac:dyDescent="0.25">
      <c r="A99" s="96" t="s">
        <v>374</v>
      </c>
      <c r="B99" s="96" t="s">
        <v>373</v>
      </c>
      <c r="C99" s="96" t="s">
        <v>372</v>
      </c>
      <c r="D99" s="96" t="s">
        <v>159</v>
      </c>
      <c r="E99" s="100">
        <v>51501</v>
      </c>
      <c r="F99" s="96" t="s">
        <v>144</v>
      </c>
      <c r="G99" s="96" t="s">
        <v>127</v>
      </c>
      <c r="H99" s="96" t="s">
        <v>106</v>
      </c>
      <c r="I99" s="99">
        <v>26.4634146341463</v>
      </c>
      <c r="J99" s="98">
        <v>0.73684210526315785</v>
      </c>
      <c r="K99" s="98">
        <v>2.2105263157894735</v>
      </c>
      <c r="L99" s="98">
        <v>8.3157894736842106</v>
      </c>
      <c r="M99" s="98">
        <v>8.6842105263157894</v>
      </c>
      <c r="N99" s="98">
        <v>19.070175438596493</v>
      </c>
      <c r="O99" s="98">
        <v>0.8771929824561403</v>
      </c>
      <c r="P99" s="98">
        <v>0</v>
      </c>
      <c r="Q99" s="98">
        <v>0</v>
      </c>
      <c r="R99" s="98">
        <v>7.6491228070175437</v>
      </c>
      <c r="S99" s="98">
        <v>2.3157894736842106</v>
      </c>
      <c r="T99" s="98">
        <v>0.61403508771929816</v>
      </c>
      <c r="U99" s="98">
        <v>9.368421052631577</v>
      </c>
      <c r="V99" s="98">
        <v>17.192982456140356</v>
      </c>
      <c r="W99" s="101"/>
      <c r="X99" s="96" t="s">
        <v>281</v>
      </c>
      <c r="Y99" s="95">
        <v>44861</v>
      </c>
      <c r="Z99" s="95" t="s">
        <v>371</v>
      </c>
      <c r="AA99" s="95" t="s">
        <v>370</v>
      </c>
    </row>
    <row r="100" spans="1:27" ht="15.6" customHeight="1" x14ac:dyDescent="0.25">
      <c r="A100" s="96" t="s">
        <v>369</v>
      </c>
      <c r="B100" s="96" t="s">
        <v>368</v>
      </c>
      <c r="C100" s="96" t="s">
        <v>367</v>
      </c>
      <c r="D100" s="96" t="s">
        <v>109</v>
      </c>
      <c r="E100" s="100">
        <v>76009</v>
      </c>
      <c r="F100" s="96" t="s">
        <v>129</v>
      </c>
      <c r="G100" s="96" t="s">
        <v>105</v>
      </c>
      <c r="H100" s="96" t="s">
        <v>106</v>
      </c>
      <c r="I100" s="99">
        <v>17.793442622950799</v>
      </c>
      <c r="J100" s="98">
        <v>186.28070175438833</v>
      </c>
      <c r="K100" s="98">
        <v>89.964912280701782</v>
      </c>
      <c r="L100" s="98">
        <v>197.2280701754392</v>
      </c>
      <c r="M100" s="98">
        <v>117.31578947368428</v>
      </c>
      <c r="N100" s="98">
        <v>281.82456140350894</v>
      </c>
      <c r="O100" s="98">
        <v>264.50877192982682</v>
      </c>
      <c r="P100" s="98">
        <v>19.982456140350873</v>
      </c>
      <c r="Q100" s="98">
        <v>24.473684210526322</v>
      </c>
      <c r="R100" s="98">
        <v>129.29824561403521</v>
      </c>
      <c r="S100" s="98">
        <v>65.421052631578988</v>
      </c>
      <c r="T100" s="98">
        <v>79.736842105263193</v>
      </c>
      <c r="U100" s="98">
        <v>316.33333333333229</v>
      </c>
      <c r="V100" s="98">
        <v>345.05263157894308</v>
      </c>
      <c r="W100" s="101">
        <v>525</v>
      </c>
      <c r="X100" s="96" t="s">
        <v>281</v>
      </c>
      <c r="Y100" s="95">
        <v>44910</v>
      </c>
      <c r="Z100" s="95" t="s">
        <v>292</v>
      </c>
      <c r="AA100" s="95" t="s">
        <v>279</v>
      </c>
    </row>
    <row r="101" spans="1:27" x14ac:dyDescent="0.25">
      <c r="A101" s="96" t="s">
        <v>366</v>
      </c>
      <c r="B101" s="96" t="s">
        <v>365</v>
      </c>
      <c r="C101" s="96" t="s">
        <v>294</v>
      </c>
      <c r="D101" s="96" t="s">
        <v>109</v>
      </c>
      <c r="E101" s="100">
        <v>78046</v>
      </c>
      <c r="F101" s="96" t="s">
        <v>293</v>
      </c>
      <c r="G101" s="96" t="s">
        <v>120</v>
      </c>
      <c r="H101" s="96" t="s">
        <v>5</v>
      </c>
      <c r="I101" s="99">
        <v>33.544144144144099</v>
      </c>
      <c r="J101" s="98">
        <v>389.85964912280571</v>
      </c>
      <c r="K101" s="98">
        <v>9.8596491228070189</v>
      </c>
      <c r="L101" s="98">
        <v>20.210526315789476</v>
      </c>
      <c r="M101" s="98">
        <v>82.631578947368439</v>
      </c>
      <c r="N101" s="98">
        <v>65.017543859649123</v>
      </c>
      <c r="O101" s="98">
        <v>437.3684210526302</v>
      </c>
      <c r="P101" s="98">
        <v>0</v>
      </c>
      <c r="Q101" s="98">
        <v>0.17543859649122806</v>
      </c>
      <c r="R101" s="98">
        <v>29.719298245614034</v>
      </c>
      <c r="S101" s="98">
        <v>14.508771929824563</v>
      </c>
      <c r="T101" s="98">
        <v>15.280701754385969</v>
      </c>
      <c r="U101" s="98">
        <v>443.05263157894598</v>
      </c>
      <c r="V101" s="98">
        <v>407.96491228070033</v>
      </c>
      <c r="W101" s="101">
        <v>275</v>
      </c>
      <c r="X101" s="96" t="s">
        <v>281</v>
      </c>
      <c r="Y101" s="95">
        <v>44910</v>
      </c>
      <c r="Z101" s="95" t="s">
        <v>128</v>
      </c>
      <c r="AA101" s="102" t="s">
        <v>279</v>
      </c>
    </row>
    <row r="102" spans="1:27" ht="15.6" customHeight="1" x14ac:dyDescent="0.25">
      <c r="A102" s="96" t="s">
        <v>364</v>
      </c>
      <c r="B102" s="96" t="s">
        <v>363</v>
      </c>
      <c r="C102" s="96" t="s">
        <v>362</v>
      </c>
      <c r="D102" s="96" t="s">
        <v>109</v>
      </c>
      <c r="E102" s="100">
        <v>79118</v>
      </c>
      <c r="F102" s="96" t="s">
        <v>129</v>
      </c>
      <c r="G102" s="96" t="s">
        <v>127</v>
      </c>
      <c r="H102" s="96" t="s">
        <v>106</v>
      </c>
      <c r="I102" s="99">
        <v>1.8214285714285701</v>
      </c>
      <c r="J102" s="98">
        <v>0.19298245614035087</v>
      </c>
      <c r="K102" s="98">
        <v>0.35087719298245612</v>
      </c>
      <c r="L102" s="98">
        <v>0.2807017543859649</v>
      </c>
      <c r="M102" s="98">
        <v>0.12280701754385964</v>
      </c>
      <c r="N102" s="98">
        <v>0.80701754385964897</v>
      </c>
      <c r="O102" s="98">
        <v>0.12280701754385964</v>
      </c>
      <c r="P102" s="98">
        <v>0</v>
      </c>
      <c r="Q102" s="98">
        <v>1.7543859649122806E-2</v>
      </c>
      <c r="R102" s="98">
        <v>0</v>
      </c>
      <c r="S102" s="98">
        <v>0</v>
      </c>
      <c r="T102" s="98">
        <v>5.2631578947368418E-2</v>
      </c>
      <c r="U102" s="98">
        <v>0.89473684210526327</v>
      </c>
      <c r="V102" s="98">
        <v>0.49122807017543857</v>
      </c>
      <c r="W102" s="101"/>
      <c r="X102" s="96" t="s">
        <v>164</v>
      </c>
      <c r="Y102" s="95">
        <v>44998</v>
      </c>
      <c r="Z102" s="95" t="s">
        <v>288</v>
      </c>
      <c r="AA102" s="95" t="s">
        <v>279</v>
      </c>
    </row>
    <row r="103" spans="1:27" x14ac:dyDescent="0.25">
      <c r="A103" s="96" t="s">
        <v>361</v>
      </c>
      <c r="B103" s="96" t="s">
        <v>360</v>
      </c>
      <c r="C103" s="96" t="s">
        <v>359</v>
      </c>
      <c r="D103" s="96" t="s">
        <v>112</v>
      </c>
      <c r="E103" s="100">
        <v>71334</v>
      </c>
      <c r="F103" s="96" t="s">
        <v>113</v>
      </c>
      <c r="G103" s="96" t="s">
        <v>105</v>
      </c>
      <c r="H103" s="96" t="s">
        <v>5</v>
      </c>
      <c r="I103" s="99">
        <v>40.178649237472797</v>
      </c>
      <c r="J103" s="98">
        <v>414.94736842105192</v>
      </c>
      <c r="K103" s="98">
        <v>5.2807017543859622</v>
      </c>
      <c r="L103" s="98">
        <v>0</v>
      </c>
      <c r="M103" s="98">
        <v>0</v>
      </c>
      <c r="N103" s="98">
        <v>5.7894736842105257</v>
      </c>
      <c r="O103" s="98">
        <v>414.4385964912272</v>
      </c>
      <c r="P103" s="98">
        <v>0</v>
      </c>
      <c r="Q103" s="98">
        <v>0</v>
      </c>
      <c r="R103" s="98">
        <v>3.2982456140350882</v>
      </c>
      <c r="S103" s="98">
        <v>0.85964912280701755</v>
      </c>
      <c r="T103" s="98">
        <v>1.1578947368421053</v>
      </c>
      <c r="U103" s="98">
        <v>414.9122807017535</v>
      </c>
      <c r="V103" s="98">
        <v>264.2982456140374</v>
      </c>
      <c r="W103" s="101">
        <v>361</v>
      </c>
      <c r="X103" s="96" t="s">
        <v>281</v>
      </c>
      <c r="Y103" s="95">
        <v>44868</v>
      </c>
      <c r="Z103" s="95" t="s">
        <v>292</v>
      </c>
      <c r="AA103" s="95" t="s">
        <v>279</v>
      </c>
    </row>
    <row r="104" spans="1:27" x14ac:dyDescent="0.25">
      <c r="A104" s="96" t="s">
        <v>358</v>
      </c>
      <c r="B104" s="96" t="s">
        <v>357</v>
      </c>
      <c r="C104" s="96" t="s">
        <v>356</v>
      </c>
      <c r="D104" s="96" t="s">
        <v>112</v>
      </c>
      <c r="E104" s="100">
        <v>71202</v>
      </c>
      <c r="F104" s="96" t="s">
        <v>113</v>
      </c>
      <c r="G104" s="96" t="s">
        <v>105</v>
      </c>
      <c r="H104" s="96" t="s">
        <v>5</v>
      </c>
      <c r="I104" s="99">
        <v>34.944881889763799</v>
      </c>
      <c r="J104" s="98">
        <v>767.63157894737344</v>
      </c>
      <c r="K104" s="98">
        <v>10.947368421052632</v>
      </c>
      <c r="L104" s="98">
        <v>0</v>
      </c>
      <c r="M104" s="98">
        <v>7.0175438596491224E-2</v>
      </c>
      <c r="N104" s="98">
        <v>0</v>
      </c>
      <c r="O104" s="98">
        <v>165.42105263157939</v>
      </c>
      <c r="P104" s="98">
        <v>2.6842105263157894</v>
      </c>
      <c r="Q104" s="98">
        <v>610.54385964912728</v>
      </c>
      <c r="R104" s="98">
        <v>1</v>
      </c>
      <c r="S104" s="98">
        <v>0.57894736842105265</v>
      </c>
      <c r="T104" s="98">
        <v>1.0350877192982457</v>
      </c>
      <c r="U104" s="98">
        <v>776.03508771930331</v>
      </c>
      <c r="V104" s="98">
        <v>496.22807017543795</v>
      </c>
      <c r="W104" s="101">
        <v>677</v>
      </c>
      <c r="X104" s="96" t="s">
        <v>281</v>
      </c>
      <c r="Y104" s="95">
        <v>44854</v>
      </c>
      <c r="Z104" s="95" t="s">
        <v>292</v>
      </c>
      <c r="AA104" s="95" t="s">
        <v>279</v>
      </c>
    </row>
    <row r="105" spans="1:27" x14ac:dyDescent="0.25">
      <c r="A105" s="96" t="s">
        <v>355</v>
      </c>
      <c r="B105" s="96" t="s">
        <v>354</v>
      </c>
      <c r="C105" s="96" t="s">
        <v>353</v>
      </c>
      <c r="D105" s="96" t="s">
        <v>150</v>
      </c>
      <c r="E105" s="100">
        <v>44883</v>
      </c>
      <c r="F105" s="96" t="s">
        <v>151</v>
      </c>
      <c r="G105" s="96" t="s">
        <v>114</v>
      </c>
      <c r="H105" s="96" t="s">
        <v>106</v>
      </c>
      <c r="I105" s="99">
        <v>51.765432098765402</v>
      </c>
      <c r="J105" s="98">
        <v>21.491228070175428</v>
      </c>
      <c r="K105" s="98">
        <v>9.3508771929824555</v>
      </c>
      <c r="L105" s="98">
        <v>16.368421052631575</v>
      </c>
      <c r="M105" s="98">
        <v>14.561403508771928</v>
      </c>
      <c r="N105" s="98">
        <v>36.561403508771946</v>
      </c>
      <c r="O105" s="98">
        <v>19.491228070175431</v>
      </c>
      <c r="P105" s="98">
        <v>0.77192982456140347</v>
      </c>
      <c r="Q105" s="98">
        <v>4.9473684210526327</v>
      </c>
      <c r="R105" s="98">
        <v>17.192982456140346</v>
      </c>
      <c r="S105" s="98">
        <v>6.6842105263157894</v>
      </c>
      <c r="T105" s="98">
        <v>9.6140350877192979</v>
      </c>
      <c r="U105" s="98">
        <v>28.280701754385952</v>
      </c>
      <c r="V105" s="98">
        <v>47.666666666666693</v>
      </c>
      <c r="W105" s="101"/>
      <c r="X105" s="96" t="s">
        <v>281</v>
      </c>
      <c r="Y105" s="95">
        <v>44861</v>
      </c>
      <c r="Z105" s="95" t="s">
        <v>280</v>
      </c>
      <c r="AA105" s="95" t="s">
        <v>279</v>
      </c>
    </row>
    <row r="106" spans="1:27" ht="15.6" customHeight="1" x14ac:dyDescent="0.25">
      <c r="A106" s="96" t="s">
        <v>352</v>
      </c>
      <c r="B106" s="96" t="s">
        <v>351</v>
      </c>
      <c r="C106" s="96" t="s">
        <v>350</v>
      </c>
      <c r="D106" s="96" t="s">
        <v>143</v>
      </c>
      <c r="E106" s="100">
        <v>55330</v>
      </c>
      <c r="F106" s="96" t="s">
        <v>144</v>
      </c>
      <c r="G106" s="96" t="s">
        <v>114</v>
      </c>
      <c r="H106" s="96" t="s">
        <v>106</v>
      </c>
      <c r="I106" s="99">
        <v>4</v>
      </c>
      <c r="J106" s="98">
        <v>0</v>
      </c>
      <c r="K106" s="98">
        <v>0</v>
      </c>
      <c r="L106" s="98">
        <v>7.0175438596491224E-2</v>
      </c>
      <c r="M106" s="98">
        <v>1</v>
      </c>
      <c r="N106" s="98">
        <v>1</v>
      </c>
      <c r="O106" s="98">
        <v>0</v>
      </c>
      <c r="P106" s="98">
        <v>7.0175438596491224E-2</v>
      </c>
      <c r="Q106" s="98">
        <v>0</v>
      </c>
      <c r="R106" s="98">
        <v>1.0701754385964912</v>
      </c>
      <c r="S106" s="98">
        <v>0</v>
      </c>
      <c r="T106" s="98">
        <v>0</v>
      </c>
      <c r="U106" s="98">
        <v>0</v>
      </c>
      <c r="V106" s="98">
        <v>1.0701754385964912</v>
      </c>
      <c r="W106" s="101"/>
      <c r="X106" s="96" t="s">
        <v>281</v>
      </c>
      <c r="Y106" s="95">
        <v>44973</v>
      </c>
      <c r="Z106" s="95" t="s">
        <v>280</v>
      </c>
      <c r="AA106" s="95" t="s">
        <v>279</v>
      </c>
    </row>
    <row r="107" spans="1:27" x14ac:dyDescent="0.25">
      <c r="A107" s="96" t="s">
        <v>349</v>
      </c>
      <c r="B107" s="96" t="s">
        <v>348</v>
      </c>
      <c r="C107" s="96" t="s">
        <v>347</v>
      </c>
      <c r="D107" s="96" t="s">
        <v>167</v>
      </c>
      <c r="E107" s="100">
        <v>965</v>
      </c>
      <c r="F107" s="96" t="s">
        <v>8</v>
      </c>
      <c r="G107" s="96" t="s">
        <v>146</v>
      </c>
      <c r="H107" s="96" t="s">
        <v>106</v>
      </c>
      <c r="I107" s="99">
        <v>2.28181818181818</v>
      </c>
      <c r="J107" s="98">
        <v>4.0175438596491286</v>
      </c>
      <c r="K107" s="98">
        <v>0.12280701754385964</v>
      </c>
      <c r="L107" s="98">
        <v>5.2631578947368418E-2</v>
      </c>
      <c r="M107" s="98">
        <v>0</v>
      </c>
      <c r="N107" s="98">
        <v>0.26315789473684209</v>
      </c>
      <c r="O107" s="98">
        <v>3.2280701754386008</v>
      </c>
      <c r="P107" s="98">
        <v>0</v>
      </c>
      <c r="Q107" s="98">
        <v>0.70175438596491224</v>
      </c>
      <c r="R107" s="98">
        <v>3.5087719298245612E-2</v>
      </c>
      <c r="S107" s="98">
        <v>0</v>
      </c>
      <c r="T107" s="98">
        <v>1.7543859649122806E-2</v>
      </c>
      <c r="U107" s="98">
        <v>4.1403508771929882</v>
      </c>
      <c r="V107" s="98">
        <v>2.3333333333333344</v>
      </c>
      <c r="W107" s="101"/>
      <c r="X107" s="96" t="s">
        <v>306</v>
      </c>
      <c r="Y107" s="95" t="s">
        <v>306</v>
      </c>
      <c r="Z107" s="95" t="s">
        <v>306</v>
      </c>
      <c r="AA107" s="95" t="s">
        <v>306</v>
      </c>
    </row>
    <row r="108" spans="1:27" x14ac:dyDescent="0.25">
      <c r="A108" s="96" t="s">
        <v>346</v>
      </c>
      <c r="B108" s="96" t="s">
        <v>345</v>
      </c>
      <c r="C108" s="96" t="s">
        <v>344</v>
      </c>
      <c r="D108" s="96" t="s">
        <v>116</v>
      </c>
      <c r="E108" s="100">
        <v>85349</v>
      </c>
      <c r="F108" s="96" t="s">
        <v>119</v>
      </c>
      <c r="G108" s="96" t="s">
        <v>114</v>
      </c>
      <c r="H108" s="96" t="s">
        <v>106</v>
      </c>
      <c r="I108" s="99">
        <v>5.0197086546700902</v>
      </c>
      <c r="J108" s="98">
        <v>106.22807017543987</v>
      </c>
      <c r="K108" s="98">
        <v>0.94736842105263164</v>
      </c>
      <c r="L108" s="98">
        <v>0.40350877192982454</v>
      </c>
      <c r="M108" s="98">
        <v>0</v>
      </c>
      <c r="N108" s="98">
        <v>2.649122807017545</v>
      </c>
      <c r="O108" s="98">
        <v>74.473684210526883</v>
      </c>
      <c r="P108" s="98">
        <v>0.66666666666666674</v>
      </c>
      <c r="Q108" s="98">
        <v>29.789473684210481</v>
      </c>
      <c r="R108" s="98">
        <v>0.24561403508771928</v>
      </c>
      <c r="S108" s="98">
        <v>0</v>
      </c>
      <c r="T108" s="98">
        <v>0.56140350877192979</v>
      </c>
      <c r="U108" s="98">
        <v>106.77192982456269</v>
      </c>
      <c r="V108" s="98">
        <v>99.122807017544829</v>
      </c>
      <c r="W108" s="101">
        <v>100</v>
      </c>
      <c r="X108" s="96" t="s">
        <v>281</v>
      </c>
      <c r="Y108" s="95">
        <v>44882</v>
      </c>
      <c r="Z108" s="95" t="s">
        <v>280</v>
      </c>
      <c r="AA108" s="95" t="s">
        <v>279</v>
      </c>
    </row>
    <row r="109" spans="1:27" ht="15.6" customHeight="1" x14ac:dyDescent="0.25">
      <c r="A109" s="96" t="s">
        <v>343</v>
      </c>
      <c r="B109" s="96" t="s">
        <v>342</v>
      </c>
      <c r="C109" s="96" t="s">
        <v>198</v>
      </c>
      <c r="D109" s="96" t="s">
        <v>165</v>
      </c>
      <c r="E109" s="100">
        <v>84119</v>
      </c>
      <c r="F109" s="96" t="s">
        <v>149</v>
      </c>
      <c r="G109" s="96" t="s">
        <v>127</v>
      </c>
      <c r="H109" s="96" t="s">
        <v>106</v>
      </c>
      <c r="I109" s="99">
        <v>1.9183673469387801</v>
      </c>
      <c r="J109" s="98">
        <v>0.26315789473684209</v>
      </c>
      <c r="K109" s="98">
        <v>3.9649122807017605</v>
      </c>
      <c r="L109" s="98">
        <v>0.31578947368421051</v>
      </c>
      <c r="M109" s="98">
        <v>0.21052631578947367</v>
      </c>
      <c r="N109" s="98">
        <v>3.3157894736842159</v>
      </c>
      <c r="O109" s="98">
        <v>1.1754385964912286</v>
      </c>
      <c r="P109" s="98">
        <v>0.19298245614035087</v>
      </c>
      <c r="Q109" s="98">
        <v>7.0175438596491224E-2</v>
      </c>
      <c r="R109" s="98">
        <v>0.2982456140350877</v>
      </c>
      <c r="S109" s="98">
        <v>5.2631578947368418E-2</v>
      </c>
      <c r="T109" s="98">
        <v>0.10526315789473684</v>
      </c>
      <c r="U109" s="98">
        <v>4.2982456140350944</v>
      </c>
      <c r="V109" s="98">
        <v>3.6315789473684275</v>
      </c>
      <c r="W109" s="101"/>
      <c r="X109" s="96" t="s">
        <v>164</v>
      </c>
      <c r="Y109" s="95">
        <v>44561</v>
      </c>
      <c r="Z109" s="95" t="s">
        <v>288</v>
      </c>
      <c r="AA109" s="95" t="s">
        <v>279</v>
      </c>
    </row>
    <row r="110" spans="1:27" ht="15.6" customHeight="1" x14ac:dyDescent="0.25">
      <c r="A110" s="96" t="s">
        <v>341</v>
      </c>
      <c r="B110" s="96" t="s">
        <v>340</v>
      </c>
      <c r="C110" s="96" t="s">
        <v>339</v>
      </c>
      <c r="D110" s="96" t="s">
        <v>109</v>
      </c>
      <c r="E110" s="100">
        <v>78061</v>
      </c>
      <c r="F110" s="96" t="s">
        <v>110</v>
      </c>
      <c r="G110" s="96" t="s">
        <v>111</v>
      </c>
      <c r="H110" s="96" t="s">
        <v>106</v>
      </c>
      <c r="I110" s="99">
        <v>39.8522848034006</v>
      </c>
      <c r="J110" s="98">
        <v>1372.9999999999968</v>
      </c>
      <c r="K110" s="98">
        <v>102.61403508771932</v>
      </c>
      <c r="L110" s="98">
        <v>165.77192982456125</v>
      </c>
      <c r="M110" s="98">
        <v>53.12280701754387</v>
      </c>
      <c r="N110" s="98">
        <v>320.24561403508778</v>
      </c>
      <c r="O110" s="98">
        <v>1374.0701754385934</v>
      </c>
      <c r="P110" s="98">
        <v>8.771929824561403E-2</v>
      </c>
      <c r="Q110" s="98">
        <v>0.10526315789473684</v>
      </c>
      <c r="R110" s="98">
        <v>82.140350877193057</v>
      </c>
      <c r="S110" s="98">
        <v>60.596491228070214</v>
      </c>
      <c r="T110" s="98">
        <v>167.73684210526321</v>
      </c>
      <c r="U110" s="98">
        <v>1384.0350877192952</v>
      </c>
      <c r="V110" s="98">
        <v>1265.1052631578953</v>
      </c>
      <c r="W110" s="101">
        <v>1350</v>
      </c>
      <c r="X110" s="96" t="s">
        <v>281</v>
      </c>
      <c r="Y110" s="95">
        <v>44966</v>
      </c>
      <c r="Z110" s="95" t="s">
        <v>292</v>
      </c>
      <c r="AA110" s="95" t="s">
        <v>279</v>
      </c>
    </row>
    <row r="111" spans="1:27" x14ac:dyDescent="0.25">
      <c r="A111" s="96" t="s">
        <v>338</v>
      </c>
      <c r="B111" s="96" t="s">
        <v>337</v>
      </c>
      <c r="C111" s="96" t="s">
        <v>336</v>
      </c>
      <c r="D111" s="96" t="s">
        <v>153</v>
      </c>
      <c r="E111" s="100">
        <v>48060</v>
      </c>
      <c r="F111" s="96" t="s">
        <v>151</v>
      </c>
      <c r="G111" s="96" t="s">
        <v>114</v>
      </c>
      <c r="H111" s="96" t="s">
        <v>5</v>
      </c>
      <c r="I111" s="99">
        <v>40.510869565217398</v>
      </c>
      <c r="J111" s="98">
        <v>37.052631578947391</v>
      </c>
      <c r="K111" s="98">
        <v>13.491228070175438</v>
      </c>
      <c r="L111" s="98">
        <v>11.438596491228072</v>
      </c>
      <c r="M111" s="98">
        <v>8.6491228070175445</v>
      </c>
      <c r="N111" s="98">
        <v>36.333333333333336</v>
      </c>
      <c r="O111" s="98">
        <v>34.298245614035118</v>
      </c>
      <c r="P111" s="98">
        <v>0</v>
      </c>
      <c r="Q111" s="98">
        <v>0</v>
      </c>
      <c r="R111" s="98">
        <v>12.754385964912283</v>
      </c>
      <c r="S111" s="98">
        <v>9.6140350877192979</v>
      </c>
      <c r="T111" s="98">
        <v>9.7543859649122808</v>
      </c>
      <c r="U111" s="98">
        <v>38.508771929824576</v>
      </c>
      <c r="V111" s="98">
        <v>52.403508771929815</v>
      </c>
      <c r="W111" s="97"/>
      <c r="X111" s="96" t="s">
        <v>281</v>
      </c>
      <c r="Y111" s="95">
        <v>45015</v>
      </c>
      <c r="Z111" s="95" t="s">
        <v>280</v>
      </c>
      <c r="AA111" s="95" t="s">
        <v>279</v>
      </c>
    </row>
    <row r="112" spans="1:27" ht="15.6" customHeight="1" x14ac:dyDescent="0.25">
      <c r="A112" s="96" t="s">
        <v>335</v>
      </c>
      <c r="B112" s="96" t="s">
        <v>334</v>
      </c>
      <c r="C112" s="96" t="s">
        <v>333</v>
      </c>
      <c r="D112" s="96" t="s">
        <v>109</v>
      </c>
      <c r="E112" s="100">
        <v>78017</v>
      </c>
      <c r="F112" s="96" t="s">
        <v>110</v>
      </c>
      <c r="G112" s="96" t="s">
        <v>105</v>
      </c>
      <c r="H112" s="96" t="s">
        <v>106</v>
      </c>
      <c r="I112" s="99">
        <v>32.179888268156397</v>
      </c>
      <c r="J112" s="98">
        <v>2013.6842105263195</v>
      </c>
      <c r="K112" s="98">
        <v>7.1403508771929829</v>
      </c>
      <c r="L112" s="98">
        <v>0.78947368421052633</v>
      </c>
      <c r="M112" s="98">
        <v>0</v>
      </c>
      <c r="N112" s="98">
        <v>0.17543859649122806</v>
      </c>
      <c r="O112" s="98">
        <v>358.54385964912336</v>
      </c>
      <c r="P112" s="98">
        <v>11.368421052631581</v>
      </c>
      <c r="Q112" s="98">
        <v>1651.5263157894774</v>
      </c>
      <c r="R112" s="98">
        <v>0</v>
      </c>
      <c r="S112" s="98">
        <v>0.21052631578947367</v>
      </c>
      <c r="T112" s="98">
        <v>11.333333333333334</v>
      </c>
      <c r="U112" s="98">
        <v>2010.0701754385998</v>
      </c>
      <c r="V112" s="98">
        <v>1535.6315789473788</v>
      </c>
      <c r="W112" s="101">
        <v>2400</v>
      </c>
      <c r="X112" s="96" t="s">
        <v>281</v>
      </c>
      <c r="Y112" s="95">
        <v>44882</v>
      </c>
      <c r="Z112" s="95" t="s">
        <v>332</v>
      </c>
      <c r="AA112" s="95" t="s">
        <v>279</v>
      </c>
    </row>
    <row r="113" spans="1:27" ht="15.6" customHeight="1" x14ac:dyDescent="0.25">
      <c r="A113" s="96" t="s">
        <v>331</v>
      </c>
      <c r="B113" s="96" t="s">
        <v>330</v>
      </c>
      <c r="C113" s="96" t="s">
        <v>329</v>
      </c>
      <c r="D113" s="96" t="s">
        <v>156</v>
      </c>
      <c r="E113" s="100">
        <v>3820</v>
      </c>
      <c r="F113" s="96" t="s">
        <v>142</v>
      </c>
      <c r="G113" s="96" t="s">
        <v>114</v>
      </c>
      <c r="H113" s="96" t="s">
        <v>106</v>
      </c>
      <c r="I113" s="99">
        <v>58.0731707317073</v>
      </c>
      <c r="J113" s="98">
        <v>1</v>
      </c>
      <c r="K113" s="98">
        <v>1</v>
      </c>
      <c r="L113" s="98">
        <v>38.649122807017548</v>
      </c>
      <c r="M113" s="98">
        <v>33.105263157894733</v>
      </c>
      <c r="N113" s="98">
        <v>34.087719298245617</v>
      </c>
      <c r="O113" s="98">
        <v>30.771929824561408</v>
      </c>
      <c r="P113" s="98">
        <v>6.2456140350877201</v>
      </c>
      <c r="Q113" s="98">
        <v>2.6491228070175437</v>
      </c>
      <c r="R113" s="98">
        <v>26.543859649122808</v>
      </c>
      <c r="S113" s="98">
        <v>3.5263157894736845</v>
      </c>
      <c r="T113" s="98">
        <v>3.9824561403508771</v>
      </c>
      <c r="U113" s="98">
        <v>39.701754385964918</v>
      </c>
      <c r="V113" s="98">
        <v>38.368421052631589</v>
      </c>
      <c r="W113" s="101"/>
      <c r="X113" s="96" t="s">
        <v>281</v>
      </c>
      <c r="Y113" s="95">
        <v>45008</v>
      </c>
      <c r="Z113" s="95" t="s">
        <v>280</v>
      </c>
      <c r="AA113" s="95" t="s">
        <v>279</v>
      </c>
    </row>
    <row r="114" spans="1:27" x14ac:dyDescent="0.25">
      <c r="A114" s="96" t="s">
        <v>328</v>
      </c>
      <c r="B114" s="96" t="s">
        <v>327</v>
      </c>
      <c r="C114" s="96" t="s">
        <v>326</v>
      </c>
      <c r="D114" s="96" t="s">
        <v>107</v>
      </c>
      <c r="E114" s="100">
        <v>31815</v>
      </c>
      <c r="F114" s="96" t="s">
        <v>108</v>
      </c>
      <c r="G114" s="96" t="s">
        <v>105</v>
      </c>
      <c r="H114" s="96" t="s">
        <v>106</v>
      </c>
      <c r="I114" s="99">
        <v>52.286524822695</v>
      </c>
      <c r="J114" s="98">
        <v>844.2982456140378</v>
      </c>
      <c r="K114" s="98">
        <v>139.3859649122808</v>
      </c>
      <c r="L114" s="98">
        <v>249.64912280701768</v>
      </c>
      <c r="M114" s="98">
        <v>255.08771929824587</v>
      </c>
      <c r="N114" s="98">
        <v>574.80701754385916</v>
      </c>
      <c r="O114" s="98">
        <v>708.50877192982682</v>
      </c>
      <c r="P114" s="98">
        <v>29.17543859649123</v>
      </c>
      <c r="Q114" s="98">
        <v>175.92982456140328</v>
      </c>
      <c r="R114" s="98">
        <v>270.70175438596493</v>
      </c>
      <c r="S114" s="98">
        <v>126.91228070175441</v>
      </c>
      <c r="T114" s="98">
        <v>104.85964912280704</v>
      </c>
      <c r="U114" s="98">
        <v>985.94736842105351</v>
      </c>
      <c r="V114" s="98">
        <v>1017.0350877192967</v>
      </c>
      <c r="W114" s="97">
        <v>1600</v>
      </c>
      <c r="X114" s="96" t="s">
        <v>281</v>
      </c>
      <c r="Y114" s="95">
        <v>44987</v>
      </c>
      <c r="Z114" s="95" t="s">
        <v>292</v>
      </c>
      <c r="AA114" s="95" t="s">
        <v>279</v>
      </c>
    </row>
    <row r="115" spans="1:27" ht="15.6" customHeight="1" x14ac:dyDescent="0.25">
      <c r="A115" s="96" t="s">
        <v>325</v>
      </c>
      <c r="B115" s="96" t="s">
        <v>324</v>
      </c>
      <c r="C115" s="96" t="s">
        <v>323</v>
      </c>
      <c r="D115" s="96" t="s">
        <v>176</v>
      </c>
      <c r="E115" s="100">
        <v>82901</v>
      </c>
      <c r="F115" s="96" t="s">
        <v>136</v>
      </c>
      <c r="G115" s="96" t="s">
        <v>127</v>
      </c>
      <c r="H115" s="96" t="s">
        <v>106</v>
      </c>
      <c r="I115" s="99">
        <v>2.75</v>
      </c>
      <c r="J115" s="98">
        <v>0</v>
      </c>
      <c r="K115" s="98">
        <v>1.7543859649122806E-2</v>
      </c>
      <c r="L115" s="98">
        <v>0.19298245614035087</v>
      </c>
      <c r="M115" s="98">
        <v>0</v>
      </c>
      <c r="N115" s="98">
        <v>0.21052631578947367</v>
      </c>
      <c r="O115" s="98">
        <v>0</v>
      </c>
      <c r="P115" s="98">
        <v>0</v>
      </c>
      <c r="Q115" s="98">
        <v>0</v>
      </c>
      <c r="R115" s="98">
        <v>1.7543859649122806E-2</v>
      </c>
      <c r="S115" s="98">
        <v>0</v>
      </c>
      <c r="T115" s="98">
        <v>0</v>
      </c>
      <c r="U115" s="98">
        <v>0.19298245614035087</v>
      </c>
      <c r="V115" s="98">
        <v>0.21052631578947367</v>
      </c>
      <c r="W115" s="101"/>
      <c r="X115" s="96" t="s">
        <v>164</v>
      </c>
      <c r="Y115" s="95">
        <v>44533</v>
      </c>
      <c r="Z115" s="95" t="s">
        <v>288</v>
      </c>
      <c r="AA115" s="95" t="s">
        <v>279</v>
      </c>
    </row>
    <row r="116" spans="1:27" x14ac:dyDescent="0.25">
      <c r="A116" s="96" t="s">
        <v>322</v>
      </c>
      <c r="B116" s="96" t="s">
        <v>321</v>
      </c>
      <c r="C116" s="96" t="s">
        <v>320</v>
      </c>
      <c r="D116" s="96" t="s">
        <v>135</v>
      </c>
      <c r="E116" s="100">
        <v>80814</v>
      </c>
      <c r="F116" s="96" t="s">
        <v>136</v>
      </c>
      <c r="G116" s="96" t="s">
        <v>114</v>
      </c>
      <c r="H116" s="96" t="s">
        <v>106</v>
      </c>
      <c r="I116" s="99">
        <v>4.0476190476190501</v>
      </c>
      <c r="J116" s="98">
        <v>2.0701754385964914</v>
      </c>
      <c r="K116" s="98">
        <v>0.64912280701754388</v>
      </c>
      <c r="L116" s="98">
        <v>1.5087719298245612</v>
      </c>
      <c r="M116" s="98">
        <v>2.9473684210526314</v>
      </c>
      <c r="N116" s="98">
        <v>4.9473684210526301</v>
      </c>
      <c r="O116" s="98">
        <v>2.2280701754385968</v>
      </c>
      <c r="P116" s="98">
        <v>0</v>
      </c>
      <c r="Q116" s="98">
        <v>0</v>
      </c>
      <c r="R116" s="98">
        <v>2.9824561403508771</v>
      </c>
      <c r="S116" s="98">
        <v>0.43859649122807015</v>
      </c>
      <c r="T116" s="98">
        <v>0.17543859649122806</v>
      </c>
      <c r="U116" s="98">
        <v>3.5789473684210527</v>
      </c>
      <c r="V116" s="98">
        <v>5.6315789473684195</v>
      </c>
      <c r="W116" s="101"/>
      <c r="X116" s="96" t="s">
        <v>281</v>
      </c>
      <c r="Y116" s="95">
        <v>45029</v>
      </c>
      <c r="Z116" s="95" t="s">
        <v>280</v>
      </c>
      <c r="AA116" s="95" t="s">
        <v>279</v>
      </c>
    </row>
    <row r="117" spans="1:27" ht="15.6" customHeight="1" x14ac:dyDescent="0.25">
      <c r="A117" s="96" t="s">
        <v>319</v>
      </c>
      <c r="B117" s="96" t="s">
        <v>318</v>
      </c>
      <c r="C117" s="96" t="s">
        <v>317</v>
      </c>
      <c r="D117" s="96" t="s">
        <v>124</v>
      </c>
      <c r="E117" s="100">
        <v>87016</v>
      </c>
      <c r="F117" s="96" t="s">
        <v>125</v>
      </c>
      <c r="G117" s="96" t="s">
        <v>114</v>
      </c>
      <c r="H117" s="96" t="s">
        <v>5</v>
      </c>
      <c r="I117" s="99">
        <v>31.706018518518501</v>
      </c>
      <c r="J117" s="98">
        <v>381.17543859648993</v>
      </c>
      <c r="K117" s="98">
        <v>10.105263157894736</v>
      </c>
      <c r="L117" s="98">
        <v>3.5087719298245612E-2</v>
      </c>
      <c r="M117" s="98">
        <v>1.7543859649122806E-2</v>
      </c>
      <c r="N117" s="98">
        <v>2.3157894736842106</v>
      </c>
      <c r="O117" s="98">
        <v>389.01754385964796</v>
      </c>
      <c r="P117" s="98">
        <v>0</v>
      </c>
      <c r="Q117" s="98">
        <v>0</v>
      </c>
      <c r="R117" s="98">
        <v>1</v>
      </c>
      <c r="S117" s="98">
        <v>0</v>
      </c>
      <c r="T117" s="98">
        <v>0.68421052631578949</v>
      </c>
      <c r="U117" s="98">
        <v>389.64912280701634</v>
      </c>
      <c r="V117" s="98">
        <v>287.92982456140311</v>
      </c>
      <c r="W117" s="101">
        <v>505</v>
      </c>
      <c r="X117" s="96" t="s">
        <v>281</v>
      </c>
      <c r="Y117" s="95">
        <v>44861</v>
      </c>
      <c r="Z117" s="95" t="s">
        <v>292</v>
      </c>
      <c r="AA117" s="95" t="s">
        <v>279</v>
      </c>
    </row>
    <row r="118" spans="1:27" x14ac:dyDescent="0.25">
      <c r="A118" s="96" t="s">
        <v>316</v>
      </c>
      <c r="B118" s="96" t="s">
        <v>315</v>
      </c>
      <c r="C118" s="96" t="s">
        <v>314</v>
      </c>
      <c r="D118" s="96" t="s">
        <v>147</v>
      </c>
      <c r="E118" s="100">
        <v>74103</v>
      </c>
      <c r="F118" s="96" t="s">
        <v>129</v>
      </c>
      <c r="G118" s="96" t="s">
        <v>114</v>
      </c>
      <c r="H118" s="96" t="s">
        <v>106</v>
      </c>
      <c r="I118" s="99">
        <v>2.2837837837837802</v>
      </c>
      <c r="J118" s="98">
        <v>0.50877192982456143</v>
      </c>
      <c r="K118" s="98">
        <v>1.3508771929824559</v>
      </c>
      <c r="L118" s="98">
        <v>0.9649122807017545</v>
      </c>
      <c r="M118" s="98">
        <v>0.59649122807017529</v>
      </c>
      <c r="N118" s="98">
        <v>2.3684210526315788</v>
      </c>
      <c r="O118" s="98">
        <v>0.94736842105263164</v>
      </c>
      <c r="P118" s="98">
        <v>0</v>
      </c>
      <c r="Q118" s="98">
        <v>0.10526315789473684</v>
      </c>
      <c r="R118" s="98">
        <v>0.61403508771929838</v>
      </c>
      <c r="S118" s="98">
        <v>0.24561403508771928</v>
      </c>
      <c r="T118" s="98">
        <v>0.22807017543859648</v>
      </c>
      <c r="U118" s="98">
        <v>2.333333333333333</v>
      </c>
      <c r="V118" s="98">
        <v>2.1754385964912282</v>
      </c>
      <c r="W118" s="101"/>
      <c r="X118" s="96" t="s">
        <v>281</v>
      </c>
      <c r="Y118" s="95">
        <v>45106</v>
      </c>
      <c r="Z118" s="95" t="s">
        <v>280</v>
      </c>
      <c r="AA118" s="95" t="s">
        <v>279</v>
      </c>
    </row>
    <row r="119" spans="1:27" x14ac:dyDescent="0.25">
      <c r="A119" s="96" t="s">
        <v>313</v>
      </c>
      <c r="B119" s="96" t="s">
        <v>312</v>
      </c>
      <c r="C119" s="96" t="s">
        <v>311</v>
      </c>
      <c r="D119" s="96" t="s">
        <v>307</v>
      </c>
      <c r="E119" s="100">
        <v>5403</v>
      </c>
      <c r="F119" s="96" t="s">
        <v>142</v>
      </c>
      <c r="G119" s="96" t="s">
        <v>114</v>
      </c>
      <c r="H119" s="96" t="s">
        <v>106</v>
      </c>
      <c r="I119" s="99">
        <v>2.4054054054054101</v>
      </c>
      <c r="J119" s="98">
        <v>2.6842105263157912</v>
      </c>
      <c r="K119" s="98">
        <v>0.66666666666666663</v>
      </c>
      <c r="L119" s="98">
        <v>0</v>
      </c>
      <c r="M119" s="98">
        <v>0</v>
      </c>
      <c r="N119" s="98">
        <v>0</v>
      </c>
      <c r="O119" s="98">
        <v>0</v>
      </c>
      <c r="P119" s="98">
        <v>0.17543859649122806</v>
      </c>
      <c r="Q119" s="98">
        <v>3.1754385964912313</v>
      </c>
      <c r="R119" s="98">
        <v>0</v>
      </c>
      <c r="S119" s="98">
        <v>0</v>
      </c>
      <c r="T119" s="98">
        <v>3.5087719298245612E-2</v>
      </c>
      <c r="U119" s="98">
        <v>3.3157894736842142</v>
      </c>
      <c r="V119" s="98">
        <v>3.1052631578947398</v>
      </c>
      <c r="W119" s="101"/>
      <c r="X119" s="96" t="s">
        <v>306</v>
      </c>
      <c r="Y119" s="95" t="s">
        <v>306</v>
      </c>
      <c r="Z119" s="95" t="s">
        <v>306</v>
      </c>
      <c r="AA119" s="95" t="s">
        <v>306</v>
      </c>
    </row>
    <row r="120" spans="1:27" x14ac:dyDescent="0.25">
      <c r="A120" s="96" t="s">
        <v>310</v>
      </c>
      <c r="B120" s="96" t="s">
        <v>309</v>
      </c>
      <c r="C120" s="96" t="s">
        <v>308</v>
      </c>
      <c r="D120" s="96" t="s">
        <v>307</v>
      </c>
      <c r="E120" s="100">
        <v>5488</v>
      </c>
      <c r="F120" s="96" t="s">
        <v>142</v>
      </c>
      <c r="G120" s="96" t="s">
        <v>127</v>
      </c>
      <c r="H120" s="96" t="s">
        <v>106</v>
      </c>
      <c r="I120" s="99">
        <v>2.2751322751322798</v>
      </c>
      <c r="J120" s="98">
        <v>7.052631578947361</v>
      </c>
      <c r="K120" s="98">
        <v>0.56140350877192979</v>
      </c>
      <c r="L120" s="98">
        <v>0.19298245614035087</v>
      </c>
      <c r="M120" s="98">
        <v>7.0175438596491224E-2</v>
      </c>
      <c r="N120" s="98">
        <v>0.56140350877193002</v>
      </c>
      <c r="O120" s="98">
        <v>7.3157894736842</v>
      </c>
      <c r="P120" s="98">
        <v>0</v>
      </c>
      <c r="Q120" s="98">
        <v>0</v>
      </c>
      <c r="R120" s="98">
        <v>0</v>
      </c>
      <c r="S120" s="98">
        <v>7.0175438596491224E-2</v>
      </c>
      <c r="T120" s="98">
        <v>0</v>
      </c>
      <c r="U120" s="98">
        <v>7.8070175438596383</v>
      </c>
      <c r="V120" s="98">
        <v>5.9649122807017552</v>
      </c>
      <c r="W120" s="101"/>
      <c r="X120" s="96" t="s">
        <v>306</v>
      </c>
      <c r="Y120" s="95" t="s">
        <v>306</v>
      </c>
      <c r="Z120" s="95" t="s">
        <v>306</v>
      </c>
      <c r="AA120" s="95" t="s">
        <v>306</v>
      </c>
    </row>
    <row r="121" spans="1:27" x14ac:dyDescent="0.25">
      <c r="A121" s="96" t="s">
        <v>305</v>
      </c>
      <c r="B121" s="96" t="s">
        <v>304</v>
      </c>
      <c r="C121" s="96" t="s">
        <v>303</v>
      </c>
      <c r="D121" s="96" t="s">
        <v>175</v>
      </c>
      <c r="E121" s="100">
        <v>72701</v>
      </c>
      <c r="F121" s="96" t="s">
        <v>113</v>
      </c>
      <c r="G121" s="96" t="s">
        <v>127</v>
      </c>
      <c r="H121" s="96" t="s">
        <v>106</v>
      </c>
      <c r="I121" s="99">
        <v>1.6666666666666701</v>
      </c>
      <c r="J121" s="98">
        <v>0.12280701754385964</v>
      </c>
      <c r="K121" s="98">
        <v>0.24561403508771928</v>
      </c>
      <c r="L121" s="98">
        <v>0.57894736842105265</v>
      </c>
      <c r="M121" s="98">
        <v>0.26315789473684209</v>
      </c>
      <c r="N121" s="98">
        <v>0.96491228070175472</v>
      </c>
      <c r="O121" s="98">
        <v>0.21052631578947367</v>
      </c>
      <c r="P121" s="98">
        <v>3.5087719298245612E-2</v>
      </c>
      <c r="Q121" s="98">
        <v>0</v>
      </c>
      <c r="R121" s="98">
        <v>0.12280701754385964</v>
      </c>
      <c r="S121" s="98">
        <v>7.0175438596491224E-2</v>
      </c>
      <c r="T121" s="98">
        <v>0</v>
      </c>
      <c r="U121" s="98">
        <v>1.0175438596491233</v>
      </c>
      <c r="V121" s="98">
        <v>1.1228070175438605</v>
      </c>
      <c r="W121" s="101"/>
      <c r="X121" s="96" t="s">
        <v>164</v>
      </c>
      <c r="Y121" s="95">
        <v>44930</v>
      </c>
      <c r="Z121" s="95" t="s">
        <v>288</v>
      </c>
      <c r="AA121" s="95" t="s">
        <v>279</v>
      </c>
    </row>
    <row r="122" spans="1:27" ht="15.6" customHeight="1" x14ac:dyDescent="0.25">
      <c r="A122" s="96" t="s">
        <v>302</v>
      </c>
      <c r="B122" s="96" t="s">
        <v>301</v>
      </c>
      <c r="C122" s="96" t="s">
        <v>300</v>
      </c>
      <c r="D122" s="96" t="s">
        <v>148</v>
      </c>
      <c r="E122" s="100">
        <v>89512</v>
      </c>
      <c r="F122" s="96" t="s">
        <v>149</v>
      </c>
      <c r="G122" s="96" t="s">
        <v>127</v>
      </c>
      <c r="H122" s="96" t="s">
        <v>106</v>
      </c>
      <c r="I122" s="99">
        <v>12.6</v>
      </c>
      <c r="J122" s="98">
        <v>0.61403508771929816</v>
      </c>
      <c r="K122" s="98">
        <v>0.96491228070175428</v>
      </c>
      <c r="L122" s="98">
        <v>2.3508771929824563</v>
      </c>
      <c r="M122" s="98">
        <v>6.4561403508771935</v>
      </c>
      <c r="N122" s="98">
        <v>9.6842105263157894</v>
      </c>
      <c r="O122" s="98">
        <v>0.70175438596491224</v>
      </c>
      <c r="P122" s="98">
        <v>0</v>
      </c>
      <c r="Q122" s="98">
        <v>0</v>
      </c>
      <c r="R122" s="98">
        <v>4.1228070175438596</v>
      </c>
      <c r="S122" s="98">
        <v>1.8421052631578947</v>
      </c>
      <c r="T122" s="98">
        <v>0.33333333333333331</v>
      </c>
      <c r="U122" s="98">
        <v>4.0877192982456148</v>
      </c>
      <c r="V122" s="98">
        <v>7.2807017543859649</v>
      </c>
      <c r="W122" s="97"/>
      <c r="X122" s="96" t="s">
        <v>281</v>
      </c>
      <c r="Y122" s="95">
        <v>44868</v>
      </c>
      <c r="Z122" s="95" t="s">
        <v>280</v>
      </c>
      <c r="AA122" s="95" t="s">
        <v>279</v>
      </c>
    </row>
    <row r="123" spans="1:27" s="85" customFormat="1" x14ac:dyDescent="0.25">
      <c r="A123" s="96" t="s">
        <v>299</v>
      </c>
      <c r="B123" s="96" t="s">
        <v>298</v>
      </c>
      <c r="C123" s="96" t="s">
        <v>297</v>
      </c>
      <c r="D123" s="96" t="s">
        <v>134</v>
      </c>
      <c r="E123" s="100">
        <v>33073</v>
      </c>
      <c r="F123" s="96" t="s">
        <v>8</v>
      </c>
      <c r="G123" s="96" t="s">
        <v>111</v>
      </c>
      <c r="H123" s="96" t="s">
        <v>106</v>
      </c>
      <c r="I123" s="99">
        <v>50.497810218978103</v>
      </c>
      <c r="J123" s="98">
        <v>457.82456140350627</v>
      </c>
      <c r="K123" s="98">
        <v>137.75438596491239</v>
      </c>
      <c r="L123" s="98">
        <v>0</v>
      </c>
      <c r="M123" s="98">
        <v>3.5087719298245612E-2</v>
      </c>
      <c r="N123" s="98">
        <v>127.24561403508774</v>
      </c>
      <c r="O123" s="98">
        <v>382.43859649122641</v>
      </c>
      <c r="P123" s="98">
        <v>12.140350877192983</v>
      </c>
      <c r="Q123" s="98">
        <v>73.78947368421052</v>
      </c>
      <c r="R123" s="98">
        <v>15.421052631578947</v>
      </c>
      <c r="S123" s="98">
        <v>49.280701754385987</v>
      </c>
      <c r="T123" s="98">
        <v>45.947368421052637</v>
      </c>
      <c r="U123" s="98">
        <v>484.96491228069897</v>
      </c>
      <c r="V123" s="98">
        <v>316.4561403508759</v>
      </c>
      <c r="W123" s="101">
        <v>700</v>
      </c>
      <c r="X123" s="96" t="s">
        <v>281</v>
      </c>
      <c r="Y123" s="95">
        <v>44910</v>
      </c>
      <c r="Z123" s="95" t="s">
        <v>292</v>
      </c>
      <c r="AA123" s="95" t="s">
        <v>279</v>
      </c>
    </row>
    <row r="124" spans="1:27" s="85" customFormat="1" ht="15.6" customHeight="1" x14ac:dyDescent="0.25">
      <c r="A124" s="96" t="s">
        <v>296</v>
      </c>
      <c r="B124" s="96" t="s">
        <v>295</v>
      </c>
      <c r="C124" s="96" t="s">
        <v>294</v>
      </c>
      <c r="D124" s="96" t="s">
        <v>109</v>
      </c>
      <c r="E124" s="100">
        <v>78046</v>
      </c>
      <c r="F124" s="96" t="s">
        <v>293</v>
      </c>
      <c r="G124" s="96" t="s">
        <v>105</v>
      </c>
      <c r="H124" s="96" t="s">
        <v>106</v>
      </c>
      <c r="I124" s="99">
        <v>37.275974025974001</v>
      </c>
      <c r="J124" s="98">
        <v>192.15789473684177</v>
      </c>
      <c r="K124" s="98">
        <v>3.9298245614035086</v>
      </c>
      <c r="L124" s="98">
        <v>29.228070175438599</v>
      </c>
      <c r="M124" s="98">
        <v>49.245614035087712</v>
      </c>
      <c r="N124" s="98">
        <v>16.298245614035086</v>
      </c>
      <c r="O124" s="98">
        <v>114.26315789473679</v>
      </c>
      <c r="P124" s="98">
        <v>25.85964912280701</v>
      </c>
      <c r="Q124" s="98">
        <v>118.14035087719307</v>
      </c>
      <c r="R124" s="98">
        <v>23.456140350877192</v>
      </c>
      <c r="S124" s="98">
        <v>6.8421052631578956</v>
      </c>
      <c r="T124" s="98">
        <v>8.526315789473685</v>
      </c>
      <c r="U124" s="98">
        <v>235.73684210526284</v>
      </c>
      <c r="V124" s="98">
        <v>221.17543859649101</v>
      </c>
      <c r="W124" s="97"/>
      <c r="X124" s="96" t="s">
        <v>281</v>
      </c>
      <c r="Y124" s="95">
        <v>44959</v>
      </c>
      <c r="Z124" s="95" t="s">
        <v>292</v>
      </c>
      <c r="AA124" s="95" t="s">
        <v>279</v>
      </c>
    </row>
    <row r="125" spans="1:27" s="85" customFormat="1" ht="15.6" customHeight="1" x14ac:dyDescent="0.25">
      <c r="A125" s="96" t="s">
        <v>291</v>
      </c>
      <c r="B125" s="96" t="s">
        <v>290</v>
      </c>
      <c r="C125" s="96" t="s">
        <v>289</v>
      </c>
      <c r="D125" s="96" t="s">
        <v>159</v>
      </c>
      <c r="E125" s="100">
        <v>51101</v>
      </c>
      <c r="F125" s="96" t="s">
        <v>144</v>
      </c>
      <c r="G125" s="96" t="s">
        <v>127</v>
      </c>
      <c r="H125" s="96" t="s">
        <v>106</v>
      </c>
      <c r="I125" s="99"/>
      <c r="J125" s="98">
        <v>0</v>
      </c>
      <c r="K125" s="98">
        <v>0</v>
      </c>
      <c r="L125" s="98">
        <v>3.5087719298245612E-2</v>
      </c>
      <c r="M125" s="98">
        <v>0</v>
      </c>
      <c r="N125" s="98">
        <v>3.5087719298245612E-2</v>
      </c>
      <c r="O125" s="98">
        <v>0</v>
      </c>
      <c r="P125" s="98">
        <v>0</v>
      </c>
      <c r="Q125" s="98">
        <v>0</v>
      </c>
      <c r="R125" s="98">
        <v>0</v>
      </c>
      <c r="S125" s="98">
        <v>3.5087719298245612E-2</v>
      </c>
      <c r="T125" s="98">
        <v>0</v>
      </c>
      <c r="U125" s="98">
        <v>0</v>
      </c>
      <c r="V125" s="98">
        <v>3.5087719298245612E-2</v>
      </c>
      <c r="W125" s="97"/>
      <c r="X125" s="96" t="s">
        <v>164</v>
      </c>
      <c r="Y125" s="95">
        <v>44540</v>
      </c>
      <c r="Z125" s="95" t="s">
        <v>288</v>
      </c>
      <c r="AA125" s="95" t="s">
        <v>279</v>
      </c>
    </row>
    <row r="126" spans="1:27" s="85" customFormat="1" x14ac:dyDescent="0.25">
      <c r="A126" s="96" t="s">
        <v>287</v>
      </c>
      <c r="B126" s="96" t="s">
        <v>286</v>
      </c>
      <c r="C126" s="96" t="s">
        <v>285</v>
      </c>
      <c r="D126" s="96" t="s">
        <v>170</v>
      </c>
      <c r="E126" s="100">
        <v>25309</v>
      </c>
      <c r="F126" s="96" t="s">
        <v>138</v>
      </c>
      <c r="G126" s="96" t="s">
        <v>114</v>
      </c>
      <c r="H126" s="96" t="s">
        <v>106</v>
      </c>
      <c r="I126" s="99">
        <v>5.4074074074074101</v>
      </c>
      <c r="J126" s="98">
        <v>0</v>
      </c>
      <c r="K126" s="98">
        <v>0</v>
      </c>
      <c r="L126" s="98">
        <v>1.0701754385964912</v>
      </c>
      <c r="M126" s="98">
        <v>1.1578947368421053</v>
      </c>
      <c r="N126" s="98">
        <v>2.2280701754385963</v>
      </c>
      <c r="O126" s="98">
        <v>0</v>
      </c>
      <c r="P126" s="98">
        <v>0</v>
      </c>
      <c r="Q126" s="98">
        <v>0</v>
      </c>
      <c r="R126" s="98">
        <v>0.10526315789473684</v>
      </c>
      <c r="S126" s="98">
        <v>0</v>
      </c>
      <c r="T126" s="98">
        <v>0</v>
      </c>
      <c r="U126" s="98">
        <v>2.1228070175438596</v>
      </c>
      <c r="V126" s="98">
        <v>1.8947368421052633</v>
      </c>
      <c r="W126" s="101"/>
      <c r="X126" s="96" t="s">
        <v>281</v>
      </c>
      <c r="Y126" s="95">
        <v>45008</v>
      </c>
      <c r="Z126" s="95" t="s">
        <v>280</v>
      </c>
      <c r="AA126" s="95" t="s">
        <v>279</v>
      </c>
    </row>
    <row r="127" spans="1:27" s="85" customFormat="1" x14ac:dyDescent="0.25">
      <c r="A127" s="96" t="s">
        <v>284</v>
      </c>
      <c r="B127" s="96" t="s">
        <v>283</v>
      </c>
      <c r="C127" s="96" t="s">
        <v>282</v>
      </c>
      <c r="D127" s="96" t="s">
        <v>155</v>
      </c>
      <c r="E127" s="100">
        <v>2863</v>
      </c>
      <c r="F127" s="96" t="s">
        <v>142</v>
      </c>
      <c r="G127" s="96" t="s">
        <v>127</v>
      </c>
      <c r="H127" s="96" t="s">
        <v>5</v>
      </c>
      <c r="I127" s="99">
        <v>40.153846153846203</v>
      </c>
      <c r="J127" s="98">
        <v>37.561403508771974</v>
      </c>
      <c r="K127" s="98">
        <v>26.859649122807021</v>
      </c>
      <c r="L127" s="98">
        <v>0</v>
      </c>
      <c r="M127" s="98">
        <v>0</v>
      </c>
      <c r="N127" s="98">
        <v>19.192982456140346</v>
      </c>
      <c r="O127" s="98">
        <v>45.228070175438631</v>
      </c>
      <c r="P127" s="98">
        <v>0</v>
      </c>
      <c r="Q127" s="98">
        <v>0</v>
      </c>
      <c r="R127" s="98">
        <v>2.7543859649122808</v>
      </c>
      <c r="S127" s="98">
        <v>3.1228070175438596</v>
      </c>
      <c r="T127" s="98">
        <v>8.4035087719298254</v>
      </c>
      <c r="U127" s="98">
        <v>50.140350877193029</v>
      </c>
      <c r="V127" s="98">
        <v>43.035087719298275</v>
      </c>
      <c r="W127" s="97"/>
      <c r="X127" s="96" t="s">
        <v>281</v>
      </c>
      <c r="Y127" s="95">
        <v>45008</v>
      </c>
      <c r="Z127" s="95" t="s">
        <v>280</v>
      </c>
      <c r="AA127" s="95" t="s">
        <v>279</v>
      </c>
    </row>
    <row r="128" spans="1:27" s="85" customFormat="1" x14ac:dyDescent="0.25">
      <c r="A128" s="91"/>
      <c r="B128" s="91"/>
      <c r="C128" s="91"/>
      <c r="D128" s="91"/>
      <c r="E128" s="91"/>
      <c r="F128" s="91"/>
      <c r="G128" s="91"/>
      <c r="H128" s="91"/>
      <c r="I128" s="94"/>
      <c r="J128" s="93"/>
      <c r="K128" s="93"/>
      <c r="L128" s="93"/>
      <c r="M128" s="93"/>
      <c r="N128" s="93"/>
      <c r="O128" s="93"/>
      <c r="P128" s="93"/>
      <c r="Q128" s="93"/>
      <c r="R128" s="93"/>
      <c r="S128" s="93"/>
      <c r="T128" s="93"/>
      <c r="U128" s="93"/>
      <c r="V128" s="93"/>
      <c r="W128" s="92"/>
      <c r="X128" s="91"/>
      <c r="Y128" s="90"/>
      <c r="Z128" s="90"/>
      <c r="AA128" s="90"/>
    </row>
    <row r="129" spans="1:27" x14ac:dyDescent="0.25">
      <c r="A129" s="89" t="s">
        <v>278</v>
      </c>
      <c r="B129" s="77"/>
      <c r="C129" s="77"/>
      <c r="D129" s="77"/>
      <c r="E129" s="82"/>
      <c r="F129" s="77"/>
      <c r="G129" s="77"/>
      <c r="H129" s="77"/>
      <c r="I129" s="81"/>
      <c r="J129" s="80"/>
      <c r="K129" s="80"/>
      <c r="L129" s="80"/>
      <c r="M129" s="80"/>
      <c r="N129" s="80"/>
      <c r="O129" s="80"/>
      <c r="P129" s="80"/>
      <c r="Q129" s="80"/>
      <c r="R129" s="80"/>
      <c r="S129" s="80"/>
      <c r="T129" s="80"/>
      <c r="U129" s="80"/>
      <c r="V129" s="80"/>
      <c r="W129" s="79"/>
      <c r="X129" s="77"/>
      <c r="Y129" s="78"/>
      <c r="Z129" s="77"/>
      <c r="AA129" s="77"/>
    </row>
    <row r="130" spans="1:27" x14ac:dyDescent="0.25">
      <c r="A130" s="89" t="s">
        <v>277</v>
      </c>
      <c r="B130" s="77"/>
      <c r="C130" s="77"/>
      <c r="D130" s="77"/>
      <c r="E130" s="82"/>
      <c r="F130" s="77"/>
      <c r="G130" s="77"/>
      <c r="H130" s="77"/>
      <c r="I130" s="81"/>
      <c r="J130" s="80"/>
      <c r="K130" s="80"/>
      <c r="L130" s="80"/>
      <c r="M130" s="80"/>
      <c r="N130" s="80"/>
      <c r="O130" s="80"/>
      <c r="P130" s="80"/>
      <c r="Q130" s="80"/>
      <c r="R130" s="80"/>
      <c r="S130" s="80"/>
      <c r="T130" s="80"/>
      <c r="U130" s="80"/>
      <c r="V130" s="80"/>
      <c r="W130" s="79"/>
      <c r="X130" s="77"/>
      <c r="Y130" s="78"/>
      <c r="Z130" s="77"/>
      <c r="AA130" s="77"/>
    </row>
    <row r="131" spans="1:27" x14ac:dyDescent="0.25">
      <c r="A131" s="74" t="s">
        <v>276</v>
      </c>
      <c r="B131" s="87"/>
      <c r="C131" s="87"/>
      <c r="D131" s="87"/>
      <c r="E131" s="86"/>
      <c r="F131" s="77"/>
      <c r="G131" s="77"/>
      <c r="H131" s="77"/>
      <c r="I131" s="81"/>
      <c r="J131" s="80"/>
      <c r="K131" s="80"/>
      <c r="L131" s="80"/>
      <c r="M131" s="80"/>
      <c r="N131" s="80"/>
      <c r="O131" s="80"/>
      <c r="P131" s="80"/>
      <c r="Q131" s="80"/>
      <c r="R131" s="80"/>
      <c r="S131" s="80"/>
      <c r="T131" s="80"/>
      <c r="U131" s="80"/>
      <c r="V131" s="80"/>
      <c r="W131" s="79"/>
      <c r="X131" s="77"/>
      <c r="Y131" s="78"/>
      <c r="Z131" s="77"/>
      <c r="AA131" s="77"/>
    </row>
    <row r="132" spans="1:27" x14ac:dyDescent="0.25">
      <c r="A132" s="88" t="s">
        <v>275</v>
      </c>
      <c r="B132" s="87"/>
      <c r="C132" s="87"/>
      <c r="D132" s="87"/>
      <c r="E132" s="86"/>
      <c r="F132" s="77"/>
      <c r="G132" s="77"/>
      <c r="H132" s="77"/>
      <c r="I132" s="81"/>
      <c r="J132" s="80"/>
      <c r="K132" s="80"/>
      <c r="L132" s="80"/>
      <c r="M132" s="80"/>
      <c r="N132" s="80"/>
      <c r="O132" s="80"/>
      <c r="P132" s="80"/>
      <c r="Q132" s="80"/>
      <c r="R132" s="80"/>
      <c r="S132" s="80"/>
      <c r="T132" s="80"/>
      <c r="U132" s="80"/>
      <c r="V132" s="80"/>
      <c r="W132" s="79"/>
      <c r="X132" s="77"/>
      <c r="Y132" s="78"/>
      <c r="Z132" s="77"/>
      <c r="AA132" s="77"/>
    </row>
    <row r="133" spans="1:27" x14ac:dyDescent="0.25">
      <c r="A133" s="74" t="s">
        <v>274</v>
      </c>
      <c r="F133" s="77"/>
      <c r="G133" s="77"/>
      <c r="H133" s="77"/>
      <c r="I133" s="81"/>
      <c r="J133" s="80"/>
      <c r="K133" s="80"/>
      <c r="L133" s="80"/>
      <c r="M133" s="80"/>
      <c r="N133" s="80"/>
      <c r="O133" s="80"/>
      <c r="P133" s="80"/>
      <c r="Q133" s="80"/>
      <c r="R133" s="80"/>
      <c r="S133" s="80"/>
      <c r="T133" s="80"/>
      <c r="U133" s="80"/>
      <c r="V133" s="80"/>
      <c r="W133" s="79"/>
      <c r="X133" s="77"/>
      <c r="Y133" s="78"/>
      <c r="Z133" s="77"/>
      <c r="AA133" s="77"/>
    </row>
    <row r="134" spans="1:27" x14ac:dyDescent="0.25">
      <c r="A134" s="85"/>
      <c r="B134" s="84"/>
      <c r="C134" s="84"/>
      <c r="D134" s="84"/>
      <c r="E134" s="83"/>
      <c r="F134" s="77"/>
      <c r="G134" s="77"/>
      <c r="H134" s="77"/>
      <c r="I134" s="81"/>
      <c r="J134" s="80"/>
      <c r="K134" s="80"/>
      <c r="L134" s="80"/>
      <c r="M134" s="80"/>
      <c r="N134" s="80"/>
      <c r="O134" s="80"/>
      <c r="P134" s="80"/>
      <c r="Q134" s="80"/>
      <c r="R134" s="80"/>
      <c r="S134" s="80"/>
      <c r="T134" s="80"/>
      <c r="U134" s="80"/>
      <c r="V134" s="80"/>
      <c r="W134" s="79"/>
      <c r="X134" s="77"/>
      <c r="Y134" s="78"/>
      <c r="Z134" s="77"/>
      <c r="AA134" s="77"/>
    </row>
    <row r="135" spans="1:27" x14ac:dyDescent="0.25">
      <c r="B135" s="77"/>
      <c r="C135" s="77"/>
      <c r="D135" s="77"/>
      <c r="E135" s="82"/>
      <c r="F135" s="77"/>
      <c r="G135" s="77"/>
      <c r="H135" s="77"/>
      <c r="I135" s="81"/>
      <c r="J135" s="80"/>
      <c r="K135" s="80"/>
      <c r="L135" s="80"/>
      <c r="M135" s="80"/>
      <c r="N135" s="80"/>
      <c r="O135" s="80"/>
      <c r="P135" s="80"/>
      <c r="Q135" s="80"/>
      <c r="R135" s="80"/>
      <c r="S135" s="80"/>
      <c r="T135" s="80"/>
      <c r="U135" s="80"/>
      <c r="V135" s="80"/>
      <c r="W135" s="79"/>
      <c r="X135" s="77"/>
      <c r="Y135" s="78"/>
      <c r="Z135" s="77"/>
      <c r="AA135" s="77"/>
    </row>
  </sheetData>
  <mergeCells count="13">
    <mergeCell ref="A1:D1"/>
    <mergeCell ref="A2:D2"/>
    <mergeCell ref="A3:D3"/>
    <mergeCell ref="E3:H3"/>
    <mergeCell ref="I3:L3"/>
    <mergeCell ref="Q3:T3"/>
    <mergeCell ref="U3:X3"/>
    <mergeCell ref="Y3:AA3"/>
    <mergeCell ref="J5:M5"/>
    <mergeCell ref="N5:Q5"/>
    <mergeCell ref="R5:U5"/>
    <mergeCell ref="W5:AA5"/>
    <mergeCell ref="M3:P3"/>
  </mergeCells>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26F8-9F2E-45C6-9FEF-BC3241C7117E}">
  <dimension ref="A1:F26"/>
  <sheetViews>
    <sheetView workbookViewId="0">
      <selection activeCell="B6" sqref="B6"/>
    </sheetView>
  </sheetViews>
  <sheetFormatPr defaultRowHeight="15" x14ac:dyDescent="0.25"/>
  <cols>
    <col min="1" max="1" width="51.28515625" bestFit="1" customWidth="1"/>
    <col min="2" max="2" width="19" customWidth="1"/>
  </cols>
  <sheetData>
    <row r="1" spans="1:6" ht="26.25" x14ac:dyDescent="0.25">
      <c r="A1" s="361" t="s">
        <v>11</v>
      </c>
      <c r="B1" s="361"/>
      <c r="C1" s="361"/>
      <c r="D1" s="361"/>
      <c r="E1" s="361"/>
      <c r="F1" s="361"/>
    </row>
    <row r="2" spans="1:6" ht="15" customHeight="1" x14ac:dyDescent="0.25"/>
    <row r="3" spans="1:6" x14ac:dyDescent="0.25">
      <c r="A3" s="12" t="s">
        <v>667</v>
      </c>
      <c r="B3" s="12"/>
      <c r="C3" s="12"/>
      <c r="D3" s="12"/>
      <c r="E3" s="12"/>
    </row>
    <row r="4" spans="1:6" x14ac:dyDescent="0.25">
      <c r="A4" s="11" t="s">
        <v>666</v>
      </c>
      <c r="B4" s="11" t="s">
        <v>179</v>
      </c>
    </row>
    <row r="5" spans="1:6" ht="15.75" thickBot="1" x14ac:dyDescent="0.3">
      <c r="A5" s="131" t="s">
        <v>665</v>
      </c>
      <c r="B5" s="130">
        <v>45</v>
      </c>
    </row>
    <row r="6" spans="1:6" ht="15.75" thickTop="1" x14ac:dyDescent="0.25">
      <c r="A6" s="129" t="s">
        <v>664</v>
      </c>
      <c r="B6" s="128">
        <v>15</v>
      </c>
    </row>
    <row r="7" spans="1:6" ht="15" customHeight="1" x14ac:dyDescent="0.25">
      <c r="A7" s="129" t="s">
        <v>663</v>
      </c>
      <c r="B7" s="128">
        <v>26</v>
      </c>
    </row>
    <row r="8" spans="1:6" x14ac:dyDescent="0.25">
      <c r="A8" s="127" t="s">
        <v>662</v>
      </c>
      <c r="B8" s="127">
        <v>41</v>
      </c>
    </row>
    <row r="9" spans="1:6" x14ac:dyDescent="0.25">
      <c r="A9" s="126" t="s">
        <v>661</v>
      </c>
      <c r="B9" s="125">
        <v>7</v>
      </c>
    </row>
    <row r="10" spans="1:6" x14ac:dyDescent="0.25">
      <c r="A10" s="126" t="s">
        <v>660</v>
      </c>
      <c r="B10" s="125">
        <v>7</v>
      </c>
    </row>
    <row r="11" spans="1:6" x14ac:dyDescent="0.25">
      <c r="A11" s="126" t="s">
        <v>659</v>
      </c>
      <c r="B11" s="125">
        <v>6</v>
      </c>
    </row>
    <row r="12" spans="1:6" x14ac:dyDescent="0.25">
      <c r="A12" s="126" t="s">
        <v>658</v>
      </c>
      <c r="B12" s="125">
        <v>4</v>
      </c>
    </row>
    <row r="13" spans="1:6" x14ac:dyDescent="0.25">
      <c r="A13" s="126" t="s">
        <v>657</v>
      </c>
      <c r="B13" s="125">
        <v>3</v>
      </c>
    </row>
    <row r="14" spans="1:6" x14ac:dyDescent="0.25">
      <c r="A14" s="126" t="s">
        <v>656</v>
      </c>
      <c r="B14" s="125">
        <v>2</v>
      </c>
    </row>
    <row r="15" spans="1:6" x14ac:dyDescent="0.25">
      <c r="A15" s="126" t="s">
        <v>655</v>
      </c>
      <c r="B15" s="125">
        <v>2</v>
      </c>
    </row>
    <row r="16" spans="1:6" x14ac:dyDescent="0.25">
      <c r="A16" s="126" t="s">
        <v>654</v>
      </c>
      <c r="B16" s="125">
        <v>2</v>
      </c>
    </row>
    <row r="17" spans="1:2" x14ac:dyDescent="0.25">
      <c r="A17" s="126" t="s">
        <v>653</v>
      </c>
      <c r="B17" s="125">
        <v>2</v>
      </c>
    </row>
    <row r="18" spans="1:2" x14ac:dyDescent="0.25">
      <c r="A18" s="126" t="s">
        <v>652</v>
      </c>
      <c r="B18" s="125">
        <v>2</v>
      </c>
    </row>
    <row r="19" spans="1:2" x14ac:dyDescent="0.25">
      <c r="A19" s="126" t="s">
        <v>651</v>
      </c>
      <c r="B19" s="125">
        <v>2</v>
      </c>
    </row>
    <row r="20" spans="1:2" x14ac:dyDescent="0.25">
      <c r="A20" s="126" t="s">
        <v>650</v>
      </c>
      <c r="B20" s="125">
        <v>1</v>
      </c>
    </row>
    <row r="21" spans="1:2" x14ac:dyDescent="0.25">
      <c r="A21" s="126" t="s">
        <v>649</v>
      </c>
      <c r="B21" s="125">
        <v>1</v>
      </c>
    </row>
    <row r="23" spans="1:2" x14ac:dyDescent="0.25">
      <c r="A23" s="415" t="s">
        <v>648</v>
      </c>
      <c r="B23" s="415"/>
    </row>
    <row r="24" spans="1:2" x14ac:dyDescent="0.25">
      <c r="A24" s="415"/>
      <c r="B24" s="415"/>
    </row>
    <row r="25" spans="1:2" x14ac:dyDescent="0.25">
      <c r="A25" s="415"/>
      <c r="B25" s="415"/>
    </row>
    <row r="26" spans="1:2" x14ac:dyDescent="0.25">
      <c r="A26" s="415"/>
      <c r="B26" s="415"/>
    </row>
  </sheetData>
  <mergeCells count="2">
    <mergeCell ref="A1:F1"/>
    <mergeCell ref="A23:B2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5F80-07C6-4A9D-852B-5007A9432727}">
  <dimension ref="A1:BD223"/>
  <sheetViews>
    <sheetView topLeftCell="A68" zoomScaleNormal="100" workbookViewId="0">
      <selection activeCell="C88" sqref="C88"/>
    </sheetView>
  </sheetViews>
  <sheetFormatPr defaultRowHeight="15.75" x14ac:dyDescent="0.25"/>
  <cols>
    <col min="1" max="1" width="23.42578125" customWidth="1"/>
    <col min="2" max="2" width="16.7109375" customWidth="1"/>
    <col min="3" max="3" width="37.28515625" bestFit="1" customWidth="1"/>
    <col min="4" max="4" width="34.7109375" customWidth="1"/>
    <col min="5" max="9" width="19.5703125" customWidth="1"/>
    <col min="10" max="10" width="15" customWidth="1"/>
    <col min="13" max="13" width="8.7109375" style="3"/>
  </cols>
  <sheetData>
    <row r="1" spans="1:56" ht="26.25" customHeight="1" thickBot="1" x14ac:dyDescent="0.3">
      <c r="A1" s="144" t="s">
        <v>698</v>
      </c>
      <c r="B1" s="144"/>
      <c r="C1" s="151"/>
      <c r="D1" s="150"/>
      <c r="E1" s="150"/>
      <c r="F1" s="150"/>
      <c r="G1" s="150"/>
      <c r="H1" s="149"/>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25" t="s">
        <v>697</v>
      </c>
      <c r="B2" s="426"/>
      <c r="C2" s="426"/>
      <c r="D2" s="426"/>
      <c r="E2" s="426"/>
      <c r="F2" s="426"/>
      <c r="G2" s="426"/>
      <c r="H2" s="42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148"/>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18" t="s">
        <v>696</v>
      </c>
      <c r="B5" s="419"/>
      <c r="C5" s="419"/>
      <c r="D5" s="420"/>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144" t="s">
        <v>682</v>
      </c>
      <c r="B6" s="143" t="s">
        <v>681</v>
      </c>
      <c r="C6" s="143" t="s">
        <v>680</v>
      </c>
      <c r="D6" s="143" t="s">
        <v>679</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141" t="s">
        <v>678</v>
      </c>
      <c r="B7" s="140">
        <v>41</v>
      </c>
      <c r="C7" s="140">
        <v>14.46</v>
      </c>
      <c r="D7" s="140">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141" t="s">
        <v>677</v>
      </c>
      <c r="B8" s="140">
        <v>10</v>
      </c>
      <c r="C8" s="140">
        <v>26.3</v>
      </c>
      <c r="D8" s="140">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141" t="s">
        <v>676</v>
      </c>
      <c r="B9" s="140">
        <v>231</v>
      </c>
      <c r="C9" s="140">
        <v>10.48</v>
      </c>
      <c r="D9" s="140">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142" t="s">
        <v>675</v>
      </c>
      <c r="B10" s="140">
        <v>12</v>
      </c>
      <c r="C10" s="140">
        <v>20.83</v>
      </c>
      <c r="D10" s="140">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141" t="s">
        <v>674</v>
      </c>
      <c r="B11" s="140">
        <v>2</v>
      </c>
      <c r="C11" s="140">
        <v>11</v>
      </c>
      <c r="D11" s="140">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138" t="s">
        <v>673</v>
      </c>
      <c r="B12" s="137">
        <v>296</v>
      </c>
      <c r="C12" s="137">
        <v>11.99</v>
      </c>
      <c r="D12" s="137">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28" t="s">
        <v>695</v>
      </c>
      <c r="B14" s="428"/>
      <c r="C14" s="428"/>
      <c r="D14" s="428"/>
      <c r="E14" s="428"/>
      <c r="F14" s="428"/>
      <c r="G14" s="428"/>
      <c r="H14" s="42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45"/>
      <c r="B15" s="145"/>
      <c r="C15" s="145"/>
      <c r="D15" s="145"/>
      <c r="E15" s="145"/>
      <c r="F15" s="145"/>
      <c r="G15" s="145"/>
      <c r="H15" s="145"/>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18" t="s">
        <v>694</v>
      </c>
      <c r="B16" s="419"/>
      <c r="C16" s="419"/>
      <c r="D16" s="420"/>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144" t="s">
        <v>682</v>
      </c>
      <c r="B17" s="143" t="s">
        <v>681</v>
      </c>
      <c r="C17" s="143" t="s">
        <v>680</v>
      </c>
      <c r="D17" s="143" t="s">
        <v>679</v>
      </c>
      <c r="E17" s="147"/>
      <c r="F17" s="146"/>
      <c r="G17" s="146"/>
      <c r="H17" s="146"/>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141" t="s">
        <v>678</v>
      </c>
      <c r="B18" s="140">
        <v>52</v>
      </c>
      <c r="C18" s="139">
        <v>9.884615385</v>
      </c>
      <c r="D18" s="139">
        <v>11.42222222</v>
      </c>
      <c r="E18" s="134"/>
      <c r="F18" s="133"/>
      <c r="G18" s="133"/>
      <c r="H18" s="133"/>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141" t="s">
        <v>677</v>
      </c>
      <c r="B19" s="140">
        <v>5</v>
      </c>
      <c r="C19" s="139">
        <v>15.2</v>
      </c>
      <c r="D19" s="139">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141" t="s">
        <v>676</v>
      </c>
      <c r="B20" s="140">
        <v>111</v>
      </c>
      <c r="C20" s="139">
        <v>7.4864864860000004</v>
      </c>
      <c r="D20" s="139">
        <v>7.6944444440000002</v>
      </c>
      <c r="E20" s="147"/>
      <c r="F20" s="146"/>
      <c r="G20" s="146"/>
      <c r="H20" s="146"/>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142" t="s">
        <v>675</v>
      </c>
      <c r="B21" s="140">
        <v>19</v>
      </c>
      <c r="C21" s="139">
        <v>7.0526315789999998</v>
      </c>
      <c r="D21" s="139">
        <v>7.4444444440000002</v>
      </c>
      <c r="E21" s="132"/>
      <c r="F21" s="132"/>
      <c r="G21" s="132"/>
      <c r="H21" s="132"/>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141" t="s">
        <v>674</v>
      </c>
      <c r="B22" s="140">
        <v>39</v>
      </c>
      <c r="C22" s="139">
        <v>17.410256409999999</v>
      </c>
      <c r="D22" s="139">
        <v>19.399999999999999</v>
      </c>
      <c r="E22" s="13"/>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138" t="s">
        <v>673</v>
      </c>
      <c r="B23" s="137">
        <v>226</v>
      </c>
      <c r="C23" s="136">
        <v>11.406797971999998</v>
      </c>
      <c r="D23" s="136">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28" t="s">
        <v>693</v>
      </c>
      <c r="B25" s="428"/>
      <c r="C25" s="428"/>
      <c r="D25" s="428"/>
      <c r="E25" s="428"/>
      <c r="F25" s="428"/>
      <c r="G25" s="428"/>
      <c r="H25" s="42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45" t="s">
        <v>692</v>
      </c>
      <c r="B26" s="145"/>
      <c r="C26" s="145"/>
      <c r="D26" s="145"/>
      <c r="E26" s="145"/>
      <c r="F26" s="145"/>
      <c r="G26" s="145"/>
      <c r="H26" s="145"/>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45"/>
      <c r="B27" s="145"/>
      <c r="C27" s="145"/>
      <c r="D27" s="145"/>
      <c r="E27" s="145"/>
      <c r="F27" s="145"/>
      <c r="G27" s="145"/>
      <c r="H27" s="145"/>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18" t="s">
        <v>691</v>
      </c>
      <c r="B28" s="419"/>
      <c r="C28" s="419"/>
      <c r="D28" s="420"/>
      <c r="E28" s="145"/>
      <c r="F28" s="145"/>
      <c r="G28" s="145"/>
      <c r="H28" s="145"/>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144" t="s">
        <v>682</v>
      </c>
      <c r="B29" s="143" t="s">
        <v>681</v>
      </c>
      <c r="C29" s="143" t="s">
        <v>680</v>
      </c>
      <c r="D29" s="143" t="s">
        <v>679</v>
      </c>
      <c r="E29" s="145"/>
      <c r="F29" s="145"/>
      <c r="G29" s="145"/>
      <c r="H29" s="145"/>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141" t="s">
        <v>678</v>
      </c>
      <c r="B30" s="140">
        <v>59</v>
      </c>
      <c r="C30" s="139">
        <v>11.78</v>
      </c>
      <c r="D30" s="139">
        <v>35</v>
      </c>
      <c r="E30" s="145"/>
      <c r="F30" s="145"/>
      <c r="G30" s="145"/>
      <c r="H30" s="145"/>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141" t="s">
        <v>677</v>
      </c>
      <c r="B31" s="140">
        <v>13</v>
      </c>
      <c r="C31" s="139">
        <v>17.079999999999998</v>
      </c>
      <c r="D31" s="139">
        <v>64.540000000000006</v>
      </c>
      <c r="E31" s="145"/>
      <c r="F31" s="145"/>
      <c r="G31" s="145"/>
      <c r="H31" s="145"/>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141" t="s">
        <v>676</v>
      </c>
      <c r="B32" s="140">
        <v>146</v>
      </c>
      <c r="C32" s="139">
        <v>10.210000000000001</v>
      </c>
      <c r="D32" s="139">
        <v>18.420000000000002</v>
      </c>
      <c r="E32" s="145"/>
      <c r="F32" s="145"/>
      <c r="G32" s="145"/>
      <c r="H32" s="145"/>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65" customHeight="1" thickBot="1" x14ac:dyDescent="0.3">
      <c r="A33" s="142" t="s">
        <v>675</v>
      </c>
      <c r="B33" s="140">
        <v>32</v>
      </c>
      <c r="C33" s="139">
        <v>4.91</v>
      </c>
      <c r="D33" s="139">
        <v>9.9700000000000006</v>
      </c>
      <c r="E33" s="145"/>
      <c r="F33" s="145"/>
      <c r="G33" s="145"/>
      <c r="H33" s="145"/>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141" t="s">
        <v>674</v>
      </c>
      <c r="B34" s="140">
        <v>61</v>
      </c>
      <c r="C34" s="139">
        <v>50.8</v>
      </c>
      <c r="D34" s="139">
        <v>87.23</v>
      </c>
      <c r="E34" s="145"/>
      <c r="F34" s="145"/>
      <c r="G34" s="145"/>
      <c r="H34" s="145"/>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138" t="s">
        <v>673</v>
      </c>
      <c r="B35" s="137">
        <v>311</v>
      </c>
      <c r="C35" s="136">
        <v>18.21</v>
      </c>
      <c r="D35" s="136">
        <v>36.119999999999997</v>
      </c>
      <c r="E35" s="145"/>
      <c r="F35" s="145"/>
      <c r="G35" s="145"/>
      <c r="H35" s="145"/>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35" t="s">
        <v>690</v>
      </c>
      <c r="B37" s="135"/>
      <c r="C37" s="135"/>
      <c r="D37" s="135"/>
      <c r="E37" s="135"/>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35"/>
      <c r="B38" s="135"/>
      <c r="C38" s="135"/>
      <c r="D38" s="135"/>
      <c r="E38" s="135"/>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35"/>
      <c r="B39" s="135"/>
      <c r="C39" s="135"/>
      <c r="D39" s="135"/>
      <c r="E39" s="135"/>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18" t="s">
        <v>689</v>
      </c>
      <c r="B40" s="419"/>
      <c r="C40" s="419"/>
      <c r="D40" s="420"/>
      <c r="E40" s="135"/>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144" t="s">
        <v>682</v>
      </c>
      <c r="B41" s="143" t="s">
        <v>681</v>
      </c>
      <c r="C41" s="143" t="s">
        <v>680</v>
      </c>
      <c r="D41" s="143" t="s">
        <v>679</v>
      </c>
      <c r="E41" s="135"/>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141" t="s">
        <v>678</v>
      </c>
      <c r="B42" s="140">
        <v>96</v>
      </c>
      <c r="C42" s="139">
        <v>14.614583333333334</v>
      </c>
      <c r="D42" s="139">
        <v>32.385416666666664</v>
      </c>
      <c r="E42" s="135"/>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141" t="s">
        <v>677</v>
      </c>
      <c r="B43" s="140">
        <v>5</v>
      </c>
      <c r="C43" s="139">
        <v>29</v>
      </c>
      <c r="D43" s="139">
        <v>57.6</v>
      </c>
      <c r="E43" s="135"/>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141" t="s">
        <v>676</v>
      </c>
      <c r="B44" s="140">
        <v>200</v>
      </c>
      <c r="C44" s="139">
        <v>12.205</v>
      </c>
      <c r="D44" s="139">
        <v>17.045000000000002</v>
      </c>
      <c r="E44" s="135"/>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142" t="s">
        <v>675</v>
      </c>
      <c r="B45" s="140">
        <v>19</v>
      </c>
      <c r="C45" s="139">
        <v>4.1052631578947372</v>
      </c>
      <c r="D45" s="139">
        <v>26</v>
      </c>
      <c r="E45" s="135"/>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141" t="s">
        <v>674</v>
      </c>
      <c r="B46" s="140">
        <v>57</v>
      </c>
      <c r="C46" s="139">
        <v>43.210526315789473</v>
      </c>
      <c r="D46" s="139">
        <v>73.578947368421055</v>
      </c>
      <c r="E46" s="135"/>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138" t="s">
        <v>673</v>
      </c>
      <c r="B47" s="137">
        <v>377</v>
      </c>
      <c r="C47" s="136">
        <v>17.320954907161802</v>
      </c>
      <c r="D47" s="136">
        <v>30.488063660477454</v>
      </c>
      <c r="E47" s="135"/>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35"/>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35" t="s">
        <v>688</v>
      </c>
      <c r="B49" s="135"/>
      <c r="C49" s="135"/>
      <c r="D49" s="135"/>
      <c r="E49" s="135"/>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35"/>
      <c r="B50" s="135"/>
      <c r="C50" s="135"/>
      <c r="D50" s="135"/>
      <c r="E50" s="135"/>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35"/>
      <c r="B51" s="135"/>
      <c r="C51" s="135"/>
      <c r="D51" s="135"/>
      <c r="E51" s="135"/>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18" t="s">
        <v>687</v>
      </c>
      <c r="B52" s="419"/>
      <c r="C52" s="419"/>
      <c r="D52" s="420"/>
      <c r="E52" s="135"/>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144" t="s">
        <v>682</v>
      </c>
      <c r="B53" s="143" t="s">
        <v>681</v>
      </c>
      <c r="C53" s="143" t="s">
        <v>680</v>
      </c>
      <c r="D53" s="143" t="s">
        <v>679</v>
      </c>
      <c r="E53" s="135"/>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141" t="s">
        <v>678</v>
      </c>
      <c r="B54" s="140">
        <v>110</v>
      </c>
      <c r="C54" s="140">
        <v>14</v>
      </c>
      <c r="D54" s="139">
        <v>34.390909090909091</v>
      </c>
      <c r="E54" s="135"/>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141" t="s">
        <v>677</v>
      </c>
      <c r="B55" s="140">
        <v>13</v>
      </c>
      <c r="C55" s="139">
        <v>20.46153846153846</v>
      </c>
      <c r="D55" s="140">
        <v>31</v>
      </c>
      <c r="E55" s="135"/>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141" t="s">
        <v>676</v>
      </c>
      <c r="B56" s="140">
        <v>178</v>
      </c>
      <c r="C56" s="139">
        <v>10.258426966292134</v>
      </c>
      <c r="D56" s="139">
        <v>18.713483146067414</v>
      </c>
      <c r="E56" s="135"/>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142" t="s">
        <v>675</v>
      </c>
      <c r="B57" s="140">
        <v>17</v>
      </c>
      <c r="C57" s="139">
        <v>8.0588235294117645</v>
      </c>
      <c r="D57" s="139">
        <v>15.647058823529411</v>
      </c>
      <c r="E57" s="135"/>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141" t="s">
        <v>674</v>
      </c>
      <c r="B58" s="140">
        <v>55</v>
      </c>
      <c r="C58" s="139">
        <v>62.18181818181818</v>
      </c>
      <c r="D58" s="139">
        <v>90.618181818181824</v>
      </c>
      <c r="E58" s="135"/>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138" t="s">
        <v>673</v>
      </c>
      <c r="B59" s="137">
        <v>373</v>
      </c>
      <c r="C59" s="136">
        <v>19.273458445040216</v>
      </c>
      <c r="D59" s="136">
        <v>34.227882037533512</v>
      </c>
      <c r="E59" s="135"/>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35"/>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35" t="s">
        <v>686</v>
      </c>
      <c r="B61" s="135"/>
      <c r="C61" s="135"/>
      <c r="D61" s="135"/>
      <c r="E61" s="135"/>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35"/>
      <c r="B62" s="135"/>
      <c r="C62" s="135"/>
      <c r="D62" s="135"/>
      <c r="E62" s="135"/>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35"/>
      <c r="B63" s="135"/>
      <c r="C63" s="135"/>
      <c r="D63" s="135"/>
      <c r="E63" s="135"/>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18" t="s">
        <v>685</v>
      </c>
      <c r="B64" s="419"/>
      <c r="C64" s="419"/>
      <c r="D64" s="420"/>
      <c r="E64" s="135"/>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144" t="s">
        <v>682</v>
      </c>
      <c r="B65" s="143" t="s">
        <v>681</v>
      </c>
      <c r="C65" s="143" t="s">
        <v>680</v>
      </c>
      <c r="D65" s="143" t="s">
        <v>679</v>
      </c>
      <c r="E65" s="135"/>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141" t="s">
        <v>678</v>
      </c>
      <c r="B66" s="140">
        <v>125</v>
      </c>
      <c r="C66" s="139">
        <v>14.151999999999999</v>
      </c>
      <c r="D66" s="139">
        <v>37.479999999999997</v>
      </c>
      <c r="E66" s="135"/>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141" t="s">
        <v>677</v>
      </c>
      <c r="B67" s="140">
        <v>26</v>
      </c>
      <c r="C67" s="139">
        <v>15.76923076923077</v>
      </c>
      <c r="D67" s="139">
        <v>36.538461538461497</v>
      </c>
      <c r="E67" s="135"/>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141" t="s">
        <v>676</v>
      </c>
      <c r="B68" s="140">
        <v>184</v>
      </c>
      <c r="C68" s="139">
        <v>11.804347826086957</v>
      </c>
      <c r="D68" s="139">
        <v>17.815217391304348</v>
      </c>
      <c r="E68" s="135"/>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142" t="s">
        <v>675</v>
      </c>
      <c r="B69" s="140">
        <v>23</v>
      </c>
      <c r="C69" s="139">
        <v>14.478260869565217</v>
      </c>
      <c r="D69" s="139">
        <v>33.478260869565219</v>
      </c>
      <c r="E69" s="135"/>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141" t="s">
        <v>674</v>
      </c>
      <c r="B70" s="140">
        <v>60</v>
      </c>
      <c r="C70" s="139">
        <v>68.38333333333334</v>
      </c>
      <c r="D70" s="139">
        <v>118.1</v>
      </c>
      <c r="E70" s="135"/>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138" t="s">
        <v>673</v>
      </c>
      <c r="B71" s="137">
        <v>418</v>
      </c>
      <c r="C71" s="136">
        <v>21.02153110047847</v>
      </c>
      <c r="D71" s="136">
        <v>40.117224880382778</v>
      </c>
      <c r="E71" s="135"/>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35"/>
      <c r="B72" s="135"/>
      <c r="C72" s="135"/>
      <c r="D72" s="135"/>
      <c r="E72" s="135"/>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35" t="s">
        <v>684</v>
      </c>
      <c r="B73" s="135"/>
      <c r="C73" s="135"/>
      <c r="D73" s="135"/>
      <c r="E73" s="135"/>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35"/>
      <c r="B74" s="135"/>
      <c r="C74" s="135"/>
      <c r="D74" s="135"/>
      <c r="E74" s="135"/>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35"/>
      <c r="B75" s="135"/>
      <c r="C75" s="135"/>
      <c r="D75" s="135"/>
      <c r="E75" s="135"/>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18" t="s">
        <v>683</v>
      </c>
      <c r="B76" s="419"/>
      <c r="C76" s="419"/>
      <c r="D76" s="420"/>
      <c r="E76" s="135"/>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144" t="s">
        <v>682</v>
      </c>
      <c r="B77" s="143" t="s">
        <v>681</v>
      </c>
      <c r="C77" s="143" t="s">
        <v>680</v>
      </c>
      <c r="D77" s="143" t="s">
        <v>679</v>
      </c>
      <c r="E77" s="135"/>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141" t="s">
        <v>678</v>
      </c>
      <c r="B78" s="140">
        <v>126</v>
      </c>
      <c r="C78" s="139">
        <v>13.365079365079366</v>
      </c>
      <c r="D78" s="139">
        <v>43.261904761904759</v>
      </c>
      <c r="E78" s="135"/>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141" t="s">
        <v>677</v>
      </c>
      <c r="B79" s="140">
        <v>12</v>
      </c>
      <c r="C79" s="139">
        <v>15.916666666666666</v>
      </c>
      <c r="D79" s="139">
        <v>19.416666666666668</v>
      </c>
      <c r="E79" s="135"/>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141" t="s">
        <v>676</v>
      </c>
      <c r="B80" s="140">
        <v>95</v>
      </c>
      <c r="C80" s="139">
        <v>14.684210526315789</v>
      </c>
      <c r="D80" s="139">
        <v>24.821052631578947</v>
      </c>
      <c r="E80" s="135"/>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142" t="s">
        <v>675</v>
      </c>
      <c r="B81" s="140">
        <v>40</v>
      </c>
      <c r="C81" s="139">
        <v>7.85</v>
      </c>
      <c r="D81" s="139">
        <v>44.274999999999999</v>
      </c>
      <c r="E81" s="135"/>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141" t="s">
        <v>674</v>
      </c>
      <c r="B82" s="140">
        <v>78</v>
      </c>
      <c r="C82" s="139">
        <v>53.756410256410255</v>
      </c>
      <c r="D82" s="139">
        <v>94.974358974358978</v>
      </c>
      <c r="E82" s="135"/>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138" t="s">
        <v>673</v>
      </c>
      <c r="B83" s="137">
        <v>351</v>
      </c>
      <c r="C83" s="136">
        <v>22.156695156695157</v>
      </c>
      <c r="D83" s="136">
        <v>49.06267806267806</v>
      </c>
      <c r="E83" s="135"/>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35"/>
      <c r="B84" s="135"/>
      <c r="C84" s="135"/>
      <c r="D84" s="135"/>
      <c r="E84" s="135"/>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35" t="s">
        <v>672</v>
      </c>
      <c r="B85" s="135"/>
      <c r="C85" s="135"/>
      <c r="D85" s="135"/>
      <c r="E85" s="135"/>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35"/>
      <c r="B86" s="135"/>
      <c r="D86" s="135"/>
      <c r="E86" s="135"/>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x14ac:dyDescent="0.25">
      <c r="A87" s="135"/>
      <c r="B87" s="135"/>
      <c r="C87" s="135"/>
      <c r="D87" s="135"/>
      <c r="E87" s="135"/>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x14ac:dyDescent="0.25">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x14ac:dyDescent="0.25">
      <c r="A89" s="421" t="s">
        <v>671</v>
      </c>
      <c r="B89" s="422"/>
      <c r="C89" s="422"/>
      <c r="D89" s="422"/>
      <c r="E89" s="422"/>
      <c r="F89" s="422"/>
      <c r="G89" s="422"/>
      <c r="H89" s="422"/>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6" customHeight="1" x14ac:dyDescent="0.25">
      <c r="A90" s="423" t="s">
        <v>670</v>
      </c>
      <c r="B90" s="424"/>
      <c r="C90" s="424"/>
      <c r="D90" s="424"/>
      <c r="E90" s="424"/>
      <c r="F90" s="424"/>
      <c r="G90" s="424"/>
      <c r="H90" s="42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x14ac:dyDescent="0.25">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x14ac:dyDescent="0.25">
      <c r="A92" s="421" t="s">
        <v>669</v>
      </c>
      <c r="B92" s="422"/>
      <c r="C92" s="422"/>
      <c r="D92" s="422"/>
      <c r="E92" s="422"/>
      <c r="F92" s="422"/>
      <c r="G92" s="422"/>
      <c r="H92" s="422"/>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x14ac:dyDescent="0.25">
      <c r="A93" s="416" t="s">
        <v>668</v>
      </c>
      <c r="B93" s="417"/>
      <c r="C93" s="417"/>
      <c r="D93" s="417"/>
      <c r="E93" s="417"/>
      <c r="F93" s="417"/>
      <c r="G93" s="417"/>
      <c r="H93" s="417"/>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x14ac:dyDescent="0.25">
      <c r="A94" s="132"/>
      <c r="B94" s="132"/>
      <c r="C94" s="132"/>
      <c r="D94" s="132"/>
      <c r="E94" s="132"/>
      <c r="F94" s="132"/>
      <c r="G94" s="132"/>
      <c r="H94" s="132"/>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x14ac:dyDescent="0.25">
      <c r="A95" s="132"/>
      <c r="B95" s="132"/>
      <c r="C95" s="132"/>
      <c r="D95" s="132"/>
      <c r="E95" s="132"/>
      <c r="F95" s="132"/>
      <c r="G95" s="132"/>
      <c r="H95" s="132"/>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32"/>
      <c r="B96" s="132"/>
      <c r="C96" s="132"/>
      <c r="D96" s="132"/>
      <c r="E96" s="132"/>
      <c r="F96" s="132"/>
      <c r="G96" s="132"/>
      <c r="H96" s="132"/>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21"/>
      <c r="B97" s="121"/>
      <c r="C97" s="121"/>
      <c r="D97" s="121"/>
      <c r="E97" s="3"/>
      <c r="F97" s="3"/>
      <c r="G97" s="3"/>
      <c r="H97" s="3"/>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21"/>
      <c r="B98" s="121"/>
      <c r="C98" s="121"/>
      <c r="D98" s="121"/>
      <c r="E98" s="3"/>
      <c r="F98" s="3"/>
      <c r="G98" s="3"/>
      <c r="H98" s="3"/>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25">
      <c r="A99" s="121"/>
      <c r="B99" s="121"/>
      <c r="C99" s="121"/>
      <c r="D99" s="121"/>
      <c r="E99" s="3"/>
      <c r="F99" s="3"/>
      <c r="G99" s="3"/>
      <c r="H99" s="3"/>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25">
      <c r="A100" s="121"/>
      <c r="B100" s="121"/>
      <c r="C100" s="121"/>
      <c r="D100" s="121"/>
      <c r="E100" s="3"/>
      <c r="F100" s="3"/>
      <c r="G100" s="3"/>
      <c r="H100" s="3"/>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25">
      <c r="A101" s="121"/>
      <c r="B101" s="121"/>
      <c r="C101" s="121"/>
      <c r="D101" s="121"/>
      <c r="E101" s="3"/>
      <c r="F101" s="3"/>
      <c r="G101" s="3"/>
      <c r="H101" s="3"/>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25">
      <c r="A102" s="121"/>
      <c r="B102" s="121"/>
      <c r="C102" s="121"/>
      <c r="D102" s="121"/>
      <c r="E102" s="3"/>
      <c r="F102" s="3"/>
      <c r="G102" s="3"/>
      <c r="H102" s="3"/>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25">
      <c r="A103" s="121"/>
      <c r="B103" s="121"/>
      <c r="C103" s="121"/>
      <c r="D103" s="121"/>
      <c r="E103" s="3"/>
      <c r="F103" s="3"/>
      <c r="G103" s="3"/>
      <c r="H103" s="3"/>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x14ac:dyDescent="0.25">
      <c r="A104" s="121"/>
      <c r="B104" s="121"/>
      <c r="C104" s="121"/>
      <c r="D104" s="121"/>
      <c r="E104" s="3"/>
      <c r="F104" s="3"/>
      <c r="G104" s="3"/>
      <c r="H104" s="3"/>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25">
      <c r="A105" s="121"/>
      <c r="B105" s="121"/>
      <c r="C105" s="121"/>
      <c r="D105" s="121"/>
      <c r="E105" s="3"/>
      <c r="F105" s="3"/>
      <c r="G105" s="3"/>
      <c r="H105" s="3"/>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25">
      <c r="A106" s="121"/>
      <c r="B106" s="121"/>
      <c r="C106" s="121"/>
      <c r="D106" s="121"/>
      <c r="E106" s="3"/>
      <c r="F106" s="3"/>
      <c r="G106" s="3"/>
      <c r="H106" s="3"/>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25">
      <c r="A107" s="121"/>
      <c r="B107" s="121"/>
      <c r="C107" s="121"/>
      <c r="D107" s="121"/>
      <c r="E107" s="3"/>
      <c r="F107" s="3"/>
      <c r="G107" s="3"/>
      <c r="H107" s="3"/>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21"/>
      <c r="B108" s="121"/>
      <c r="C108" s="121"/>
      <c r="D108" s="121"/>
      <c r="E108" s="3"/>
      <c r="F108" s="3"/>
      <c r="G108" s="3"/>
      <c r="H108" s="3"/>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21"/>
      <c r="B109" s="121"/>
      <c r="C109" s="121"/>
      <c r="D109" s="121"/>
      <c r="E109" s="3"/>
      <c r="F109" s="3"/>
      <c r="G109" s="3"/>
      <c r="H109" s="3"/>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21"/>
      <c r="B110" s="121"/>
      <c r="C110" s="121"/>
      <c r="D110" s="121"/>
      <c r="E110" s="3"/>
      <c r="F110" s="3"/>
      <c r="G110" s="3"/>
      <c r="H110" s="3"/>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25">
      <c r="A111" s="121"/>
      <c r="B111" s="121"/>
      <c r="C111" s="121"/>
      <c r="D111" s="121"/>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25">
      <c r="A112" s="121"/>
      <c r="B112" s="121"/>
      <c r="C112" s="121"/>
      <c r="D112" s="121"/>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25">
      <c r="A113" s="121"/>
      <c r="B113" s="121"/>
      <c r="C113" s="121"/>
      <c r="D113" s="121"/>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25">
      <c r="A114" s="121"/>
      <c r="B114" s="121"/>
      <c r="C114" s="121"/>
      <c r="D114" s="121"/>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25">
      <c r="A115" s="121"/>
      <c r="B115" s="121"/>
      <c r="C115" s="121"/>
      <c r="D115" s="121"/>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25">
      <c r="A116" s="121"/>
      <c r="B116" s="121"/>
      <c r="C116" s="121"/>
      <c r="D116" s="121"/>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25">
      <c r="A117" s="121"/>
      <c r="B117" s="121"/>
      <c r="C117" s="121"/>
      <c r="D117" s="121"/>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25">
      <c r="A118" s="121"/>
      <c r="B118" s="121"/>
      <c r="C118" s="121"/>
      <c r="D118" s="121"/>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25">
      <c r="A119" s="121"/>
      <c r="B119" s="121"/>
      <c r="C119" s="121"/>
      <c r="D119" s="121"/>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21"/>
      <c r="B120" s="121"/>
      <c r="C120" s="121"/>
      <c r="D120" s="121"/>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21"/>
      <c r="B121" s="121"/>
      <c r="C121" s="121"/>
      <c r="D121" s="121"/>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21"/>
      <c r="B122" s="121"/>
      <c r="C122" s="121"/>
      <c r="D122" s="121"/>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25">
      <c r="A123" s="121"/>
      <c r="B123" s="121"/>
      <c r="C123" s="121"/>
      <c r="D123" s="121"/>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25">
      <c r="A124" s="121"/>
      <c r="B124" s="121"/>
      <c r="C124" s="121"/>
      <c r="D124" s="121"/>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25">
      <c r="A125" s="121"/>
      <c r="B125" s="121"/>
      <c r="C125" s="121"/>
      <c r="D125" s="121"/>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25">
      <c r="A126" s="121"/>
      <c r="B126" s="121"/>
      <c r="C126" s="121"/>
      <c r="D126" s="121"/>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25">
      <c r="A127" s="121"/>
      <c r="B127" s="121"/>
      <c r="C127" s="121"/>
      <c r="D127" s="121"/>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25">
      <c r="A128" s="121"/>
      <c r="B128" s="121"/>
      <c r="C128" s="121"/>
      <c r="D128" s="121"/>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25">
      <c r="A129" s="121"/>
      <c r="B129" s="121"/>
      <c r="C129" s="121"/>
      <c r="D129" s="121"/>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25">
      <c r="A130" s="121"/>
      <c r="B130" s="121"/>
      <c r="C130" s="121"/>
      <c r="D130" s="121"/>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25">
      <c r="A131" s="121"/>
      <c r="B131" s="121"/>
      <c r="C131" s="121"/>
      <c r="D131" s="121"/>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21"/>
      <c r="B132" s="121"/>
      <c r="C132" s="121"/>
      <c r="D132" s="121"/>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21"/>
      <c r="B133" s="121"/>
      <c r="C133" s="121"/>
      <c r="D133" s="121"/>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21"/>
      <c r="B134" s="121"/>
      <c r="C134" s="121"/>
      <c r="D134" s="121"/>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25">
      <c r="A135" s="121"/>
      <c r="B135" s="121"/>
      <c r="C135" s="121"/>
      <c r="D135" s="121"/>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25">
      <c r="A136" s="121"/>
      <c r="B136" s="121"/>
      <c r="C136" s="121"/>
      <c r="D136" s="121"/>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25">
      <c r="A137" s="121"/>
      <c r="B137" s="121"/>
      <c r="C137" s="121"/>
      <c r="D137" s="121"/>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25">
      <c r="A138" s="121"/>
      <c r="B138" s="121"/>
      <c r="C138" s="121"/>
      <c r="D138" s="121"/>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25">
      <c r="A139" s="121"/>
      <c r="B139" s="121"/>
      <c r="C139" s="121"/>
      <c r="D139" s="121"/>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25">
      <c r="A140" s="121"/>
      <c r="B140" s="121"/>
      <c r="C140" s="121"/>
      <c r="D140" s="121"/>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25">
      <c r="A141" s="121"/>
      <c r="B141" s="121"/>
      <c r="C141" s="121"/>
      <c r="D141" s="121"/>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25">
      <c r="A142" s="121"/>
      <c r="B142" s="121"/>
      <c r="C142" s="121"/>
      <c r="D142" s="121"/>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25">
      <c r="A143" s="121"/>
      <c r="B143" s="121"/>
      <c r="C143" s="121"/>
      <c r="D143" s="121"/>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21"/>
      <c r="B144" s="121"/>
      <c r="C144" s="121"/>
      <c r="D144" s="121"/>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21"/>
      <c r="B145" s="121"/>
      <c r="C145" s="121"/>
      <c r="D145" s="121"/>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21"/>
      <c r="B146" s="121"/>
      <c r="C146" s="121"/>
      <c r="D146" s="121"/>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25">
      <c r="A147" s="121"/>
      <c r="B147" s="121"/>
      <c r="C147" s="121"/>
      <c r="D147" s="121"/>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121"/>
      <c r="B148" s="121"/>
      <c r="C148" s="121"/>
      <c r="D148" s="121"/>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25">
      <c r="A149" s="121"/>
      <c r="B149" s="121"/>
      <c r="C149" s="121"/>
      <c r="D149" s="121"/>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A150" s="121"/>
      <c r="B150" s="121"/>
      <c r="C150" s="121"/>
      <c r="D150" s="121"/>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121"/>
      <c r="B151" s="121"/>
      <c r="C151" s="121"/>
      <c r="D151" s="121"/>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121"/>
      <c r="B152" s="121"/>
      <c r="C152" s="121"/>
      <c r="D152" s="121"/>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21"/>
      <c r="B153" s="121"/>
      <c r="C153" s="121"/>
      <c r="D153" s="121"/>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21"/>
      <c r="B154" s="121"/>
      <c r="C154" s="121"/>
      <c r="D154" s="121"/>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21"/>
      <c r="B155" s="121"/>
      <c r="C155" s="121"/>
      <c r="D155" s="121"/>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21"/>
      <c r="B156" s="121"/>
      <c r="C156" s="121"/>
      <c r="D156" s="121"/>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21"/>
      <c r="B157" s="121"/>
      <c r="C157" s="121"/>
      <c r="D157" s="121"/>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21"/>
      <c r="B158" s="121"/>
      <c r="C158" s="121"/>
      <c r="D158" s="121"/>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21"/>
      <c r="B159" s="121"/>
      <c r="C159" s="121"/>
      <c r="D159" s="121"/>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21"/>
      <c r="B160" s="121"/>
      <c r="C160" s="121"/>
      <c r="D160" s="121"/>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21"/>
      <c r="B161" s="121"/>
      <c r="C161" s="121"/>
      <c r="D161" s="121"/>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21"/>
      <c r="B162" s="121"/>
      <c r="C162" s="121"/>
      <c r="D162" s="121"/>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21"/>
      <c r="B163" s="121"/>
      <c r="C163" s="121"/>
      <c r="D163" s="121"/>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21"/>
      <c r="B164" s="121"/>
      <c r="C164" s="121"/>
      <c r="D164" s="121"/>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21"/>
      <c r="B165" s="121"/>
      <c r="C165" s="121"/>
      <c r="D165" s="121"/>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21"/>
      <c r="B166" s="121"/>
      <c r="C166" s="121"/>
      <c r="D166" s="121"/>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21"/>
      <c r="B167" s="121"/>
      <c r="C167" s="121"/>
      <c r="D167" s="121"/>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21"/>
      <c r="B168" s="121"/>
      <c r="C168" s="121"/>
      <c r="D168" s="121"/>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21"/>
      <c r="B169" s="121"/>
      <c r="C169" s="121"/>
      <c r="D169" s="121"/>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21"/>
      <c r="B170" s="121"/>
      <c r="C170" s="121"/>
      <c r="D170" s="121"/>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21"/>
      <c r="B171" s="121"/>
      <c r="C171" s="121"/>
      <c r="D171" s="121"/>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21"/>
      <c r="B172" s="121"/>
      <c r="C172" s="121"/>
      <c r="D172" s="121"/>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21"/>
      <c r="B173" s="121"/>
      <c r="C173" s="121"/>
      <c r="D173" s="121"/>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21"/>
      <c r="B174" s="121"/>
      <c r="C174" s="121"/>
      <c r="D174" s="121"/>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21"/>
      <c r="B175" s="121"/>
      <c r="C175" s="121"/>
      <c r="D175" s="121"/>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21"/>
      <c r="B176" s="121"/>
      <c r="C176" s="121"/>
      <c r="D176" s="121"/>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21"/>
      <c r="B177" s="121"/>
      <c r="C177" s="121"/>
      <c r="D177" s="121"/>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21"/>
      <c r="B178" s="121"/>
      <c r="C178" s="121"/>
      <c r="D178" s="121"/>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21"/>
      <c r="B179" s="121"/>
      <c r="C179" s="121"/>
      <c r="D179" s="121"/>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21"/>
      <c r="B180" s="121"/>
      <c r="C180" s="121"/>
      <c r="D180" s="121"/>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21"/>
      <c r="B181" s="121"/>
      <c r="C181" s="121"/>
      <c r="D181" s="121"/>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21"/>
      <c r="B182" s="121"/>
      <c r="C182" s="121"/>
      <c r="D182" s="121"/>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21"/>
      <c r="B183" s="121"/>
      <c r="C183" s="121"/>
      <c r="D183" s="121"/>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21"/>
      <c r="B184" s="121"/>
      <c r="C184" s="121"/>
      <c r="D184" s="121"/>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21"/>
      <c r="B185" s="121"/>
      <c r="C185" s="121"/>
      <c r="D185" s="121"/>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21"/>
      <c r="B186" s="121"/>
      <c r="C186" s="121"/>
      <c r="D186" s="121"/>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21"/>
      <c r="B187" s="121"/>
      <c r="C187" s="121"/>
      <c r="D187" s="121"/>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21"/>
      <c r="B188" s="121"/>
      <c r="C188" s="121"/>
      <c r="D188" s="121"/>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21"/>
      <c r="B189" s="121"/>
      <c r="C189" s="121"/>
      <c r="D189" s="121"/>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21"/>
      <c r="B190" s="121"/>
      <c r="C190" s="121"/>
      <c r="D190" s="121"/>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21"/>
      <c r="B191" s="121"/>
      <c r="C191" s="121"/>
      <c r="D191" s="121"/>
      <c r="M191"/>
    </row>
    <row r="192" spans="1:56" x14ac:dyDescent="0.25">
      <c r="A192" s="121"/>
      <c r="B192" s="121"/>
      <c r="C192" s="121"/>
      <c r="D192" s="121"/>
      <c r="M192"/>
    </row>
    <row r="193" spans="1:4" x14ac:dyDescent="0.25">
      <c r="A193" s="121"/>
      <c r="B193" s="121"/>
      <c r="C193" s="121"/>
      <c r="D193" s="121"/>
    </row>
    <row r="194" spans="1:4" x14ac:dyDescent="0.25">
      <c r="A194" s="121"/>
      <c r="B194" s="121"/>
      <c r="C194" s="121"/>
      <c r="D194" s="121"/>
    </row>
    <row r="195" spans="1:4" x14ac:dyDescent="0.25">
      <c r="A195" s="121"/>
      <c r="B195" s="121"/>
      <c r="C195" s="121"/>
      <c r="D195" s="121"/>
    </row>
    <row r="196" spans="1:4" x14ac:dyDescent="0.25">
      <c r="A196" s="121"/>
      <c r="B196" s="121"/>
      <c r="C196" s="121"/>
      <c r="D196" s="121"/>
    </row>
    <row r="197" spans="1:4" x14ac:dyDescent="0.25">
      <c r="A197" s="121"/>
      <c r="B197" s="121"/>
      <c r="C197" s="121"/>
      <c r="D197" s="121"/>
    </row>
    <row r="198" spans="1:4" x14ac:dyDescent="0.25">
      <c r="A198" s="121"/>
      <c r="B198" s="121"/>
      <c r="C198" s="121"/>
      <c r="D198" s="121"/>
    </row>
    <row r="199" spans="1:4" x14ac:dyDescent="0.25">
      <c r="A199" s="121"/>
      <c r="B199" s="121"/>
      <c r="C199" s="121"/>
      <c r="D199" s="121"/>
    </row>
    <row r="200" spans="1:4" x14ac:dyDescent="0.25">
      <c r="A200" s="121"/>
      <c r="B200" s="121"/>
      <c r="C200" s="121"/>
      <c r="D200" s="121"/>
    </row>
    <row r="201" spans="1:4" x14ac:dyDescent="0.25">
      <c r="A201" s="121"/>
      <c r="B201" s="121"/>
      <c r="C201" s="121"/>
      <c r="D201" s="121"/>
    </row>
    <row r="202" spans="1:4" x14ac:dyDescent="0.25">
      <c r="A202" s="121"/>
      <c r="B202" s="121"/>
      <c r="C202" s="121"/>
      <c r="D202" s="121"/>
    </row>
    <row r="203" spans="1:4" x14ac:dyDescent="0.25">
      <c r="A203" s="121"/>
      <c r="B203" s="121"/>
      <c r="C203" s="121"/>
      <c r="D203" s="121"/>
    </row>
    <row r="204" spans="1:4" x14ac:dyDescent="0.25">
      <c r="A204" s="121"/>
      <c r="B204" s="121"/>
      <c r="C204" s="121"/>
      <c r="D204" s="121"/>
    </row>
    <row r="205" spans="1:4" x14ac:dyDescent="0.25">
      <c r="A205" s="121"/>
      <c r="B205" s="121"/>
      <c r="C205" s="121"/>
      <c r="D205" s="121"/>
    </row>
    <row r="206" spans="1:4" x14ac:dyDescent="0.25">
      <c r="A206" s="121"/>
      <c r="B206" s="121"/>
      <c r="C206" s="121"/>
      <c r="D206" s="121"/>
    </row>
    <row r="207" spans="1:4" x14ac:dyDescent="0.25">
      <c r="A207" s="121"/>
      <c r="B207" s="121"/>
      <c r="C207" s="121"/>
      <c r="D207" s="121"/>
    </row>
    <row r="208" spans="1:4" x14ac:dyDescent="0.25">
      <c r="A208" s="121"/>
      <c r="B208" s="121"/>
      <c r="C208" s="121"/>
      <c r="D208" s="121"/>
    </row>
    <row r="209" spans="1:4" x14ac:dyDescent="0.25">
      <c r="A209" s="121"/>
      <c r="B209" s="121"/>
      <c r="C209" s="121"/>
      <c r="D209" s="121"/>
    </row>
    <row r="210" spans="1:4" x14ac:dyDescent="0.25">
      <c r="A210" s="121"/>
      <c r="B210" s="121"/>
      <c r="C210" s="121"/>
      <c r="D210" s="121"/>
    </row>
    <row r="211" spans="1:4" x14ac:dyDescent="0.25">
      <c r="A211" s="121"/>
      <c r="B211" s="121"/>
      <c r="C211" s="121"/>
      <c r="D211" s="121"/>
    </row>
    <row r="212" spans="1:4" x14ac:dyDescent="0.25">
      <c r="A212" s="121"/>
      <c r="B212" s="121"/>
      <c r="C212" s="121"/>
      <c r="D212" s="121"/>
    </row>
    <row r="213" spans="1:4" x14ac:dyDescent="0.25">
      <c r="A213" s="121"/>
      <c r="B213" s="121"/>
      <c r="C213" s="121"/>
      <c r="D213" s="121"/>
    </row>
    <row r="214" spans="1:4" x14ac:dyDescent="0.25">
      <c r="A214" s="121"/>
      <c r="B214" s="121"/>
      <c r="C214" s="121"/>
      <c r="D214" s="121"/>
    </row>
    <row r="215" spans="1:4" x14ac:dyDescent="0.25">
      <c r="A215" s="121"/>
      <c r="B215" s="121"/>
      <c r="C215" s="121"/>
      <c r="D215" s="121"/>
    </row>
    <row r="216" spans="1:4" x14ac:dyDescent="0.25">
      <c r="A216" s="121"/>
      <c r="B216" s="121"/>
      <c r="C216" s="121"/>
      <c r="D216" s="121"/>
    </row>
    <row r="217" spans="1:4" x14ac:dyDescent="0.25">
      <c r="A217" s="121"/>
      <c r="B217" s="121"/>
      <c r="C217" s="121"/>
      <c r="D217" s="121"/>
    </row>
    <row r="218" spans="1:4" x14ac:dyDescent="0.25">
      <c r="A218" s="121"/>
      <c r="B218" s="121"/>
      <c r="C218" s="121"/>
      <c r="D218" s="121"/>
    </row>
    <row r="219" spans="1:4" x14ac:dyDescent="0.25">
      <c r="A219" s="121"/>
      <c r="B219" s="121"/>
      <c r="C219" s="121"/>
      <c r="D219" s="121"/>
    </row>
    <row r="220" spans="1:4" x14ac:dyDescent="0.25">
      <c r="A220" s="121"/>
      <c r="B220" s="121"/>
      <c r="C220" s="121"/>
      <c r="D220" s="121"/>
    </row>
    <row r="221" spans="1:4" x14ac:dyDescent="0.25">
      <c r="A221" s="121"/>
      <c r="B221" s="121"/>
      <c r="C221" s="121"/>
      <c r="D221" s="121"/>
    </row>
    <row r="222" spans="1:4" x14ac:dyDescent="0.25">
      <c r="A222" s="121"/>
      <c r="B222" s="121"/>
      <c r="C222" s="121"/>
      <c r="D222" s="121"/>
    </row>
    <row r="223" spans="1:4" x14ac:dyDescent="0.25">
      <c r="A223" s="121"/>
      <c r="B223" s="121"/>
      <c r="C223" s="121"/>
      <c r="D223" s="121"/>
    </row>
  </sheetData>
  <mergeCells count="14">
    <mergeCell ref="A28:D28"/>
    <mergeCell ref="A2:H2"/>
    <mergeCell ref="A5:D5"/>
    <mergeCell ref="A14:H14"/>
    <mergeCell ref="A16:D16"/>
    <mergeCell ref="A25:H25"/>
    <mergeCell ref="A93:H93"/>
    <mergeCell ref="A40:D40"/>
    <mergeCell ref="A52:D52"/>
    <mergeCell ref="A64:D64"/>
    <mergeCell ref="A89:H89"/>
    <mergeCell ref="A90:H90"/>
    <mergeCell ref="A92:H92"/>
    <mergeCell ref="A76:D76"/>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9B01-D9A5-4498-BB0B-1B076ED97B7D}">
  <sheetPr>
    <pageSetUpPr fitToPage="1"/>
  </sheetPr>
  <dimension ref="A1:D155"/>
  <sheetViews>
    <sheetView showGridLines="0" tabSelected="1" zoomScaleNormal="100" workbookViewId="0">
      <selection activeCell="D3" sqref="D3"/>
    </sheetView>
  </sheetViews>
  <sheetFormatPr defaultRowHeight="15" x14ac:dyDescent="0.25"/>
  <cols>
    <col min="1" max="1" width="26.5703125" style="1" customWidth="1"/>
    <col min="2" max="2" width="160.7109375" customWidth="1"/>
  </cols>
  <sheetData>
    <row r="1" spans="1:2" s="2" customFormat="1" ht="26.25" x14ac:dyDescent="0.25">
      <c r="A1" s="356" t="s">
        <v>11</v>
      </c>
      <c r="B1" s="356"/>
    </row>
    <row r="2" spans="1:2" s="2" customFormat="1" ht="74.25" customHeight="1" x14ac:dyDescent="0.25">
      <c r="A2" s="357" t="s">
        <v>12</v>
      </c>
      <c r="B2" s="357"/>
    </row>
    <row r="3" spans="1:2" s="2" customFormat="1" ht="48.6" customHeight="1" thickBot="1" x14ac:dyDescent="0.3">
      <c r="A3" s="10" t="s">
        <v>209</v>
      </c>
      <c r="B3" s="341"/>
    </row>
    <row r="4" spans="1:2" ht="18.75" x14ac:dyDescent="0.25">
      <c r="A4" s="15" t="s">
        <v>78</v>
      </c>
      <c r="B4" s="16" t="s">
        <v>79</v>
      </c>
    </row>
    <row r="5" spans="1:2" ht="15.75" x14ac:dyDescent="0.25">
      <c r="A5" s="17" t="s">
        <v>13</v>
      </c>
      <c r="B5" s="18" t="s">
        <v>14</v>
      </c>
    </row>
    <row r="6" spans="1:2" ht="15.75" x14ac:dyDescent="0.25">
      <c r="A6" s="17" t="s">
        <v>15</v>
      </c>
      <c r="B6" s="18" t="s">
        <v>16</v>
      </c>
    </row>
    <row r="7" spans="1:2" ht="15.75" x14ac:dyDescent="0.25">
      <c r="A7" s="17" t="s">
        <v>17</v>
      </c>
      <c r="B7" s="18" t="s">
        <v>18</v>
      </c>
    </row>
    <row r="8" spans="1:2" ht="15.75" x14ac:dyDescent="0.25">
      <c r="A8" s="17" t="s">
        <v>19</v>
      </c>
      <c r="B8" s="18" t="s">
        <v>20</v>
      </c>
    </row>
    <row r="9" spans="1:2" ht="15.75" x14ac:dyDescent="0.25">
      <c r="A9" s="17" t="s">
        <v>4</v>
      </c>
      <c r="B9" s="18" t="s">
        <v>21</v>
      </c>
    </row>
    <row r="10" spans="1:2" ht="15.75" x14ac:dyDescent="0.25">
      <c r="A10" s="17" t="s">
        <v>22</v>
      </c>
      <c r="B10" s="18" t="s">
        <v>23</v>
      </c>
    </row>
    <row r="11" spans="1:2" ht="15.75" x14ac:dyDescent="0.25">
      <c r="A11" s="17" t="s">
        <v>24</v>
      </c>
      <c r="B11" s="18" t="s">
        <v>25</v>
      </c>
    </row>
    <row r="12" spans="1:2" ht="15.75" x14ac:dyDescent="0.25">
      <c r="A12" s="17" t="s">
        <v>26</v>
      </c>
      <c r="B12" s="18" t="s">
        <v>27</v>
      </c>
    </row>
    <row r="13" spans="1:2" ht="47.25" x14ac:dyDescent="0.25">
      <c r="A13" s="17" t="s">
        <v>28</v>
      </c>
      <c r="B13" s="18" t="s">
        <v>29</v>
      </c>
    </row>
    <row r="14" spans="1:2" ht="47.25" x14ac:dyDescent="0.25">
      <c r="A14" s="17" t="s">
        <v>30</v>
      </c>
      <c r="B14" s="18" t="s">
        <v>31</v>
      </c>
    </row>
    <row r="15" spans="1:2" ht="15.75" x14ac:dyDescent="0.25">
      <c r="A15" s="17" t="s">
        <v>32</v>
      </c>
      <c r="B15" s="18" t="s">
        <v>33</v>
      </c>
    </row>
    <row r="16" spans="1:2" ht="47.25" customHeight="1" x14ac:dyDescent="0.25">
      <c r="A16" s="430" t="s">
        <v>34</v>
      </c>
      <c r="B16" s="18" t="s">
        <v>35</v>
      </c>
    </row>
    <row r="17" spans="1:2" ht="47.25" x14ac:dyDescent="0.25">
      <c r="A17" s="430"/>
      <c r="B17" s="18" t="s">
        <v>36</v>
      </c>
    </row>
    <row r="18" spans="1:2" ht="47.1" customHeight="1" x14ac:dyDescent="0.25">
      <c r="A18" s="430" t="s">
        <v>212</v>
      </c>
      <c r="B18" s="18" t="s">
        <v>213</v>
      </c>
    </row>
    <row r="19" spans="1:2" ht="47.25" x14ac:dyDescent="0.25">
      <c r="A19" s="430"/>
      <c r="B19" s="18" t="s">
        <v>214</v>
      </c>
    </row>
    <row r="20" spans="1:2" ht="31.5" x14ac:dyDescent="0.25">
      <c r="A20" s="17" t="s">
        <v>37</v>
      </c>
      <c r="B20" s="18" t="s">
        <v>828</v>
      </c>
    </row>
    <row r="21" spans="1:2" ht="15.75" x14ac:dyDescent="0.25">
      <c r="A21" s="17" t="s">
        <v>38</v>
      </c>
      <c r="B21" s="18" t="s">
        <v>39</v>
      </c>
    </row>
    <row r="22" spans="1:2" ht="15.75" x14ac:dyDescent="0.25">
      <c r="A22" s="17" t="s">
        <v>40</v>
      </c>
      <c r="B22" s="18" t="s">
        <v>41</v>
      </c>
    </row>
    <row r="23" spans="1:2" ht="15.75" x14ac:dyDescent="0.25">
      <c r="A23" s="17" t="s">
        <v>42</v>
      </c>
      <c r="B23" s="18" t="s">
        <v>43</v>
      </c>
    </row>
    <row r="24" spans="1:2" ht="31.5" x14ac:dyDescent="0.25">
      <c r="A24" s="17" t="s">
        <v>44</v>
      </c>
      <c r="B24" s="18" t="s">
        <v>45</v>
      </c>
    </row>
    <row r="25" spans="1:2" ht="31.5" x14ac:dyDescent="0.25">
      <c r="A25" s="17" t="s">
        <v>46</v>
      </c>
      <c r="B25" s="18" t="s">
        <v>47</v>
      </c>
    </row>
    <row r="26" spans="1:2" ht="15.75" x14ac:dyDescent="0.25">
      <c r="A26" s="17" t="s">
        <v>48</v>
      </c>
      <c r="B26" s="18" t="s">
        <v>49</v>
      </c>
    </row>
    <row r="27" spans="1:2" ht="15.75" x14ac:dyDescent="0.25">
      <c r="A27" s="17" t="s">
        <v>50</v>
      </c>
      <c r="B27" s="18" t="s">
        <v>51</v>
      </c>
    </row>
    <row r="28" spans="1:2" ht="15.75" x14ac:dyDescent="0.25">
      <c r="A28" s="17" t="s">
        <v>52</v>
      </c>
      <c r="B28" s="18" t="s">
        <v>53</v>
      </c>
    </row>
    <row r="29" spans="1:2" ht="15.75" x14ac:dyDescent="0.25">
      <c r="A29" s="17" t="s">
        <v>54</v>
      </c>
      <c r="B29" s="18" t="s">
        <v>55</v>
      </c>
    </row>
    <row r="30" spans="1:2" ht="15.75" x14ac:dyDescent="0.25">
      <c r="A30" s="17" t="s">
        <v>56</v>
      </c>
      <c r="B30" s="18" t="s">
        <v>57</v>
      </c>
    </row>
    <row r="31" spans="1:2" ht="15.75" x14ac:dyDescent="0.25">
      <c r="A31" s="17" t="s">
        <v>2</v>
      </c>
      <c r="B31" s="18" t="s">
        <v>58</v>
      </c>
    </row>
    <row r="32" spans="1:2" ht="31.5" x14ac:dyDescent="0.25">
      <c r="A32" s="17" t="s">
        <v>236</v>
      </c>
      <c r="B32" s="18" t="s">
        <v>59</v>
      </c>
    </row>
    <row r="33" spans="1:2" ht="15.75" x14ac:dyDescent="0.25">
      <c r="A33" s="17" t="s">
        <v>3</v>
      </c>
      <c r="B33" s="18" t="s">
        <v>60</v>
      </c>
    </row>
    <row r="34" spans="1:2" ht="31.5" x14ac:dyDescent="0.25">
      <c r="A34" s="17" t="s">
        <v>61</v>
      </c>
      <c r="B34" s="18" t="s">
        <v>62</v>
      </c>
    </row>
    <row r="35" spans="1:2" ht="15.75" x14ac:dyDescent="0.25">
      <c r="A35" s="17" t="s">
        <v>63</v>
      </c>
      <c r="B35" s="18" t="s">
        <v>64</v>
      </c>
    </row>
    <row r="36" spans="1:2" ht="31.5" x14ac:dyDescent="0.25">
      <c r="A36" s="17" t="s">
        <v>65</v>
      </c>
      <c r="B36" s="18" t="s">
        <v>66</v>
      </c>
    </row>
    <row r="37" spans="1:2" ht="15.75" x14ac:dyDescent="0.25">
      <c r="A37" s="17" t="s">
        <v>67</v>
      </c>
      <c r="B37" s="18" t="s">
        <v>215</v>
      </c>
    </row>
    <row r="38" spans="1:2" ht="15.75" x14ac:dyDescent="0.25">
      <c r="A38" s="17" t="s">
        <v>6</v>
      </c>
      <c r="B38" s="18" t="s">
        <v>216</v>
      </c>
    </row>
    <row r="39" spans="1:2" ht="15.75" x14ac:dyDescent="0.25">
      <c r="A39" s="430" t="s">
        <v>68</v>
      </c>
      <c r="B39" s="18" t="s">
        <v>69</v>
      </c>
    </row>
    <row r="40" spans="1:2" ht="15.75" x14ac:dyDescent="0.25">
      <c r="A40" s="430"/>
      <c r="B40" s="18" t="s">
        <v>70</v>
      </c>
    </row>
    <row r="41" spans="1:2" ht="47.25" x14ac:dyDescent="0.25">
      <c r="A41" s="430"/>
      <c r="B41" s="18" t="s">
        <v>71</v>
      </c>
    </row>
    <row r="42" spans="1:2" ht="47.25" x14ac:dyDescent="0.25">
      <c r="A42" s="430"/>
      <c r="B42" s="18" t="s">
        <v>72</v>
      </c>
    </row>
    <row r="43" spans="1:2" ht="15.75" x14ac:dyDescent="0.25">
      <c r="A43" s="430"/>
      <c r="B43" s="18" t="s">
        <v>73</v>
      </c>
    </row>
    <row r="44" spans="1:2" ht="15.75" x14ac:dyDescent="0.25">
      <c r="A44" s="430"/>
      <c r="B44" s="18" t="s">
        <v>74</v>
      </c>
    </row>
    <row r="45" spans="1:2" ht="15.75" x14ac:dyDescent="0.25">
      <c r="A45" s="430"/>
      <c r="B45" s="18" t="s">
        <v>75</v>
      </c>
    </row>
    <row r="46" spans="1:2" ht="15.75" x14ac:dyDescent="0.25">
      <c r="A46" s="17" t="s">
        <v>76</v>
      </c>
      <c r="B46" s="18" t="s">
        <v>77</v>
      </c>
    </row>
    <row r="47" spans="1:2" ht="31.5" x14ac:dyDescent="0.25">
      <c r="A47" s="430" t="s">
        <v>231</v>
      </c>
      <c r="B47" s="18" t="s">
        <v>217</v>
      </c>
    </row>
    <row r="48" spans="1:2" ht="15.75" x14ac:dyDescent="0.25">
      <c r="A48" s="430"/>
      <c r="B48" s="18" t="s">
        <v>218</v>
      </c>
    </row>
    <row r="49" spans="1:2" ht="15.75" x14ac:dyDescent="0.25">
      <c r="A49" s="430"/>
      <c r="B49" s="18" t="s">
        <v>219</v>
      </c>
    </row>
    <row r="50" spans="1:2" ht="15.75" customHeight="1" x14ac:dyDescent="0.25">
      <c r="A50" s="430" t="s">
        <v>829</v>
      </c>
      <c r="B50" s="342" t="s">
        <v>830</v>
      </c>
    </row>
    <row r="51" spans="1:2" ht="15.75" x14ac:dyDescent="0.25">
      <c r="A51" s="430"/>
      <c r="B51" s="18" t="s">
        <v>220</v>
      </c>
    </row>
    <row r="52" spans="1:2" ht="35.65" customHeight="1" x14ac:dyDescent="0.25">
      <c r="A52" s="430"/>
      <c r="B52" s="18" t="s">
        <v>221</v>
      </c>
    </row>
    <row r="53" spans="1:2" ht="86.25" customHeight="1" x14ac:dyDescent="0.25">
      <c r="A53" s="430"/>
      <c r="B53" s="18" t="s">
        <v>831</v>
      </c>
    </row>
    <row r="54" spans="1:2" ht="87.6" customHeight="1" x14ac:dyDescent="0.25">
      <c r="A54" s="430"/>
      <c r="B54" s="18" t="s">
        <v>234</v>
      </c>
    </row>
    <row r="55" spans="1:2" ht="31.5" x14ac:dyDescent="0.25">
      <c r="A55" s="430"/>
      <c r="B55" s="18" t="s">
        <v>222</v>
      </c>
    </row>
    <row r="56" spans="1:2" ht="78.75" x14ac:dyDescent="0.25">
      <c r="A56" s="430"/>
      <c r="B56" s="18" t="s">
        <v>232</v>
      </c>
    </row>
    <row r="57" spans="1:2" ht="15.75" x14ac:dyDescent="0.25">
      <c r="A57" s="430"/>
      <c r="B57" s="18" t="s">
        <v>223</v>
      </c>
    </row>
    <row r="58" spans="1:2" ht="31.5" x14ac:dyDescent="0.25">
      <c r="A58" s="430"/>
      <c r="B58" s="18" t="s">
        <v>832</v>
      </c>
    </row>
    <row r="59" spans="1:2" ht="15.75" x14ac:dyDescent="0.25">
      <c r="A59" s="430"/>
      <c r="B59" s="18" t="s">
        <v>833</v>
      </c>
    </row>
    <row r="60" spans="1:2" ht="15.75" x14ac:dyDescent="0.25">
      <c r="A60" s="430" t="s">
        <v>834</v>
      </c>
      <c r="B60" s="343" t="s">
        <v>835</v>
      </c>
    </row>
    <row r="61" spans="1:2" ht="31.5" x14ac:dyDescent="0.25">
      <c r="A61" s="430"/>
      <c r="B61" s="18" t="s">
        <v>836</v>
      </c>
    </row>
    <row r="62" spans="1:2" ht="15.75" x14ac:dyDescent="0.25">
      <c r="A62" s="430"/>
      <c r="B62" s="18" t="s">
        <v>224</v>
      </c>
    </row>
    <row r="63" spans="1:2" ht="15.75" x14ac:dyDescent="0.25">
      <c r="A63" s="430"/>
      <c r="B63" s="18" t="s">
        <v>837</v>
      </c>
    </row>
    <row r="64" spans="1:2" ht="78.75" x14ac:dyDescent="0.25">
      <c r="A64" s="430"/>
      <c r="B64" s="18" t="s">
        <v>233</v>
      </c>
    </row>
    <row r="65" spans="1:2" ht="15.75" x14ac:dyDescent="0.25">
      <c r="A65" s="430"/>
      <c r="B65" s="18" t="s">
        <v>833</v>
      </c>
    </row>
    <row r="66" spans="1:2" ht="15.75" x14ac:dyDescent="0.25">
      <c r="A66" s="431" t="s">
        <v>838</v>
      </c>
      <c r="B66" s="342" t="s">
        <v>839</v>
      </c>
    </row>
    <row r="67" spans="1:2" ht="15.75" x14ac:dyDescent="0.25">
      <c r="A67" s="431"/>
      <c r="B67" s="18" t="s">
        <v>225</v>
      </c>
    </row>
    <row r="68" spans="1:2" ht="50.65" customHeight="1" x14ac:dyDescent="0.25">
      <c r="A68" s="431"/>
      <c r="B68" s="18" t="s">
        <v>840</v>
      </c>
    </row>
    <row r="69" spans="1:2" ht="47.25" x14ac:dyDescent="0.25">
      <c r="A69" s="431"/>
      <c r="B69" s="18" t="s">
        <v>841</v>
      </c>
    </row>
    <row r="70" spans="1:2" ht="31.5" x14ac:dyDescent="0.25">
      <c r="A70" s="431"/>
      <c r="B70" s="18" t="s">
        <v>828</v>
      </c>
    </row>
    <row r="71" spans="1:2" ht="15.75" x14ac:dyDescent="0.25">
      <c r="A71" s="431"/>
      <c r="B71" s="18" t="s">
        <v>842</v>
      </c>
    </row>
    <row r="72" spans="1:2" ht="15.75" x14ac:dyDescent="0.25">
      <c r="A72" s="431" t="s">
        <v>235</v>
      </c>
      <c r="B72" s="342" t="s">
        <v>843</v>
      </c>
    </row>
    <row r="73" spans="1:2" ht="15.75" x14ac:dyDescent="0.25">
      <c r="A73" s="431"/>
      <c r="B73" s="18" t="s">
        <v>226</v>
      </c>
    </row>
    <row r="74" spans="1:2" ht="83.65" customHeight="1" x14ac:dyDescent="0.25">
      <c r="A74" s="431"/>
      <c r="B74" s="18" t="s">
        <v>233</v>
      </c>
    </row>
    <row r="75" spans="1:2" ht="78.75" x14ac:dyDescent="0.25">
      <c r="A75" s="431"/>
      <c r="B75" s="19" t="s">
        <v>232</v>
      </c>
    </row>
    <row r="76" spans="1:2" ht="15.75" x14ac:dyDescent="0.25">
      <c r="A76" s="431"/>
      <c r="B76" s="18" t="s">
        <v>223</v>
      </c>
    </row>
    <row r="77" spans="1:2" ht="31.5" x14ac:dyDescent="0.25">
      <c r="A77" s="431"/>
      <c r="B77" s="18" t="s">
        <v>844</v>
      </c>
    </row>
    <row r="78" spans="1:2" ht="15.75" x14ac:dyDescent="0.25">
      <c r="A78" s="431"/>
      <c r="B78" s="18" t="s">
        <v>842</v>
      </c>
    </row>
    <row r="79" spans="1:2" ht="15.75" x14ac:dyDescent="0.25">
      <c r="A79" s="432" t="s">
        <v>845</v>
      </c>
      <c r="B79" s="342" t="s">
        <v>846</v>
      </c>
    </row>
    <row r="80" spans="1:2" ht="15.75" x14ac:dyDescent="0.25">
      <c r="A80" s="432"/>
      <c r="B80" s="18" t="s">
        <v>226</v>
      </c>
    </row>
    <row r="81" spans="1:2" ht="31.5" x14ac:dyDescent="0.25">
      <c r="A81" s="432"/>
      <c r="B81" s="18" t="s">
        <v>222</v>
      </c>
    </row>
    <row r="82" spans="1:2" ht="15.75" x14ac:dyDescent="0.25">
      <c r="A82" s="432"/>
      <c r="B82" s="18" t="s">
        <v>227</v>
      </c>
    </row>
    <row r="83" spans="1:2" ht="47.25" x14ac:dyDescent="0.25">
      <c r="A83" s="432"/>
      <c r="B83" s="18" t="s">
        <v>228</v>
      </c>
    </row>
    <row r="84" spans="1:2" ht="15.75" x14ac:dyDescent="0.25">
      <c r="A84" s="432"/>
      <c r="B84" s="18" t="s">
        <v>229</v>
      </c>
    </row>
    <row r="85" spans="1:2" ht="15.75" x14ac:dyDescent="0.25">
      <c r="A85" s="432"/>
      <c r="B85" s="18" t="s">
        <v>230</v>
      </c>
    </row>
    <row r="86" spans="1:2" ht="15.75" x14ac:dyDescent="0.25">
      <c r="A86" s="432"/>
      <c r="B86" s="18" t="s">
        <v>223</v>
      </c>
    </row>
    <row r="87" spans="1:2" ht="78.75" x14ac:dyDescent="0.25">
      <c r="A87" s="432"/>
      <c r="B87" s="18" t="s">
        <v>233</v>
      </c>
    </row>
    <row r="88" spans="1:2" ht="15.75" x14ac:dyDescent="0.25">
      <c r="A88" s="432"/>
      <c r="B88" s="18" t="s">
        <v>842</v>
      </c>
    </row>
    <row r="89" spans="1:2" ht="15.6" customHeight="1" x14ac:dyDescent="0.25">
      <c r="A89" s="429" t="s">
        <v>847</v>
      </c>
      <c r="B89" s="20" t="s">
        <v>848</v>
      </c>
    </row>
    <row r="90" spans="1:2" ht="15.75" x14ac:dyDescent="0.25">
      <c r="A90" s="429"/>
      <c r="B90" s="344" t="s">
        <v>835</v>
      </c>
    </row>
    <row r="91" spans="1:2" ht="15.75" x14ac:dyDescent="0.25">
      <c r="A91" s="429"/>
      <c r="B91" s="21" t="s">
        <v>226</v>
      </c>
    </row>
    <row r="92" spans="1:2" ht="15.75" x14ac:dyDescent="0.25">
      <c r="A92" s="429"/>
      <c r="B92" s="20" t="s">
        <v>849</v>
      </c>
    </row>
    <row r="93" spans="1:2" ht="63" x14ac:dyDescent="0.25">
      <c r="A93" s="429"/>
      <c r="B93" s="21" t="s">
        <v>850</v>
      </c>
    </row>
    <row r="94" spans="1:2" ht="31.5" x14ac:dyDescent="0.25">
      <c r="A94" s="429"/>
      <c r="B94" s="21" t="s">
        <v>851</v>
      </c>
    </row>
    <row r="95" spans="1:2" ht="49.15" customHeight="1" x14ac:dyDescent="0.25">
      <c r="A95" s="429"/>
      <c r="B95" s="20" t="s">
        <v>852</v>
      </c>
    </row>
    <row r="96" spans="1:2" ht="31.5" x14ac:dyDescent="0.25">
      <c r="A96" s="429"/>
      <c r="B96" s="21" t="s">
        <v>853</v>
      </c>
    </row>
    <row r="97" spans="1:2" ht="143.65" customHeight="1" x14ac:dyDescent="0.25">
      <c r="A97" s="429"/>
      <c r="B97" s="20" t="s">
        <v>854</v>
      </c>
    </row>
    <row r="98" spans="1:2" ht="66" customHeight="1" x14ac:dyDescent="0.25">
      <c r="A98" s="429"/>
      <c r="B98" s="21" t="s">
        <v>855</v>
      </c>
    </row>
    <row r="99" spans="1:2" ht="31.5" x14ac:dyDescent="0.25">
      <c r="A99" s="429" t="s">
        <v>856</v>
      </c>
      <c r="B99" s="21" t="s">
        <v>857</v>
      </c>
    </row>
    <row r="100" spans="1:2" ht="148.15" customHeight="1" x14ac:dyDescent="0.25">
      <c r="A100" s="429"/>
      <c r="B100" s="345" t="s">
        <v>858</v>
      </c>
    </row>
    <row r="101" spans="1:2" ht="15.6" customHeight="1" x14ac:dyDescent="0.25">
      <c r="A101" s="429"/>
      <c r="B101" s="21" t="s">
        <v>859</v>
      </c>
    </row>
    <row r="102" spans="1:2" ht="15.75" x14ac:dyDescent="0.25">
      <c r="A102" s="429"/>
      <c r="B102" s="346" t="s">
        <v>842</v>
      </c>
    </row>
    <row r="103" spans="1:2" ht="31.5" x14ac:dyDescent="0.25">
      <c r="A103" s="429"/>
      <c r="B103" s="347" t="s">
        <v>860</v>
      </c>
    </row>
    <row r="104" spans="1:2" ht="15.75" x14ac:dyDescent="0.25">
      <c r="A104" s="429"/>
      <c r="B104" s="21" t="s">
        <v>861</v>
      </c>
    </row>
    <row r="105" spans="1:2" ht="15.75" x14ac:dyDescent="0.25">
      <c r="A105" s="432" t="s">
        <v>862</v>
      </c>
      <c r="B105" s="20" t="s">
        <v>835</v>
      </c>
    </row>
    <row r="106" spans="1:2" ht="31.5" x14ac:dyDescent="0.25">
      <c r="A106" s="432"/>
      <c r="B106" s="18" t="s">
        <v>863</v>
      </c>
    </row>
    <row r="107" spans="1:2" ht="15.75" x14ac:dyDescent="0.25">
      <c r="A107" s="432"/>
      <c r="B107" s="18" t="s">
        <v>224</v>
      </c>
    </row>
    <row r="108" spans="1:2" ht="15.75" x14ac:dyDescent="0.25">
      <c r="A108" s="432"/>
      <c r="B108" s="18" t="s">
        <v>837</v>
      </c>
    </row>
    <row r="109" spans="1:2" ht="15.75" x14ac:dyDescent="0.25">
      <c r="A109" s="432"/>
      <c r="B109" s="20" t="s">
        <v>864</v>
      </c>
    </row>
    <row r="110" spans="1:2" ht="21" customHeight="1" x14ac:dyDescent="0.25">
      <c r="A110" s="432"/>
      <c r="B110" s="20" t="s">
        <v>865</v>
      </c>
    </row>
    <row r="111" spans="1:2" ht="31.5" x14ac:dyDescent="0.25">
      <c r="A111" s="432"/>
      <c r="B111" s="20" t="s">
        <v>866</v>
      </c>
    </row>
    <row r="112" spans="1:2" ht="31.5" x14ac:dyDescent="0.25">
      <c r="A112" s="432"/>
      <c r="B112" s="20" t="s">
        <v>867</v>
      </c>
    </row>
    <row r="113" spans="1:2" ht="15.6" customHeight="1" x14ac:dyDescent="0.25">
      <c r="A113" s="431" t="s">
        <v>868</v>
      </c>
      <c r="B113" s="19" t="s">
        <v>869</v>
      </c>
    </row>
    <row r="114" spans="1:2" ht="15.75" x14ac:dyDescent="0.25">
      <c r="A114" s="431"/>
      <c r="B114" s="20" t="s">
        <v>870</v>
      </c>
    </row>
    <row r="115" spans="1:2" ht="15.75" x14ac:dyDescent="0.25">
      <c r="A115" s="431"/>
      <c r="B115" s="20" t="s">
        <v>871</v>
      </c>
    </row>
    <row r="116" spans="1:2" ht="15.75" x14ac:dyDescent="0.25">
      <c r="A116" s="431"/>
      <c r="B116" s="20" t="s">
        <v>872</v>
      </c>
    </row>
    <row r="117" spans="1:2" ht="15.75" x14ac:dyDescent="0.25">
      <c r="A117" s="431"/>
      <c r="B117" s="20" t="s">
        <v>873</v>
      </c>
    </row>
    <row r="118" spans="1:2" ht="15.75" x14ac:dyDescent="0.25">
      <c r="A118" s="433" t="s">
        <v>874</v>
      </c>
      <c r="B118" s="20" t="s">
        <v>875</v>
      </c>
    </row>
    <row r="119" spans="1:2" ht="15.6" customHeight="1" x14ac:dyDescent="0.25">
      <c r="A119" s="434"/>
      <c r="B119" s="19" t="s">
        <v>876</v>
      </c>
    </row>
    <row r="120" spans="1:2" ht="15.75" x14ac:dyDescent="0.25">
      <c r="A120" s="434"/>
      <c r="B120" s="19" t="s">
        <v>877</v>
      </c>
    </row>
    <row r="121" spans="1:2" ht="16.5" customHeight="1" x14ac:dyDescent="0.25">
      <c r="A121" s="434"/>
      <c r="B121" s="19" t="s">
        <v>878</v>
      </c>
    </row>
    <row r="122" spans="1:2" ht="16.5" customHeight="1" x14ac:dyDescent="0.25">
      <c r="A122" s="434"/>
      <c r="B122" s="19" t="s">
        <v>879</v>
      </c>
    </row>
    <row r="123" spans="1:2" ht="16.5" customHeight="1" x14ac:dyDescent="0.25">
      <c r="A123" s="434"/>
      <c r="B123" s="20" t="s">
        <v>880</v>
      </c>
    </row>
    <row r="124" spans="1:2" ht="16.5" customHeight="1" x14ac:dyDescent="0.25">
      <c r="A124" s="434"/>
      <c r="B124" s="19" t="s">
        <v>876</v>
      </c>
    </row>
    <row r="125" spans="1:2" ht="16.5" customHeight="1" x14ac:dyDescent="0.25">
      <c r="A125" s="434"/>
      <c r="B125" s="19" t="s">
        <v>877</v>
      </c>
    </row>
    <row r="126" spans="1:2" ht="16.5" customHeight="1" x14ac:dyDescent="0.25">
      <c r="A126" s="434"/>
      <c r="B126" s="19" t="s">
        <v>881</v>
      </c>
    </row>
    <row r="127" spans="1:2" ht="16.5" customHeight="1" x14ac:dyDescent="0.25">
      <c r="A127" s="434"/>
      <c r="B127" s="19" t="s">
        <v>879</v>
      </c>
    </row>
    <row r="128" spans="1:2" ht="15.75" x14ac:dyDescent="0.25">
      <c r="A128" s="434"/>
      <c r="B128" s="20" t="s">
        <v>882</v>
      </c>
    </row>
    <row r="129" spans="1:4" ht="15.75" x14ac:dyDescent="0.25">
      <c r="A129" s="434"/>
      <c r="B129" s="19" t="s">
        <v>876</v>
      </c>
    </row>
    <row r="130" spans="1:4" ht="15.75" x14ac:dyDescent="0.25">
      <c r="A130" s="434"/>
      <c r="B130" s="19" t="s">
        <v>877</v>
      </c>
      <c r="D130" s="74"/>
    </row>
    <row r="131" spans="1:4" ht="15.75" x14ac:dyDescent="0.25">
      <c r="A131" s="434"/>
      <c r="B131" s="19" t="s">
        <v>878</v>
      </c>
    </row>
    <row r="132" spans="1:4" ht="15.75" x14ac:dyDescent="0.25">
      <c r="A132" s="434"/>
      <c r="B132" s="19" t="s">
        <v>879</v>
      </c>
    </row>
    <row r="133" spans="1:4" ht="15.75" x14ac:dyDescent="0.25">
      <c r="A133" s="434"/>
      <c r="B133" s="20" t="s">
        <v>883</v>
      </c>
    </row>
    <row r="134" spans="1:4" ht="15.75" x14ac:dyDescent="0.25">
      <c r="A134" s="434"/>
      <c r="B134" s="19" t="s">
        <v>876</v>
      </c>
    </row>
    <row r="135" spans="1:4" ht="15.75" x14ac:dyDescent="0.25">
      <c r="A135" s="434"/>
      <c r="B135" s="19" t="s">
        <v>877</v>
      </c>
    </row>
    <row r="136" spans="1:4" ht="15.75" x14ac:dyDescent="0.25">
      <c r="A136" s="434"/>
      <c r="B136" s="19" t="s">
        <v>878</v>
      </c>
    </row>
    <row r="137" spans="1:4" ht="15.75" x14ac:dyDescent="0.25">
      <c r="A137" s="434"/>
      <c r="B137" s="19" t="s">
        <v>884</v>
      </c>
    </row>
    <row r="138" spans="1:4" ht="15.75" x14ac:dyDescent="0.25">
      <c r="A138" s="434"/>
      <c r="B138" s="19" t="s">
        <v>885</v>
      </c>
    </row>
    <row r="139" spans="1:4" ht="15.75" x14ac:dyDescent="0.25">
      <c r="A139" s="434"/>
      <c r="B139" s="19" t="s">
        <v>886</v>
      </c>
    </row>
    <row r="140" spans="1:4" ht="54.6" customHeight="1" x14ac:dyDescent="0.25">
      <c r="A140" s="434"/>
      <c r="B140" s="19" t="s">
        <v>887</v>
      </c>
    </row>
    <row r="141" spans="1:4" ht="15.75" x14ac:dyDescent="0.25">
      <c r="A141" s="434"/>
      <c r="B141" s="19" t="s">
        <v>888</v>
      </c>
    </row>
    <row r="142" spans="1:4" ht="31.5" x14ac:dyDescent="0.25">
      <c r="A142" s="434"/>
      <c r="B142" s="19" t="s">
        <v>889</v>
      </c>
    </row>
    <row r="143" spans="1:4" ht="15.75" x14ac:dyDescent="0.25">
      <c r="A143" s="434"/>
      <c r="B143" s="19" t="s">
        <v>220</v>
      </c>
    </row>
    <row r="144" spans="1:4" ht="31.5" x14ac:dyDescent="0.25">
      <c r="A144" s="434"/>
      <c r="B144" s="19" t="s">
        <v>890</v>
      </c>
    </row>
    <row r="145" spans="1:2" ht="94.5" x14ac:dyDescent="0.25">
      <c r="A145" s="434"/>
      <c r="B145" s="19" t="s">
        <v>891</v>
      </c>
    </row>
    <row r="146" spans="1:2" ht="21.6" customHeight="1" x14ac:dyDescent="0.25">
      <c r="A146" s="434"/>
      <c r="B146" s="19" t="s">
        <v>892</v>
      </c>
    </row>
    <row r="147" spans="1:2" ht="54" customHeight="1" x14ac:dyDescent="0.25">
      <c r="A147" s="434"/>
      <c r="B147" s="348" t="s">
        <v>840</v>
      </c>
    </row>
    <row r="148" spans="1:2" ht="15.75" x14ac:dyDescent="0.25">
      <c r="A148" s="435"/>
      <c r="B148" s="348" t="s">
        <v>893</v>
      </c>
    </row>
    <row r="149" spans="1:2" ht="15.75" x14ac:dyDescent="0.25">
      <c r="A149" s="436" t="s">
        <v>894</v>
      </c>
      <c r="B149" s="19" t="s">
        <v>895</v>
      </c>
    </row>
    <row r="150" spans="1:2" ht="15.75" x14ac:dyDescent="0.25">
      <c r="A150" s="437"/>
      <c r="B150" s="19" t="s">
        <v>896</v>
      </c>
    </row>
    <row r="151" spans="1:2" ht="15.75" x14ac:dyDescent="0.25">
      <c r="A151" s="437"/>
      <c r="B151" s="19" t="s">
        <v>897</v>
      </c>
    </row>
    <row r="152" spans="1:2" ht="15.75" x14ac:dyDescent="0.25">
      <c r="A152" s="437"/>
      <c r="B152" s="19" t="s">
        <v>898</v>
      </c>
    </row>
    <row r="153" spans="1:2" ht="15.75" x14ac:dyDescent="0.25">
      <c r="A153" s="437"/>
      <c r="B153" s="19" t="s">
        <v>899</v>
      </c>
    </row>
    <row r="154" spans="1:2" ht="15.75" x14ac:dyDescent="0.25">
      <c r="A154" s="437"/>
      <c r="B154" s="19" t="s">
        <v>900</v>
      </c>
    </row>
    <row r="155" spans="1:2" ht="16.5" thickBot="1" x14ac:dyDescent="0.3">
      <c r="A155" s="438"/>
      <c r="B155" s="349" t="s">
        <v>901</v>
      </c>
    </row>
  </sheetData>
  <mergeCells count="17">
    <mergeCell ref="A99:A104"/>
    <mergeCell ref="A105:A112"/>
    <mergeCell ref="A113:A117"/>
    <mergeCell ref="A118:A148"/>
    <mergeCell ref="A149:A155"/>
    <mergeCell ref="A89:A98"/>
    <mergeCell ref="A1:B1"/>
    <mergeCell ref="A2:B2"/>
    <mergeCell ref="A16:A17"/>
    <mergeCell ref="A18:A19"/>
    <mergeCell ref="A39:A45"/>
    <mergeCell ref="A47:A49"/>
    <mergeCell ref="A50:A59"/>
    <mergeCell ref="A60:A65"/>
    <mergeCell ref="A66:A71"/>
    <mergeCell ref="A72: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2" ma:contentTypeDescription="Create a new document." ma:contentTypeScope="" ma:versionID="306aa2dfb487eba6db5332870c5b11e5">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a734070ed6b7ea84f6e21f16c777ee12"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Props1.xml><?xml version="1.0" encoding="utf-8"?>
<ds:datastoreItem xmlns:ds="http://schemas.openxmlformats.org/officeDocument/2006/customXml" ds:itemID="{FA954B50-F001-4083-9BF2-88899623D5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purl.org/dc/terms/"/>
    <ds:schemaRef ds:uri="51f64f43-848e-4f71-a29c-5b275075194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9225b539-7b15-42b2-871d-c20cb6e17ae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Header</vt:lpstr>
      <vt:lpstr>ATD FY24 YTD</vt:lpstr>
      <vt:lpstr>ATD EOFY23 </vt:lpstr>
      <vt:lpstr>Detention FY24</vt:lpstr>
      <vt:lpstr> ICLOS and Detainees</vt:lpstr>
      <vt:lpstr>Monthly Bond Statistics</vt:lpstr>
      <vt:lpstr>Semiannual</vt:lpstr>
      <vt:lpstr>Facilities FY24</vt:lpstr>
      <vt:lpstr>Trans. Detainee Pop.</vt:lpstr>
      <vt:lpstr>Vulnerable &amp; Special Population</vt:lpstr>
      <vt:lpstr>Footnotes</vt:lpstr>
      <vt:lpstr>'Detention FY24'!Print_Area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Landsaw II, Paul A</cp:lastModifiedBy>
  <cp:lastPrinted>2020-02-10T19:14:43Z</cp:lastPrinted>
  <dcterms:created xsi:type="dcterms:W3CDTF">2020-01-31T18:40:16Z</dcterms:created>
  <dcterms:modified xsi:type="dcterms:W3CDTF">2023-12-07T17:56:46Z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